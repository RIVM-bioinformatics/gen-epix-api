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streevdm\gen-epix\gen-epix-api\test\seqdb\performance\seq_distance\"/>
    </mc:Choice>
  </mc:AlternateContent>
  <xr:revisionPtr revIDLastSave="0" documentId="13_ncr:1_{57876ABE-0BAF-43C2-99D7-9C2B65E224FB}" xr6:coauthVersionLast="47" xr6:coauthVersionMax="47" xr10:uidLastSave="{00000000-0000-0000-0000-000000000000}"/>
  <bookViews>
    <workbookView xWindow="-108" yWindow="-108" windowWidth="23256" windowHeight="13896" activeTab="2" xr2:uid="{7FA6E629-251F-4145-9033-6CE5E058265F}"/>
  </bookViews>
  <sheets>
    <sheet name="Organization" sheetId="1" r:id="rId1"/>
    <sheet name="DataCollection" sheetId="2" r:id="rId2"/>
    <sheet name="Us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3" l="1"/>
  <c r="K29" i="3"/>
  <c r="J29" i="3"/>
  <c r="I29" i="3"/>
  <c r="M29" i="3" s="1"/>
  <c r="H29" i="3"/>
  <c r="D29" i="3"/>
  <c r="M28" i="3"/>
  <c r="L28" i="3"/>
  <c r="K28" i="3"/>
  <c r="J28" i="3"/>
  <c r="I28" i="3"/>
  <c r="H28" i="3"/>
  <c r="D28" i="3"/>
  <c r="L27" i="3"/>
  <c r="K27" i="3"/>
  <c r="J27" i="3"/>
  <c r="I27" i="3"/>
  <c r="M27" i="3" s="1"/>
  <c r="H27" i="3"/>
  <c r="D27" i="3"/>
  <c r="L26" i="3"/>
  <c r="K26" i="3"/>
  <c r="J26" i="3"/>
  <c r="I26" i="3"/>
  <c r="M26" i="3" s="1"/>
  <c r="H26" i="3"/>
  <c r="D26" i="3"/>
  <c r="L25" i="3"/>
  <c r="K25" i="3"/>
  <c r="J25" i="3"/>
  <c r="I25" i="3"/>
  <c r="M25" i="3" s="1"/>
  <c r="H25" i="3"/>
  <c r="D25" i="3"/>
  <c r="M24" i="3"/>
  <c r="L24" i="3"/>
  <c r="K24" i="3"/>
  <c r="J24" i="3"/>
  <c r="I24" i="3"/>
  <c r="H24" i="3"/>
  <c r="D24" i="3"/>
  <c r="L23" i="3"/>
  <c r="K23" i="3"/>
  <c r="J23" i="3"/>
  <c r="I23" i="3"/>
  <c r="M23" i="3" s="1"/>
  <c r="H23" i="3"/>
  <c r="D23" i="3"/>
  <c r="L22" i="3"/>
  <c r="K22" i="3"/>
  <c r="J22" i="3"/>
  <c r="I22" i="3"/>
  <c r="M22" i="3" s="1"/>
  <c r="H22" i="3"/>
  <c r="D22" i="3"/>
  <c r="L21" i="3"/>
  <c r="K21" i="3"/>
  <c r="J21" i="3"/>
  <c r="I21" i="3"/>
  <c r="M21" i="3" s="1"/>
  <c r="H21" i="3"/>
  <c r="D21" i="3"/>
  <c r="L20" i="3"/>
  <c r="K20" i="3"/>
  <c r="J20" i="3"/>
  <c r="I20" i="3"/>
  <c r="M20" i="3" s="1"/>
  <c r="H20" i="3"/>
  <c r="D20" i="3"/>
  <c r="L19" i="3"/>
  <c r="K19" i="3"/>
  <c r="J19" i="3"/>
  <c r="I19" i="3"/>
  <c r="H19" i="3"/>
  <c r="D19" i="3"/>
  <c r="L18" i="3"/>
  <c r="K18" i="3"/>
  <c r="J18" i="3"/>
  <c r="I18" i="3"/>
  <c r="M18" i="3" s="1"/>
  <c r="H18" i="3"/>
  <c r="D18" i="3"/>
  <c r="L17" i="3"/>
  <c r="K17" i="3"/>
  <c r="J17" i="3"/>
  <c r="I17" i="3"/>
  <c r="M17" i="3" s="1"/>
  <c r="H17" i="3"/>
  <c r="D17" i="3"/>
  <c r="L16" i="3"/>
  <c r="K16" i="3"/>
  <c r="J16" i="3"/>
  <c r="I16" i="3"/>
  <c r="H16" i="3"/>
  <c r="D16" i="3"/>
  <c r="L15" i="3"/>
  <c r="K15" i="3"/>
  <c r="J15" i="3"/>
  <c r="I15" i="3"/>
  <c r="M15" i="3" s="1"/>
  <c r="H15" i="3"/>
  <c r="D15" i="3"/>
  <c r="L14" i="3"/>
  <c r="K14" i="3"/>
  <c r="J14" i="3"/>
  <c r="I14" i="3"/>
  <c r="M14" i="3" s="1"/>
  <c r="H14" i="3"/>
  <c r="D14" i="3"/>
  <c r="L13" i="3"/>
  <c r="K13" i="3"/>
  <c r="J13" i="3"/>
  <c r="I13" i="3"/>
  <c r="H13" i="3"/>
  <c r="D13" i="3"/>
  <c r="L12" i="3"/>
  <c r="K12" i="3"/>
  <c r="J12" i="3"/>
  <c r="I12" i="3"/>
  <c r="M12" i="3" s="1"/>
  <c r="H12" i="3"/>
  <c r="D12" i="3"/>
  <c r="L11" i="3"/>
  <c r="K11" i="3"/>
  <c r="J11" i="3"/>
  <c r="I11" i="3"/>
  <c r="H11" i="3"/>
  <c r="D11" i="3"/>
  <c r="L10" i="3"/>
  <c r="K10" i="3"/>
  <c r="J10" i="3"/>
  <c r="I10" i="3"/>
  <c r="M10" i="3" s="1"/>
  <c r="H10" i="3"/>
  <c r="D10" i="3"/>
  <c r="L9" i="3"/>
  <c r="K9" i="3"/>
  <c r="J9" i="3"/>
  <c r="I9" i="3"/>
  <c r="H9" i="3"/>
  <c r="D9" i="3"/>
  <c r="L8" i="3"/>
  <c r="K8" i="3"/>
  <c r="J8" i="3"/>
  <c r="I8" i="3"/>
  <c r="H8" i="3"/>
  <c r="D8" i="3"/>
  <c r="L7" i="3"/>
  <c r="K7" i="3"/>
  <c r="J7" i="3"/>
  <c r="I7" i="3"/>
  <c r="H7" i="3"/>
  <c r="D7" i="3"/>
  <c r="L6" i="3"/>
  <c r="K6" i="3"/>
  <c r="J6" i="3"/>
  <c r="I6" i="3"/>
  <c r="H6" i="3"/>
  <c r="D6" i="3"/>
  <c r="L5" i="3"/>
  <c r="K5" i="3"/>
  <c r="J5" i="3"/>
  <c r="I5" i="3"/>
  <c r="H5" i="3"/>
  <c r="D5" i="3"/>
  <c r="L4" i="3"/>
  <c r="K4" i="3"/>
  <c r="J4" i="3"/>
  <c r="I4" i="3"/>
  <c r="H4" i="3"/>
  <c r="D4" i="3"/>
  <c r="L3" i="3"/>
  <c r="K3" i="3"/>
  <c r="J3" i="3"/>
  <c r="I3" i="3"/>
  <c r="M3" i="3" s="1"/>
  <c r="H3" i="3"/>
  <c r="D3" i="3"/>
  <c r="L2" i="3"/>
  <c r="K2" i="3"/>
  <c r="J2" i="3"/>
  <c r="I2" i="3"/>
  <c r="M2" i="3" s="1"/>
  <c r="H2" i="3"/>
  <c r="D2" i="3"/>
  <c r="C12" i="2"/>
  <c r="C11" i="2"/>
  <c r="C10" i="2"/>
  <c r="C9" i="2"/>
  <c r="C8" i="2"/>
  <c r="C7" i="2"/>
  <c r="C6" i="2"/>
  <c r="C5" i="2"/>
  <c r="C4" i="2"/>
  <c r="C3" i="2"/>
  <c r="C2" i="2"/>
  <c r="M6" i="3" l="1"/>
  <c r="M19" i="3"/>
  <c r="M5" i="3"/>
  <c r="M4" i="3"/>
  <c r="M16" i="3"/>
  <c r="M13" i="3"/>
  <c r="M11" i="3"/>
  <c r="M8" i="3"/>
  <c r="M7" i="3"/>
  <c r="M9" i="3"/>
</calcChain>
</file>

<file path=xl/sharedStrings.xml><?xml version="1.0" encoding="utf-8"?>
<sst xmlns="http://schemas.openxmlformats.org/spreadsheetml/2006/main" count="198" uniqueCount="110">
  <si>
    <t>id</t>
  </si>
  <si>
    <t>name</t>
  </si>
  <si>
    <t>legal_entity_code</t>
  </si>
  <si>
    <t>legal_region_id</t>
  </si>
  <si>
    <t>legal_region</t>
  </si>
  <si>
    <t>018d074d-ea0c-e942-07db-a3cc0ba1d653</t>
  </si>
  <si>
    <t>org1</t>
  </si>
  <si>
    <t>0195d18c-1c92-0ed4-2e94-b4f66d82baf3</t>
  </si>
  <si>
    <t>org2</t>
  </si>
  <si>
    <t>0195d18c-1c92-52b3-93e0-43dc1f2aa037</t>
  </si>
  <si>
    <t>org3</t>
  </si>
  <si>
    <t>0195d18c-1c92-d419-4c71-a570f428499b</t>
  </si>
  <si>
    <t>org4</t>
  </si>
  <si>
    <t>0195d18c-1c93-02a2-6920-7e4dbfb73ce0</t>
  </si>
  <si>
    <t>org5</t>
  </si>
  <si>
    <t>description</t>
  </si>
  <si>
    <t>0195d18c-1ca2-a23d-1f64-00271f63199c</t>
  </si>
  <si>
    <t>data_collection1</t>
  </si>
  <si>
    <t>0195d18c-1ca2-2a29-96a5-37c6bf87f586</t>
  </si>
  <si>
    <t>data_collection2</t>
  </si>
  <si>
    <t>0195d18c-1ca2-3a4f-1878-fbe3282c9c76</t>
  </si>
  <si>
    <t>data_collection3</t>
  </si>
  <si>
    <t>0195d18c-1ca2-e55a-608d-a42fc6f948e1</t>
  </si>
  <si>
    <t>data_collection4</t>
  </si>
  <si>
    <t>0195d18c-1ca2-b728-a2a1-d2a4cf7b8eb8</t>
  </si>
  <si>
    <t>data_collection5</t>
  </si>
  <si>
    <t>0195d18c-1ca3-f309-f6f1-e4807afe3802</t>
  </si>
  <si>
    <t>data_collection6</t>
  </si>
  <si>
    <t>0195d18c-1ca3-db40-a2a8-6dc905d6c1e9</t>
  </si>
  <si>
    <t>data_collection7</t>
  </si>
  <si>
    <t>0195d18c-1ca3-da0a-44bb-877b3a1eb73e</t>
  </si>
  <si>
    <t>data_collection8</t>
  </si>
  <si>
    <t>0195d18c-1ca3-4d34-d0e9-8f024ad8651a</t>
  </si>
  <si>
    <t>data_collection9</t>
  </si>
  <si>
    <t>0195d18c-1ca3-11a2-bf20-8eaaa09cc070</t>
  </si>
  <si>
    <t>data_collection10</t>
  </si>
  <si>
    <t>0195d18c-1ca4-e691-7ebd-8ecb1a16a2ed</t>
  </si>
  <si>
    <t>data_collection11</t>
  </si>
  <si>
    <t>key</t>
  </si>
  <si>
    <t>email</t>
  </si>
  <si>
    <t>is_active</t>
  </si>
  <si>
    <t>roles</t>
  </si>
  <si>
    <t>organization_id</t>
  </si>
  <si>
    <t>dm.organization.name</t>
  </si>
  <si>
    <t>dm.roles.is_root</t>
  </si>
  <si>
    <t>dm.roles.is_app_admin</t>
  </si>
  <si>
    <t>dm.roles.is_refdata_admin</t>
  </si>
  <si>
    <t>dm.roles.is_org_user</t>
  </si>
  <si>
    <t>dm.is_ge_app_admin</t>
  </si>
  <si>
    <t>019542cc-8225-8f5d-fa30-d9c3f2629703</t>
  </si>
  <si>
    <t>root1_1@org1.org</t>
  </si>
  <si>
    <t>0195d18c-1c92-110e-81c1-75ba0fec4494</t>
  </si>
  <si>
    <t>app_admin1_1@org1.org</t>
  </si>
  <si>
    <t>0195d18c-1c93-bcbb-eea8-94332d77b172</t>
  </si>
  <si>
    <t>refdata_admin1_1@org1.org</t>
  </si>
  <si>
    <t>0195d18c-1c93-1f4b-8c40-19223d6c7a8c</t>
  </si>
  <si>
    <t>org_admin1_1@org1.org</t>
  </si>
  <si>
    <t>0195d18c-1c95-2343-576e-0c14e0a4505d</t>
  </si>
  <si>
    <t>org_admin2_1@org2.org</t>
  </si>
  <si>
    <t>0195d18c-1c96-59a8-d2a6-70a3b13175a1</t>
  </si>
  <si>
    <t>org_admin3_1@org3.org</t>
  </si>
  <si>
    <t>0195d18c-1c96-08ed-1241-eaf327bd1ffc</t>
  </si>
  <si>
    <t>org_admin4_1@org4.org</t>
  </si>
  <si>
    <t>0195d18c-1c97-faac-82eb-3e357979b402</t>
  </si>
  <si>
    <t>org_admin5_1@org5.org</t>
  </si>
  <si>
    <t>0195d18c-1c98-7e0b-0c91-8cafbdb2c852</t>
  </si>
  <si>
    <t>org_user1_1@org1.org</t>
  </si>
  <si>
    <t>0195d18c-1c98-5a1e-55b9-67b877813693</t>
  </si>
  <si>
    <t>org_user1_2@org1.org</t>
  </si>
  <si>
    <t>0195d18c-1c99-03eb-f1b4-a88daae1b74c</t>
  </si>
  <si>
    <t>org_user1_3@org1.org</t>
  </si>
  <si>
    <t>0195d18c-1c99-a68b-99dd-a489908e8df1</t>
  </si>
  <si>
    <t>org_user1_4@org1.org</t>
  </si>
  <si>
    <t>0195d18c-1c9a-1178-0519-9124131763a6</t>
  </si>
  <si>
    <t>org_user2_1@org2.org</t>
  </si>
  <si>
    <t>0195d18c-1c9a-e7d5-d74d-3e46588ad70a</t>
  </si>
  <si>
    <t>org_user2_2@org2.org</t>
  </si>
  <si>
    <t>0195d18c-1c9b-6b24-482a-6ea161cbf213</t>
  </si>
  <si>
    <t>org_user2_3@org2.org</t>
  </si>
  <si>
    <t>0195d18c-1c9b-f6fe-b91a-81092b467988</t>
  </si>
  <si>
    <t>org_user2_4@org2.org</t>
  </si>
  <si>
    <t>0195d18c-1c9c-0d8f-435a-5ca8b45939b8</t>
  </si>
  <si>
    <t>org_user3_1@org3.org</t>
  </si>
  <si>
    <t>0195d18c-1c9c-c598-48d1-9910b6135e10</t>
  </si>
  <si>
    <t>org_user3_2@org3.org</t>
  </si>
  <si>
    <t>0195d18c-1c9d-b786-58e2-68511183edc1</t>
  </si>
  <si>
    <t>org_user3_3@org3.org</t>
  </si>
  <si>
    <t>0195d18c-1c9d-374c-cb5e-65d6cf513e00</t>
  </si>
  <si>
    <t>org_user3_4@org3.org</t>
  </si>
  <si>
    <t>0195d18c-1c9e-1c4a-1311-4f22f0d59f61</t>
  </si>
  <si>
    <t>org_user4_1@org4.org</t>
  </si>
  <si>
    <t>0195d18c-1c9e-b09c-6417-9e2d151ffd40</t>
  </si>
  <si>
    <t>org_user4_2@org4.org</t>
  </si>
  <si>
    <t>0195d18c-1c9f-77bc-3133-1f617f479bce</t>
  </si>
  <si>
    <t>org_user4_3@org4.org</t>
  </si>
  <si>
    <t>0195d18c-1c9f-739f-da8a-894be78086da</t>
  </si>
  <si>
    <t>org_user4_4@org4.org</t>
  </si>
  <si>
    <t>0195d18c-1ca0-e0db-7a87-6237ad6380c8</t>
  </si>
  <si>
    <t>org_user5_1@org5.org</t>
  </si>
  <si>
    <t>0195d18c-1ca0-fb86-8413-fd6a2365e35d</t>
  </si>
  <si>
    <t>org_user5_2@org5.org</t>
  </si>
  <si>
    <t>0195d18c-1ca1-de82-c785-6f03f8013d69</t>
  </si>
  <si>
    <t>org_user5_3@org5.org</t>
  </si>
  <si>
    <t>0195d18c-1ca1-d3df-24f3-7aac91cc3f3a</t>
  </si>
  <si>
    <t>org_user5_4@org5.org</t>
  </si>
  <si>
    <t>["SEQDB_ROOT"]</t>
  </si>
  <si>
    <t>["SEQDB_APP_ADMIN"]</t>
  </si>
  <si>
    <t>["SEQDB_REFDATA_ADMIN"]</t>
  </si>
  <si>
    <t>["SEQDB_ORG_ADMIN"]</t>
  </si>
  <si>
    <t>["SEQDB_ORG_USER"]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</si>
</sst>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67CC-6F66-4E20-B1CF-294F0BCE654D}">
  <dimension ref="A1:E6"/>
  <sheetViews>
    <sheetView workbookViewId="0">
      <selection activeCell="A2" sqref="A2"/>
    </sheetView>
  </sheetViews>
  <sheetFormatPr defaultColWidth="8.6640625" defaultRowHeight="14.4" x14ac:dyDescent="0.3"/>
  <cols>
    <col min="1" max="1" width="36" bestFit="1" customWidth="1"/>
    <col min="2" max="2" width="5.6640625" bestFit="1" customWidth="1"/>
    <col min="3" max="3" width="16" bestFit="1" customWidth="1"/>
    <col min="4" max="4" width="13.6640625" bestFit="1" customWidth="1"/>
    <col min="5" max="5" width="1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6</v>
      </c>
    </row>
    <row r="3" spans="1:5" x14ac:dyDescent="0.3">
      <c r="A3" t="s">
        <v>7</v>
      </c>
      <c r="B3" t="s">
        <v>8</v>
      </c>
      <c r="C3" t="s">
        <v>8</v>
      </c>
    </row>
    <row r="4" spans="1:5" x14ac:dyDescent="0.3">
      <c r="A4" t="s">
        <v>9</v>
      </c>
      <c r="B4" t="s">
        <v>10</v>
      </c>
      <c r="C4" t="s">
        <v>10</v>
      </c>
    </row>
    <row r="5" spans="1:5" x14ac:dyDescent="0.3">
      <c r="A5" t="s">
        <v>11</v>
      </c>
      <c r="B5" t="s">
        <v>12</v>
      </c>
      <c r="C5" t="s">
        <v>12</v>
      </c>
    </row>
    <row r="6" spans="1:5" x14ac:dyDescent="0.3">
      <c r="A6" t="s">
        <v>13</v>
      </c>
      <c r="B6" t="s">
        <v>14</v>
      </c>
      <c r="C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9A5-6033-461B-86DA-76ABA0FF9235}">
  <dimension ref="A1:C12"/>
  <sheetViews>
    <sheetView workbookViewId="0">
      <selection activeCell="A2" sqref="A2"/>
    </sheetView>
  </sheetViews>
  <sheetFormatPr defaultColWidth="8.6640625" defaultRowHeight="14.4" x14ac:dyDescent="0.3"/>
  <cols>
    <col min="1" max="1" width="36.44140625" bestFit="1" customWidth="1"/>
    <col min="2" max="2" width="16.109375" bestFit="1" customWidth="1"/>
    <col min="3" max="3" width="10.33203125" style="3" bestFit="1" customWidth="1"/>
  </cols>
  <sheetData>
    <row r="1" spans="1:3" x14ac:dyDescent="0.3">
      <c r="A1" s="1" t="s">
        <v>0</v>
      </c>
      <c r="B1" s="1" t="s">
        <v>1</v>
      </c>
      <c r="C1" s="2" t="s">
        <v>15</v>
      </c>
    </row>
    <row r="2" spans="1:3" x14ac:dyDescent="0.3">
      <c r="A2" t="s">
        <v>16</v>
      </c>
      <c r="B2" t="s">
        <v>17</v>
      </c>
      <c r="C2" s="3" t="str">
        <f>"dc"&amp;RIGHT($B2,LEN($B2)-15)</f>
        <v>dc1</v>
      </c>
    </row>
    <row r="3" spans="1:3" x14ac:dyDescent="0.3">
      <c r="A3" t="s">
        <v>18</v>
      </c>
      <c r="B3" t="s">
        <v>19</v>
      </c>
      <c r="C3" s="3" t="str">
        <f t="shared" ref="C3:C12" si="0">"dc"&amp;RIGHT($B3,LEN($B3)-15)</f>
        <v>dc2</v>
      </c>
    </row>
    <row r="4" spans="1:3" x14ac:dyDescent="0.3">
      <c r="A4" t="s">
        <v>20</v>
      </c>
      <c r="B4" t="s">
        <v>21</v>
      </c>
      <c r="C4" s="3" t="str">
        <f t="shared" si="0"/>
        <v>dc3</v>
      </c>
    </row>
    <row r="5" spans="1:3" x14ac:dyDescent="0.3">
      <c r="A5" t="s">
        <v>22</v>
      </c>
      <c r="B5" t="s">
        <v>23</v>
      </c>
      <c r="C5" s="3" t="str">
        <f t="shared" si="0"/>
        <v>dc4</v>
      </c>
    </row>
    <row r="6" spans="1:3" x14ac:dyDescent="0.3">
      <c r="A6" t="s">
        <v>24</v>
      </c>
      <c r="B6" t="s">
        <v>25</v>
      </c>
      <c r="C6" s="3" t="str">
        <f t="shared" si="0"/>
        <v>dc5</v>
      </c>
    </row>
    <row r="7" spans="1:3" x14ac:dyDescent="0.3">
      <c r="A7" t="s">
        <v>26</v>
      </c>
      <c r="B7" t="s">
        <v>27</v>
      </c>
      <c r="C7" s="3" t="str">
        <f t="shared" si="0"/>
        <v>dc6</v>
      </c>
    </row>
    <row r="8" spans="1:3" x14ac:dyDescent="0.3">
      <c r="A8" t="s">
        <v>28</v>
      </c>
      <c r="B8" t="s">
        <v>29</v>
      </c>
      <c r="C8" s="3" t="str">
        <f t="shared" si="0"/>
        <v>dc7</v>
      </c>
    </row>
    <row r="9" spans="1:3" x14ac:dyDescent="0.3">
      <c r="A9" t="s">
        <v>30</v>
      </c>
      <c r="B9" t="s">
        <v>31</v>
      </c>
      <c r="C9" s="3" t="str">
        <f t="shared" si="0"/>
        <v>dc8</v>
      </c>
    </row>
    <row r="10" spans="1:3" x14ac:dyDescent="0.3">
      <c r="A10" t="s">
        <v>32</v>
      </c>
      <c r="B10" t="s">
        <v>33</v>
      </c>
      <c r="C10" s="3" t="str">
        <f t="shared" si="0"/>
        <v>dc9</v>
      </c>
    </row>
    <row r="11" spans="1:3" x14ac:dyDescent="0.3">
      <c r="A11" t="s">
        <v>34</v>
      </c>
      <c r="B11" t="s">
        <v>35</v>
      </c>
      <c r="C11" s="3" t="str">
        <f t="shared" si="0"/>
        <v>dc10</v>
      </c>
    </row>
    <row r="12" spans="1:3" x14ac:dyDescent="0.3">
      <c r="A12" t="s">
        <v>36</v>
      </c>
      <c r="B12" t="s">
        <v>37</v>
      </c>
      <c r="C12" s="3" t="str">
        <f t="shared" si="0"/>
        <v>dc11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159A-3559-4F41-A294-33237EBD0730}">
  <dimension ref="A1:M29"/>
  <sheetViews>
    <sheetView tabSelected="1" workbookViewId="0">
      <selection activeCell="A12" sqref="A12"/>
    </sheetView>
  </sheetViews>
  <sheetFormatPr defaultColWidth="8.6640625" defaultRowHeight="14.4" x14ac:dyDescent="0.3"/>
  <cols>
    <col min="1" max="1" width="36.33203125" bestFit="1" customWidth="1"/>
    <col min="2" max="2" width="36.33203125" customWidth="1"/>
    <col min="3" max="3" width="27.6640625" bestFit="1" customWidth="1"/>
    <col min="4" max="4" width="18.6640625" bestFit="1" customWidth="1"/>
    <col min="6" max="6" width="21" bestFit="1" customWidth="1"/>
    <col min="7" max="7" width="36" bestFit="1" customWidth="1"/>
    <col min="8" max="8" width="20.33203125" style="3" bestFit="1" customWidth="1"/>
    <col min="9" max="10" width="14.44140625" style="3" bestFit="1" customWidth="1"/>
    <col min="11" max="11" width="25.44140625" style="3" bestFit="1" customWidth="1"/>
    <col min="12" max="12" width="18.109375" style="3" bestFit="1" customWidth="1"/>
    <col min="13" max="13" width="18.6640625" style="3" bestFit="1" customWidth="1"/>
  </cols>
  <sheetData>
    <row r="1" spans="1:13" x14ac:dyDescent="0.3">
      <c r="A1" s="1" t="s">
        <v>0</v>
      </c>
      <c r="B1" s="1" t="s">
        <v>38</v>
      </c>
      <c r="C1" s="1" t="s">
        <v>39</v>
      </c>
      <c r="D1" s="1" t="s">
        <v>1</v>
      </c>
      <c r="E1" s="1" t="s">
        <v>40</v>
      </c>
      <c r="F1" s="1" t="s">
        <v>41</v>
      </c>
      <c r="G1" s="1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5" t="s">
        <v>48</v>
      </c>
    </row>
    <row r="2" spans="1:13" x14ac:dyDescent="0.3">
      <c r="A2" t="s">
        <v>49</v>
      </c>
      <c r="B2" t="s">
        <v>50</v>
      </c>
      <c r="C2" t="s">
        <v>50</v>
      </c>
      <c r="D2" t="str">
        <f>LEFT(C2,FIND("@",C2)-1)</f>
        <v>root1_1</v>
      </c>
      <c r="E2" t="b">
        <v>1</v>
      </c>
      <c r="F2" t="s">
        <v>105</v>
      </c>
      <c r="G2" t="s">
        <v>5</v>
      </c>
      <c r="H2" s="6" t="str">
        <f>INDEX(Organization!$B:$B,MATCH($G2,Organization!$A:$A,0))</f>
        <v>org1</v>
      </c>
      <c r="I2" s="6" t="b">
        <f>ISNUMBER(SEARCH("ROOT", F2))</f>
        <v>1</v>
      </c>
      <c r="J2" s="6" t="b">
        <f>ISNUMBER(SEARCH("APP_ADMIN", $F2))</f>
        <v>0</v>
      </c>
      <c r="K2" s="6" t="b">
        <f>ISNUMBER(SEARCH("METADATA_ADMIN", $F2))</f>
        <v>0</v>
      </c>
      <c r="L2" s="6" t="b">
        <f>ISNUMBER(SEARCH("ORG_USER", $F2))</f>
        <v>0</v>
      </c>
      <c r="M2" s="3" t="b">
        <f>OR($I2,$J2)</f>
        <v>1</v>
      </c>
    </row>
    <row r="3" spans="1:13" x14ac:dyDescent="0.3">
      <c r="A3" t="s">
        <v>51</v>
      </c>
      <c r="B3" t="s">
        <v>52</v>
      </c>
      <c r="C3" t="s">
        <v>52</v>
      </c>
      <c r="D3" t="str">
        <f t="shared" ref="D3:D29" si="0">LEFT(C3,FIND("@",C3)-1)</f>
        <v>app_admin1_1</v>
      </c>
      <c r="E3" t="b">
        <v>1</v>
      </c>
      <c r="F3" t="s">
        <v>106</v>
      </c>
      <c r="G3" t="s">
        <v>5</v>
      </c>
      <c r="H3" s="6" t="str">
        <f>INDEX(Organization!$B:$B,MATCH($G3,Organization!$A:$A,0))</f>
        <v>org1</v>
      </c>
      <c r="I3" s="6" t="b">
        <f t="shared" ref="I3:I29" si="1">ISNUMBER(SEARCH("ROOT", F3))</f>
        <v>0</v>
      </c>
      <c r="J3" s="6" t="b">
        <f t="shared" ref="J3:J29" si="2">ISNUMBER(SEARCH("APP_ADMIN", $F3))</f>
        <v>1</v>
      </c>
      <c r="K3" s="6" t="b">
        <f t="shared" ref="K3:K29" si="3">ISNUMBER(SEARCH("METADATA_ADMIN", $F3))</f>
        <v>0</v>
      </c>
      <c r="L3" s="6" t="b">
        <f t="shared" ref="L3:L29" si="4">ISNUMBER(SEARCH("ORG_USER", $F3))</f>
        <v>0</v>
      </c>
      <c r="M3" s="3" t="b">
        <f t="shared" ref="M3:M29" si="5">OR($I3,$J3)</f>
        <v>1</v>
      </c>
    </row>
    <row r="4" spans="1:13" x14ac:dyDescent="0.3">
      <c r="A4" t="s">
        <v>53</v>
      </c>
      <c r="B4" s="7" t="s">
        <v>54</v>
      </c>
      <c r="C4" s="7" t="s">
        <v>54</v>
      </c>
      <c r="D4" t="str">
        <f t="shared" si="0"/>
        <v>refdata_admin1_1</v>
      </c>
      <c r="E4" t="b">
        <v>1</v>
      </c>
      <c r="F4" t="s">
        <v>107</v>
      </c>
      <c r="G4" t="s">
        <v>5</v>
      </c>
      <c r="H4" s="6" t="str">
        <f>INDEX(Organization!$B:$B,MATCH($G4,Organization!$A:$A,0))</f>
        <v>org1</v>
      </c>
      <c r="I4" s="6" t="b">
        <f t="shared" si="1"/>
        <v>0</v>
      </c>
      <c r="J4" s="6" t="b">
        <f t="shared" si="2"/>
        <v>0</v>
      </c>
      <c r="K4" s="6" t="b">
        <f t="shared" si="3"/>
        <v>0</v>
      </c>
      <c r="L4" s="6" t="b">
        <f t="shared" si="4"/>
        <v>0</v>
      </c>
      <c r="M4" s="3" t="b">
        <f t="shared" si="5"/>
        <v>0</v>
      </c>
    </row>
    <row r="5" spans="1:13" x14ac:dyDescent="0.3">
      <c r="A5" t="s">
        <v>55</v>
      </c>
      <c r="B5" t="s">
        <v>56</v>
      </c>
      <c r="C5" t="s">
        <v>56</v>
      </c>
      <c r="D5" t="str">
        <f t="shared" si="0"/>
        <v>org_admin1_1</v>
      </c>
      <c r="E5" t="b">
        <v>1</v>
      </c>
      <c r="F5" t="s">
        <v>108</v>
      </c>
      <c r="G5" t="s">
        <v>5</v>
      </c>
      <c r="H5" s="6" t="str">
        <f>INDEX(Organization!$B:$B,MATCH($G5,Organization!$A:$A,0))</f>
        <v>org1</v>
      </c>
      <c r="I5" s="6" t="b">
        <f t="shared" si="1"/>
        <v>0</v>
      </c>
      <c r="J5" s="6" t="b">
        <f t="shared" si="2"/>
        <v>0</v>
      </c>
      <c r="K5" s="6" t="b">
        <f t="shared" si="3"/>
        <v>0</v>
      </c>
      <c r="L5" s="6" t="b">
        <f t="shared" si="4"/>
        <v>0</v>
      </c>
      <c r="M5" s="3" t="b">
        <f t="shared" si="5"/>
        <v>0</v>
      </c>
    </row>
    <row r="6" spans="1:13" x14ac:dyDescent="0.3">
      <c r="A6" t="s">
        <v>57</v>
      </c>
      <c r="B6" t="s">
        <v>58</v>
      </c>
      <c r="C6" t="s">
        <v>58</v>
      </c>
      <c r="D6" t="str">
        <f t="shared" si="0"/>
        <v>org_admin2_1</v>
      </c>
      <c r="E6" t="b">
        <v>1</v>
      </c>
      <c r="F6" t="s">
        <v>108</v>
      </c>
      <c r="G6" t="s">
        <v>7</v>
      </c>
      <c r="H6" s="6" t="str">
        <f>INDEX(Organization!$B:$B,MATCH($G6,Organization!$A:$A,0))</f>
        <v>org2</v>
      </c>
      <c r="I6" s="6" t="b">
        <f t="shared" si="1"/>
        <v>0</v>
      </c>
      <c r="J6" s="6" t="b">
        <f t="shared" si="2"/>
        <v>0</v>
      </c>
      <c r="K6" s="6" t="b">
        <f t="shared" si="3"/>
        <v>0</v>
      </c>
      <c r="L6" s="6" t="b">
        <f t="shared" si="4"/>
        <v>0</v>
      </c>
      <c r="M6" s="3" t="b">
        <f t="shared" si="5"/>
        <v>0</v>
      </c>
    </row>
    <row r="7" spans="1:13" x14ac:dyDescent="0.3">
      <c r="A7" t="s">
        <v>59</v>
      </c>
      <c r="B7" t="s">
        <v>60</v>
      </c>
      <c r="C7" t="s">
        <v>60</v>
      </c>
      <c r="D7" t="str">
        <f t="shared" si="0"/>
        <v>org_admin3_1</v>
      </c>
      <c r="E7" t="b">
        <v>1</v>
      </c>
      <c r="F7" t="s">
        <v>108</v>
      </c>
      <c r="G7" t="s">
        <v>9</v>
      </c>
      <c r="H7" s="6" t="str">
        <f>INDEX(Organization!$B:$B,MATCH($G7,Organization!$A:$A,0))</f>
        <v>org3</v>
      </c>
      <c r="I7" s="6" t="b">
        <f t="shared" si="1"/>
        <v>0</v>
      </c>
      <c r="J7" s="6" t="b">
        <f t="shared" si="2"/>
        <v>0</v>
      </c>
      <c r="K7" s="6" t="b">
        <f t="shared" si="3"/>
        <v>0</v>
      </c>
      <c r="L7" s="6" t="b">
        <f t="shared" si="4"/>
        <v>0</v>
      </c>
      <c r="M7" s="3" t="b">
        <f t="shared" si="5"/>
        <v>0</v>
      </c>
    </row>
    <row r="8" spans="1:13" x14ac:dyDescent="0.3">
      <c r="A8" t="s">
        <v>61</v>
      </c>
      <c r="B8" t="s">
        <v>62</v>
      </c>
      <c r="C8" t="s">
        <v>62</v>
      </c>
      <c r="D8" t="str">
        <f t="shared" si="0"/>
        <v>org_admin4_1</v>
      </c>
      <c r="E8" t="b">
        <v>1</v>
      </c>
      <c r="F8" t="s">
        <v>108</v>
      </c>
      <c r="G8" t="s">
        <v>11</v>
      </c>
      <c r="H8" s="6" t="str">
        <f>INDEX(Organization!$B:$B,MATCH($G8,Organization!$A:$A,0))</f>
        <v>org4</v>
      </c>
      <c r="I8" s="6" t="b">
        <f t="shared" si="1"/>
        <v>0</v>
      </c>
      <c r="J8" s="6" t="b">
        <f t="shared" si="2"/>
        <v>0</v>
      </c>
      <c r="K8" s="6" t="b">
        <f t="shared" si="3"/>
        <v>0</v>
      </c>
      <c r="L8" s="6" t="b">
        <f t="shared" si="4"/>
        <v>0</v>
      </c>
      <c r="M8" s="3" t="b">
        <f t="shared" si="5"/>
        <v>0</v>
      </c>
    </row>
    <row r="9" spans="1:13" x14ac:dyDescent="0.3">
      <c r="A9" t="s">
        <v>63</v>
      </c>
      <c r="B9" t="s">
        <v>64</v>
      </c>
      <c r="C9" t="s">
        <v>64</v>
      </c>
      <c r="D9" t="str">
        <f t="shared" si="0"/>
        <v>org_admin5_1</v>
      </c>
      <c r="E9" t="b">
        <v>1</v>
      </c>
      <c r="F9" t="s">
        <v>108</v>
      </c>
      <c r="G9" t="s">
        <v>13</v>
      </c>
      <c r="H9" s="6" t="str">
        <f>INDEX(Organization!$B:$B,MATCH($G9,Organization!$A:$A,0))</f>
        <v>org5</v>
      </c>
      <c r="I9" s="6" t="b">
        <f t="shared" si="1"/>
        <v>0</v>
      </c>
      <c r="J9" s="6" t="b">
        <f t="shared" si="2"/>
        <v>0</v>
      </c>
      <c r="K9" s="6" t="b">
        <f t="shared" si="3"/>
        <v>0</v>
      </c>
      <c r="L9" s="6" t="b">
        <f t="shared" si="4"/>
        <v>0</v>
      </c>
      <c r="M9" s="3" t="b">
        <f t="shared" si="5"/>
        <v>0</v>
      </c>
    </row>
    <row r="10" spans="1:13" x14ac:dyDescent="0.3">
      <c r="A10" t="s">
        <v>65</v>
      </c>
      <c r="B10" t="s">
        <v>66</v>
      </c>
      <c r="C10" t="s">
        <v>66</v>
      </c>
      <c r="D10" t="str">
        <f t="shared" si="0"/>
        <v>org_user1_1</v>
      </c>
      <c r="E10" t="b">
        <v>1</v>
      </c>
      <c r="F10" t="s">
        <v>109</v>
      </c>
      <c r="G10" t="s">
        <v>5</v>
      </c>
      <c r="H10" s="6" t="str">
        <f>INDEX(Organization!$B:$B,MATCH($G10,Organization!$A:$A,0))</f>
        <v>org1</v>
      </c>
      <c r="I10" s="6" t="b">
        <f t="shared" si="1"/>
        <v>0</v>
      </c>
      <c r="J10" s="6" t="b">
        <f t="shared" si="2"/>
        <v>0</v>
      </c>
      <c r="K10" s="6" t="b">
        <f t="shared" si="3"/>
        <v>0</v>
      </c>
      <c r="L10" s="6" t="b">
        <f t="shared" si="4"/>
        <v>1</v>
      </c>
      <c r="M10" s="3" t="b">
        <f t="shared" si="5"/>
        <v>0</v>
      </c>
    </row>
    <row r="11" spans="1:13" x14ac:dyDescent="0.3">
      <c r="A11" t="s">
        <v>67</v>
      </c>
      <c r="B11" t="s">
        <v>68</v>
      </c>
      <c r="C11" t="s">
        <v>68</v>
      </c>
      <c r="D11" t="str">
        <f t="shared" si="0"/>
        <v>org_user1_2</v>
      </c>
      <c r="E11" t="b">
        <v>1</v>
      </c>
      <c r="F11" t="s">
        <v>109</v>
      </c>
      <c r="G11" t="s">
        <v>5</v>
      </c>
      <c r="H11" s="6" t="str">
        <f>INDEX(Organization!$B:$B,MATCH($G11,Organization!$A:$A,0))</f>
        <v>org1</v>
      </c>
      <c r="I11" s="6" t="b">
        <f t="shared" si="1"/>
        <v>0</v>
      </c>
      <c r="J11" s="6" t="b">
        <f t="shared" si="2"/>
        <v>0</v>
      </c>
      <c r="K11" s="6" t="b">
        <f t="shared" si="3"/>
        <v>0</v>
      </c>
      <c r="L11" s="6" t="b">
        <f t="shared" si="4"/>
        <v>1</v>
      </c>
      <c r="M11" s="3" t="b">
        <f t="shared" si="5"/>
        <v>0</v>
      </c>
    </row>
    <row r="12" spans="1:13" x14ac:dyDescent="0.3">
      <c r="A12" t="s">
        <v>69</v>
      </c>
      <c r="B12" t="s">
        <v>70</v>
      </c>
      <c r="C12" t="s">
        <v>70</v>
      </c>
      <c r="D12" t="str">
        <f t="shared" si="0"/>
        <v>org_user1_3</v>
      </c>
      <c r="E12" t="b">
        <v>1</v>
      </c>
      <c r="F12" t="s">
        <v>109</v>
      </c>
      <c r="G12" t="s">
        <v>5</v>
      </c>
      <c r="H12" s="6" t="str">
        <f>INDEX(Organization!$B:$B,MATCH($G12,Organization!$A:$A,0))</f>
        <v>org1</v>
      </c>
      <c r="I12" s="6" t="b">
        <f t="shared" si="1"/>
        <v>0</v>
      </c>
      <c r="J12" s="6" t="b">
        <f t="shared" si="2"/>
        <v>0</v>
      </c>
      <c r="K12" s="6" t="b">
        <f t="shared" si="3"/>
        <v>0</v>
      </c>
      <c r="L12" s="6" t="b">
        <f t="shared" si="4"/>
        <v>1</v>
      </c>
      <c r="M12" s="3" t="b">
        <f t="shared" si="5"/>
        <v>0</v>
      </c>
    </row>
    <row r="13" spans="1:13" x14ac:dyDescent="0.3">
      <c r="A13" t="s">
        <v>71</v>
      </c>
      <c r="B13" t="s">
        <v>72</v>
      </c>
      <c r="C13" t="s">
        <v>72</v>
      </c>
      <c r="D13" t="str">
        <f t="shared" si="0"/>
        <v>org_user1_4</v>
      </c>
      <c r="E13" t="b">
        <v>1</v>
      </c>
      <c r="F13" t="s">
        <v>109</v>
      </c>
      <c r="G13" t="s">
        <v>5</v>
      </c>
      <c r="H13" s="6" t="str">
        <f>INDEX(Organization!$B:$B,MATCH($G13,Organization!$A:$A,0))</f>
        <v>org1</v>
      </c>
      <c r="I13" s="6" t="b">
        <f t="shared" si="1"/>
        <v>0</v>
      </c>
      <c r="J13" s="6" t="b">
        <f t="shared" si="2"/>
        <v>0</v>
      </c>
      <c r="K13" s="6" t="b">
        <f t="shared" si="3"/>
        <v>0</v>
      </c>
      <c r="L13" s="6" t="b">
        <f t="shared" si="4"/>
        <v>1</v>
      </c>
      <c r="M13" s="3" t="b">
        <f t="shared" si="5"/>
        <v>0</v>
      </c>
    </row>
    <row r="14" spans="1:13" x14ac:dyDescent="0.3">
      <c r="A14" t="s">
        <v>73</v>
      </c>
      <c r="B14" t="s">
        <v>74</v>
      </c>
      <c r="C14" t="s">
        <v>74</v>
      </c>
      <c r="D14" t="str">
        <f t="shared" si="0"/>
        <v>org_user2_1</v>
      </c>
      <c r="E14" t="b">
        <v>1</v>
      </c>
      <c r="F14" t="s">
        <v>109</v>
      </c>
      <c r="G14" t="s">
        <v>7</v>
      </c>
      <c r="H14" s="6" t="str">
        <f>INDEX(Organization!$B:$B,MATCH($G14,Organization!$A:$A,0))</f>
        <v>org2</v>
      </c>
      <c r="I14" s="6" t="b">
        <f t="shared" si="1"/>
        <v>0</v>
      </c>
      <c r="J14" s="6" t="b">
        <f t="shared" si="2"/>
        <v>0</v>
      </c>
      <c r="K14" s="6" t="b">
        <f t="shared" si="3"/>
        <v>0</v>
      </c>
      <c r="L14" s="6" t="b">
        <f t="shared" si="4"/>
        <v>1</v>
      </c>
      <c r="M14" s="3" t="b">
        <f t="shared" si="5"/>
        <v>0</v>
      </c>
    </row>
    <row r="15" spans="1:13" x14ac:dyDescent="0.3">
      <c r="A15" t="s">
        <v>75</v>
      </c>
      <c r="B15" t="s">
        <v>76</v>
      </c>
      <c r="C15" t="s">
        <v>76</v>
      </c>
      <c r="D15" t="str">
        <f t="shared" si="0"/>
        <v>org_user2_2</v>
      </c>
      <c r="E15" t="b">
        <v>1</v>
      </c>
      <c r="F15" t="s">
        <v>109</v>
      </c>
      <c r="G15" t="s">
        <v>7</v>
      </c>
      <c r="H15" s="6" t="str">
        <f>INDEX(Organization!$B:$B,MATCH($G15,Organization!$A:$A,0))</f>
        <v>org2</v>
      </c>
      <c r="I15" s="6" t="b">
        <f t="shared" si="1"/>
        <v>0</v>
      </c>
      <c r="J15" s="6" t="b">
        <f t="shared" si="2"/>
        <v>0</v>
      </c>
      <c r="K15" s="6" t="b">
        <f t="shared" si="3"/>
        <v>0</v>
      </c>
      <c r="L15" s="6" t="b">
        <f t="shared" si="4"/>
        <v>1</v>
      </c>
      <c r="M15" s="3" t="b">
        <f t="shared" si="5"/>
        <v>0</v>
      </c>
    </row>
    <row r="16" spans="1:13" x14ac:dyDescent="0.3">
      <c r="A16" t="s">
        <v>77</v>
      </c>
      <c r="B16" t="s">
        <v>78</v>
      </c>
      <c r="C16" t="s">
        <v>78</v>
      </c>
      <c r="D16" t="str">
        <f t="shared" si="0"/>
        <v>org_user2_3</v>
      </c>
      <c r="E16" t="b">
        <v>1</v>
      </c>
      <c r="F16" t="s">
        <v>109</v>
      </c>
      <c r="G16" t="s">
        <v>7</v>
      </c>
      <c r="H16" s="6" t="str">
        <f>INDEX(Organization!$B:$B,MATCH($G16,Organization!$A:$A,0))</f>
        <v>org2</v>
      </c>
      <c r="I16" s="6" t="b">
        <f t="shared" si="1"/>
        <v>0</v>
      </c>
      <c r="J16" s="6" t="b">
        <f t="shared" si="2"/>
        <v>0</v>
      </c>
      <c r="K16" s="6" t="b">
        <f t="shared" si="3"/>
        <v>0</v>
      </c>
      <c r="L16" s="6" t="b">
        <f t="shared" si="4"/>
        <v>1</v>
      </c>
      <c r="M16" s="3" t="b">
        <f t="shared" si="5"/>
        <v>0</v>
      </c>
    </row>
    <row r="17" spans="1:13" x14ac:dyDescent="0.3">
      <c r="A17" t="s">
        <v>79</v>
      </c>
      <c r="B17" t="s">
        <v>80</v>
      </c>
      <c r="C17" t="s">
        <v>80</v>
      </c>
      <c r="D17" t="str">
        <f t="shared" si="0"/>
        <v>org_user2_4</v>
      </c>
      <c r="E17" t="b">
        <v>1</v>
      </c>
      <c r="F17" t="s">
        <v>109</v>
      </c>
      <c r="G17" t="s">
        <v>7</v>
      </c>
      <c r="H17" s="6" t="str">
        <f>INDEX(Organization!$B:$B,MATCH($G17,Organization!$A:$A,0))</f>
        <v>org2</v>
      </c>
      <c r="I17" s="6" t="b">
        <f t="shared" si="1"/>
        <v>0</v>
      </c>
      <c r="J17" s="6" t="b">
        <f t="shared" si="2"/>
        <v>0</v>
      </c>
      <c r="K17" s="6" t="b">
        <f t="shared" si="3"/>
        <v>0</v>
      </c>
      <c r="L17" s="6" t="b">
        <f t="shared" si="4"/>
        <v>1</v>
      </c>
      <c r="M17" s="3" t="b">
        <f t="shared" si="5"/>
        <v>0</v>
      </c>
    </row>
    <row r="18" spans="1:13" x14ac:dyDescent="0.3">
      <c r="A18" t="s">
        <v>81</v>
      </c>
      <c r="B18" t="s">
        <v>82</v>
      </c>
      <c r="C18" t="s">
        <v>82</v>
      </c>
      <c r="D18" t="str">
        <f t="shared" si="0"/>
        <v>org_user3_1</v>
      </c>
      <c r="E18" t="b">
        <v>1</v>
      </c>
      <c r="F18" t="s">
        <v>109</v>
      </c>
      <c r="G18" t="s">
        <v>9</v>
      </c>
      <c r="H18" s="6" t="str">
        <f>INDEX(Organization!$B:$B,MATCH($G18,Organization!$A:$A,0))</f>
        <v>org3</v>
      </c>
      <c r="I18" s="6" t="b">
        <f t="shared" si="1"/>
        <v>0</v>
      </c>
      <c r="J18" s="6" t="b">
        <f t="shared" si="2"/>
        <v>0</v>
      </c>
      <c r="K18" s="6" t="b">
        <f t="shared" si="3"/>
        <v>0</v>
      </c>
      <c r="L18" s="6" t="b">
        <f t="shared" si="4"/>
        <v>1</v>
      </c>
      <c r="M18" s="3" t="b">
        <f t="shared" si="5"/>
        <v>0</v>
      </c>
    </row>
    <row r="19" spans="1:13" x14ac:dyDescent="0.3">
      <c r="A19" t="s">
        <v>83</v>
      </c>
      <c r="B19" t="s">
        <v>84</v>
      </c>
      <c r="C19" t="s">
        <v>84</v>
      </c>
      <c r="D19" t="str">
        <f t="shared" si="0"/>
        <v>org_user3_2</v>
      </c>
      <c r="E19" t="b">
        <v>1</v>
      </c>
      <c r="F19" t="s">
        <v>109</v>
      </c>
      <c r="G19" t="s">
        <v>9</v>
      </c>
      <c r="H19" s="6" t="str">
        <f>INDEX(Organization!$B:$B,MATCH($G19,Organization!$A:$A,0))</f>
        <v>org3</v>
      </c>
      <c r="I19" s="6" t="b">
        <f t="shared" si="1"/>
        <v>0</v>
      </c>
      <c r="J19" s="6" t="b">
        <f t="shared" si="2"/>
        <v>0</v>
      </c>
      <c r="K19" s="6" t="b">
        <f t="shared" si="3"/>
        <v>0</v>
      </c>
      <c r="L19" s="6" t="b">
        <f t="shared" si="4"/>
        <v>1</v>
      </c>
      <c r="M19" s="3" t="b">
        <f t="shared" si="5"/>
        <v>0</v>
      </c>
    </row>
    <row r="20" spans="1:13" x14ac:dyDescent="0.3">
      <c r="A20" t="s">
        <v>85</v>
      </c>
      <c r="B20" t="s">
        <v>86</v>
      </c>
      <c r="C20" t="s">
        <v>86</v>
      </c>
      <c r="D20" t="str">
        <f t="shared" si="0"/>
        <v>org_user3_3</v>
      </c>
      <c r="E20" t="b">
        <v>1</v>
      </c>
      <c r="F20" t="s">
        <v>109</v>
      </c>
      <c r="G20" t="s">
        <v>9</v>
      </c>
      <c r="H20" s="6" t="str">
        <f>INDEX(Organization!$B:$B,MATCH($G20,Organization!$A:$A,0))</f>
        <v>org3</v>
      </c>
      <c r="I20" s="6" t="b">
        <f t="shared" si="1"/>
        <v>0</v>
      </c>
      <c r="J20" s="6" t="b">
        <f t="shared" si="2"/>
        <v>0</v>
      </c>
      <c r="K20" s="6" t="b">
        <f t="shared" si="3"/>
        <v>0</v>
      </c>
      <c r="L20" s="6" t="b">
        <f t="shared" si="4"/>
        <v>1</v>
      </c>
      <c r="M20" s="3" t="b">
        <f t="shared" si="5"/>
        <v>0</v>
      </c>
    </row>
    <row r="21" spans="1:13" x14ac:dyDescent="0.3">
      <c r="A21" t="s">
        <v>87</v>
      </c>
      <c r="B21" t="s">
        <v>88</v>
      </c>
      <c r="C21" t="s">
        <v>88</v>
      </c>
      <c r="D21" t="str">
        <f t="shared" si="0"/>
        <v>org_user3_4</v>
      </c>
      <c r="E21" t="b">
        <v>1</v>
      </c>
      <c r="F21" t="s">
        <v>109</v>
      </c>
      <c r="G21" t="s">
        <v>9</v>
      </c>
      <c r="H21" s="6" t="str">
        <f>INDEX(Organization!$B:$B,MATCH($G21,Organization!$A:$A,0))</f>
        <v>org3</v>
      </c>
      <c r="I21" s="6" t="b">
        <f t="shared" si="1"/>
        <v>0</v>
      </c>
      <c r="J21" s="6" t="b">
        <f t="shared" si="2"/>
        <v>0</v>
      </c>
      <c r="K21" s="6" t="b">
        <f t="shared" si="3"/>
        <v>0</v>
      </c>
      <c r="L21" s="6" t="b">
        <f t="shared" si="4"/>
        <v>1</v>
      </c>
      <c r="M21" s="3" t="b">
        <f t="shared" si="5"/>
        <v>0</v>
      </c>
    </row>
    <row r="22" spans="1:13" x14ac:dyDescent="0.3">
      <c r="A22" t="s">
        <v>89</v>
      </c>
      <c r="B22" t="s">
        <v>90</v>
      </c>
      <c r="C22" t="s">
        <v>90</v>
      </c>
      <c r="D22" t="str">
        <f t="shared" si="0"/>
        <v>org_user4_1</v>
      </c>
      <c r="E22" t="b">
        <v>1</v>
      </c>
      <c r="F22" t="s">
        <v>109</v>
      </c>
      <c r="G22" t="s">
        <v>11</v>
      </c>
      <c r="H22" s="6" t="str">
        <f>INDEX(Organization!$B:$B,MATCH($G22,Organization!$A:$A,0))</f>
        <v>org4</v>
      </c>
      <c r="I22" s="6" t="b">
        <f t="shared" si="1"/>
        <v>0</v>
      </c>
      <c r="J22" s="6" t="b">
        <f t="shared" si="2"/>
        <v>0</v>
      </c>
      <c r="K22" s="6" t="b">
        <f t="shared" si="3"/>
        <v>0</v>
      </c>
      <c r="L22" s="6" t="b">
        <f t="shared" si="4"/>
        <v>1</v>
      </c>
      <c r="M22" s="3" t="b">
        <f t="shared" si="5"/>
        <v>0</v>
      </c>
    </row>
    <row r="23" spans="1:13" x14ac:dyDescent="0.3">
      <c r="A23" t="s">
        <v>91</v>
      </c>
      <c r="B23" t="s">
        <v>92</v>
      </c>
      <c r="C23" t="s">
        <v>92</v>
      </c>
      <c r="D23" t="str">
        <f t="shared" si="0"/>
        <v>org_user4_2</v>
      </c>
      <c r="E23" t="b">
        <v>1</v>
      </c>
      <c r="F23" t="s">
        <v>109</v>
      </c>
      <c r="G23" t="s">
        <v>11</v>
      </c>
      <c r="H23" s="6" t="str">
        <f>INDEX(Organization!$B:$B,MATCH($G23,Organization!$A:$A,0))</f>
        <v>org4</v>
      </c>
      <c r="I23" s="6" t="b">
        <f t="shared" si="1"/>
        <v>0</v>
      </c>
      <c r="J23" s="6" t="b">
        <f t="shared" si="2"/>
        <v>0</v>
      </c>
      <c r="K23" s="6" t="b">
        <f t="shared" si="3"/>
        <v>0</v>
      </c>
      <c r="L23" s="6" t="b">
        <f t="shared" si="4"/>
        <v>1</v>
      </c>
      <c r="M23" s="3" t="b">
        <f t="shared" si="5"/>
        <v>0</v>
      </c>
    </row>
    <row r="24" spans="1:13" x14ac:dyDescent="0.3">
      <c r="A24" t="s">
        <v>93</v>
      </c>
      <c r="B24" t="s">
        <v>94</v>
      </c>
      <c r="C24" t="s">
        <v>94</v>
      </c>
      <c r="D24" t="str">
        <f t="shared" si="0"/>
        <v>org_user4_3</v>
      </c>
      <c r="E24" t="b">
        <v>1</v>
      </c>
      <c r="F24" t="s">
        <v>109</v>
      </c>
      <c r="G24" t="s">
        <v>11</v>
      </c>
      <c r="H24" s="6" t="str">
        <f>INDEX(Organization!$B:$B,MATCH($G24,Organization!$A:$A,0))</f>
        <v>org4</v>
      </c>
      <c r="I24" s="6" t="b">
        <f t="shared" si="1"/>
        <v>0</v>
      </c>
      <c r="J24" s="6" t="b">
        <f t="shared" si="2"/>
        <v>0</v>
      </c>
      <c r="K24" s="6" t="b">
        <f t="shared" si="3"/>
        <v>0</v>
      </c>
      <c r="L24" s="6" t="b">
        <f t="shared" si="4"/>
        <v>1</v>
      </c>
      <c r="M24" s="3" t="b">
        <f t="shared" si="5"/>
        <v>0</v>
      </c>
    </row>
    <row r="25" spans="1:13" x14ac:dyDescent="0.3">
      <c r="A25" t="s">
        <v>95</v>
      </c>
      <c r="B25" t="s">
        <v>96</v>
      </c>
      <c r="C25" t="s">
        <v>96</v>
      </c>
      <c r="D25" t="str">
        <f t="shared" si="0"/>
        <v>org_user4_4</v>
      </c>
      <c r="E25" t="b">
        <v>1</v>
      </c>
      <c r="F25" t="s">
        <v>109</v>
      </c>
      <c r="G25" t="s">
        <v>11</v>
      </c>
      <c r="H25" s="6" t="str">
        <f>INDEX(Organization!$B:$B,MATCH($G25,Organization!$A:$A,0))</f>
        <v>org4</v>
      </c>
      <c r="I25" s="6" t="b">
        <f t="shared" si="1"/>
        <v>0</v>
      </c>
      <c r="J25" s="6" t="b">
        <f t="shared" si="2"/>
        <v>0</v>
      </c>
      <c r="K25" s="6" t="b">
        <f t="shared" si="3"/>
        <v>0</v>
      </c>
      <c r="L25" s="6" t="b">
        <f t="shared" si="4"/>
        <v>1</v>
      </c>
      <c r="M25" s="3" t="b">
        <f t="shared" si="5"/>
        <v>0</v>
      </c>
    </row>
    <row r="26" spans="1:13" x14ac:dyDescent="0.3">
      <c r="A26" t="s">
        <v>97</v>
      </c>
      <c r="B26" t="s">
        <v>98</v>
      </c>
      <c r="C26" t="s">
        <v>98</v>
      </c>
      <c r="D26" t="str">
        <f t="shared" si="0"/>
        <v>org_user5_1</v>
      </c>
      <c r="E26" t="b">
        <v>1</v>
      </c>
      <c r="F26" t="s">
        <v>109</v>
      </c>
      <c r="G26" t="s">
        <v>13</v>
      </c>
      <c r="H26" s="6" t="str">
        <f>INDEX(Organization!$B:$B,MATCH($G26,Organization!$A:$A,0))</f>
        <v>org5</v>
      </c>
      <c r="I26" s="6" t="b">
        <f t="shared" si="1"/>
        <v>0</v>
      </c>
      <c r="J26" s="6" t="b">
        <f t="shared" si="2"/>
        <v>0</v>
      </c>
      <c r="K26" s="6" t="b">
        <f t="shared" si="3"/>
        <v>0</v>
      </c>
      <c r="L26" s="6" t="b">
        <f t="shared" si="4"/>
        <v>1</v>
      </c>
      <c r="M26" s="3" t="b">
        <f t="shared" si="5"/>
        <v>0</v>
      </c>
    </row>
    <row r="27" spans="1:13" x14ac:dyDescent="0.3">
      <c r="A27" t="s">
        <v>99</v>
      </c>
      <c r="B27" t="s">
        <v>100</v>
      </c>
      <c r="C27" t="s">
        <v>100</v>
      </c>
      <c r="D27" t="str">
        <f t="shared" si="0"/>
        <v>org_user5_2</v>
      </c>
      <c r="E27" t="b">
        <v>1</v>
      </c>
      <c r="F27" t="s">
        <v>109</v>
      </c>
      <c r="G27" t="s">
        <v>13</v>
      </c>
      <c r="H27" s="6" t="str">
        <f>INDEX(Organization!$B:$B,MATCH($G27,Organization!$A:$A,0))</f>
        <v>org5</v>
      </c>
      <c r="I27" s="6" t="b">
        <f t="shared" si="1"/>
        <v>0</v>
      </c>
      <c r="J27" s="6" t="b">
        <f t="shared" si="2"/>
        <v>0</v>
      </c>
      <c r="K27" s="6" t="b">
        <f t="shared" si="3"/>
        <v>0</v>
      </c>
      <c r="L27" s="6" t="b">
        <f t="shared" si="4"/>
        <v>1</v>
      </c>
      <c r="M27" s="3" t="b">
        <f t="shared" si="5"/>
        <v>0</v>
      </c>
    </row>
    <row r="28" spans="1:13" x14ac:dyDescent="0.3">
      <c r="A28" t="s">
        <v>101</v>
      </c>
      <c r="B28" t="s">
        <v>102</v>
      </c>
      <c r="C28" t="s">
        <v>102</v>
      </c>
      <c r="D28" t="str">
        <f t="shared" si="0"/>
        <v>org_user5_3</v>
      </c>
      <c r="E28" t="b">
        <v>1</v>
      </c>
      <c r="F28" t="s">
        <v>109</v>
      </c>
      <c r="G28" t="s">
        <v>13</v>
      </c>
      <c r="H28" s="6" t="str">
        <f>INDEX(Organization!$B:$B,MATCH($G28,Organization!$A:$A,0))</f>
        <v>org5</v>
      </c>
      <c r="I28" s="6" t="b">
        <f t="shared" si="1"/>
        <v>0</v>
      </c>
      <c r="J28" s="6" t="b">
        <f t="shared" si="2"/>
        <v>0</v>
      </c>
      <c r="K28" s="6" t="b">
        <f t="shared" si="3"/>
        <v>0</v>
      </c>
      <c r="L28" s="6" t="b">
        <f t="shared" si="4"/>
        <v>1</v>
      </c>
      <c r="M28" s="3" t="b">
        <f t="shared" si="5"/>
        <v>0</v>
      </c>
    </row>
    <row r="29" spans="1:13" x14ac:dyDescent="0.3">
      <c r="A29" t="s">
        <v>103</v>
      </c>
      <c r="B29" t="s">
        <v>104</v>
      </c>
      <c r="C29" t="s">
        <v>104</v>
      </c>
      <c r="D29" t="str">
        <f t="shared" si="0"/>
        <v>org_user5_4</v>
      </c>
      <c r="E29" t="b">
        <v>1</v>
      </c>
      <c r="F29" t="s">
        <v>109</v>
      </c>
      <c r="G29" t="s">
        <v>13</v>
      </c>
      <c r="H29" s="6" t="str">
        <f>INDEX(Organization!$B:$B,MATCH($G29,Organization!$A:$A,0))</f>
        <v>org5</v>
      </c>
      <c r="I29" s="6" t="b">
        <f t="shared" si="1"/>
        <v>0</v>
      </c>
      <c r="J29" s="6" t="b">
        <f t="shared" si="2"/>
        <v>0</v>
      </c>
      <c r="K29" s="6" t="b">
        <f t="shared" si="3"/>
        <v>0</v>
      </c>
      <c r="L29" s="6" t="b">
        <f t="shared" si="4"/>
        <v>1</v>
      </c>
      <c r="M29" s="3" t="b">
        <f t="shared" si="5"/>
        <v>0</v>
      </c>
    </row>
  </sheetData>
  <hyperlinks>
    <hyperlink ref="C4" r:id="rId1" xr:uid="{12F5B18B-62AD-4981-8503-52237A4C2850}"/>
    <hyperlink ref="B4" r:id="rId2" xr:uid="{517C8AEC-A2A7-4095-8605-2B51F77638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DataCollection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van de Streek</dc:creator>
  <cp:lastModifiedBy>Mark van de Streek</cp:lastModifiedBy>
  <dcterms:created xsi:type="dcterms:W3CDTF">2026-02-03T13:40:41Z</dcterms:created>
  <dcterms:modified xsi:type="dcterms:W3CDTF">2026-02-03T15:55:54Z</dcterms:modified>
</cp:coreProperties>
</file>