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vo_v\Documents\gen-epix-api\test\casedb\integration\case_validation\"/>
    </mc:Choice>
  </mc:AlternateContent>
  <xr:revisionPtr revIDLastSave="0" documentId="13_ncr:1_{3F5C3440-E169-49AB-B04F-4AB419B33125}" xr6:coauthVersionLast="47" xr6:coauthVersionMax="47" xr10:uidLastSave="{00000000-0000-0000-0000-000000000000}"/>
  <bookViews>
    <workbookView xWindow="3552" yWindow="3552" windowWidth="30960" windowHeight="12120" tabRatio="913" firstSheet="5" activeTab="8" xr2:uid="{00000000-000D-0000-FFFF-FFFF00000000}"/>
  </bookViews>
  <sheets>
    <sheet name="ConceptSet" sheetId="30" r:id="rId1"/>
    <sheet name="Concept" sheetId="29" r:id="rId2"/>
    <sheet name="ConceptRelation" sheetId="35" r:id="rId3"/>
    <sheet name="RegionSet" sheetId="28" r:id="rId4"/>
    <sheet name="Region" sheetId="27" r:id="rId5"/>
    <sheet name="RegionRelation" sheetId="31" r:id="rId6"/>
    <sheet name="Organization" sheetId="17" r:id="rId7"/>
    <sheet name="DataCollection" sheetId="16" r:id="rId8"/>
    <sheet name="User" sheetId="15" r:id="rId9"/>
    <sheet name="UserInvitation" sheetId="19" r:id="rId10"/>
    <sheet name="Dim" sheetId="14" r:id="rId11"/>
    <sheet name="Col" sheetId="13" r:id="rId12"/>
    <sheet name="Disease" sheetId="25" r:id="rId13"/>
    <sheet name="EtiologicalAgent" sheetId="26" r:id="rId14"/>
    <sheet name="CaseType" sheetId="8" r:id="rId15"/>
    <sheet name="CaseTypeSetCategory" sheetId="7" r:id="rId16"/>
    <sheet name="CaseTypeSet" sheetId="6" r:id="rId17"/>
    <sheet name="CaseTypeSetMember" sheetId="12" r:id="rId18"/>
    <sheet name="CaseTypeCol" sheetId="11" r:id="rId19"/>
    <sheet name="ValidateCasesCommand" sheetId="24" r:id="rId20"/>
    <sheet name="_CaseData" sheetId="33" r:id="rId21"/>
    <sheet name="_CaseContentData" sheetId="32" r:id="rId22"/>
    <sheet name="CaseTypeColSet" sheetId="10" r:id="rId23"/>
    <sheet name="CaseTypeColSetMember" sheetId="9" r:id="rId24"/>
    <sheet name="OrganizationAdminPolicy" sheetId="2" r:id="rId25"/>
    <sheet name="OrganizationAccessCasePolicy" sheetId="20" r:id="rId26"/>
    <sheet name="UserAccessCasePolicy" sheetId="21" r:id="rId27"/>
    <sheet name="UserShareCasePolicy" sheetId="23" r:id="rId28"/>
    <sheet name="OrganizationShareCasePolicy" sheetId="22" r:id="rId29"/>
  </sheets>
  <definedNames>
    <definedName name="_xlnm._FilterDatabase" localSheetId="21" hidden="1">_CaseContentData!$A$1:$R$58</definedName>
    <definedName name="_xlnm._FilterDatabase" localSheetId="20" hidden="1">_CaseData!$A$1:$A$33</definedName>
    <definedName name="_xlnm._FilterDatabase" localSheetId="18" hidden="1">CaseTypeCol!$A$1:$T$58</definedName>
    <definedName name="_xlnm._FilterDatabase" localSheetId="23" hidden="1">CaseTypeColSetMember!$A$1:$H$96</definedName>
    <definedName name="_xlnm._FilterDatabase" localSheetId="17" hidden="1">CaseTypeSetMember!$A$1:$G$26</definedName>
    <definedName name="_xlnm._FilterDatabase" localSheetId="25" hidden="1">OrganizationAccessCasePolicy!$A$1:$U$11</definedName>
    <definedName name="_xlnm._FilterDatabase" localSheetId="26" hidden="1">UserAccessCasePolicy!$A$1:$V$11</definedName>
    <definedName name="_xlnm._FilterDatabase" localSheetId="19" hidden="1">ValidateCasesCommand!$A$1:$Y$33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32" l="1"/>
  <c r="G4" i="32"/>
  <c r="G5" i="32"/>
  <c r="G6" i="32"/>
  <c r="G7" i="32"/>
  <c r="G8" i="32"/>
  <c r="G9" i="32"/>
  <c r="G12" i="32"/>
  <c r="G13" i="32"/>
  <c r="G14" i="32"/>
  <c r="G15" i="32"/>
  <c r="G16" i="32"/>
  <c r="G17" i="32"/>
  <c r="G18" i="32"/>
  <c r="G19" i="32"/>
  <c r="G20" i="32"/>
  <c r="G21" i="32"/>
  <c r="G22" i="32"/>
  <c r="G23" i="32"/>
  <c r="G24" i="32"/>
  <c r="G25" i="32"/>
  <c r="G26" i="32"/>
  <c r="G27" i="32"/>
  <c r="G28" i="32"/>
  <c r="G29" i="32"/>
  <c r="G30" i="32"/>
  <c r="G31" i="32"/>
  <c r="G32" i="32"/>
  <c r="G33" i="32"/>
  <c r="G34" i="32"/>
  <c r="G35" i="32"/>
  <c r="G36" i="32"/>
  <c r="G37" i="32"/>
  <c r="G38" i="32"/>
  <c r="G39" i="32"/>
  <c r="G40" i="32"/>
  <c r="G41" i="32"/>
  <c r="G42" i="32"/>
  <c r="G43" i="32"/>
  <c r="G45" i="32"/>
  <c r="G46" i="32"/>
  <c r="G47" i="32"/>
  <c r="G48" i="32"/>
  <c r="G49" i="32"/>
  <c r="G50" i="32"/>
  <c r="G51" i="32"/>
  <c r="G52" i="32"/>
  <c r="G53" i="32"/>
  <c r="G54" i="32"/>
  <c r="G55" i="32"/>
  <c r="G56" i="32"/>
  <c r="G57" i="32"/>
  <c r="G58" i="32"/>
  <c r="G2" i="32"/>
  <c r="S3" i="32"/>
  <c r="S4" i="32"/>
  <c r="S5" i="32"/>
  <c r="S6" i="32"/>
  <c r="S7" i="32"/>
  <c r="S8" i="32"/>
  <c r="S9" i="32"/>
  <c r="S10" i="32"/>
  <c r="G10" i="32" s="1"/>
  <c r="S11" i="32"/>
  <c r="G11" i="32" s="1"/>
  <c r="S12" i="32"/>
  <c r="S13" i="32"/>
  <c r="S14" i="32"/>
  <c r="S15" i="32"/>
  <c r="S16" i="32"/>
  <c r="S17" i="32"/>
  <c r="S18" i="32"/>
  <c r="S19" i="32"/>
  <c r="S20" i="32"/>
  <c r="S21" i="32"/>
  <c r="S22" i="32"/>
  <c r="S23" i="32"/>
  <c r="S24" i="32"/>
  <c r="S25" i="32"/>
  <c r="S26" i="32"/>
  <c r="S27" i="32"/>
  <c r="S28" i="32"/>
  <c r="S29" i="32"/>
  <c r="S30" i="32"/>
  <c r="S31" i="32"/>
  <c r="S32" i="32"/>
  <c r="S33" i="32"/>
  <c r="S34" i="32"/>
  <c r="S35" i="32"/>
  <c r="S36" i="32"/>
  <c r="S37" i="32"/>
  <c r="S38" i="32"/>
  <c r="S39" i="32"/>
  <c r="S40" i="32"/>
  <c r="S41" i="32"/>
  <c r="S42" i="32"/>
  <c r="S43" i="32"/>
  <c r="S44" i="32"/>
  <c r="G44" i="32" s="1"/>
  <c r="S45" i="32"/>
  <c r="S46" i="32"/>
  <c r="S47" i="32"/>
  <c r="S48" i="32"/>
  <c r="S49" i="32"/>
  <c r="S50" i="32"/>
  <c r="S51" i="32"/>
  <c r="S52" i="32"/>
  <c r="S53" i="32"/>
  <c r="S54" i="32"/>
  <c r="S55" i="32"/>
  <c r="S56" i="32"/>
  <c r="S57" i="32"/>
  <c r="S58" i="32"/>
  <c r="S2" i="32"/>
  <c r="F3" i="35"/>
  <c r="E3" i="35"/>
  <c r="F2" i="35"/>
  <c r="E2" i="35"/>
  <c r="G3" i="35"/>
  <c r="H3" i="35"/>
  <c r="H2" i="35"/>
  <c r="G2" i="35"/>
  <c r="D3" i="35" l="1"/>
  <c r="D2" i="35"/>
  <c r="I3" i="29" l="1"/>
  <c r="I4" i="29"/>
  <c r="I5" i="29"/>
  <c r="I6" i="29"/>
  <c r="I7" i="29"/>
  <c r="I8" i="29"/>
  <c r="I9" i="29"/>
  <c r="I10" i="29"/>
  <c r="I11" i="29"/>
  <c r="I12" i="29"/>
  <c r="I13" i="29"/>
  <c r="I14" i="29"/>
  <c r="I15" i="29"/>
  <c r="I16" i="29"/>
  <c r="I17" i="29"/>
  <c r="I18" i="29"/>
  <c r="I19" i="29"/>
  <c r="I20" i="29"/>
  <c r="I21" i="29"/>
  <c r="I22" i="29"/>
  <c r="I23" i="29"/>
  <c r="I24" i="29"/>
  <c r="I25" i="29"/>
  <c r="I26" i="29"/>
  <c r="I27" i="29"/>
  <c r="I28" i="29"/>
  <c r="I29" i="29"/>
  <c r="I30" i="29"/>
  <c r="I31" i="29"/>
  <c r="I32" i="29"/>
  <c r="I2" i="29"/>
  <c r="C61" i="11"/>
  <c r="C60" i="11"/>
  <c r="C59" i="11"/>
  <c r="K3" i="27"/>
  <c r="K4" i="27"/>
  <c r="K5" i="27"/>
  <c r="K6" i="27"/>
  <c r="K7" i="27"/>
  <c r="K8" i="27"/>
  <c r="K9" i="27"/>
  <c r="K10" i="27"/>
  <c r="K11" i="27"/>
  <c r="K12" i="27"/>
  <c r="K13" i="27"/>
  <c r="K14" i="27"/>
  <c r="K15" i="27"/>
  <c r="K2" i="27"/>
  <c r="J3" i="27"/>
  <c r="J4" i="27"/>
  <c r="J5" i="27"/>
  <c r="J6" i="27"/>
  <c r="J7" i="27"/>
  <c r="J8" i="27"/>
  <c r="J9" i="27"/>
  <c r="J10" i="27"/>
  <c r="J11" i="27"/>
  <c r="J12" i="27"/>
  <c r="J13" i="27"/>
  <c r="J14" i="27"/>
  <c r="J15" i="27"/>
  <c r="J2" i="27"/>
  <c r="M3" i="29"/>
  <c r="M4" i="29"/>
  <c r="M5" i="29"/>
  <c r="M6" i="29"/>
  <c r="M7" i="29"/>
  <c r="M8" i="29"/>
  <c r="M9" i="29"/>
  <c r="M10" i="29"/>
  <c r="M11" i="29"/>
  <c r="M12" i="29"/>
  <c r="M13" i="29"/>
  <c r="M2" i="29"/>
  <c r="L3" i="29"/>
  <c r="L4" i="29"/>
  <c r="L5" i="29"/>
  <c r="L6" i="29"/>
  <c r="L7" i="29"/>
  <c r="L8" i="29"/>
  <c r="L9" i="29"/>
  <c r="L10" i="29"/>
  <c r="L11" i="29"/>
  <c r="L12" i="29"/>
  <c r="L13" i="29"/>
  <c r="L2" i="29"/>
  <c r="K32" i="29"/>
  <c r="K31" i="29"/>
  <c r="K30" i="29"/>
  <c r="K29" i="29"/>
  <c r="K28" i="29"/>
  <c r="K27" i="29"/>
  <c r="K26" i="29"/>
  <c r="K25" i="29"/>
  <c r="K24" i="29"/>
  <c r="K23" i="29"/>
  <c r="K22" i="29"/>
  <c r="K21" i="29"/>
  <c r="K20" i="29"/>
  <c r="K19" i="29"/>
  <c r="K18" i="29"/>
  <c r="K17" i="29"/>
  <c r="K16" i="29"/>
  <c r="K15" i="29"/>
  <c r="K14" i="29"/>
  <c r="K13" i="29"/>
  <c r="K12" i="29"/>
  <c r="K11" i="29"/>
  <c r="K10" i="29"/>
  <c r="K9" i="29"/>
  <c r="K8" i="29"/>
  <c r="K7" i="29"/>
  <c r="K6" i="29"/>
  <c r="K5" i="29"/>
  <c r="K4" i="29"/>
  <c r="K3" i="29"/>
  <c r="K2" i="29"/>
  <c r="M3" i="32"/>
  <c r="O3" i="32" s="1"/>
  <c r="M4" i="32"/>
  <c r="O4" i="32" s="1"/>
  <c r="M5" i="32"/>
  <c r="O5" i="32" s="1"/>
  <c r="M6" i="32"/>
  <c r="O6" i="32" s="1"/>
  <c r="M7" i="32"/>
  <c r="O7" i="32" s="1"/>
  <c r="M8" i="32"/>
  <c r="O8" i="32" s="1"/>
  <c r="M9" i="32"/>
  <c r="P9" i="32" s="1"/>
  <c r="R9" i="32" s="1"/>
  <c r="M10" i="32"/>
  <c r="P10" i="32" s="1"/>
  <c r="R10" i="32" s="1"/>
  <c r="M11" i="32"/>
  <c r="P11" i="32" s="1"/>
  <c r="R11" i="32" s="1"/>
  <c r="M12" i="32"/>
  <c r="P12" i="32" s="1"/>
  <c r="R12" i="32" s="1"/>
  <c r="M13" i="32"/>
  <c r="P13" i="32" s="1"/>
  <c r="R13" i="32" s="1"/>
  <c r="M14" i="32"/>
  <c r="P14" i="32" s="1"/>
  <c r="R14" i="32" s="1"/>
  <c r="M15" i="32"/>
  <c r="P15" i="32" s="1"/>
  <c r="R15" i="32" s="1"/>
  <c r="M16" i="32"/>
  <c r="O16" i="32" s="1"/>
  <c r="Q16" i="32" s="1"/>
  <c r="M17" i="32"/>
  <c r="O17" i="32" s="1"/>
  <c r="Q17" i="32" s="1"/>
  <c r="M18" i="32"/>
  <c r="O18" i="32" s="1"/>
  <c r="Q18" i="32" s="1"/>
  <c r="M19" i="32"/>
  <c r="O19" i="32" s="1"/>
  <c r="Q19" i="32" s="1"/>
  <c r="M20" i="32"/>
  <c r="O20" i="32" s="1"/>
  <c r="M21" i="32"/>
  <c r="O21" i="32" s="1"/>
  <c r="M22" i="32"/>
  <c r="O22" i="32" s="1"/>
  <c r="M23" i="32"/>
  <c r="O23" i="32" s="1"/>
  <c r="M24" i="32"/>
  <c r="O24" i="32" s="1"/>
  <c r="M25" i="32"/>
  <c r="P25" i="32" s="1"/>
  <c r="R25" i="32" s="1"/>
  <c r="M26" i="32"/>
  <c r="P26" i="32" s="1"/>
  <c r="R26" i="32" s="1"/>
  <c r="M27" i="32"/>
  <c r="P27" i="32" s="1"/>
  <c r="R27" i="32" s="1"/>
  <c r="M28" i="32"/>
  <c r="P28" i="32" s="1"/>
  <c r="R28" i="32" s="1"/>
  <c r="M29" i="32"/>
  <c r="P29" i="32" s="1"/>
  <c r="R29" i="32" s="1"/>
  <c r="M30" i="32"/>
  <c r="P30" i="32" s="1"/>
  <c r="R30" i="32" s="1"/>
  <c r="M31" i="32"/>
  <c r="P31" i="32" s="1"/>
  <c r="R31" i="32" s="1"/>
  <c r="M32" i="32"/>
  <c r="O32" i="32" s="1"/>
  <c r="M33" i="32"/>
  <c r="O33" i="32" s="1"/>
  <c r="M34" i="32"/>
  <c r="O34" i="32" s="1"/>
  <c r="M35" i="32"/>
  <c r="O35" i="32" s="1"/>
  <c r="M36" i="32"/>
  <c r="O36" i="32" s="1"/>
  <c r="M37" i="32"/>
  <c r="O37" i="32" s="1"/>
  <c r="M38" i="32"/>
  <c r="O38" i="32" s="1"/>
  <c r="M39" i="32"/>
  <c r="O39" i="32" s="1"/>
  <c r="M40" i="32"/>
  <c r="O40" i="32" s="1"/>
  <c r="M41" i="32"/>
  <c r="P41" i="32" s="1"/>
  <c r="R41" i="32" s="1"/>
  <c r="M42" i="32"/>
  <c r="P42" i="32" s="1"/>
  <c r="R42" i="32" s="1"/>
  <c r="M43" i="32"/>
  <c r="P43" i="32" s="1"/>
  <c r="R43" i="32" s="1"/>
  <c r="M44" i="32"/>
  <c r="P44" i="32" s="1"/>
  <c r="R44" i="32" s="1"/>
  <c r="M45" i="32"/>
  <c r="P45" i="32" s="1"/>
  <c r="R45" i="32" s="1"/>
  <c r="M46" i="32"/>
  <c r="P46" i="32" s="1"/>
  <c r="R46" i="32" s="1"/>
  <c r="M47" i="32"/>
  <c r="P47" i="32" s="1"/>
  <c r="R47" i="32" s="1"/>
  <c r="M48" i="32"/>
  <c r="O48" i="32" s="1"/>
  <c r="Q48" i="32" s="1"/>
  <c r="M49" i="32"/>
  <c r="O49" i="32" s="1"/>
  <c r="M50" i="32"/>
  <c r="O50" i="32" s="1"/>
  <c r="M51" i="32"/>
  <c r="O51" i="32" s="1"/>
  <c r="M52" i="32"/>
  <c r="O52" i="32" s="1"/>
  <c r="M53" i="32"/>
  <c r="O53" i="32" s="1"/>
  <c r="M54" i="32"/>
  <c r="O54" i="32" s="1"/>
  <c r="M55" i="32"/>
  <c r="O55" i="32" s="1"/>
  <c r="M56" i="32"/>
  <c r="P56" i="32" s="1"/>
  <c r="R56" i="32" s="1"/>
  <c r="M57" i="32"/>
  <c r="P57" i="32" s="1"/>
  <c r="R57" i="32" s="1"/>
  <c r="M58" i="32"/>
  <c r="P58" i="32" s="1"/>
  <c r="R58" i="32" s="1"/>
  <c r="M2" i="32"/>
  <c r="P2" i="32" s="1"/>
  <c r="R2" i="32" s="1"/>
  <c r="D3" i="33"/>
  <c r="D2" i="33"/>
  <c r="N45" i="32" l="1"/>
  <c r="T50" i="32"/>
  <c r="T34" i="32"/>
  <c r="T18" i="32"/>
  <c r="N31" i="32"/>
  <c r="T49" i="32"/>
  <c r="T33" i="32"/>
  <c r="T17" i="32"/>
  <c r="N30" i="32"/>
  <c r="T48" i="32"/>
  <c r="T32" i="32"/>
  <c r="T16" i="32"/>
  <c r="N29" i="32"/>
  <c r="T47" i="32"/>
  <c r="T31" i="32"/>
  <c r="T15" i="32"/>
  <c r="N15" i="32"/>
  <c r="T46" i="32"/>
  <c r="T30" i="32"/>
  <c r="T14" i="32"/>
  <c r="N14" i="32"/>
  <c r="T45" i="32"/>
  <c r="T29" i="32"/>
  <c r="T13" i="32"/>
  <c r="N13" i="32"/>
  <c r="T44" i="32"/>
  <c r="T28" i="32"/>
  <c r="T12" i="32"/>
  <c r="T2" i="32"/>
  <c r="T43" i="32"/>
  <c r="T27" i="32"/>
  <c r="T11" i="32"/>
  <c r="T58" i="32"/>
  <c r="T42" i="32"/>
  <c r="T26" i="32"/>
  <c r="T10" i="32"/>
  <c r="T57" i="32"/>
  <c r="T41" i="32"/>
  <c r="T25" i="32"/>
  <c r="T9" i="32"/>
  <c r="T56" i="32"/>
  <c r="T40" i="32"/>
  <c r="T24" i="32"/>
  <c r="T8" i="32"/>
  <c r="T55" i="32"/>
  <c r="T39" i="32"/>
  <c r="T23" i="32"/>
  <c r="T7" i="32"/>
  <c r="T54" i="32"/>
  <c r="T38" i="32"/>
  <c r="T22" i="32"/>
  <c r="T6" i="32"/>
  <c r="T53" i="32"/>
  <c r="T37" i="32"/>
  <c r="T21" i="32"/>
  <c r="T5" i="32"/>
  <c r="N47" i="32"/>
  <c r="T52" i="32"/>
  <c r="T36" i="32"/>
  <c r="T20" i="32"/>
  <c r="T4" i="32"/>
  <c r="N46" i="32"/>
  <c r="T51" i="32"/>
  <c r="T35" i="32"/>
  <c r="T19" i="32"/>
  <c r="T3" i="32"/>
  <c r="N44" i="32"/>
  <c r="N28" i="32"/>
  <c r="N12" i="32"/>
  <c r="N2" i="32"/>
  <c r="N43" i="32"/>
  <c r="N27" i="32"/>
  <c r="N11" i="32"/>
  <c r="N58" i="32"/>
  <c r="N42" i="32"/>
  <c r="N26" i="32"/>
  <c r="N10" i="32"/>
  <c r="N57" i="32"/>
  <c r="N41" i="32"/>
  <c r="N25" i="32"/>
  <c r="N9" i="32"/>
  <c r="N56" i="32"/>
  <c r="N40" i="32"/>
  <c r="N24" i="32"/>
  <c r="N8" i="32"/>
  <c r="N55" i="32"/>
  <c r="N39" i="32"/>
  <c r="N23" i="32"/>
  <c r="N7" i="32"/>
  <c r="N54" i="32"/>
  <c r="N38" i="32"/>
  <c r="N22" i="32"/>
  <c r="N6" i="32"/>
  <c r="N53" i="32"/>
  <c r="N37" i="32"/>
  <c r="N21" i="32"/>
  <c r="N5" i="32"/>
  <c r="N52" i="32"/>
  <c r="N36" i="32"/>
  <c r="N20" i="32"/>
  <c r="N4" i="32"/>
  <c r="N51" i="32"/>
  <c r="N35" i="32"/>
  <c r="N19" i="32"/>
  <c r="N3" i="32"/>
  <c r="N50" i="32"/>
  <c r="N34" i="32"/>
  <c r="N18" i="32"/>
  <c r="N49" i="32"/>
  <c r="N33" i="32"/>
  <c r="N17" i="32"/>
  <c r="N48" i="32"/>
  <c r="N32" i="32"/>
  <c r="N16" i="32"/>
  <c r="P8" i="32"/>
  <c r="R8" i="32" s="1"/>
  <c r="O31" i="32"/>
  <c r="O15" i="32"/>
  <c r="P40" i="32"/>
  <c r="R40" i="32" s="1"/>
  <c r="O47" i="32"/>
  <c r="P24" i="32"/>
  <c r="R24" i="32" s="1"/>
  <c r="Q49" i="32"/>
  <c r="Q32" i="32"/>
  <c r="Q51" i="32"/>
  <c r="Q50" i="32"/>
  <c r="Q35" i="32"/>
  <c r="Q24" i="32"/>
  <c r="Q8" i="32"/>
  <c r="Q55" i="32"/>
  <c r="Q39" i="32"/>
  <c r="Q23" i="32"/>
  <c r="Q54" i="32"/>
  <c r="Q38" i="32"/>
  <c r="Q22" i="32"/>
  <c r="Q21" i="32"/>
  <c r="Q53" i="32"/>
  <c r="Q52" i="32"/>
  <c r="Q20" i="32"/>
  <c r="O46" i="32"/>
  <c r="O30" i="32"/>
  <c r="O14" i="32"/>
  <c r="P55" i="32"/>
  <c r="R55" i="32" s="1"/>
  <c r="P39" i="32"/>
  <c r="R39" i="32" s="1"/>
  <c r="P23" i="32"/>
  <c r="P7" i="32"/>
  <c r="R7" i="32" s="1"/>
  <c r="O45" i="32"/>
  <c r="O29" i="32"/>
  <c r="O13" i="32"/>
  <c r="P54" i="32"/>
  <c r="R54" i="32" s="1"/>
  <c r="P38" i="32"/>
  <c r="R38" i="32" s="1"/>
  <c r="P22" i="32"/>
  <c r="P6" i="32"/>
  <c r="R6" i="32" s="1"/>
  <c r="O44" i="32"/>
  <c r="O28" i="32"/>
  <c r="O12" i="32"/>
  <c r="P53" i="32"/>
  <c r="R53" i="32" s="1"/>
  <c r="P37" i="32"/>
  <c r="R37" i="32" s="1"/>
  <c r="P21" i="32"/>
  <c r="R21" i="32" s="1"/>
  <c r="P5" i="32"/>
  <c r="R5" i="32" s="1"/>
  <c r="O2" i="32"/>
  <c r="O43" i="32"/>
  <c r="O27" i="32"/>
  <c r="O11" i="32"/>
  <c r="P52" i="32"/>
  <c r="R52" i="32" s="1"/>
  <c r="P36" i="32"/>
  <c r="R36" i="32" s="1"/>
  <c r="P20" i="32"/>
  <c r="R20" i="32" s="1"/>
  <c r="P4" i="32"/>
  <c r="R4" i="32" s="1"/>
  <c r="O58" i="32"/>
  <c r="O42" i="32"/>
  <c r="O26" i="32"/>
  <c r="O10" i="32"/>
  <c r="P51" i="32"/>
  <c r="R51" i="32" s="1"/>
  <c r="P35" i="32"/>
  <c r="P19" i="32"/>
  <c r="P3" i="32"/>
  <c r="R3" i="32" s="1"/>
  <c r="O57" i="32"/>
  <c r="O41" i="32"/>
  <c r="O25" i="32"/>
  <c r="O9" i="32"/>
  <c r="P50" i="32"/>
  <c r="R50" i="32" s="1"/>
  <c r="P34" i="32"/>
  <c r="R34" i="32" s="1"/>
  <c r="P18" i="32"/>
  <c r="R18" i="32" s="1"/>
  <c r="O56" i="32"/>
  <c r="P49" i="32"/>
  <c r="R49" i="32" s="1"/>
  <c r="P33" i="32"/>
  <c r="R33" i="32" s="1"/>
  <c r="P17" i="32"/>
  <c r="R17" i="32" s="1"/>
  <c r="P48" i="32"/>
  <c r="R48" i="32" s="1"/>
  <c r="P32" i="32"/>
  <c r="R32" i="32" s="1"/>
  <c r="P16" i="32"/>
  <c r="R16" i="32" s="1"/>
  <c r="E9" i="27"/>
  <c r="E8" i="27"/>
  <c r="E7" i="27"/>
  <c r="E6" i="27"/>
  <c r="E5" i="27"/>
  <c r="E4" i="27"/>
  <c r="E3" i="27"/>
  <c r="E2" i="27"/>
  <c r="E4" i="14"/>
  <c r="E5" i="14"/>
  <c r="E6" i="14" s="1"/>
  <c r="E7" i="14" s="1"/>
  <c r="E8" i="14" s="1"/>
  <c r="E9" i="14" s="1"/>
  <c r="E10" i="14" s="1"/>
  <c r="E11" i="14" s="1"/>
  <c r="E12" i="14" s="1"/>
  <c r="E13" i="14" s="1"/>
  <c r="E14" i="14" s="1"/>
  <c r="E15" i="14" s="1"/>
  <c r="E16" i="14" s="1"/>
  <c r="E17" i="14" s="1"/>
  <c r="E18" i="14" s="1"/>
  <c r="E19" i="14" s="1"/>
  <c r="E20" i="14" s="1"/>
  <c r="E21" i="14" s="1"/>
  <c r="E3" i="14"/>
  <c r="F3" i="13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2" i="13"/>
  <c r="U35" i="32" l="1"/>
  <c r="V35" i="32"/>
  <c r="U7" i="32"/>
  <c r="V7" i="32"/>
  <c r="U11" i="32"/>
  <c r="V11" i="32"/>
  <c r="U15" i="32"/>
  <c r="V15" i="32"/>
  <c r="U39" i="32"/>
  <c r="V39" i="32"/>
  <c r="U43" i="32"/>
  <c r="V43" i="32"/>
  <c r="U47" i="32"/>
  <c r="V47" i="32"/>
  <c r="U31" i="32"/>
  <c r="V31" i="32"/>
  <c r="U4" i="32"/>
  <c r="V4" i="32"/>
  <c r="U55" i="32"/>
  <c r="V55" i="32"/>
  <c r="U2" i="32"/>
  <c r="V2" i="32"/>
  <c r="U20" i="32"/>
  <c r="V20" i="32"/>
  <c r="U8" i="32"/>
  <c r="V8" i="32"/>
  <c r="U12" i="32"/>
  <c r="V12" i="32"/>
  <c r="U16" i="32"/>
  <c r="V16" i="32"/>
  <c r="U23" i="32"/>
  <c r="V23" i="32"/>
  <c r="U36" i="32"/>
  <c r="V36" i="32"/>
  <c r="U24" i="32"/>
  <c r="V24" i="32"/>
  <c r="U28" i="32"/>
  <c r="V28" i="32"/>
  <c r="U32" i="32"/>
  <c r="V32" i="32"/>
  <c r="U52" i="32"/>
  <c r="V52" i="32"/>
  <c r="U40" i="32"/>
  <c r="V40" i="32"/>
  <c r="U44" i="32"/>
  <c r="V44" i="32"/>
  <c r="U48" i="32"/>
  <c r="V48" i="32"/>
  <c r="U51" i="32"/>
  <c r="V51" i="32"/>
  <c r="U56" i="32"/>
  <c r="V56" i="32"/>
  <c r="U27" i="32"/>
  <c r="V27" i="32"/>
  <c r="U5" i="32"/>
  <c r="V5" i="32"/>
  <c r="U9" i="32"/>
  <c r="V9" i="32"/>
  <c r="U13" i="32"/>
  <c r="V13" i="32"/>
  <c r="U17" i="32"/>
  <c r="V17" i="32"/>
  <c r="U21" i="32"/>
  <c r="V21" i="32"/>
  <c r="U25" i="32"/>
  <c r="V25" i="32"/>
  <c r="U29" i="32"/>
  <c r="V29" i="32"/>
  <c r="U33" i="32"/>
  <c r="V33" i="32"/>
  <c r="U37" i="32"/>
  <c r="V37" i="32"/>
  <c r="U41" i="32"/>
  <c r="V41" i="32"/>
  <c r="U45" i="32"/>
  <c r="V45" i="32"/>
  <c r="U49" i="32"/>
  <c r="V49" i="32"/>
  <c r="U53" i="32"/>
  <c r="V53" i="32"/>
  <c r="U57" i="32"/>
  <c r="V57" i="32"/>
  <c r="U6" i="32"/>
  <c r="V6" i="32"/>
  <c r="U10" i="32"/>
  <c r="V10" i="32"/>
  <c r="U14" i="32"/>
  <c r="V14" i="32"/>
  <c r="U18" i="32"/>
  <c r="V18" i="32"/>
  <c r="U22" i="32"/>
  <c r="V22" i="32"/>
  <c r="U26" i="32"/>
  <c r="V26" i="32"/>
  <c r="U30" i="32"/>
  <c r="V30" i="32"/>
  <c r="U34" i="32"/>
  <c r="V34" i="32"/>
  <c r="U3" i="32"/>
  <c r="V3" i="32"/>
  <c r="U38" i="32"/>
  <c r="V38" i="32"/>
  <c r="U42" i="32"/>
  <c r="V42" i="32"/>
  <c r="U46" i="32"/>
  <c r="V46" i="32"/>
  <c r="U50" i="32"/>
  <c r="V50" i="32"/>
  <c r="U19" i="32"/>
  <c r="V19" i="32"/>
  <c r="U54" i="32"/>
  <c r="V54" i="32"/>
  <c r="U58" i="32"/>
  <c r="V58" i="32"/>
  <c r="R23" i="32"/>
  <c r="R22" i="32"/>
  <c r="Q46" i="32"/>
  <c r="Q31" i="32"/>
  <c r="Q15" i="32"/>
  <c r="Q45" i="32"/>
  <c r="Q47" i="32"/>
  <c r="R19" i="32"/>
  <c r="R35" i="32"/>
  <c r="Q14" i="32"/>
  <c r="Q10" i="32"/>
  <c r="Q43" i="32"/>
  <c r="Q26" i="32"/>
  <c r="Q12" i="32"/>
  <c r="Q30" i="32"/>
  <c r="Q28" i="32"/>
  <c r="Q44" i="32"/>
  <c r="Q58" i="32"/>
  <c r="Q9" i="32"/>
  <c r="Q13" i="32"/>
  <c r="Q25" i="32"/>
  <c r="Q11" i="32"/>
  <c r="Q29" i="32"/>
  <c r="Q27" i="32"/>
  <c r="Y3" i="24"/>
  <c r="Y4" i="24"/>
  <c r="Y5" i="24"/>
  <c r="Y6" i="24"/>
  <c r="Y7" i="24"/>
  <c r="Y8" i="24"/>
  <c r="Y9" i="24"/>
  <c r="Y10" i="24"/>
  <c r="Y11" i="24"/>
  <c r="Y12" i="24"/>
  <c r="Y13" i="24"/>
  <c r="Y14" i="24"/>
  <c r="Y15" i="24"/>
  <c r="Y16" i="24"/>
  <c r="Y17" i="24"/>
  <c r="Y18" i="24"/>
  <c r="Y19" i="24"/>
  <c r="Y20" i="24"/>
  <c r="Y21" i="24"/>
  <c r="Y22" i="24"/>
  <c r="Y23" i="24"/>
  <c r="Y24" i="24"/>
  <c r="Y25" i="24"/>
  <c r="Y26" i="24"/>
  <c r="Y27" i="24"/>
  <c r="Y28" i="24"/>
  <c r="Y29" i="24"/>
  <c r="Y30" i="24"/>
  <c r="Y31" i="24"/>
  <c r="Y32" i="24"/>
  <c r="Y33" i="24"/>
  <c r="Y2" i="24"/>
  <c r="Q3" i="24"/>
  <c r="Q4" i="24"/>
  <c r="Q5" i="24"/>
  <c r="Q6" i="24"/>
  <c r="Q7" i="24"/>
  <c r="Q8" i="24"/>
  <c r="Q9" i="24"/>
  <c r="Q10" i="24"/>
  <c r="Q11" i="24"/>
  <c r="Q12" i="24"/>
  <c r="Q13" i="24"/>
  <c r="Q14" i="24"/>
  <c r="Q15" i="24"/>
  <c r="Q16" i="24"/>
  <c r="Q17" i="24"/>
  <c r="Q18" i="24"/>
  <c r="Q19" i="24"/>
  <c r="Q20" i="24"/>
  <c r="Q21" i="24"/>
  <c r="Q22" i="24"/>
  <c r="Q23" i="24"/>
  <c r="Q24" i="24"/>
  <c r="Q25" i="24"/>
  <c r="Q26" i="24"/>
  <c r="Q27" i="24"/>
  <c r="Q28" i="24"/>
  <c r="Q29" i="24"/>
  <c r="Q30" i="24"/>
  <c r="Q31" i="24"/>
  <c r="Q32" i="24"/>
  <c r="Q33" i="24"/>
  <c r="Q2" i="24"/>
  <c r="V3" i="24"/>
  <c r="X3" i="24" s="1"/>
  <c r="V4" i="24"/>
  <c r="X4" i="24" s="1"/>
  <c r="V5" i="24"/>
  <c r="X5" i="24" s="1"/>
  <c r="V6" i="24"/>
  <c r="X6" i="24" s="1"/>
  <c r="V7" i="24"/>
  <c r="X7" i="24" s="1"/>
  <c r="V8" i="24"/>
  <c r="X8" i="24" s="1"/>
  <c r="V9" i="24"/>
  <c r="X9" i="24" s="1"/>
  <c r="V10" i="24"/>
  <c r="X10" i="24" s="1"/>
  <c r="V11" i="24"/>
  <c r="X11" i="24" s="1"/>
  <c r="V12" i="24"/>
  <c r="X12" i="24" s="1"/>
  <c r="V13" i="24"/>
  <c r="X13" i="24" s="1"/>
  <c r="V14" i="24"/>
  <c r="X14" i="24" s="1"/>
  <c r="V15" i="24"/>
  <c r="X15" i="24" s="1"/>
  <c r="V16" i="24"/>
  <c r="X16" i="24" s="1"/>
  <c r="V17" i="24"/>
  <c r="X17" i="24" s="1"/>
  <c r="V18" i="24"/>
  <c r="X18" i="24" s="1"/>
  <c r="V19" i="24"/>
  <c r="X19" i="24" s="1"/>
  <c r="V20" i="24"/>
  <c r="X20" i="24" s="1"/>
  <c r="V21" i="24"/>
  <c r="X21" i="24" s="1"/>
  <c r="V22" i="24"/>
  <c r="X22" i="24" s="1"/>
  <c r="V23" i="24"/>
  <c r="X23" i="24" s="1"/>
  <c r="V24" i="24"/>
  <c r="X24" i="24" s="1"/>
  <c r="V25" i="24"/>
  <c r="X25" i="24" s="1"/>
  <c r="V26" i="24"/>
  <c r="X26" i="24" s="1"/>
  <c r="V27" i="24"/>
  <c r="X27" i="24" s="1"/>
  <c r="V28" i="24"/>
  <c r="X28" i="24" s="1"/>
  <c r="V29" i="24"/>
  <c r="X29" i="24" s="1"/>
  <c r="V30" i="24"/>
  <c r="X30" i="24" s="1"/>
  <c r="V31" i="24"/>
  <c r="X31" i="24" s="1"/>
  <c r="V32" i="24"/>
  <c r="X32" i="24" s="1"/>
  <c r="V33" i="24"/>
  <c r="X33" i="24" s="1"/>
  <c r="V2" i="24"/>
  <c r="X2" i="24" s="1"/>
  <c r="S3" i="24"/>
  <c r="S4" i="24"/>
  <c r="S5" i="24"/>
  <c r="S6" i="24"/>
  <c r="S7" i="24"/>
  <c r="S8" i="24"/>
  <c r="S9" i="24"/>
  <c r="S10" i="24"/>
  <c r="S11" i="24"/>
  <c r="S12" i="24"/>
  <c r="S13" i="24"/>
  <c r="S14" i="24"/>
  <c r="S15" i="24"/>
  <c r="S16" i="24"/>
  <c r="S17" i="24"/>
  <c r="S18" i="24"/>
  <c r="S19" i="24"/>
  <c r="S20" i="24"/>
  <c r="S21" i="24"/>
  <c r="S22" i="24"/>
  <c r="S23" i="24"/>
  <c r="S24" i="24"/>
  <c r="S25" i="24"/>
  <c r="S26" i="24"/>
  <c r="S27" i="24"/>
  <c r="S28" i="24"/>
  <c r="S29" i="24"/>
  <c r="S30" i="24"/>
  <c r="S31" i="24"/>
  <c r="S32" i="24"/>
  <c r="S33" i="24"/>
  <c r="S2" i="24"/>
  <c r="K40" i="32" l="1"/>
  <c r="L40" i="32"/>
  <c r="K41" i="32"/>
  <c r="L41" i="32"/>
  <c r="K42" i="32"/>
  <c r="L42" i="32"/>
  <c r="K43" i="32"/>
  <c r="L43" i="32"/>
  <c r="K44" i="32"/>
  <c r="L44" i="32"/>
  <c r="K45" i="32"/>
  <c r="L45" i="32"/>
  <c r="K46" i="32"/>
  <c r="L46" i="32"/>
  <c r="K47" i="32"/>
  <c r="L47" i="32"/>
  <c r="K48" i="32"/>
  <c r="L48" i="32"/>
  <c r="K49" i="32"/>
  <c r="L49" i="32"/>
  <c r="K50" i="32"/>
  <c r="L50" i="32"/>
  <c r="K51" i="32"/>
  <c r="L51" i="32"/>
  <c r="K52" i="32"/>
  <c r="L52" i="32"/>
  <c r="K53" i="32"/>
  <c r="L53" i="32"/>
  <c r="K54" i="32"/>
  <c r="L54" i="32"/>
  <c r="K55" i="32"/>
  <c r="L55" i="32"/>
  <c r="K56" i="32"/>
  <c r="L56" i="32"/>
  <c r="K57" i="32"/>
  <c r="L57" i="32"/>
  <c r="K58" i="32"/>
  <c r="L58" i="32"/>
  <c r="G3" i="33"/>
  <c r="B50" i="32" s="1"/>
  <c r="L39" i="32"/>
  <c r="K39" i="32"/>
  <c r="L38" i="32"/>
  <c r="K38" i="32"/>
  <c r="L37" i="32"/>
  <c r="K37" i="32"/>
  <c r="L36" i="32"/>
  <c r="K36" i="32"/>
  <c r="L35" i="32"/>
  <c r="K35" i="32"/>
  <c r="L34" i="32"/>
  <c r="K34" i="32"/>
  <c r="L33" i="32"/>
  <c r="K33" i="32"/>
  <c r="L32" i="32"/>
  <c r="K32" i="32"/>
  <c r="L31" i="32"/>
  <c r="K31" i="32"/>
  <c r="L30" i="32"/>
  <c r="K30" i="32"/>
  <c r="L29" i="32"/>
  <c r="K29" i="32"/>
  <c r="L28" i="32"/>
  <c r="K28" i="32"/>
  <c r="L27" i="32"/>
  <c r="K27" i="32"/>
  <c r="L26" i="32"/>
  <c r="K26" i="32"/>
  <c r="L25" i="32"/>
  <c r="K25" i="32"/>
  <c r="L24" i="32"/>
  <c r="K24" i="32"/>
  <c r="L23" i="32"/>
  <c r="K23" i="32"/>
  <c r="L22" i="32"/>
  <c r="K22" i="32"/>
  <c r="L21" i="32"/>
  <c r="K21" i="32"/>
  <c r="L20" i="32"/>
  <c r="K20" i="32"/>
  <c r="L19" i="32"/>
  <c r="K19" i="32"/>
  <c r="L18" i="32"/>
  <c r="K18" i="32"/>
  <c r="L17" i="32"/>
  <c r="K17" i="32"/>
  <c r="L16" i="32"/>
  <c r="K16" i="32"/>
  <c r="L15" i="32"/>
  <c r="K15" i="32"/>
  <c r="L14" i="32"/>
  <c r="K14" i="32"/>
  <c r="L13" i="32"/>
  <c r="K13" i="32"/>
  <c r="L12" i="32"/>
  <c r="K12" i="32"/>
  <c r="L11" i="32"/>
  <c r="K11" i="32"/>
  <c r="L10" i="32"/>
  <c r="K10" i="32"/>
  <c r="L9" i="32"/>
  <c r="K9" i="32"/>
  <c r="L8" i="32"/>
  <c r="K8" i="32"/>
  <c r="L7" i="32"/>
  <c r="K7" i="32"/>
  <c r="L6" i="32"/>
  <c r="K6" i="32"/>
  <c r="L5" i="32"/>
  <c r="K5" i="32"/>
  <c r="L4" i="32"/>
  <c r="K4" i="32"/>
  <c r="L3" i="32"/>
  <c r="K3" i="32"/>
  <c r="L2" i="32"/>
  <c r="K2" i="32"/>
  <c r="G2" i="33"/>
  <c r="B15" i="32" s="1"/>
  <c r="C96" i="9"/>
  <c r="C95" i="9"/>
  <c r="C94" i="9"/>
  <c r="C93" i="9"/>
  <c r="C92" i="9"/>
  <c r="C91" i="9"/>
  <c r="C90" i="9"/>
  <c r="C89" i="9"/>
  <c r="C88" i="9"/>
  <c r="C87" i="9"/>
  <c r="C86" i="9"/>
  <c r="C85" i="9"/>
  <c r="C84" i="9"/>
  <c r="C83" i="9"/>
  <c r="C82" i="9"/>
  <c r="C81" i="9"/>
  <c r="C80" i="9"/>
  <c r="C79" i="9"/>
  <c r="C78" i="9"/>
  <c r="C77" i="9"/>
  <c r="C76" i="9"/>
  <c r="C75" i="9"/>
  <c r="C74" i="9"/>
  <c r="C73" i="9"/>
  <c r="C72" i="9"/>
  <c r="C71" i="9"/>
  <c r="C70" i="9"/>
  <c r="C69" i="9"/>
  <c r="C68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2" i="11"/>
  <c r="L39" i="13"/>
  <c r="L38" i="13"/>
  <c r="L37" i="13"/>
  <c r="L36" i="13"/>
  <c r="L35" i="13"/>
  <c r="L34" i="13"/>
  <c r="L33" i="13"/>
  <c r="L32" i="13"/>
  <c r="L31" i="13"/>
  <c r="L30" i="13"/>
  <c r="L29" i="13"/>
  <c r="L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1" i="13"/>
  <c r="L10" i="13"/>
  <c r="L9" i="13"/>
  <c r="L8" i="13"/>
  <c r="L7" i="13"/>
  <c r="L6" i="13"/>
  <c r="L5" i="13"/>
  <c r="L4" i="13"/>
  <c r="L3" i="13"/>
  <c r="L2" i="13"/>
  <c r="L12" i="13"/>
  <c r="J3" i="13"/>
  <c r="J4" i="13"/>
  <c r="J5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2" i="13"/>
  <c r="C37" i="13"/>
  <c r="C36" i="13"/>
  <c r="C34" i="13"/>
  <c r="C33" i="13"/>
  <c r="C29" i="13"/>
  <c r="C28" i="13"/>
  <c r="C27" i="13"/>
  <c r="C26" i="13"/>
  <c r="C24" i="13"/>
  <c r="C23" i="13"/>
  <c r="C22" i="13"/>
  <c r="C21" i="13"/>
  <c r="C19" i="13"/>
  <c r="C18" i="13"/>
  <c r="C17" i="13"/>
  <c r="C15" i="13"/>
  <c r="C14" i="13"/>
  <c r="C13" i="13"/>
  <c r="C3" i="13"/>
  <c r="C4" i="13"/>
  <c r="C5" i="13"/>
  <c r="C6" i="13"/>
  <c r="C7" i="13"/>
  <c r="C8" i="13"/>
  <c r="C9" i="13"/>
  <c r="C10" i="13"/>
  <c r="C11" i="13"/>
  <c r="C12" i="13"/>
  <c r="C16" i="13"/>
  <c r="C20" i="13"/>
  <c r="C25" i="13"/>
  <c r="C30" i="13"/>
  <c r="C31" i="13"/>
  <c r="C32" i="13"/>
  <c r="C35" i="13"/>
  <c r="C38" i="13"/>
  <c r="C39" i="13"/>
  <c r="C2" i="13"/>
  <c r="G3" i="14"/>
  <c r="G4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" i="14"/>
  <c r="E22" i="31"/>
  <c r="E3" i="31"/>
  <c r="E4" i="31"/>
  <c r="E5" i="31"/>
  <c r="E6" i="31"/>
  <c r="E7" i="31"/>
  <c r="E8" i="31"/>
  <c r="E9" i="31"/>
  <c r="E10" i="31"/>
  <c r="E11" i="31"/>
  <c r="E12" i="31"/>
  <c r="E13" i="31"/>
  <c r="E14" i="31"/>
  <c r="E15" i="31"/>
  <c r="E16" i="31"/>
  <c r="E17" i="31"/>
  <c r="E18" i="31"/>
  <c r="E19" i="31"/>
  <c r="E20" i="31"/>
  <c r="E21" i="31"/>
  <c r="C22" i="31"/>
  <c r="C21" i="31"/>
  <c r="C20" i="31"/>
  <c r="C19" i="31"/>
  <c r="C3" i="31"/>
  <c r="C4" i="31"/>
  <c r="C5" i="31"/>
  <c r="C6" i="31"/>
  <c r="C7" i="31"/>
  <c r="C8" i="31"/>
  <c r="C9" i="31"/>
  <c r="C10" i="31"/>
  <c r="C11" i="31"/>
  <c r="C12" i="31"/>
  <c r="C13" i="31"/>
  <c r="C14" i="31"/>
  <c r="C15" i="31"/>
  <c r="C16" i="31"/>
  <c r="C17" i="31"/>
  <c r="C18" i="31"/>
  <c r="E2" i="31"/>
  <c r="C2" i="31"/>
  <c r="C9" i="27"/>
  <c r="C8" i="27"/>
  <c r="C3" i="27"/>
  <c r="C4" i="27"/>
  <c r="C5" i="27"/>
  <c r="C6" i="27"/>
  <c r="C7" i="27"/>
  <c r="C10" i="27"/>
  <c r="C11" i="27"/>
  <c r="C12" i="27"/>
  <c r="C13" i="27"/>
  <c r="C14" i="27"/>
  <c r="C15" i="27"/>
  <c r="C2" i="27"/>
  <c r="B32" i="29"/>
  <c r="L32" i="29" s="1"/>
  <c r="B31" i="29"/>
  <c r="L31" i="29" s="1"/>
  <c r="B30" i="29"/>
  <c r="L30" i="29" s="1"/>
  <c r="B29" i="29"/>
  <c r="L29" i="29" s="1"/>
  <c r="F32" i="29"/>
  <c r="C32" i="29"/>
  <c r="M32" i="29" s="1"/>
  <c r="F31" i="29"/>
  <c r="C31" i="29"/>
  <c r="M31" i="29" s="1"/>
  <c r="F30" i="29"/>
  <c r="C30" i="29"/>
  <c r="M30" i="29" s="1"/>
  <c r="F29" i="29"/>
  <c r="C29" i="29"/>
  <c r="M29" i="29" s="1"/>
  <c r="F28" i="29"/>
  <c r="C28" i="29"/>
  <c r="M28" i="29" s="1"/>
  <c r="B28" i="29"/>
  <c r="L28" i="29" s="1"/>
  <c r="F27" i="29"/>
  <c r="C27" i="29"/>
  <c r="M27" i="29" s="1"/>
  <c r="B27" i="29"/>
  <c r="L27" i="29" s="1"/>
  <c r="F26" i="29"/>
  <c r="C26" i="29"/>
  <c r="M26" i="29" s="1"/>
  <c r="B26" i="29"/>
  <c r="L26" i="29" s="1"/>
  <c r="F25" i="29"/>
  <c r="C25" i="29"/>
  <c r="M25" i="29" s="1"/>
  <c r="B25" i="29"/>
  <c r="L25" i="29" s="1"/>
  <c r="F24" i="29"/>
  <c r="C24" i="29"/>
  <c r="M24" i="29" s="1"/>
  <c r="B24" i="29"/>
  <c r="L24" i="29" s="1"/>
  <c r="F23" i="29"/>
  <c r="C23" i="29"/>
  <c r="M23" i="29" s="1"/>
  <c r="B23" i="29"/>
  <c r="L23" i="29" s="1"/>
  <c r="F22" i="29"/>
  <c r="C22" i="29"/>
  <c r="M22" i="29" s="1"/>
  <c r="B22" i="29"/>
  <c r="L22" i="29" s="1"/>
  <c r="F21" i="29"/>
  <c r="C21" i="29"/>
  <c r="M21" i="29" s="1"/>
  <c r="B21" i="29"/>
  <c r="L21" i="29" s="1"/>
  <c r="F20" i="29"/>
  <c r="C20" i="29"/>
  <c r="M20" i="29" s="1"/>
  <c r="B20" i="29"/>
  <c r="L20" i="29" s="1"/>
  <c r="F19" i="29"/>
  <c r="C19" i="29"/>
  <c r="M19" i="29" s="1"/>
  <c r="B19" i="29"/>
  <c r="L19" i="29" s="1"/>
  <c r="F18" i="29"/>
  <c r="C18" i="29"/>
  <c r="M18" i="29" s="1"/>
  <c r="B18" i="29"/>
  <c r="L18" i="29" s="1"/>
  <c r="F17" i="29"/>
  <c r="C17" i="29"/>
  <c r="M17" i="29" s="1"/>
  <c r="B17" i="29"/>
  <c r="L17" i="29" s="1"/>
  <c r="F16" i="29"/>
  <c r="C16" i="29"/>
  <c r="M16" i="29" s="1"/>
  <c r="B16" i="29"/>
  <c r="L16" i="29" s="1"/>
  <c r="F15" i="29"/>
  <c r="C15" i="29"/>
  <c r="M15" i="29" s="1"/>
  <c r="B15" i="29"/>
  <c r="L15" i="29" s="1"/>
  <c r="F14" i="29"/>
  <c r="C14" i="29"/>
  <c r="M14" i="29" s="1"/>
  <c r="B14" i="29"/>
  <c r="L14" i="29" s="1"/>
  <c r="E39" i="13" l="1"/>
  <c r="G39" i="13" s="1"/>
  <c r="E35" i="13"/>
  <c r="G35" i="13" s="1"/>
  <c r="E3" i="13"/>
  <c r="G3" i="13" s="1"/>
  <c r="E34" i="13"/>
  <c r="G34" i="13" s="1"/>
  <c r="E17" i="13"/>
  <c r="G17" i="13" s="1"/>
  <c r="E37" i="13"/>
  <c r="O37" i="13" s="1"/>
  <c r="E37" i="11" s="1"/>
  <c r="G37" i="11" s="1"/>
  <c r="E18" i="13"/>
  <c r="G18" i="13" s="1"/>
  <c r="E36" i="13"/>
  <c r="O36" i="13" s="1"/>
  <c r="E36" i="11" s="1"/>
  <c r="G36" i="11" s="1"/>
  <c r="E30" i="13"/>
  <c r="G30" i="13" s="1"/>
  <c r="E16" i="13"/>
  <c r="G16" i="13" s="1"/>
  <c r="E19" i="13"/>
  <c r="G19" i="13" s="1"/>
  <c r="E21" i="13"/>
  <c r="G21" i="13" s="1"/>
  <c r="E11" i="13"/>
  <c r="O11" i="13" s="1"/>
  <c r="E11" i="11" s="1"/>
  <c r="G11" i="11" s="1"/>
  <c r="E9" i="13"/>
  <c r="G9" i="13" s="1"/>
  <c r="G13" i="13"/>
  <c r="E13" i="13"/>
  <c r="E20" i="13"/>
  <c r="G20" i="13" s="1"/>
  <c r="E24" i="13"/>
  <c r="G24" i="13" s="1"/>
  <c r="E8" i="13"/>
  <c r="G8" i="13" s="1"/>
  <c r="E26" i="13"/>
  <c r="G26" i="13" s="1"/>
  <c r="E14" i="13"/>
  <c r="G14" i="13" s="1"/>
  <c r="E25" i="13"/>
  <c r="G25" i="13" s="1"/>
  <c r="E22" i="13"/>
  <c r="G22" i="13" s="1"/>
  <c r="E23" i="13"/>
  <c r="G23" i="13" s="1"/>
  <c r="E7" i="13"/>
  <c r="O7" i="13" s="1"/>
  <c r="E7" i="11" s="1"/>
  <c r="G7" i="11" s="1"/>
  <c r="E27" i="13"/>
  <c r="G27" i="13" s="1"/>
  <c r="E32" i="13"/>
  <c r="G32" i="13" s="1"/>
  <c r="E15" i="13"/>
  <c r="G15" i="13" s="1"/>
  <c r="E12" i="13"/>
  <c r="G12" i="13" s="1"/>
  <c r="E10" i="13"/>
  <c r="G10" i="13" s="1"/>
  <c r="E2" i="13"/>
  <c r="O2" i="13" s="1"/>
  <c r="E6" i="13"/>
  <c r="G6" i="13" s="1"/>
  <c r="E28" i="13"/>
  <c r="G28" i="13" s="1"/>
  <c r="E31" i="13"/>
  <c r="G31" i="13" s="1"/>
  <c r="E29" i="13"/>
  <c r="G29" i="13" s="1"/>
  <c r="E5" i="13"/>
  <c r="G5" i="13" s="1"/>
  <c r="E38" i="13"/>
  <c r="G38" i="13" s="1"/>
  <c r="E4" i="13"/>
  <c r="G4" i="13" s="1"/>
  <c r="E33" i="13"/>
  <c r="G33" i="13" s="1"/>
  <c r="Q40" i="32"/>
  <c r="Q4" i="32"/>
  <c r="Q6" i="32"/>
  <c r="Q34" i="32"/>
  <c r="Q7" i="32"/>
  <c r="Q3" i="32"/>
  <c r="Q33" i="32"/>
  <c r="Q37" i="32"/>
  <c r="Q5" i="32"/>
  <c r="Q36" i="32"/>
  <c r="Q41" i="32"/>
  <c r="Q56" i="32"/>
  <c r="Q2" i="32"/>
  <c r="Q57" i="32"/>
  <c r="Q42" i="32"/>
  <c r="J4" i="32"/>
  <c r="H4" i="32" s="1"/>
  <c r="J12" i="32"/>
  <c r="H12" i="32" s="1"/>
  <c r="J28" i="32"/>
  <c r="H28" i="32" s="1"/>
  <c r="J36" i="32"/>
  <c r="H36" i="32" s="1"/>
  <c r="O35" i="13"/>
  <c r="E35" i="11" s="1"/>
  <c r="G35" i="11" s="1"/>
  <c r="O24" i="13"/>
  <c r="O39" i="13"/>
  <c r="O23" i="13"/>
  <c r="E23" i="11" s="1"/>
  <c r="O18" i="13"/>
  <c r="E18" i="11" s="1"/>
  <c r="G18" i="11" s="1"/>
  <c r="O38" i="13"/>
  <c r="O17" i="13"/>
  <c r="E17" i="11" s="1"/>
  <c r="G17" i="11" s="1"/>
  <c r="O20" i="13"/>
  <c r="E49" i="11" s="1"/>
  <c r="G49" i="11" s="1"/>
  <c r="O3" i="13"/>
  <c r="E3" i="11" s="1"/>
  <c r="G3" i="11" s="1"/>
  <c r="O8" i="13"/>
  <c r="O29" i="13"/>
  <c r="E29" i="11" s="1"/>
  <c r="G29" i="11" s="1"/>
  <c r="O13" i="13"/>
  <c r="E46" i="11" s="1"/>
  <c r="G46" i="11" s="1"/>
  <c r="O34" i="13"/>
  <c r="E57" i="11" s="1"/>
  <c r="O27" i="13"/>
  <c r="E27" i="11" s="1"/>
  <c r="G27" i="11" s="1"/>
  <c r="O33" i="13"/>
  <c r="E56" i="11" s="1"/>
  <c r="G56" i="11" s="1"/>
  <c r="O26" i="13"/>
  <c r="E26" i="11" s="1"/>
  <c r="G26" i="11" s="1"/>
  <c r="O32" i="13"/>
  <c r="E55" i="11" s="1"/>
  <c r="G55" i="11" s="1"/>
  <c r="B37" i="32"/>
  <c r="B49" i="32"/>
  <c r="B47" i="32"/>
  <c r="B24" i="32"/>
  <c r="B21" i="32"/>
  <c r="B19" i="32"/>
  <c r="B20" i="32"/>
  <c r="J55" i="32"/>
  <c r="H55" i="32" s="1"/>
  <c r="J47" i="32"/>
  <c r="H47" i="32" s="1"/>
  <c r="J5" i="32"/>
  <c r="H5" i="32" s="1"/>
  <c r="J13" i="32"/>
  <c r="H13" i="32" s="1"/>
  <c r="J21" i="32"/>
  <c r="H21" i="32" s="1"/>
  <c r="J29" i="32"/>
  <c r="H29" i="32" s="1"/>
  <c r="J37" i="32"/>
  <c r="H37" i="32" s="1"/>
  <c r="J54" i="32"/>
  <c r="H54" i="32" s="1"/>
  <c r="J46" i="32"/>
  <c r="H46" i="32" s="1"/>
  <c r="J20" i="32"/>
  <c r="H20" i="32" s="1"/>
  <c r="J6" i="32"/>
  <c r="H6" i="32" s="1"/>
  <c r="J14" i="32"/>
  <c r="H14" i="32" s="1"/>
  <c r="J22" i="32"/>
  <c r="H22" i="32" s="1"/>
  <c r="J30" i="32"/>
  <c r="H30" i="32" s="1"/>
  <c r="J38" i="32"/>
  <c r="H38" i="32" s="1"/>
  <c r="J53" i="32"/>
  <c r="H53" i="32" s="1"/>
  <c r="J45" i="32"/>
  <c r="H45" i="32" s="1"/>
  <c r="J7" i="32"/>
  <c r="H7" i="32" s="1"/>
  <c r="J15" i="32"/>
  <c r="H15" i="32" s="1"/>
  <c r="J23" i="32"/>
  <c r="H23" i="32" s="1"/>
  <c r="J31" i="32"/>
  <c r="H31" i="32" s="1"/>
  <c r="J39" i="32"/>
  <c r="H39" i="32" s="1"/>
  <c r="J52" i="32"/>
  <c r="H52" i="32" s="1"/>
  <c r="J44" i="32"/>
  <c r="H44" i="32" s="1"/>
  <c r="J8" i="32"/>
  <c r="H8" i="32" s="1"/>
  <c r="J16" i="32"/>
  <c r="H16" i="32" s="1"/>
  <c r="J24" i="32"/>
  <c r="H24" i="32" s="1"/>
  <c r="J32" i="32"/>
  <c r="H32" i="32" s="1"/>
  <c r="J51" i="32"/>
  <c r="H51" i="32" s="1"/>
  <c r="J43" i="32"/>
  <c r="H43" i="32" s="1"/>
  <c r="J9" i="32"/>
  <c r="H9" i="32" s="1"/>
  <c r="J17" i="32"/>
  <c r="H17" i="32" s="1"/>
  <c r="J25" i="32"/>
  <c r="H25" i="32" s="1"/>
  <c r="J33" i="32"/>
  <c r="H33" i="32" s="1"/>
  <c r="J58" i="32"/>
  <c r="H58" i="32" s="1"/>
  <c r="J50" i="32"/>
  <c r="H50" i="32" s="1"/>
  <c r="J42" i="32"/>
  <c r="H42" i="32" s="1"/>
  <c r="J2" i="32"/>
  <c r="H2" i="32" s="1"/>
  <c r="J10" i="32"/>
  <c r="H10" i="32" s="1"/>
  <c r="J18" i="32"/>
  <c r="H18" i="32" s="1"/>
  <c r="J26" i="32"/>
  <c r="H26" i="32" s="1"/>
  <c r="J34" i="32"/>
  <c r="H34" i="32" s="1"/>
  <c r="J57" i="32"/>
  <c r="H57" i="32" s="1"/>
  <c r="J49" i="32"/>
  <c r="H49" i="32" s="1"/>
  <c r="J41" i="32"/>
  <c r="H41" i="32" s="1"/>
  <c r="J3" i="32"/>
  <c r="H3" i="32" s="1"/>
  <c r="J11" i="32"/>
  <c r="H11" i="32" s="1"/>
  <c r="J19" i="32"/>
  <c r="H19" i="32" s="1"/>
  <c r="J27" i="32"/>
  <c r="H27" i="32" s="1"/>
  <c r="J35" i="32"/>
  <c r="H35" i="32" s="1"/>
  <c r="J56" i="32"/>
  <c r="H56" i="32" s="1"/>
  <c r="J48" i="32"/>
  <c r="H48" i="32" s="1"/>
  <c r="J40" i="32"/>
  <c r="H40" i="32" s="1"/>
  <c r="B14" i="32"/>
  <c r="B13" i="32"/>
  <c r="B2" i="32"/>
  <c r="B12" i="32"/>
  <c r="B11" i="32"/>
  <c r="B36" i="32"/>
  <c r="B10" i="32"/>
  <c r="B35" i="32"/>
  <c r="B8" i="32"/>
  <c r="B48" i="32"/>
  <c r="B34" i="32"/>
  <c r="B5" i="32"/>
  <c r="B30" i="32"/>
  <c r="B4" i="32"/>
  <c r="B29" i="32"/>
  <c r="B3" i="32"/>
  <c r="B28" i="32"/>
  <c r="B27" i="32"/>
  <c r="B26" i="32"/>
  <c r="B46" i="32"/>
  <c r="B45" i="32"/>
  <c r="B25" i="32"/>
  <c r="B9" i="32"/>
  <c r="B44" i="32"/>
  <c r="B43" i="32"/>
  <c r="B39" i="32"/>
  <c r="B23" i="32"/>
  <c r="B7" i="32"/>
  <c r="B58" i="32"/>
  <c r="B42" i="32"/>
  <c r="B38" i="32"/>
  <c r="B22" i="32"/>
  <c r="B6" i="32"/>
  <c r="B57" i="32"/>
  <c r="B41" i="32"/>
  <c r="B56" i="32"/>
  <c r="B40" i="32"/>
  <c r="B55" i="32"/>
  <c r="B18" i="32"/>
  <c r="B53" i="32"/>
  <c r="B54" i="32"/>
  <c r="B33" i="32"/>
  <c r="B17" i="32"/>
  <c r="B52" i="32"/>
  <c r="B32" i="32"/>
  <c r="B16" i="32"/>
  <c r="B51" i="32"/>
  <c r="B31" i="32"/>
  <c r="F8" i="24"/>
  <c r="H8" i="24" s="1"/>
  <c r="F7" i="24"/>
  <c r="H7" i="24" s="1"/>
  <c r="F6" i="24"/>
  <c r="H6" i="24" s="1"/>
  <c r="F5" i="24"/>
  <c r="H5" i="24" s="1"/>
  <c r="H3" i="8"/>
  <c r="H4" i="8"/>
  <c r="H5" i="8"/>
  <c r="H6" i="8"/>
  <c r="H2" i="8"/>
  <c r="E3" i="8"/>
  <c r="E4" i="8"/>
  <c r="E5" i="8"/>
  <c r="E6" i="8"/>
  <c r="E2" i="8"/>
  <c r="J3" i="15"/>
  <c r="J4" i="15"/>
  <c r="J5" i="15"/>
  <c r="J6" i="15"/>
  <c r="J7" i="15"/>
  <c r="J8" i="15"/>
  <c r="J9" i="15"/>
  <c r="J10" i="15"/>
  <c r="J11" i="15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J2" i="15"/>
  <c r="K3" i="15"/>
  <c r="K4" i="15"/>
  <c r="K5" i="15"/>
  <c r="K6" i="15"/>
  <c r="K7" i="15"/>
  <c r="K8" i="15"/>
  <c r="K9" i="15"/>
  <c r="K10" i="15"/>
  <c r="K11" i="15"/>
  <c r="K12" i="15"/>
  <c r="K13" i="15"/>
  <c r="K14" i="15"/>
  <c r="K15" i="15"/>
  <c r="K16" i="15"/>
  <c r="K17" i="15"/>
  <c r="K18" i="15"/>
  <c r="K19" i="15"/>
  <c r="K20" i="15"/>
  <c r="K21" i="15"/>
  <c r="K22" i="15"/>
  <c r="K23" i="15"/>
  <c r="K24" i="15"/>
  <c r="K25" i="15"/>
  <c r="K26" i="15"/>
  <c r="K27" i="15"/>
  <c r="K28" i="15"/>
  <c r="K29" i="15"/>
  <c r="K2" i="15"/>
  <c r="L3" i="15"/>
  <c r="L4" i="15"/>
  <c r="L5" i="15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2" i="15"/>
  <c r="I3" i="15"/>
  <c r="M3" i="15" s="1"/>
  <c r="G3" i="24" s="1"/>
  <c r="I4" i="15"/>
  <c r="I5" i="15"/>
  <c r="M5" i="15" s="1"/>
  <c r="I6" i="15"/>
  <c r="M6" i="15" s="1"/>
  <c r="G10" i="24" s="1"/>
  <c r="I7" i="15"/>
  <c r="M7" i="15" s="1"/>
  <c r="G11" i="24" s="1"/>
  <c r="I8" i="15"/>
  <c r="M8" i="15" s="1"/>
  <c r="G12" i="24" s="1"/>
  <c r="I9" i="15"/>
  <c r="I10" i="15"/>
  <c r="I11" i="15"/>
  <c r="I12" i="15"/>
  <c r="I13" i="15"/>
  <c r="M13" i="15" s="1"/>
  <c r="G17" i="24" s="1"/>
  <c r="I14" i="15"/>
  <c r="M14" i="15" s="1"/>
  <c r="G18" i="24" s="1"/>
  <c r="I15" i="15"/>
  <c r="M15" i="15" s="1"/>
  <c r="G19" i="24" s="1"/>
  <c r="I16" i="15"/>
  <c r="M16" i="15" s="1"/>
  <c r="G20" i="24" s="1"/>
  <c r="I17" i="15"/>
  <c r="I18" i="15"/>
  <c r="M18" i="15" s="1"/>
  <c r="G22" i="24" s="1"/>
  <c r="I19" i="15"/>
  <c r="M19" i="15" s="1"/>
  <c r="G23" i="24" s="1"/>
  <c r="I20" i="15"/>
  <c r="I21" i="15"/>
  <c r="M21" i="15" s="1"/>
  <c r="G25" i="24" s="1"/>
  <c r="I22" i="15"/>
  <c r="M22" i="15" s="1"/>
  <c r="G26" i="24" s="1"/>
  <c r="I23" i="15"/>
  <c r="M23" i="15" s="1"/>
  <c r="G27" i="24" s="1"/>
  <c r="I24" i="15"/>
  <c r="M24" i="15" s="1"/>
  <c r="G28" i="24" s="1"/>
  <c r="I25" i="15"/>
  <c r="I26" i="15"/>
  <c r="I27" i="15"/>
  <c r="I28" i="15"/>
  <c r="I29" i="15"/>
  <c r="M29" i="15" s="1"/>
  <c r="G33" i="24" s="1"/>
  <c r="I2" i="15"/>
  <c r="M2" i="15" s="1"/>
  <c r="W3" i="21"/>
  <c r="W4" i="21"/>
  <c r="W5" i="21"/>
  <c r="W6" i="21"/>
  <c r="W7" i="21"/>
  <c r="W8" i="21"/>
  <c r="W9" i="21"/>
  <c r="W10" i="21"/>
  <c r="W11" i="21"/>
  <c r="W2" i="21"/>
  <c r="H14" i="12"/>
  <c r="H11" i="12"/>
  <c r="H10" i="12"/>
  <c r="H7" i="12"/>
  <c r="H2" i="12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2" i="9"/>
  <c r="V3" i="20"/>
  <c r="V4" i="20"/>
  <c r="V5" i="20"/>
  <c r="V6" i="20"/>
  <c r="V7" i="20"/>
  <c r="V8" i="20"/>
  <c r="V9" i="20"/>
  <c r="V10" i="20"/>
  <c r="V11" i="20"/>
  <c r="V2" i="20"/>
  <c r="F3" i="24"/>
  <c r="H3" i="24" s="1"/>
  <c r="F4" i="24"/>
  <c r="H4" i="24" s="1"/>
  <c r="F9" i="24"/>
  <c r="H9" i="24" s="1"/>
  <c r="F10" i="24"/>
  <c r="F11" i="24"/>
  <c r="F12" i="24"/>
  <c r="F13" i="24"/>
  <c r="F14" i="24"/>
  <c r="H14" i="24" s="1"/>
  <c r="F15" i="24"/>
  <c r="H15" i="24" s="1"/>
  <c r="F16" i="24"/>
  <c r="H16" i="24" s="1"/>
  <c r="F17" i="24"/>
  <c r="H17" i="24" s="1"/>
  <c r="F18" i="24"/>
  <c r="H18" i="24" s="1"/>
  <c r="F19" i="24"/>
  <c r="F20" i="24"/>
  <c r="F21" i="24"/>
  <c r="F22" i="24"/>
  <c r="F23" i="24"/>
  <c r="F24" i="24"/>
  <c r="H24" i="24" s="1"/>
  <c r="F25" i="24"/>
  <c r="H25" i="24" s="1"/>
  <c r="F26" i="24"/>
  <c r="F27" i="24"/>
  <c r="F28" i="24"/>
  <c r="F29" i="24"/>
  <c r="H29" i="24" s="1"/>
  <c r="F30" i="24"/>
  <c r="F31" i="24"/>
  <c r="F32" i="24"/>
  <c r="F33" i="24"/>
  <c r="H33" i="24" s="1"/>
  <c r="F2" i="24"/>
  <c r="H2" i="24" s="1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2" i="6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2" i="9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" i="1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" i="12"/>
  <c r="K3" i="19"/>
  <c r="K4" i="19"/>
  <c r="K5" i="19"/>
  <c r="K6" i="19"/>
  <c r="K7" i="19"/>
  <c r="K8" i="19"/>
  <c r="K9" i="19"/>
  <c r="K10" i="19"/>
  <c r="K11" i="19"/>
  <c r="K12" i="19"/>
  <c r="K13" i="19"/>
  <c r="K14" i="19"/>
  <c r="K15" i="19"/>
  <c r="K16" i="19"/>
  <c r="K17" i="19"/>
  <c r="K18" i="19"/>
  <c r="K19" i="19"/>
  <c r="K20" i="19"/>
  <c r="K21" i="19"/>
  <c r="K22" i="19"/>
  <c r="K23" i="19"/>
  <c r="K24" i="19"/>
  <c r="K25" i="19"/>
  <c r="K26" i="19"/>
  <c r="K27" i="19"/>
  <c r="K28" i="19"/>
  <c r="K2" i="19"/>
  <c r="D3" i="19"/>
  <c r="D4" i="19"/>
  <c r="D5" i="19"/>
  <c r="D6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" i="19"/>
  <c r="C3" i="16"/>
  <c r="C4" i="16"/>
  <c r="C5" i="16"/>
  <c r="C6" i="16"/>
  <c r="C7" i="16"/>
  <c r="C8" i="16"/>
  <c r="C9" i="16"/>
  <c r="C10" i="16"/>
  <c r="C11" i="16"/>
  <c r="C12" i="16"/>
  <c r="C2" i="16"/>
  <c r="M2" i="23"/>
  <c r="N2" i="23" s="1"/>
  <c r="Q2" i="21"/>
  <c r="R2" i="21" s="1"/>
  <c r="L2" i="23"/>
  <c r="J2" i="23"/>
  <c r="I2" i="23"/>
  <c r="H2" i="23"/>
  <c r="G2" i="23"/>
  <c r="E2" i="23"/>
  <c r="C2" i="23"/>
  <c r="N2" i="22"/>
  <c r="S3" i="20"/>
  <c r="S4" i="20"/>
  <c r="S5" i="20"/>
  <c r="S6" i="20"/>
  <c r="S7" i="20"/>
  <c r="S8" i="20"/>
  <c r="S9" i="20"/>
  <c r="S10" i="20"/>
  <c r="S11" i="20"/>
  <c r="S2" i="20"/>
  <c r="E2" i="22"/>
  <c r="L2" i="22"/>
  <c r="C2" i="22"/>
  <c r="J2" i="22"/>
  <c r="I2" i="22"/>
  <c r="H2" i="22"/>
  <c r="G2" i="22"/>
  <c r="Q3" i="21"/>
  <c r="R3" i="21" s="1"/>
  <c r="Q4" i="21"/>
  <c r="R4" i="21" s="1"/>
  <c r="Q5" i="21"/>
  <c r="R5" i="21" s="1"/>
  <c r="Q6" i="21"/>
  <c r="R6" i="21" s="1"/>
  <c r="Q7" i="21"/>
  <c r="R7" i="21" s="1"/>
  <c r="Q8" i="21"/>
  <c r="R8" i="21" s="1"/>
  <c r="Q9" i="21"/>
  <c r="R9" i="21" s="1"/>
  <c r="Q10" i="21"/>
  <c r="R10" i="21" s="1"/>
  <c r="Q11" i="21"/>
  <c r="R11" i="21" s="1"/>
  <c r="H3" i="15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2" i="15"/>
  <c r="C7" i="20"/>
  <c r="E7" i="20"/>
  <c r="K7" i="20"/>
  <c r="M7" i="20"/>
  <c r="C8" i="20"/>
  <c r="E8" i="20"/>
  <c r="K8" i="20"/>
  <c r="M8" i="20"/>
  <c r="C9" i="20"/>
  <c r="E9" i="20"/>
  <c r="K9" i="20"/>
  <c r="M9" i="20"/>
  <c r="C10" i="20"/>
  <c r="E10" i="20"/>
  <c r="K10" i="20"/>
  <c r="M10" i="20"/>
  <c r="C11" i="20"/>
  <c r="E11" i="20"/>
  <c r="K11" i="20"/>
  <c r="M11" i="20"/>
  <c r="L11" i="21"/>
  <c r="J11" i="21"/>
  <c r="E11" i="21"/>
  <c r="C11" i="21"/>
  <c r="L10" i="21"/>
  <c r="J10" i="21"/>
  <c r="E10" i="21"/>
  <c r="C10" i="21"/>
  <c r="L9" i="21"/>
  <c r="J9" i="21"/>
  <c r="E9" i="21"/>
  <c r="C9" i="21"/>
  <c r="L8" i="21"/>
  <c r="J8" i="21"/>
  <c r="E8" i="21"/>
  <c r="C8" i="21"/>
  <c r="L7" i="21"/>
  <c r="J7" i="21"/>
  <c r="E7" i="21"/>
  <c r="C7" i="21"/>
  <c r="L6" i="21"/>
  <c r="J6" i="21"/>
  <c r="E6" i="21"/>
  <c r="C6" i="21"/>
  <c r="L5" i="21"/>
  <c r="J5" i="21"/>
  <c r="E5" i="21"/>
  <c r="C5" i="21"/>
  <c r="L4" i="21"/>
  <c r="J4" i="21"/>
  <c r="E4" i="21"/>
  <c r="C4" i="21"/>
  <c r="L3" i="21"/>
  <c r="J3" i="21"/>
  <c r="E3" i="21"/>
  <c r="C3" i="21"/>
  <c r="L2" i="21"/>
  <c r="J2" i="21"/>
  <c r="E2" i="21"/>
  <c r="C2" i="21"/>
  <c r="M3" i="20"/>
  <c r="M4" i="20"/>
  <c r="M5" i="20"/>
  <c r="M6" i="20"/>
  <c r="M2" i="20"/>
  <c r="K3" i="20"/>
  <c r="K4" i="20"/>
  <c r="K5" i="20"/>
  <c r="K6" i="20"/>
  <c r="K2" i="20"/>
  <c r="E3" i="20"/>
  <c r="E4" i="20"/>
  <c r="E5" i="20"/>
  <c r="E6" i="20"/>
  <c r="E2" i="20"/>
  <c r="C3" i="20"/>
  <c r="C4" i="20"/>
  <c r="C5" i="20"/>
  <c r="C6" i="20"/>
  <c r="C2" i="20"/>
  <c r="M11" i="15" l="1"/>
  <c r="G15" i="24" s="1"/>
  <c r="M17" i="15"/>
  <c r="G21" i="24" s="1"/>
  <c r="M12" i="15"/>
  <c r="G16" i="24" s="1"/>
  <c r="M27" i="15"/>
  <c r="G31" i="24" s="1"/>
  <c r="M28" i="15"/>
  <c r="G32" i="24" s="1"/>
  <c r="M20" i="15"/>
  <c r="G24" i="24" s="1"/>
  <c r="M4" i="15"/>
  <c r="G4" i="24" s="1"/>
  <c r="M26" i="15"/>
  <c r="G30" i="24" s="1"/>
  <c r="M10" i="15"/>
  <c r="M25" i="15"/>
  <c r="G29" i="24" s="1"/>
  <c r="M9" i="15"/>
  <c r="G13" i="24" s="1"/>
  <c r="O28" i="13"/>
  <c r="E28" i="11" s="1"/>
  <c r="G28" i="11" s="1"/>
  <c r="O25" i="13"/>
  <c r="E25" i="11" s="1"/>
  <c r="G25" i="11" s="1"/>
  <c r="O30" i="13"/>
  <c r="E30" i="11" s="1"/>
  <c r="G30" i="11" s="1"/>
  <c r="F16" i="9" s="1"/>
  <c r="O9" i="13"/>
  <c r="E9" i="11" s="1"/>
  <c r="G9" i="11" s="1"/>
  <c r="O15" i="13"/>
  <c r="E15" i="11" s="1"/>
  <c r="G15" i="11" s="1"/>
  <c r="F10" i="9" s="1"/>
  <c r="O12" i="13"/>
  <c r="E32" i="11"/>
  <c r="G32" i="11" s="1"/>
  <c r="F17" i="9" s="1"/>
  <c r="E38" i="11"/>
  <c r="G38" i="11" s="1"/>
  <c r="O10" i="13"/>
  <c r="E44" i="11" s="1"/>
  <c r="G44" i="11" s="1"/>
  <c r="F82" i="9" s="1"/>
  <c r="O22" i="13"/>
  <c r="O4" i="13"/>
  <c r="E41" i="11" s="1"/>
  <c r="G41" i="11" s="1"/>
  <c r="O5" i="13"/>
  <c r="E5" i="11" s="1"/>
  <c r="G5" i="11" s="1"/>
  <c r="D5" i="32" s="1"/>
  <c r="G7" i="13"/>
  <c r="G11" i="13"/>
  <c r="O6" i="13"/>
  <c r="E6" i="11" s="1"/>
  <c r="G6" i="11" s="1"/>
  <c r="D6" i="32" s="1"/>
  <c r="O14" i="13"/>
  <c r="E47" i="11" s="1"/>
  <c r="G47" i="11" s="1"/>
  <c r="F85" i="9" s="1"/>
  <c r="E52" i="11"/>
  <c r="G52" i="11" s="1"/>
  <c r="F90" i="9" s="1"/>
  <c r="O31" i="13"/>
  <c r="E31" i="11" s="1"/>
  <c r="G31" i="11" s="1"/>
  <c r="D31" i="32" s="1"/>
  <c r="E39" i="11"/>
  <c r="G39" i="11" s="1"/>
  <c r="F77" i="9" s="1"/>
  <c r="O21" i="13"/>
  <c r="G2" i="13"/>
  <c r="O16" i="13"/>
  <c r="E16" i="11" s="1"/>
  <c r="G16" i="11" s="1"/>
  <c r="F54" i="9" s="1"/>
  <c r="E58" i="11"/>
  <c r="G58" i="11" s="1"/>
  <c r="D58" i="32" s="1"/>
  <c r="G36" i="13"/>
  <c r="E10" i="11"/>
  <c r="G10" i="11" s="1"/>
  <c r="O19" i="13"/>
  <c r="E19" i="11" s="1"/>
  <c r="G19" i="11" s="1"/>
  <c r="F57" i="9" s="1"/>
  <c r="E34" i="11"/>
  <c r="G34" i="11" s="1"/>
  <c r="F19" i="9" s="1"/>
  <c r="G37" i="13"/>
  <c r="E13" i="11"/>
  <c r="G13" i="11" s="1"/>
  <c r="F8" i="9" s="1"/>
  <c r="E60" i="11"/>
  <c r="G60" i="11" s="1"/>
  <c r="E59" i="11"/>
  <c r="G59" i="11" s="1"/>
  <c r="E61" i="11"/>
  <c r="G61" i="11" s="1"/>
  <c r="G23" i="11"/>
  <c r="F61" i="9" s="1"/>
  <c r="F37" i="9"/>
  <c r="G57" i="11"/>
  <c r="F95" i="9" s="1"/>
  <c r="D46" i="32"/>
  <c r="I3" i="33"/>
  <c r="H3" i="33" s="1"/>
  <c r="I2" i="33"/>
  <c r="H2" i="33" s="1"/>
  <c r="L3" i="24"/>
  <c r="L19" i="24"/>
  <c r="L4" i="24"/>
  <c r="L20" i="24"/>
  <c r="L5" i="24"/>
  <c r="N5" i="24" s="1" a="1"/>
  <c r="N5" i="24" s="1"/>
  <c r="L21" i="24"/>
  <c r="L2" i="24"/>
  <c r="L6" i="24"/>
  <c r="L22" i="24"/>
  <c r="N22" i="24" s="1" a="1"/>
  <c r="N22" i="24" s="1"/>
  <c r="L33" i="24"/>
  <c r="N33" i="24" s="1" a="1"/>
  <c r="N33" i="24" s="1"/>
  <c r="L7" i="24"/>
  <c r="N7" i="24" s="1" a="1"/>
  <c r="N7" i="24" s="1"/>
  <c r="L23" i="24"/>
  <c r="N23" i="24" s="1" a="1"/>
  <c r="N23" i="24" s="1"/>
  <c r="L24" i="24"/>
  <c r="O24" i="24" s="1" a="1"/>
  <c r="O24" i="24" s="1"/>
  <c r="L8" i="24"/>
  <c r="N8" i="24" s="1" a="1"/>
  <c r="N8" i="24" s="1"/>
  <c r="L9" i="24"/>
  <c r="L25" i="24"/>
  <c r="L10" i="24"/>
  <c r="L26" i="24"/>
  <c r="L18" i="24"/>
  <c r="M18" i="24" s="1" a="1"/>
  <c r="M18" i="24" s="1"/>
  <c r="L11" i="24"/>
  <c r="L27" i="24"/>
  <c r="L16" i="24"/>
  <c r="L12" i="24"/>
  <c r="L28" i="24"/>
  <c r="L13" i="24"/>
  <c r="L29" i="24"/>
  <c r="M29" i="24" s="1" a="1"/>
  <c r="M29" i="24" s="1"/>
  <c r="L17" i="24"/>
  <c r="L14" i="24"/>
  <c r="L30" i="24"/>
  <c r="L15" i="24"/>
  <c r="L31" i="24"/>
  <c r="N31" i="24" s="1" a="1"/>
  <c r="N31" i="24" s="1"/>
  <c r="L32" i="24"/>
  <c r="H26" i="24"/>
  <c r="H10" i="24"/>
  <c r="H23" i="24"/>
  <c r="H22" i="24"/>
  <c r="H21" i="24"/>
  <c r="H20" i="24"/>
  <c r="H19" i="24"/>
  <c r="H32" i="24"/>
  <c r="H31" i="24"/>
  <c r="I31" i="24" s="1" a="1"/>
  <c r="I31" i="24" s="1"/>
  <c r="H30" i="24"/>
  <c r="H13" i="24"/>
  <c r="H28" i="24"/>
  <c r="H12" i="24"/>
  <c r="H27" i="24"/>
  <c r="H11" i="24"/>
  <c r="D3" i="32"/>
  <c r="E14" i="11"/>
  <c r="E33" i="11"/>
  <c r="G33" i="11" s="1"/>
  <c r="F71" i="9" s="1"/>
  <c r="E20" i="11"/>
  <c r="E8" i="11"/>
  <c r="E43" i="11"/>
  <c r="E53" i="11"/>
  <c r="E24" i="11"/>
  <c r="E40" i="11"/>
  <c r="E2" i="11"/>
  <c r="G2" i="11" s="1"/>
  <c r="F40" i="9" s="1"/>
  <c r="F87" i="9"/>
  <c r="D49" i="32"/>
  <c r="F93" i="9"/>
  <c r="D55" i="32"/>
  <c r="F94" i="9"/>
  <c r="D56" i="32"/>
  <c r="D36" i="32"/>
  <c r="F74" i="9"/>
  <c r="F67" i="9"/>
  <c r="D29" i="32"/>
  <c r="F55" i="9"/>
  <c r="D17" i="32"/>
  <c r="D18" i="32"/>
  <c r="F56" i="9"/>
  <c r="D7" i="32"/>
  <c r="F45" i="9"/>
  <c r="F84" i="9"/>
  <c r="F27" i="9"/>
  <c r="D19" i="32"/>
  <c r="F68" i="9"/>
  <c r="D30" i="32"/>
  <c r="F64" i="9"/>
  <c r="D26" i="32"/>
  <c r="F49" i="9"/>
  <c r="D11" i="32"/>
  <c r="D32" i="32"/>
  <c r="F70" i="9"/>
  <c r="F65" i="9"/>
  <c r="D27" i="32"/>
  <c r="D35" i="32"/>
  <c r="F73" i="9"/>
  <c r="F36" i="9"/>
  <c r="F30" i="9"/>
  <c r="F66" i="9"/>
  <c r="D28" i="32"/>
  <c r="D37" i="32"/>
  <c r="F75" i="9"/>
  <c r="F47" i="9"/>
  <c r="D9" i="32"/>
  <c r="F63" i="9"/>
  <c r="D25" i="32"/>
  <c r="G7" i="24"/>
  <c r="G2" i="24"/>
  <c r="G6" i="24"/>
  <c r="G14" i="24"/>
  <c r="G5" i="24"/>
  <c r="G9" i="24"/>
  <c r="G8" i="24"/>
  <c r="M32" i="24" a="1"/>
  <c r="M32" i="24" s="1"/>
  <c r="M25" i="24" a="1"/>
  <c r="M25" i="24" s="1"/>
  <c r="M4" i="24" a="1"/>
  <c r="M4" i="24" s="1"/>
  <c r="O22" i="24" a="1"/>
  <c r="O22" i="24" s="1"/>
  <c r="T7" i="20"/>
  <c r="U11" i="20"/>
  <c r="T10" i="20"/>
  <c r="U9" i="20"/>
  <c r="T9" i="20"/>
  <c r="T8" i="20"/>
  <c r="T11" i="20"/>
  <c r="U8" i="20"/>
  <c r="U7" i="20"/>
  <c r="U10" i="20"/>
  <c r="T5" i="20"/>
  <c r="U4" i="20"/>
  <c r="U6" i="20"/>
  <c r="U2" i="20"/>
  <c r="U3" i="20"/>
  <c r="T4" i="20"/>
  <c r="U5" i="20"/>
  <c r="T6" i="20"/>
  <c r="T2" i="20"/>
  <c r="T3" i="20"/>
  <c r="K3" i="24" a="1"/>
  <c r="J16" i="24" a="1"/>
  <c r="O6" i="24" a="1"/>
  <c r="K7" i="24" a="1"/>
  <c r="K9" i="24" a="1"/>
  <c r="I14" i="24" a="1"/>
  <c r="I17" i="24" a="1"/>
  <c r="J15" i="24" a="1"/>
  <c r="K15" i="24" a="1"/>
  <c r="K4" i="24" a="1"/>
  <c r="N14" i="24" a="1"/>
  <c r="K14" i="24" a="1"/>
  <c r="I9" i="24" a="1"/>
  <c r="K5" i="24" a="1"/>
  <c r="J8" i="24" a="1"/>
  <c r="J4" i="24" a="1"/>
  <c r="J5" i="24" a="1"/>
  <c r="I4" i="24" a="1"/>
  <c r="J6" i="24" a="1"/>
  <c r="M14" i="24" a="1"/>
  <c r="I6" i="24" a="1"/>
  <c r="I2" i="24" a="1"/>
  <c r="I16" i="24" a="1"/>
  <c r="J17" i="24" a="1"/>
  <c r="I5" i="24" a="1"/>
  <c r="J14" i="24" a="1"/>
  <c r="K16" i="24" a="1"/>
  <c r="J9" i="24" a="1"/>
  <c r="M6" i="24" a="1"/>
  <c r="K6" i="24" a="1"/>
  <c r="K17" i="24" a="1"/>
  <c r="I15" i="24" a="1"/>
  <c r="O14" i="24" a="1"/>
  <c r="K2" i="24" a="1"/>
  <c r="J2" i="24" a="1"/>
  <c r="E54" i="11" l="1"/>
  <c r="G54" i="11" s="1"/>
  <c r="D13" i="32"/>
  <c r="F28" i="9"/>
  <c r="F22" i="9"/>
  <c r="D41" i="32"/>
  <c r="E48" i="11"/>
  <c r="G48" i="11" s="1"/>
  <c r="F86" i="9" s="1"/>
  <c r="D47" i="32"/>
  <c r="E45" i="11"/>
  <c r="G45" i="11" s="1"/>
  <c r="E12" i="11"/>
  <c r="G12" i="11" s="1"/>
  <c r="F20" i="9"/>
  <c r="D38" i="32"/>
  <c r="D44" i="32"/>
  <c r="F33" i="9"/>
  <c r="D16" i="32"/>
  <c r="D52" i="32"/>
  <c r="F76" i="9"/>
  <c r="F44" i="9"/>
  <c r="F4" i="9"/>
  <c r="D2" i="32"/>
  <c r="F2" i="9"/>
  <c r="F43" i="9"/>
  <c r="F69" i="9"/>
  <c r="E42" i="11"/>
  <c r="G42" i="11" s="1"/>
  <c r="F23" i="9" s="1"/>
  <c r="E51" i="11"/>
  <c r="G51" i="11" s="1"/>
  <c r="E22" i="11"/>
  <c r="G22" i="11" s="1"/>
  <c r="D39" i="32"/>
  <c r="F6" i="9"/>
  <c r="F48" i="9"/>
  <c r="D10" i="32"/>
  <c r="E4" i="11"/>
  <c r="G4" i="11" s="1"/>
  <c r="D15" i="32"/>
  <c r="F53" i="9"/>
  <c r="E50" i="11"/>
  <c r="G50" i="11" s="1"/>
  <c r="E21" i="11"/>
  <c r="G21" i="11" s="1"/>
  <c r="D34" i="32"/>
  <c r="D54" i="32"/>
  <c r="F51" i="9"/>
  <c r="F72" i="9"/>
  <c r="D48" i="32"/>
  <c r="F25" i="9"/>
  <c r="D23" i="32"/>
  <c r="F14" i="9"/>
  <c r="F39" i="9"/>
  <c r="F96" i="9"/>
  <c r="F38" i="9"/>
  <c r="D33" i="32"/>
  <c r="F18" i="9"/>
  <c r="D57" i="32"/>
  <c r="G14" i="11"/>
  <c r="F9" i="9" s="1"/>
  <c r="F79" i="9"/>
  <c r="G40" i="11"/>
  <c r="F21" i="9" s="1"/>
  <c r="G24" i="11"/>
  <c r="F15" i="9" s="1"/>
  <c r="G53" i="11"/>
  <c r="F91" i="9" s="1"/>
  <c r="G43" i="11"/>
  <c r="D43" i="32" s="1"/>
  <c r="G8" i="11"/>
  <c r="D8" i="32" s="1"/>
  <c r="G20" i="11"/>
  <c r="F11" i="9" s="1"/>
  <c r="F41" i="9"/>
  <c r="M8" i="24" a="1"/>
  <c r="M8" i="24" s="1"/>
  <c r="O8" i="24" a="1"/>
  <c r="O8" i="24" s="1"/>
  <c r="M22" i="24" a="1"/>
  <c r="M22" i="24" s="1"/>
  <c r="O4" i="24" a="1"/>
  <c r="O4" i="24" s="1"/>
  <c r="N13" i="24" a="1"/>
  <c r="N13" i="24" s="1"/>
  <c r="N4" i="24" a="1"/>
  <c r="N4" i="24" s="1"/>
  <c r="M13" i="24" a="1"/>
  <c r="M13" i="24" s="1"/>
  <c r="M5" i="24" a="1"/>
  <c r="M5" i="24" s="1"/>
  <c r="O5" i="24" a="1"/>
  <c r="O5" i="24" s="1"/>
  <c r="M7" i="24" a="1"/>
  <c r="M7" i="24" s="1"/>
  <c r="O13" i="24" a="1"/>
  <c r="O13" i="24" s="1"/>
  <c r="O7" i="24" a="1"/>
  <c r="O7" i="24" s="1"/>
  <c r="J8" i="24"/>
  <c r="K7" i="24"/>
  <c r="M31" i="24" a="1"/>
  <c r="M31" i="24" s="1"/>
  <c r="K6" i="24"/>
  <c r="O6" i="24"/>
  <c r="M6" i="24"/>
  <c r="I6" i="24"/>
  <c r="J6" i="24"/>
  <c r="K5" i="24"/>
  <c r="J5" i="24"/>
  <c r="I5" i="24"/>
  <c r="N32" i="24" a="1"/>
  <c r="N32" i="24" s="1"/>
  <c r="M23" i="24" a="1"/>
  <c r="M23" i="24" s="1"/>
  <c r="M21" i="24" a="1"/>
  <c r="M21" i="24" s="1"/>
  <c r="N29" i="24" a="1"/>
  <c r="N29" i="24" s="1"/>
  <c r="M12" i="24" a="1"/>
  <c r="M12" i="24" s="1"/>
  <c r="N21" i="24" a="1"/>
  <c r="N21" i="24" s="1"/>
  <c r="M27" i="24" a="1"/>
  <c r="M27" i="24" s="1"/>
  <c r="M17" i="24" a="1"/>
  <c r="M17" i="24" s="1"/>
  <c r="O9" i="24" a="1"/>
  <c r="O9" i="24" s="1"/>
  <c r="M33" i="24" a="1"/>
  <c r="M33" i="24" s="1"/>
  <c r="N18" i="24" a="1"/>
  <c r="N18" i="24" s="1"/>
  <c r="M2" i="24" a="1"/>
  <c r="M2" i="24" s="1"/>
  <c r="M19" i="24" a="1"/>
  <c r="M19" i="24" s="1"/>
  <c r="O2" i="24" a="1"/>
  <c r="O2" i="24" s="1"/>
  <c r="O25" i="24" a="1"/>
  <c r="O25" i="24" s="1"/>
  <c r="M9" i="24" a="1"/>
  <c r="M9" i="24" s="1"/>
  <c r="M26" i="24" a="1"/>
  <c r="M26" i="24" s="1"/>
  <c r="N19" i="24" a="1"/>
  <c r="N19" i="24" s="1"/>
  <c r="N26" i="24" a="1"/>
  <c r="N26" i="24" s="1"/>
  <c r="N10" i="24" a="1"/>
  <c r="N10" i="24" s="1"/>
  <c r="O16" i="24" a="1"/>
  <c r="O16" i="24" s="1"/>
  <c r="M10" i="24" a="1"/>
  <c r="M10" i="24" s="1"/>
  <c r="M24" i="24" a="1"/>
  <c r="M24" i="24" s="1"/>
  <c r="K15" i="24"/>
  <c r="J15" i="24"/>
  <c r="I15" i="24"/>
  <c r="J31" i="24" a="1"/>
  <c r="J31" i="24" s="1"/>
  <c r="K31" i="24" a="1"/>
  <c r="K31" i="24" s="1"/>
  <c r="N14" i="24"/>
  <c r="M14" i="24"/>
  <c r="O14" i="24"/>
  <c r="N27" i="24" a="1"/>
  <c r="N27" i="24" s="1"/>
  <c r="O17" i="24" a="1"/>
  <c r="O17" i="24" s="1"/>
  <c r="N28" i="24" a="1"/>
  <c r="N28" i="24" s="1"/>
  <c r="O33" i="24" a="1"/>
  <c r="O33" i="24" s="1"/>
  <c r="O12" i="24" a="1"/>
  <c r="O12" i="24" s="1"/>
  <c r="N3" i="24" a="1"/>
  <c r="N3" i="24" s="1"/>
  <c r="M11" i="24" a="1"/>
  <c r="M11" i="24" s="1"/>
  <c r="O18" i="24" a="1"/>
  <c r="O18" i="24" s="1"/>
  <c r="O31" i="24" a="1"/>
  <c r="O31" i="24" s="1"/>
  <c r="O30" i="24" a="1"/>
  <c r="O30" i="24" s="1"/>
  <c r="N9" i="24" a="1"/>
  <c r="N9" i="24" s="1"/>
  <c r="N25" i="24" a="1"/>
  <c r="N25" i="24" s="1"/>
  <c r="M20" i="24" a="1"/>
  <c r="M20" i="24" s="1"/>
  <c r="O10" i="24" a="1"/>
  <c r="O10" i="24" s="1"/>
  <c r="N2" i="24" a="1"/>
  <c r="N2" i="24" s="1"/>
  <c r="N16" i="24" a="1"/>
  <c r="N16" i="24" s="1"/>
  <c r="O26" i="24" a="1"/>
  <c r="O26" i="24" s="1"/>
  <c r="O19" i="24" a="1"/>
  <c r="O19" i="24" s="1"/>
  <c r="N11" i="24" a="1"/>
  <c r="N11" i="24" s="1"/>
  <c r="O11" i="24" a="1"/>
  <c r="O11" i="24" s="1"/>
  <c r="N20" i="24" a="1"/>
  <c r="N20" i="24" s="1"/>
  <c r="M28" i="24" a="1"/>
  <c r="M28" i="24" s="1"/>
  <c r="O27" i="24" a="1"/>
  <c r="O27" i="24" s="1"/>
  <c r="N15" i="24" a="1"/>
  <c r="N15" i="24" s="1"/>
  <c r="M15" i="24" a="1"/>
  <c r="M15" i="24" s="1"/>
  <c r="N12" i="24" a="1"/>
  <c r="N12" i="24" s="1"/>
  <c r="O21" i="24" a="1"/>
  <c r="O21" i="24" s="1"/>
  <c r="O3" i="24" a="1"/>
  <c r="O3" i="24" s="1"/>
  <c r="O28" i="24" a="1"/>
  <c r="O28" i="24" s="1"/>
  <c r="M30" i="24" a="1"/>
  <c r="M30" i="24" s="1"/>
  <c r="O29" i="24" a="1"/>
  <c r="O29" i="24" s="1"/>
  <c r="O23" i="24" a="1"/>
  <c r="O23" i="24" s="1"/>
  <c r="N17" i="24" a="1"/>
  <c r="N17" i="24" s="1"/>
  <c r="M3" i="24" a="1"/>
  <c r="M3" i="24" s="1"/>
  <c r="M16" i="24" a="1"/>
  <c r="M16" i="24" s="1"/>
  <c r="N30" i="24" a="1"/>
  <c r="N30" i="24" s="1"/>
  <c r="O15" i="24" a="1"/>
  <c r="O15" i="24" s="1"/>
  <c r="O20" i="24" a="1"/>
  <c r="O20" i="24" s="1"/>
  <c r="N24" i="24" a="1"/>
  <c r="N24" i="24" s="1"/>
  <c r="O32" i="24" a="1"/>
  <c r="O32" i="24" s="1"/>
  <c r="I26" i="24" a="1"/>
  <c r="I26" i="24" s="1"/>
  <c r="I20" i="24" a="1"/>
  <c r="I20" i="24" s="1"/>
  <c r="I24" i="24" a="1"/>
  <c r="I24" i="24" s="1"/>
  <c r="I33" i="24" a="1"/>
  <c r="I33" i="24" s="1"/>
  <c r="I11" i="24" a="1"/>
  <c r="I11" i="24" s="1"/>
  <c r="I18" i="24" a="1"/>
  <c r="I18" i="24" s="1"/>
  <c r="I27" i="24" a="1"/>
  <c r="I27" i="24" s="1"/>
  <c r="I12" i="24" a="1"/>
  <c r="I12" i="24" s="1"/>
  <c r="I28" i="24" a="1"/>
  <c r="I28" i="24" s="1"/>
  <c r="I13" i="24" a="1"/>
  <c r="I13" i="24" s="1"/>
  <c r="I21" i="24" a="1"/>
  <c r="I21" i="24" s="1"/>
  <c r="I29" i="24" a="1"/>
  <c r="I29" i="24" s="1"/>
  <c r="I25" i="24" a="1"/>
  <c r="I25" i="24" s="1"/>
  <c r="I22" i="24" a="1"/>
  <c r="I22" i="24" s="1"/>
  <c r="I30" i="24" a="1"/>
  <c r="I30" i="24" s="1"/>
  <c r="I23" i="24" a="1"/>
  <c r="I23" i="24" s="1"/>
  <c r="I10" i="24" a="1"/>
  <c r="I10" i="24" s="1"/>
  <c r="I19" i="24" a="1"/>
  <c r="I19" i="24" s="1"/>
  <c r="I32" i="24" a="1"/>
  <c r="I32" i="24" s="1"/>
  <c r="I14" i="24"/>
  <c r="I16" i="24"/>
  <c r="I4" i="24"/>
  <c r="I9" i="24"/>
  <c r="I17" i="24"/>
  <c r="I2" i="24"/>
  <c r="K14" i="24"/>
  <c r="J14" i="24"/>
  <c r="K2" i="24"/>
  <c r="J2" i="24"/>
  <c r="K4" i="24"/>
  <c r="J4" i="24"/>
  <c r="K16" i="24"/>
  <c r="J16" i="24"/>
  <c r="K9" i="24"/>
  <c r="J9" i="24"/>
  <c r="K17" i="24"/>
  <c r="J17" i="24"/>
  <c r="K3" i="24"/>
  <c r="K11" i="24" a="1"/>
  <c r="K11" i="24" s="1"/>
  <c r="J11" i="24" a="1"/>
  <c r="J11" i="24" s="1"/>
  <c r="K18" i="24" a="1"/>
  <c r="K18" i="24" s="1"/>
  <c r="J18" i="24" a="1"/>
  <c r="J18" i="24" s="1"/>
  <c r="J27" i="24" a="1"/>
  <c r="J27" i="24" s="1"/>
  <c r="K27" i="24" a="1"/>
  <c r="K27" i="24" s="1"/>
  <c r="K21" i="24" a="1"/>
  <c r="K21" i="24" s="1"/>
  <c r="J21" i="24" a="1"/>
  <c r="J21" i="24" s="1"/>
  <c r="K22" i="24" a="1"/>
  <c r="K22" i="24" s="1"/>
  <c r="J22" i="24" a="1"/>
  <c r="J22" i="24" s="1"/>
  <c r="J23" i="24" a="1"/>
  <c r="J23" i="24" s="1"/>
  <c r="K23" i="24" a="1"/>
  <c r="K23" i="24" s="1"/>
  <c r="K28" i="24" a="1"/>
  <c r="K28" i="24" s="1"/>
  <c r="J28" i="24" a="1"/>
  <c r="J28" i="24" s="1"/>
  <c r="K32" i="24" a="1"/>
  <c r="K32" i="24" s="1"/>
  <c r="J32" i="24" a="1"/>
  <c r="J32" i="24" s="1"/>
  <c r="K19" i="24" a="1"/>
  <c r="K19" i="24" s="1"/>
  <c r="J19" i="24" a="1"/>
  <c r="J19" i="24" s="1"/>
  <c r="J24" i="24" a="1"/>
  <c r="J24" i="24" s="1"/>
  <c r="K24" i="24" a="1"/>
  <c r="K24" i="24" s="1"/>
  <c r="K13" i="24" a="1"/>
  <c r="K13" i="24" s="1"/>
  <c r="J13" i="24" a="1"/>
  <c r="J13" i="24" s="1"/>
  <c r="K30" i="24" a="1"/>
  <c r="K30" i="24" s="1"/>
  <c r="J30" i="24" a="1"/>
  <c r="J30" i="24" s="1"/>
  <c r="K20" i="24" a="1"/>
  <c r="K20" i="24" s="1"/>
  <c r="J20" i="24" a="1"/>
  <c r="J20" i="24" s="1"/>
  <c r="J25" i="24" a="1"/>
  <c r="J25" i="24" s="1"/>
  <c r="K25" i="24" a="1"/>
  <c r="K25" i="24" s="1"/>
  <c r="K33" i="24" a="1"/>
  <c r="K33" i="24" s="1"/>
  <c r="J33" i="24" a="1"/>
  <c r="J33" i="24" s="1"/>
  <c r="K12" i="24" a="1"/>
  <c r="K12" i="24" s="1"/>
  <c r="J12" i="24" a="1"/>
  <c r="J12" i="24" s="1"/>
  <c r="K29" i="24" a="1"/>
  <c r="K29" i="24" s="1"/>
  <c r="J29" i="24" a="1"/>
  <c r="J29" i="24" s="1"/>
  <c r="K10" i="24" a="1"/>
  <c r="K10" i="24" s="1"/>
  <c r="J10" i="24" a="1"/>
  <c r="J10" i="24" s="1"/>
  <c r="J26" i="24" a="1"/>
  <c r="J26" i="24" s="1"/>
  <c r="K26" i="24" a="1"/>
  <c r="K26" i="24" s="1"/>
  <c r="D3" i="15"/>
  <c r="D8" i="24" s="1"/>
  <c r="D4" i="15"/>
  <c r="D4" i="24" s="1"/>
  <c r="D5" i="15"/>
  <c r="D6" i="15"/>
  <c r="D7" i="15"/>
  <c r="D8" i="15"/>
  <c r="D9" i="15"/>
  <c r="D10" i="15"/>
  <c r="D11" i="15"/>
  <c r="D12" i="15"/>
  <c r="D16" i="24" s="1"/>
  <c r="D13" i="15"/>
  <c r="D17" i="24" s="1"/>
  <c r="D14" i="15"/>
  <c r="D15" i="15"/>
  <c r="D16" i="15"/>
  <c r="D17" i="15"/>
  <c r="D18" i="15"/>
  <c r="D19" i="15"/>
  <c r="D20" i="15"/>
  <c r="D21" i="15"/>
  <c r="D22" i="15"/>
  <c r="D23" i="15"/>
  <c r="D27" i="24" s="1"/>
  <c r="D24" i="15"/>
  <c r="D25" i="15"/>
  <c r="D26" i="15"/>
  <c r="D27" i="15"/>
  <c r="D28" i="15"/>
  <c r="D29" i="15"/>
  <c r="D2" i="15"/>
  <c r="D7" i="24" s="1"/>
  <c r="E2" i="2"/>
  <c r="C3" i="2"/>
  <c r="C4" i="2"/>
  <c r="C5" i="2"/>
  <c r="C6" i="2"/>
  <c r="C2" i="2"/>
  <c r="I8" i="24" a="1"/>
  <c r="I7" i="24" a="1"/>
  <c r="I3" i="24" a="1"/>
  <c r="N6" i="24" a="1"/>
  <c r="J7" i="24" a="1"/>
  <c r="J3" i="24" a="1"/>
  <c r="K8" i="24" a="1"/>
  <c r="F29" i="9" l="1"/>
  <c r="F35" i="9"/>
  <c r="F92" i="9"/>
  <c r="F7" i="9"/>
  <c r="F50" i="9"/>
  <c r="D12" i="32"/>
  <c r="F26" i="9"/>
  <c r="F83" i="9"/>
  <c r="D45" i="32"/>
  <c r="F80" i="9"/>
  <c r="D42" i="32"/>
  <c r="D22" i="32"/>
  <c r="F13" i="9"/>
  <c r="F60" i="9"/>
  <c r="F89" i="9"/>
  <c r="D51" i="32"/>
  <c r="F32" i="9"/>
  <c r="F12" i="9"/>
  <c r="D21" i="32"/>
  <c r="F59" i="9"/>
  <c r="F88" i="9"/>
  <c r="F31" i="9"/>
  <c r="D50" i="32"/>
  <c r="F42" i="9"/>
  <c r="D4" i="32"/>
  <c r="F3" i="9"/>
  <c r="F5" i="9"/>
  <c r="F46" i="9"/>
  <c r="F24" i="9"/>
  <c r="F81" i="9"/>
  <c r="F58" i="9"/>
  <c r="D20" i="32"/>
  <c r="D53" i="32"/>
  <c r="F34" i="9"/>
  <c r="D24" i="32"/>
  <c r="F62" i="9"/>
  <c r="F78" i="9"/>
  <c r="D40" i="32"/>
  <c r="F52" i="9"/>
  <c r="D14" i="32"/>
  <c r="E14" i="24"/>
  <c r="E32" i="24"/>
  <c r="E24" i="24"/>
  <c r="E19" i="24"/>
  <c r="E10" i="24"/>
  <c r="E26" i="24"/>
  <c r="E29" i="24"/>
  <c r="E20" i="24"/>
  <c r="E33" i="24"/>
  <c r="E31" i="24"/>
  <c r="E15" i="24"/>
  <c r="E23" i="24"/>
  <c r="E30" i="24"/>
  <c r="E25" i="24"/>
  <c r="E21" i="24"/>
  <c r="E13" i="24"/>
  <c r="E22" i="24"/>
  <c r="E28" i="24"/>
  <c r="E5" i="24"/>
  <c r="E17" i="24"/>
  <c r="E12" i="24"/>
  <c r="E9" i="24"/>
  <c r="E27" i="24"/>
  <c r="E4" i="24"/>
  <c r="E18" i="24"/>
  <c r="E16" i="24"/>
  <c r="E11" i="24"/>
  <c r="E2" i="24"/>
  <c r="J3" i="24"/>
  <c r="K8" i="24"/>
  <c r="I7" i="24"/>
  <c r="J7" i="24"/>
  <c r="I3" i="24"/>
  <c r="I8" i="24"/>
  <c r="E8" i="24" s="1"/>
  <c r="N6" i="24"/>
  <c r="E6" i="24" s="1"/>
  <c r="D6" i="24"/>
  <c r="D9" i="24"/>
  <c r="D5" i="24"/>
  <c r="V10" i="21"/>
  <c r="D26" i="24"/>
  <c r="V5" i="21"/>
  <c r="E3" i="2"/>
  <c r="D10" i="24"/>
  <c r="D25" i="24"/>
  <c r="D24" i="24"/>
  <c r="D23" i="24"/>
  <c r="I4" i="19"/>
  <c r="I20" i="19"/>
  <c r="D3" i="24"/>
  <c r="I5" i="19"/>
  <c r="I21" i="19"/>
  <c r="I6" i="19"/>
  <c r="I22" i="19"/>
  <c r="I7" i="19"/>
  <c r="I23" i="19"/>
  <c r="I8" i="19"/>
  <c r="I24" i="19"/>
  <c r="I9" i="19"/>
  <c r="I25" i="19"/>
  <c r="I10" i="19"/>
  <c r="I26" i="19"/>
  <c r="I11" i="19"/>
  <c r="I27" i="19"/>
  <c r="I12" i="19"/>
  <c r="I28" i="19"/>
  <c r="I13" i="19"/>
  <c r="I14" i="19"/>
  <c r="I15" i="19"/>
  <c r="I16" i="19"/>
  <c r="I17" i="19"/>
  <c r="I18" i="19"/>
  <c r="I3" i="19"/>
  <c r="I19" i="19"/>
  <c r="D22" i="24"/>
  <c r="V9" i="21"/>
  <c r="V4" i="21"/>
  <c r="D21" i="24"/>
  <c r="D20" i="24"/>
  <c r="D19" i="24"/>
  <c r="E4" i="2"/>
  <c r="D11" i="24"/>
  <c r="I2" i="19"/>
  <c r="D2" i="24"/>
  <c r="V8" i="21"/>
  <c r="D18" i="24"/>
  <c r="V3" i="21"/>
  <c r="D33" i="24"/>
  <c r="D32" i="24"/>
  <c r="D31" i="24"/>
  <c r="D15" i="24"/>
  <c r="V11" i="21"/>
  <c r="D30" i="24"/>
  <c r="V6" i="21"/>
  <c r="P2" i="23"/>
  <c r="V2" i="21"/>
  <c r="D14" i="24"/>
  <c r="V7" i="21"/>
  <c r="D29" i="24"/>
  <c r="E6" i="2"/>
  <c r="D13" i="24"/>
  <c r="D28" i="24"/>
  <c r="E5" i="2"/>
  <c r="D12" i="24"/>
  <c r="E3" i="24" l="1"/>
  <c r="E7" i="24"/>
  <c r="S7" i="21"/>
  <c r="T7" i="21"/>
  <c r="T2" i="21"/>
  <c r="S2" i="21"/>
  <c r="T3" i="21"/>
  <c r="S3" i="21"/>
  <c r="S4" i="21"/>
  <c r="T4" i="21"/>
  <c r="T6" i="21"/>
  <c r="S6" i="21"/>
  <c r="S9" i="21"/>
  <c r="T9" i="21"/>
  <c r="S11" i="21"/>
  <c r="T11" i="21"/>
  <c r="S8" i="21"/>
  <c r="T8" i="21"/>
  <c r="T5" i="21"/>
  <c r="S5" i="21"/>
  <c r="T10" i="21"/>
  <c r="S10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tc={15E51B03-5627-4D35-8093-BE59EFA2D09A}</author>
    <author>tc={96837521-0505-42A2-B219-8A2F66E4A91C}</author>
  </authors>
  <commentList>
    <comment ref="I1" authorId="0" shapeId="0" xr:uid="{15E51B03-5627-4D35-8093-BE59EFA2D09A}">
      <text>
        <t>[Threaded comment]
Your version of Excel allows you to read this threaded comment; however, any edits to it will get removed if the file is opened in a newer version of Excel. Learn more: https://go.microsoft.com/fwlink/?linkid=870924
Comment:
    Different per standard:
- CDISC SDTM CT: one concept links to a single concept set, so can be filled in here</t>
      </text>
    </comment>
    <comment ref="J1" authorId="1" shapeId="0" xr:uid="{96837521-0505-42A2-B219-8A2F66E4A91C}">
      <text>
        <t>[Threaded comment]
Your version of Excel allows you to read this threaded comment; however, any edits to it will get removed if the file is opened in a newer version of Excel. Learn more: https://go.microsoft.com/fwlink/?linkid=870924
Comment:
    Different per standard:
- CDISC SDTM CT: one concept links to a single concept set, so can be filled in here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<sst xmlns="http://schemas.openxmlformats.org/spreadsheetml/2006/main" count="2466" uniqueCount="875">
  <si>
    <t>id</t>
  </si>
  <si>
    <t>user_id</t>
  </si>
  <si>
    <t>data_collection_id</t>
  </si>
  <si>
    <t>is_active</t>
  </si>
  <si>
    <t>add_case</t>
  </si>
  <si>
    <t>remove_case</t>
  </si>
  <si>
    <t>add_case_set</t>
  </si>
  <si>
    <t>remove_case_set</t>
  </si>
  <si>
    <t>read_case_set</t>
  </si>
  <si>
    <t>write_case_set</t>
  </si>
  <si>
    <t>0195d18c-1c98-7e0b-0c91-8cafbdb2c852</t>
  </si>
  <si>
    <t>0195d18c-1ca2-a23d-1f64-00271f63199c</t>
  </si>
  <si>
    <t>0195d18c-1c98-5a1e-55b9-67b877813693</t>
  </si>
  <si>
    <t>0195d18c-1c99-03eb-f1b4-a88daae1b74c</t>
  </si>
  <si>
    <t>0195d18c-1c99-a68b-99dd-a489908e8df1</t>
  </si>
  <si>
    <t>0195d18c-1ca3-f309-f6f1-e4807afe3802</t>
  </si>
  <si>
    <t>0195d18c-1c9a-1178-0519-9124131763a6</t>
  </si>
  <si>
    <t>0195d18c-1ca2-2a29-96a5-37c6bf87f586</t>
  </si>
  <si>
    <t>0195d18c-1c9a-e7d5-d74d-3e46588ad70a</t>
  </si>
  <si>
    <t>0195d18c-1c9b-6b24-482a-6ea161cbf213</t>
  </si>
  <si>
    <t>0195d18c-1c9b-f6fe-b91a-81092b467988</t>
  </si>
  <si>
    <t>0195d18c-1ca3-db40-a2a8-6dc905d6c1e9</t>
  </si>
  <si>
    <t>0195d18c-1c9c-0d8f-435a-5ca8b45939b8</t>
  </si>
  <si>
    <t>0195d18c-1ca2-3a4f-1878-fbe3282c9c76</t>
  </si>
  <si>
    <t>0195d18c-1c9c-c598-48d1-9910b6135e10</t>
  </si>
  <si>
    <t>0195d18c-1c9d-b786-58e2-68511183edc1</t>
  </si>
  <si>
    <t>0195d18c-1c9d-374c-cb5e-65d6cf513e00</t>
  </si>
  <si>
    <t>0195d18c-1ca3-da0a-44bb-877b3a1eb73e</t>
  </si>
  <si>
    <t>0195d18c-1c9e-1c4a-1311-4f22f0d59f61</t>
  </si>
  <si>
    <t>0195d18c-1ca2-e55a-608d-a42fc6f948e1</t>
  </si>
  <si>
    <t>0195d18c-1c9e-b09c-6417-9e2d151ffd40</t>
  </si>
  <si>
    <t>0195d18c-1c9f-77bc-3133-1f617f479bce</t>
  </si>
  <si>
    <t>0195d18c-1c9f-739f-da8a-894be78086da</t>
  </si>
  <si>
    <t>0195d18c-1ca3-4d34-d0e9-8f024ad8651a</t>
  </si>
  <si>
    <t>0195d18c-1ca0-e0db-7a87-6237ad6380c8</t>
  </si>
  <si>
    <t>0195d18c-1ca2-b728-a2a1-d2a4cf7b8eb8</t>
  </si>
  <si>
    <t>0195d18c-1ca0-fb86-8413-fd6a2365e35d</t>
  </si>
  <si>
    <t>0195d18c-1ca1-de82-c785-6f03f8013d69</t>
  </si>
  <si>
    <t>0195d18c-1ca1-d3df-24f3-7aac91cc3f3a</t>
  </si>
  <si>
    <t>0195d18c-1ca3-11a2-bf20-8eaaa09cc070</t>
  </si>
  <si>
    <t>0195d18c-1ca4-e691-7ebd-8ecb1a16a2ed</t>
  </si>
  <si>
    <t>organization_id</t>
  </si>
  <si>
    <t>0195d18c-1c94-41b6-e8f3-0f0c398955cd</t>
  </si>
  <si>
    <t>018d074d-ea0c-e942-07db-a3cc0ba1d653</t>
  </si>
  <si>
    <t>0195d18c-1c93-1f4b-8c40-19223d6c7a8c</t>
  </si>
  <si>
    <t>0195d18c-1c95-decc-cac0-6dcf11e700b2</t>
  </si>
  <si>
    <t>0195d18c-1c92-0ed4-2e94-b4f66d82baf3</t>
  </si>
  <si>
    <t>0195d18c-1c95-2343-576e-0c14e0a4505d</t>
  </si>
  <si>
    <t>0195d18c-1c96-5f7f-1e03-41e6478e8a85</t>
  </si>
  <si>
    <t>0195d18c-1c92-52b3-93e0-43dc1f2aa037</t>
  </si>
  <si>
    <t>0195d18c-1c96-59a8-d2a6-70a3b13175a1</t>
  </si>
  <si>
    <t>0195d18c-1c97-7de8-a991-dfab21b4343d</t>
  </si>
  <si>
    <t>0195d18c-1c92-d419-4c71-a570f428499b</t>
  </si>
  <si>
    <t>0195d18c-1c96-08ed-1241-eaf327bd1ffc</t>
  </si>
  <si>
    <t>0195d18c-1c97-accb-a8a4-395f09f0f1e0</t>
  </si>
  <si>
    <t>0195d18c-1c93-02a2-6920-7e4dbfb73ce0</t>
  </si>
  <si>
    <t>0195d18c-1c97-faac-82eb-3e357979b402</t>
  </si>
  <si>
    <t>name</t>
  </si>
  <si>
    <t>case_type_set_id</t>
  </si>
  <si>
    <t>case_type_set</t>
  </si>
  <si>
    <t>case_type_col_set_id</t>
  </si>
  <si>
    <t>case_type_col_set</t>
  </si>
  <si>
    <t>0195d18c-1cdf-6158-5ed2-075f8c7ad4fc</t>
  </si>
  <si>
    <t>0195d18c-1cb8-5af5-9939-74dc8b5d3b5b</t>
  </si>
  <si>
    <t>0195d18c-1cc1-44c2-1d6e-874dad333458</t>
  </si>
  <si>
    <t>0195d18c-1cb9-5e89-a2b4-e8204c332fd3</t>
  </si>
  <si>
    <t>0195d18c-1cb9-7277-79d2-a96535256e4a</t>
  </si>
  <si>
    <t>0195d18c-1cba-e53b-6f58-f412630c05e2</t>
  </si>
  <si>
    <t>0195d18c-1cba-2679-11a9-d71fc494b25a</t>
  </si>
  <si>
    <t>0195d18c-1ce3-c731-9f95-f1ff6689aab9</t>
  </si>
  <si>
    <t>0195d18c-1ce6-ba29-1d65-28b4d3e453f7</t>
  </si>
  <si>
    <t>0195d18c-1ce9-b0b4-8e5e-5d2f25c52da4</t>
  </si>
  <si>
    <t>0195d18c-1ced-a715-7a51-ea03832ac640</t>
  </si>
  <si>
    <t>0195d18c-1ced-f946-0c8c-56c2360c50f7</t>
  </si>
  <si>
    <t>0195d18c-1cf1-d144-29e7-40b2288888e2</t>
  </si>
  <si>
    <t>0195d18c-1cf5-2472-742a-952cbb347bc8</t>
  </si>
  <si>
    <t>0195d18c-1cf9-c2dd-4a08-8a7a4b059ca8</t>
  </si>
  <si>
    <t>0195d18c-1cfd-0ac0-0caf-2a9c3dc036f2</t>
  </si>
  <si>
    <t>description</t>
  </si>
  <si>
    <t>case_type_set_category_id</t>
  </si>
  <si>
    <t>case_type_set_category</t>
  </si>
  <si>
    <t>rank</t>
  </si>
  <si>
    <t>case_type_set1</t>
  </si>
  <si>
    <t>0195d18c-1cb8-a47f-3df5-ebefd976f759</t>
  </si>
  <si>
    <t>case_type_set2</t>
  </si>
  <si>
    <t>case_type_set3</t>
  </si>
  <si>
    <t>case_type_set4</t>
  </si>
  <si>
    <t>case_type_set5</t>
  </si>
  <si>
    <t>0195d18c-1cbb-d7b8-d852-987a801e0ad5</t>
  </si>
  <si>
    <t>case_type_set1,2</t>
  </si>
  <si>
    <t>0195d18c-1cbb-5047-ab67-71cb2cb84047</t>
  </si>
  <si>
    <t>case_type_set1,3</t>
  </si>
  <si>
    <t>0195d18c-1cbc-41fb-3ad7-2eed31140bd6</t>
  </si>
  <si>
    <t>case_type_set1,4</t>
  </si>
  <si>
    <t>0195d18c-1cbc-cf9a-b28d-bd77d3b30365</t>
  </si>
  <si>
    <t>case_type_set1,5</t>
  </si>
  <si>
    <t>0195d18c-1cbd-f948-2304-f178298dbc48</t>
  </si>
  <si>
    <t>case_type_set2,3</t>
  </si>
  <si>
    <t>0195d18c-1cbe-394f-58eb-6d327092ba44</t>
  </si>
  <si>
    <t>case_type_set2,4</t>
  </si>
  <si>
    <t>0195d18c-1cbe-fcd0-15db-737a74dff6fa</t>
  </si>
  <si>
    <t>case_type_set2,5</t>
  </si>
  <si>
    <t>0195d18c-1cbf-2a22-b845-fb9a44b67a96</t>
  </si>
  <si>
    <t>case_type_set3,4</t>
  </si>
  <si>
    <t>0195d18c-1cc0-9f98-c18d-367b41358c49</t>
  </si>
  <si>
    <t>case_type_set3,5</t>
  </si>
  <si>
    <t>0195d18c-1cc0-1fae-3a05-50f42b0128fc</t>
  </si>
  <si>
    <t>case_type_set4,5</t>
  </si>
  <si>
    <t>purpose</t>
  </si>
  <si>
    <t>case_type_set_category1</t>
  </si>
  <si>
    <t>CONTENT</t>
  </si>
  <si>
    <t>disease_id</t>
  </si>
  <si>
    <t>disease</t>
  </si>
  <si>
    <t>etiological_agent_id</t>
  </si>
  <si>
    <t>etiological_agent</t>
  </si>
  <si>
    <t>0195d18c-1ca6-fd99-9d76-fcfa0c0cf400</t>
  </si>
  <si>
    <t>case_type1</t>
  </si>
  <si>
    <t>0195d18c-1ca4-6d4f-99b8-10458cd57f32</t>
  </si>
  <si>
    <t>0195d18c-1ca4-82bc-c40f-054b28401ddd</t>
  </si>
  <si>
    <t>0195d18c-1ca6-752a-ec56-ed1b3d0cb095</t>
  </si>
  <si>
    <t>case_type2</t>
  </si>
  <si>
    <t>0195d18c-1ca4-2098-2e1c-1f2c2d58cd41</t>
  </si>
  <si>
    <t>0195d18c-1ca4-d963-1fbd-e9bf6dbb100c</t>
  </si>
  <si>
    <t>0195d18c-1ca6-0243-1762-326add8a5d71</t>
  </si>
  <si>
    <t>case_type3</t>
  </si>
  <si>
    <t>0195d18c-1ca4-9f3c-a017-a8f11202fb1c</t>
  </si>
  <si>
    <t>0195d18c-1ca5-5802-0739-33f87df230d4</t>
  </si>
  <si>
    <t>0195d18c-1ca7-7209-a21c-556dc4fd3057</t>
  </si>
  <si>
    <t>case_type4</t>
  </si>
  <si>
    <t>0195d18c-1ca4-86bf-f4e7-8c2a92ff370d</t>
  </si>
  <si>
    <t>0195d18c-1ca5-6d25-b2ad-a663425c8c15</t>
  </si>
  <si>
    <t>0195d18c-1ca7-ae33-0f89-bd1fd65da091</t>
  </si>
  <si>
    <t>case_type5</t>
  </si>
  <si>
    <t>0195d18c-1ca4-6a53-af25-e4cd2ea0545a</t>
  </si>
  <si>
    <t>0195d18c-1ca5-49ab-b2c2-6e8556234b5c</t>
  </si>
  <si>
    <t>case_type_col_id</t>
  </si>
  <si>
    <t>case_type_col</t>
  </si>
  <si>
    <t>0195d18c-1cc1-c475-eba4-c3df5aea8858</t>
  </si>
  <si>
    <t>case_type_id</t>
  </si>
  <si>
    <t>case_type</t>
  </si>
  <si>
    <t>col_id</t>
  </si>
  <si>
    <t>occurrence</t>
  </si>
  <si>
    <t>code</t>
  </si>
  <si>
    <t>label</t>
  </si>
  <si>
    <t>min_value</t>
  </si>
  <si>
    <t>max_value</t>
  </si>
  <si>
    <t>min_datetime</t>
  </si>
  <si>
    <t>max_datetime</t>
  </si>
  <si>
    <t>min_length</t>
  </si>
  <si>
    <t>max_length</t>
  </si>
  <si>
    <t>pattern</t>
  </si>
  <si>
    <t>genetic_sequence_case_type_col_id</t>
  </si>
  <si>
    <t>tree_algorithm_codes</t>
  </si>
  <si>
    <t>props</t>
  </si>
  <si>
    <t>{}</t>
  </si>
  <si>
    <t>0195d18c-1cb8-ac82-67f2-bc32a6368340</t>
  </si>
  <si>
    <t>0195d18c-1cb9-04cf-ee83-d2e14f70e6f7</t>
  </si>
  <si>
    <t>0195d18c-1cb9-0db7-dd63-2f5c66ce2096</t>
  </si>
  <si>
    <t>0195d18c-1cba-d75a-4f52-be8189bfd480</t>
  </si>
  <si>
    <t>0195d18c-1cba-880a-4d3d-9231b03e604d</t>
  </si>
  <si>
    <t>0195d18c-1cbb-4d56-8309-26658e320187</t>
  </si>
  <si>
    <t>0195d18c-1cbb-e8cf-b7a9-624604063760</t>
  </si>
  <si>
    <t>0195d18c-1cbc-34b5-25b1-15430bfc43cb</t>
  </si>
  <si>
    <t>0195d18c-1cbc-42ec-af5d-d0c541b3c295</t>
  </si>
  <si>
    <t>0195d18c-1cbc-93ea-ba50-3ea9ab23cfcf</t>
  </si>
  <si>
    <t>0195d18c-1cbc-5d27-ec6f-91a2b6d7fba6</t>
  </si>
  <si>
    <t>0195d18c-1cbd-afb8-4103-44bd3d6db520</t>
  </si>
  <si>
    <t>0195d18c-1cbd-598d-2fbc-ab1a86b38c7b</t>
  </si>
  <si>
    <t>0195d18c-1cbd-64ee-0053-12e519dbaea2</t>
  </si>
  <si>
    <t>0195d18c-1cbd-e5e4-5e2c-49dcc5a54ec2</t>
  </si>
  <si>
    <t>0195d18c-1cbe-25ec-3c13-b743a72fe44e</t>
  </si>
  <si>
    <t>0195d18c-1cbe-ccf9-b1b3-31b52fe304c2</t>
  </si>
  <si>
    <t>0195d18c-1cbf-6781-d8e6-4821a8cca56f</t>
  </si>
  <si>
    <t>0195d18c-1cbf-2af9-365a-9fcfc6325153</t>
  </si>
  <si>
    <t>0195d18c-1cbf-cab5-f26b-de1986258d80</t>
  </si>
  <si>
    <t>0195d18c-1cbf-3ae8-57bc-297cbb3e0b04</t>
  </si>
  <si>
    <t>0195d18c-1cc0-5142-d6dc-6a0d5b641c6b</t>
  </si>
  <si>
    <t>0195d18c-1cc0-212b-34ce-e734d4976333</t>
  </si>
  <si>
    <t>0195d18c-1cc0-6108-5b6c-a68da2f4a40c</t>
  </si>
  <si>
    <t>0195d18c-1cc0-3596-3a3f-e4a37028e9f8</t>
  </si>
  <si>
    <t>dim_id</t>
  </si>
  <si>
    <t>code_suffix</t>
  </si>
  <si>
    <t>rank_in_dim</t>
  </si>
  <si>
    <t>col_type</t>
  </si>
  <si>
    <t>concept_set_id</t>
  </si>
  <si>
    <t>region_set_id</t>
  </si>
  <si>
    <t>genetic_distance_protocol_id</t>
  </si>
  <si>
    <t>genetic_distance_protocol</t>
  </si>
  <si>
    <t>dim_type</t>
  </si>
  <si>
    <t>col_code_prefix</t>
  </si>
  <si>
    <t>email</t>
  </si>
  <si>
    <t>roles</t>
  </si>
  <si>
    <t>0195d18c-1c92-110e-81c1-75ba0fec4494</t>
  </si>
  <si>
    <t>0195d18c-1c93-bcbb-eea8-94332d77b172</t>
  </si>
  <si>
    <t>data_collection1</t>
  </si>
  <si>
    <t>data_collection2</t>
  </si>
  <si>
    <t>data_collection3</t>
  </si>
  <si>
    <t>data_collection4</t>
  </si>
  <si>
    <t>data_collection5</t>
  </si>
  <si>
    <t>data_collection6</t>
  </si>
  <si>
    <t>data_collection7</t>
  </si>
  <si>
    <t>data_collection8</t>
  </si>
  <si>
    <t>data_collection9</t>
  </si>
  <si>
    <t>data_collection10</t>
  </si>
  <si>
    <t>data_collection11</t>
  </si>
  <si>
    <t>legal_entity_code</t>
  </si>
  <si>
    <t>legal_region_id</t>
  </si>
  <si>
    <t>legal_region</t>
  </si>
  <si>
    <t>org1</t>
  </si>
  <si>
    <t>org2</t>
  </si>
  <si>
    <t>org3</t>
  </si>
  <si>
    <t>org4</t>
  </si>
  <si>
    <t>org5</t>
  </si>
  <si>
    <t>from_data_collection_id</t>
  </si>
  <si>
    <t>token</t>
  </si>
  <si>
    <t>expires_at</t>
  </si>
  <si>
    <t>invited_by_user_id</t>
  </si>
  <si>
    <t>0195d18c-1c91-417d-6686-2f6cb5ff95b9</t>
  </si>
  <si>
    <t>26dcbff8-2925-4078-90ad-bbe74165f6b3</t>
  </si>
  <si>
    <t>0195d18c-1c93-6939-20ec-9c4c00d851c1</t>
  </si>
  <si>
    <t>10ad47a6-0901-408c-bfc0-a05a4e83af4e</t>
  </si>
  <si>
    <t>0195d18c-1c93-ec90-9271-1015b282d4b3</t>
  </si>
  <si>
    <t>6f8d5681-2c6c-44ae-9522-178a45deaf16</t>
  </si>
  <si>
    <t>0195d18c-1c95-0879-fcf0-17e1131cc29b</t>
  </si>
  <si>
    <t>839e81a3-3184-4c47-bf1c-7f1f964fe280</t>
  </si>
  <si>
    <t>0195d18c-1c95-a854-581f-4e9ae9d85b92</t>
  </si>
  <si>
    <t>1ad1489c-d661-475a-958d-c6684f5dd5d2</t>
  </si>
  <si>
    <t>0195d18c-1c96-ec9c-d51d-0eec040d7ffd</t>
  </si>
  <si>
    <t>ac3ef8cf-b738-458a-9250-e68a9452546b</t>
  </si>
  <si>
    <t>0195d18c-1c97-bf94-f109-505bfb986995</t>
  </si>
  <si>
    <t>2a653a89-2320-41a9-8163-356114c3ba28</t>
  </si>
  <si>
    <t>0195d18c-1c98-4085-5812-4a69516f59ae</t>
  </si>
  <si>
    <t>feb33345-6e94-4f64-807e-c8f4a6e9e232</t>
  </si>
  <si>
    <t>0195d18c-1c98-91f0-72bb-c9c9bbd287c5</t>
  </si>
  <si>
    <t>e2049ab9-9249-4847-852a-6b43b8d12ff8</t>
  </si>
  <si>
    <t>0195d18c-1c98-90fe-f86a-b3ff952dc368</t>
  </si>
  <si>
    <t>973418bc-df76-4c74-bf1f-8919b9295848</t>
  </si>
  <si>
    <t>0195d18c-1c99-b943-3900-1de44aa64da4</t>
  </si>
  <si>
    <t>b9782553-9cf2-4fa6-9ad4-aae54307d988</t>
  </si>
  <si>
    <t>0195d18c-1c99-ee95-2cb4-c932da0954b7</t>
  </si>
  <si>
    <t>a3c4d7fd-06b7-43b7-bdfa-0cb99f4d15db</t>
  </si>
  <si>
    <t>0195d18c-1c9a-db6b-ccff-e01ab117ef32</t>
  </si>
  <si>
    <t>3229f88a-c1c0-40ae-b6ad-f164bd928e67</t>
  </si>
  <si>
    <t>0195d18c-1c9a-f99a-e588-b6cb70db069a</t>
  </si>
  <si>
    <t>f0bd0f86-4aee-4057-bf0d-5969f86e480e</t>
  </si>
  <si>
    <t>0195d18c-1c9b-78d2-856a-1a3b3cb5bea2</t>
  </si>
  <si>
    <t>ee401265-06e0-4a12-b272-06f1988ef4b5</t>
  </si>
  <si>
    <t>0195d18c-1c9b-157c-f366-9923d442a6ab</t>
  </si>
  <si>
    <t>5732cea8-00ae-436e-94eb-15c9d5aa47be</t>
  </si>
  <si>
    <t>0195d18c-1c9c-d7c6-00ad-dbf966ceaac2</t>
  </si>
  <si>
    <t>e43b6ffb-9b22-47fa-91ca-b3b232f7ad28</t>
  </si>
  <si>
    <t>0195d18c-1c9c-7fa3-43a4-75b222e2bc20</t>
  </si>
  <si>
    <t>cd5b7c70-3e5d-468b-ad18-19d2a1482ce2</t>
  </si>
  <si>
    <t>0195d18c-1c9d-3e2a-8358-366fb95eb9a0</t>
  </si>
  <si>
    <t>e0dc1519-677b-4681-9766-3d4f909dcfbc</t>
  </si>
  <si>
    <t>0195d18c-1c9d-7d1c-d77d-d076c76e7998</t>
  </si>
  <si>
    <t>f278b4cd-0513-4dbb-a571-9883e703b80d</t>
  </si>
  <si>
    <t>0195d18c-1c9e-55c3-6408-f1176459edb3</t>
  </si>
  <si>
    <t>a1bf52b2-b12c-45c6-b58e-e58271bfd24b</t>
  </si>
  <si>
    <t>0195d18c-1c9e-09b8-0094-fcf63b79a6c3</t>
  </si>
  <si>
    <t>c38d5a1c-227c-4755-a3f4-413519b937d9</t>
  </si>
  <si>
    <t>0195d18c-1c9f-a109-2f70-1ff96bb5e283</t>
  </si>
  <si>
    <t>72b5987e-9e4a-404f-ac71-e085eefa9cf7</t>
  </si>
  <si>
    <t>0195d18c-1c9f-539f-5eb1-43c191928bd6</t>
  </si>
  <si>
    <t>cf162636-d178-4dc1-8d72-6e926e255d4a</t>
  </si>
  <si>
    <t>0195d18c-1ca0-12ce-734f-6813c24f7038</t>
  </si>
  <si>
    <t>d8af1d4c-c8cb-453b-91fa-6aa256a7ed2f</t>
  </si>
  <si>
    <t>0195d18c-1ca0-4613-82fb-140f61d30bfb</t>
  </si>
  <si>
    <t>0f31882e-d59c-4c3f-83fd-87fc50c04266</t>
  </si>
  <si>
    <t>0195d18c-1ca1-507d-514e-7f6784ab639e</t>
  </si>
  <si>
    <t>2ee7a962-2bc6-4e19-adad-f0c7597a075b</t>
  </si>
  <si>
    <t>TEXT</t>
  </si>
  <si>
    <t>dm.user</t>
  </si>
  <si>
    <t>dm.organization</t>
  </si>
  <si>
    <t>is_private</t>
  </si>
  <si>
    <t>read_case_type_col_set_id</t>
  </si>
  <si>
    <t>write_case_type_col_set_id</t>
  </si>
  <si>
    <t>dm.name</t>
  </si>
  <si>
    <t>dm.name2</t>
  </si>
  <si>
    <t>01969553-af44-94a2-10d3-c0bc81f7e029</t>
  </si>
  <si>
    <t>dm.invited_by_user</t>
  </si>
  <si>
    <t>index</t>
  </si>
  <si>
    <t>user.id</t>
  </si>
  <si>
    <t>is_allowed</t>
  </si>
  <si>
    <t>dm.key</t>
  </si>
  <si>
    <t>dm.is_ge_app_admin</t>
  </si>
  <si>
    <t>icd_code</t>
  </si>
  <si>
    <t>disease1</t>
  </si>
  <si>
    <t>disease2</t>
  </si>
  <si>
    <t>disease3</t>
  </si>
  <si>
    <t>disease4</t>
  </si>
  <si>
    <t>disease5</t>
  </si>
  <si>
    <t>type</t>
  </si>
  <si>
    <t>etiological_agent1</t>
  </si>
  <si>
    <t>etiological_agent2</t>
  </si>
  <si>
    <t>etiological_agent3</t>
  </si>
  <si>
    <t>etiological_agent4</t>
  </si>
  <si>
    <t>etiological_agent5</t>
  </si>
  <si>
    <t>ORGANISM</t>
  </si>
  <si>
    <t>user.name</t>
  </si>
  <si>
    <t>regex</t>
  </si>
  <si>
    <t>schema_definition</t>
  </si>
  <si>
    <t>schema_uri</t>
  </si>
  <si>
    <t>ORDINAL</t>
  </si>
  <si>
    <t>NOMINAL</t>
  </si>
  <si>
    <t>Age in years, intervals 0, 5, 15, 25, 45, 65</t>
  </si>
  <si>
    <t>Age in years, intervals 0, 5, 19, 65</t>
  </si>
  <si>
    <t>Age in years, intervals 0, 15, 25, 35, 45</t>
  </si>
  <si>
    <t>Age in years, intervals 0, 1, 5, 15, 20, 25, 35, 45, 55, 65</t>
  </si>
  <si>
    <t>Age in months, intervals 0, 1, 2, 3</t>
  </si>
  <si>
    <t>REGULAR_LANGUAGE</t>
  </si>
  <si>
    <t>dm.lb</t>
  </si>
  <si>
    <t>dm.ub</t>
  </si>
  <si>
    <t>Y</t>
  </si>
  <si>
    <t>0198ef6d-8543-022e-af76-07950e3be6d8</t>
  </si>
  <si>
    <t>0198ef6d-8543-1558-187c-47880d4b485e</t>
  </si>
  <si>
    <t>0198ef6d-8543-70a1-1296-358b9a16f485</t>
  </si>
  <si>
    <t>0198ef6d-8543-877c-0f63-6d7b926dfea2</t>
  </si>
  <si>
    <t>0198ef6d-8543-3c58-ac5e-cc9eb329457f</t>
  </si>
  <si>
    <t>0198ef6d-8543-98db-539f-d07c72d29ddb</t>
  </si>
  <si>
    <t>0198ef6d-8543-9cc1-eca7-e072c2b8acae</t>
  </si>
  <si>
    <t>0198ef6d-8543-8382-74c3-3094271a22fd</t>
  </si>
  <si>
    <t>0198ef6d-8543-773c-35de-7133eb350f0c</t>
  </si>
  <si>
    <t>0198ef6d-8543-1ce7-83c8-e53fe4b7fb8e</t>
  </si>
  <si>
    <t>0198ef6d-8543-626b-c05d-de74547d3621</t>
  </si>
  <si>
    <t>0198ef6d-8543-893c-c5e2-73c38bec9ac6</t>
  </si>
  <si>
    <t>0198ef6d-8543-c436-8749-ad1b2a75b4ba</t>
  </si>
  <si>
    <t>0198ef6d-8543-8304-54a7-34542a0a9c33</t>
  </si>
  <si>
    <t>0198ef6d-8543-9154-e58f-dd117f762168</t>
  </si>
  <si>
    <t>0198ef6d-8543-fa54-4ee1-8145b37ae29c</t>
  </si>
  <si>
    <t>0198ef6d-8543-9248-0edb-2477c9364381</t>
  </si>
  <si>
    <t>0198ef6d-8543-595a-1fed-0c02d313b824</t>
  </si>
  <si>
    <t>CATEGORY1</t>
  </si>
  <si>
    <t>CATEGORY2</t>
  </si>
  <si>
    <t>RANK1</t>
  </si>
  <si>
    <t>RANK2</t>
  </si>
  <si>
    <t>RANK3</t>
  </si>
  <si>
    <t>0198ef6d-8543-90a8-a647-ae05912c77ba</t>
  </si>
  <si>
    <t>0198ef6d-8543-2a99-b3be-b0d2583cb604</t>
  </si>
  <si>
    <t>0198ef6d-8543-b279-03a6-da9684b42b08</t>
  </si>
  <si>
    <t>0198ef6d-8543-d076-3da0-dd48921087f9</t>
  </si>
  <si>
    <t>0198ef6d-8543-020d-44c5-53e813a46714</t>
  </si>
  <si>
    <t>0198ef6d-8543-2a37-be54-7f7d24e1ed1d</t>
  </si>
  <si>
    <t>0198ef6d-8543-f668-cedc-b78f8e3bc412</t>
  </si>
  <si>
    <t>0198ef6d-8543-2673-a691-fe8584d0695e</t>
  </si>
  <si>
    <t>0198ef6d-8543-cb6b-0c98-c2a7e640e10d</t>
  </si>
  <si>
    <t>0198ef6d-8543-a151-ab47-0394a80e2a05</t>
  </si>
  <si>
    <t>0198ef6d-8543-6df8-9098-78280604c758</t>
  </si>
  <si>
    <t>INTERVAL</t>
  </si>
  <si>
    <t>CATEGORY1_1</t>
  </si>
  <si>
    <t>Category1_1</t>
  </si>
  <si>
    <t>Category1_2</t>
  </si>
  <si>
    <t>CATEGORY3</t>
  </si>
  <si>
    <t>Category1_3</t>
  </si>
  <si>
    <t>Category2_1</t>
  </si>
  <si>
    <t>Category2_2</t>
  </si>
  <si>
    <t>Category2_3</t>
  </si>
  <si>
    <t>Rank1_1</t>
  </si>
  <si>
    <t>Rank1_2</t>
  </si>
  <si>
    <t>Rank1_3</t>
  </si>
  <si>
    <t>Rank2_1</t>
  </si>
  <si>
    <t>Rank2_2</t>
  </si>
  <si>
    <t>Rank2_3</t>
  </si>
  <si>
    <t>0198ef6d-8543-e759-11f0-adca304123d1</t>
  </si>
  <si>
    <t>0198ef6d-8543-6ac9-4915-b0f74393baa3</t>
  </si>
  <si>
    <t>0198ef6d-8543-d8eb-6c3e-2b68e40942f8</t>
  </si>
  <si>
    <t>0198ef6d-8543-2764-1452-6fe25c191511</t>
  </si>
  <si>
    <t>0198ef6d-8543-73c8-d3af-92aa66e44b8c</t>
  </si>
  <si>
    <t>0198ef6d-8543-7395-2023-95bfee798f65</t>
  </si>
  <si>
    <t>0198ef6d-8543-ef67-b7ee-fa35926c01fd</t>
  </si>
  <si>
    <t>0198ef6d-8543-1842-1575-0be542168d82</t>
  </si>
  <si>
    <t>0198ef6d-8543-db07-f368-c8dd91590021</t>
  </si>
  <si>
    <t>0198ef6d-8543-403c-ce3e-33a4efc54a25</t>
  </si>
  <si>
    <t>0198ef6d-8543-9d0a-baf1-e5c51942de4e</t>
  </si>
  <si>
    <t>0198ef6d-8543-d03b-b9f4-f460fae89f04</t>
  </si>
  <si>
    <t>0198ef6d-8543-e70f-7b7c-8e2af8fe9e2d</t>
  </si>
  <si>
    <t>region_code_as_label</t>
  </si>
  <si>
    <t>Postal codes - Level 4</t>
  </si>
  <si>
    <t>Postal codes - Level 3</t>
  </si>
  <si>
    <t>Municipalities</t>
  </si>
  <si>
    <t>Provinces</t>
  </si>
  <si>
    <t>PV</t>
  </si>
  <si>
    <t>MUN</t>
  </si>
  <si>
    <t>centroid_lat</t>
  </si>
  <si>
    <t>centroid_lon</t>
  </si>
  <si>
    <t>center_lat</t>
  </si>
  <si>
    <t>center_lon</t>
  </si>
  <si>
    <t>0198ef6d-8543-92bb-3d7b-9a6b17e52c7d</t>
  </si>
  <si>
    <t>0198ef6d-8543-0ad2-6a86-701cc690b0a4</t>
  </si>
  <si>
    <t>0198ef6d-8543-5e3f-5ed0-dd932e32c2aa</t>
  </si>
  <si>
    <t>0198ef6d-8543-ca21-8fc9-aac9c10fe055</t>
  </si>
  <si>
    <t>A</t>
  </si>
  <si>
    <t>1011</t>
  </si>
  <si>
    <t>1022</t>
  </si>
  <si>
    <t>1021</t>
  </si>
  <si>
    <t>1023</t>
  </si>
  <si>
    <t>1012</t>
  </si>
  <si>
    <t>1013</t>
  </si>
  <si>
    <t>101</t>
  </si>
  <si>
    <t>102</t>
  </si>
  <si>
    <t>0198ef6d-8543-98d5-9df4-4ac64d603502</t>
  </si>
  <si>
    <t>0198ef6d-8543-ae94-efef-2be1b23245af</t>
  </si>
  <si>
    <t>0198ef6d-8543-8b5f-18fa-1ed57d0932cc</t>
  </si>
  <si>
    <t>0198ef6d-8543-a364-ca72-6ec6f635451c</t>
  </si>
  <si>
    <t>0198ef6d-8543-36e6-2666-1cd464720c40</t>
  </si>
  <si>
    <t>0198ef6d-8543-6c09-555d-db3403ec2556</t>
  </si>
  <si>
    <t>0198ef6d-8543-dcdc-9496-52bc01e1c56d</t>
  </si>
  <si>
    <t>0198ef6d-8543-633c-9a80-b3ee43366dab</t>
  </si>
  <si>
    <t>0198ef6d-8543-83bf-6a77-33c7baa8eca4</t>
  </si>
  <si>
    <t>0198ef6d-8543-5e67-2557-0e2746373e1d</t>
  </si>
  <si>
    <t>0198ef6d-8543-b5ae-6be3-ce46ae7b36cb</t>
  </si>
  <si>
    <t>0198ef6d-8543-2881-ac87-bb85405cfd45</t>
  </si>
  <si>
    <t>0198ef6d-8543-492f-605f-9f24aff04b0c</t>
  </si>
  <si>
    <t>0198ef6d-8543-e169-e90c-b16046775a79</t>
  </si>
  <si>
    <t>from_region_id</t>
  </si>
  <si>
    <t>to_region_id</t>
  </si>
  <si>
    <t>relation</t>
  </si>
  <si>
    <t>CONTAINS</t>
  </si>
  <si>
    <t>0198ef6d-8543-0c0b-4a83-bc5645c27a12</t>
  </si>
  <si>
    <t>0198ef6d-8543-6900-d021-0a967bc5a835</t>
  </si>
  <si>
    <t>0198ef6d-8543-b77a-986a-970332b990bf</t>
  </si>
  <si>
    <t>0198ef6d-8543-4356-94fa-71fde8f78147</t>
  </si>
  <si>
    <t>0198ef6d-8543-446a-e48d-84d9816d7653</t>
  </si>
  <si>
    <t>0198ef6d-8543-bf0a-5017-971b46110913</t>
  </si>
  <si>
    <t>0198ef6d-8543-9029-dc48-eaa05a343a26</t>
  </si>
  <si>
    <t>0198ef6d-8543-6a58-c520-ee5673f2e787</t>
  </si>
  <si>
    <t>0198ef6d-8543-5d0c-da5a-9488f8a33242</t>
  </si>
  <si>
    <t>0198ef6d-8543-4f94-dbed-811f8c7fea6e</t>
  </si>
  <si>
    <t>0198ef6d-8543-0012-5a19-386a453bb806</t>
  </si>
  <si>
    <t>0198ef6d-8543-9155-eca8-a17eb16e9c36</t>
  </si>
  <si>
    <t>0198ef6d-8543-39ec-6e48-eac4531b8b1a</t>
  </si>
  <si>
    <t>0198ef6d-8543-114e-9d20-073f77684023</t>
  </si>
  <si>
    <t>0198ef6d-8543-6fad-ae3a-152638d059b2</t>
  </si>
  <si>
    <t>0198ef6d-8543-7db2-b38f-7e80b7f1ade0</t>
  </si>
  <si>
    <t>0198ef6d-8543-766b-a932-2da3f3a8ef42</t>
  </si>
  <si>
    <t>0198ef6d-8543-c431-206b-6b9777223b47</t>
  </si>
  <si>
    <t>0198ef6d-8543-c704-fb11-d935c717b5fd</t>
  </si>
  <si>
    <t>0198ef6d-8543-8f74-a26d-3bdb6b42c522</t>
  </si>
  <si>
    <t>0198ef6d-8543-7e4c-8422-4014740e6a01</t>
  </si>
  <si>
    <t>nominal1</t>
  </si>
  <si>
    <t>nominal2</t>
  </si>
  <si>
    <t>ordinal1</t>
  </si>
  <si>
    <t>TIME</t>
  </si>
  <si>
    <t>ordinal2</t>
  </si>
  <si>
    <t>ORGANIZATION</t>
  </si>
  <si>
    <t>GEO</t>
  </si>
  <si>
    <t>IDENTIFIER</t>
  </si>
  <si>
    <t>NUMBER</t>
  </si>
  <si>
    <t>OTHER</t>
  </si>
  <si>
    <t>regex1</t>
  </si>
  <si>
    <t>regex2</t>
  </si>
  <si>
    <t>geo1</t>
  </si>
  <si>
    <t>geo2</t>
  </si>
  <si>
    <t>text2</t>
  </si>
  <si>
    <t>time2</t>
  </si>
  <si>
    <t>number2</t>
  </si>
  <si>
    <t>other2</t>
  </si>
  <si>
    <t>text1</t>
  </si>
  <si>
    <t>time1</t>
  </si>
  <si>
    <t>number1</t>
  </si>
  <si>
    <t>other1</t>
  </si>
  <si>
    <t>id1</t>
  </si>
  <si>
    <t>id2</t>
  </si>
  <si>
    <t>0198ef6d-8543-8d7e-a786-a78961958b68</t>
  </si>
  <si>
    <t>0198ef6d-8543-4e10-dadc-606a590cbf81</t>
  </si>
  <si>
    <t>0198ef6d-8543-4b57-ccc7-1e34bcca2de1</t>
  </si>
  <si>
    <t>0198ef6d-8543-9c78-54a7-6b4c2ca6ce88</t>
  </si>
  <si>
    <t>0198ef6d-8543-6a7f-4553-b7280cc2ab9b</t>
  </si>
  <si>
    <t>0198ef6d-8543-5e3c-cec3-8db0ccbd38fa</t>
  </si>
  <si>
    <t>0198ef6d-8543-0b52-87e5-431792f951a2</t>
  </si>
  <si>
    <t>0198ef6d-8543-e0a4-1718-6ae19c4f6090</t>
  </si>
  <si>
    <t>0198ef6d-8543-b0f3-f8b0-c502bee720e9</t>
  </si>
  <si>
    <t>0198ef6d-8543-5ea8-9f20-a8177b2d28d2</t>
  </si>
  <si>
    <t>0198ef6d-8543-d4cb-e9cb-2c352f1baa30</t>
  </si>
  <si>
    <t>0198ef6d-8543-08a5-b8d2-bad85d28ce19</t>
  </si>
  <si>
    <t>0198ef6d-8543-090b-38ba-3d20aff20301</t>
  </si>
  <si>
    <t>0198ef6d-8543-9464-8125-c57e62e81fa8</t>
  </si>
  <si>
    <t>0198ef6d-8543-f771-bae1-9ddd35630976</t>
  </si>
  <si>
    <t>0198ef6d-8543-c781-d5a1-ba5569aaaf92</t>
  </si>
  <si>
    <t>0198ef6d-8543-2e3c-58fa-85eca2a977c1</t>
  </si>
  <si>
    <t>0198ef6d-8543-ca89-d050-715e4e6f5013</t>
  </si>
  <si>
    <t>0198ef6d-8543-464e-e152-42bb0dc00713</t>
  </si>
  <si>
    <t>0198ef6d-8543-4209-5045-1bdd507593a7</t>
  </si>
  <si>
    <t>0198ef6d-8543-eb2b-e8cd-6ad2e7ad4523</t>
  </si>
  <si>
    <t>0198ef6d-8543-1234-cbf1-9947a51d56ff</t>
  </si>
  <si>
    <t>0198ef6d-8543-50ea-8c7a-9f5c1a8041c4</t>
  </si>
  <si>
    <t>0198ef6d-8543-76c4-4fb4-25f7403d7972</t>
  </si>
  <si>
    <t>0198ef6d-8543-479e-1e7a-3428fa97ebc7</t>
  </si>
  <si>
    <t>0198ef6d-8543-0924-3aca-6065227cd9ef</t>
  </si>
  <si>
    <t>0198ef6d-8543-78ba-e607-ac65487d273b</t>
  </si>
  <si>
    <t>0198ef6d-8543-2d1c-8ae5-fde6579f02e4</t>
  </si>
  <si>
    <t>0198ef6d-8543-9c02-f715-88d1935aca9a</t>
  </si>
  <si>
    <t>0198ef6d-8543-5be8-beb1-cbc53a476302</t>
  </si>
  <si>
    <t>0198ef6d-8543-13b8-702c-f36c6968d08f</t>
  </si>
  <si>
    <t>0198ef6d-8543-74d1-8cf2-4f5da375834f</t>
  </si>
  <si>
    <t>0198ef6d-8543-b7d9-c034-47ae7fb11c50</t>
  </si>
  <si>
    <t>0198ef6d-8543-61aa-6bef-ab847c75d5f6</t>
  </si>
  <si>
    <t>0198ef6d-8543-c6b8-13b1-618c88c659c4</t>
  </si>
  <si>
    <t>0198ef6d-8543-1f4e-e4ff-26b349afa1da</t>
  </si>
  <si>
    <t>0198ef6d-8543-1d52-5bac-f77d1900a8dd</t>
  </si>
  <si>
    <t>0198ef6d-8543-d807-f0b2-816adb66b0e2</t>
  </si>
  <si>
    <t>0198ef6d-8543-1ccc-3ca5-8e5804b351d7</t>
  </si>
  <si>
    <t>0198ef6d-8543-a1f2-8fe1-01a845acbff0</t>
  </si>
  <si>
    <t>0198ef6d-8543-3ef0-e88e-3e695cf2445e</t>
  </si>
  <si>
    <t>0198ef6d-8543-36a5-2583-d111be64cfe5</t>
  </si>
  <si>
    <t>0198ef6d-8543-0602-3b9b-8074754ce32f</t>
  </si>
  <si>
    <t>0198ef6d-8543-4c94-0bf9-94599fca001d</t>
  </si>
  <si>
    <t>0198ef6d-8543-97b5-1037-1371f120aa8d</t>
  </si>
  <si>
    <t>0198ef6d-8543-3174-2105-15a6851c5148</t>
  </si>
  <si>
    <t>0198ef6d-8543-d0b2-a670-f7d735fbf952</t>
  </si>
  <si>
    <t>0198ef6d-8543-70f1-d18e-7b3cd6948bd7</t>
  </si>
  <si>
    <t>0198ef6d-8543-ab8a-bde3-659597476ba5</t>
  </si>
  <si>
    <t>0198ef6d-8543-7878-8fbe-0ddd72dfc52c</t>
  </si>
  <si>
    <t>0198ef6d-8543-c616-5348-1a00a03f4c57</t>
  </si>
  <si>
    <t>0198ef6d-8543-e39d-276c-4184424fa3b7</t>
  </si>
  <si>
    <t>0198ef6d-8543-48c7-ff84-ba2c574cb664</t>
  </si>
  <si>
    <t>0198ef6d-8543-6928-904b-2f24d48dec5d</t>
  </si>
  <si>
    <t>GEO_REGION</t>
  </si>
  <si>
    <t>TIME_DAY</t>
  </si>
  <si>
    <t>TIME_WEEK</t>
  </si>
  <si>
    <t>TIME_MONTH</t>
  </si>
  <si>
    <t>TIME_QUARTER</t>
  </si>
  <si>
    <t>TIME_YEAR</t>
  </si>
  <si>
    <t>ID_PSEUDONYMISED</t>
  </si>
  <si>
    <t>0198ef6d-8543-d80f-bded-2df4b7df993d</t>
  </si>
  <si>
    <t>0198ef6d-8543-7e88-f9a1-238ceac18124</t>
  </si>
  <si>
    <t>0198ef6d-8543-4cc4-3dfd-ec8b31c48f5d</t>
  </si>
  <si>
    <t>0198ef6d-8543-5969-bc68-05db01d72683</t>
  </si>
  <si>
    <t>DECIMAL_0</t>
  </si>
  <si>
    <t>DECIMAL_2</t>
  </si>
  <si>
    <t>CATEGORY1_1, CATEGORY1_2, CATEGORY1_3</t>
  </si>
  <si>
    <t>CATEGORY2_1, CATEGORY2_2, CATEGORY2_3</t>
  </si>
  <si>
    <t>RANK1_1, RANK1_2, RANK1_3</t>
  </si>
  <si>
    <t>RANK2_1, RANK2_2, RANK2_3</t>
  </si>
  <si>
    <t>A\d+</t>
  </si>
  <si>
    <t>B\d+</t>
  </si>
  <si>
    <t>0198ef6d-8543-a221-af7e-774497e4801a</t>
  </si>
  <si>
    <t>0198ef6d-8543-987d-80eb-fb29936d633c</t>
  </si>
  <si>
    <t>0198ef6d-8543-ce42-568c-c8e8405533a1</t>
  </si>
  <si>
    <t>0198ef6d-8543-8bc8-93ea-2f4c7e8626f2</t>
  </si>
  <si>
    <t>0198ef6d-8543-1062-3f54-74f967fd95da</t>
  </si>
  <si>
    <t>0198ef6d-8543-3bfd-fcb0-c5698a1b2d9a</t>
  </si>
  <si>
    <t>0198ef6d-8543-f372-ce25-38616e4c214d</t>
  </si>
  <si>
    <t>0198ef6d-8543-d9b1-6322-01cffb585d60</t>
  </si>
  <si>
    <t>0198ef6d-8543-b8fc-9de5-72be815082e0</t>
  </si>
  <si>
    <t>0198ef6d-8543-f0ab-b028-4f183545ce97</t>
  </si>
  <si>
    <t>0198ef6d-8543-371a-179d-9c036f8c66f2</t>
  </si>
  <si>
    <t>0198ef6d-8543-7325-a3c3-0be3c6d6193b</t>
  </si>
  <si>
    <t>0198ef6d-8543-61b3-63f1-bc4f52741be3</t>
  </si>
  <si>
    <t>0198ef6d-8543-f6da-4821-571b2b52bd5b</t>
  </si>
  <si>
    <t>0198ef6d-8543-369f-5adc-42e8a92a03ef</t>
  </si>
  <si>
    <t>0198ef6d-8543-c2aa-d8d8-5799599aba32</t>
  </si>
  <si>
    <t>0198ef6d-8543-379c-1b40-75609669d2dc</t>
  </si>
  <si>
    <t>0198ef6d-8543-1f4a-69a6-ef2cbe30a080</t>
  </si>
  <si>
    <t>0198ef6d-8543-3dff-04fd-3c65614d655d</t>
  </si>
  <si>
    <t>0198ef6d-8543-c3d9-408d-20f86d523b9f</t>
  </si>
  <si>
    <t>0198ef6d-8543-e425-5793-c7c455726f56</t>
  </si>
  <si>
    <t>0198ef6d-8543-0bc5-2af0-dbe7f34bc5cc</t>
  </si>
  <si>
    <t>0198ef6d-8543-58d8-f78b-17d1fd52333b</t>
  </si>
  <si>
    <t>0198ef6d-8543-95f7-7801-f7b9a1173d31</t>
  </si>
  <si>
    <t>0198ef6d-8543-d942-891d-d90db771db73</t>
  </si>
  <si>
    <t>0198ef6d-8543-8e8e-2323-db15777c232c</t>
  </si>
  <si>
    <t>0198ef6d-8543-e881-c040-0a6a35d23358</t>
  </si>
  <si>
    <t>0198ef6d-8543-2162-0198-4b380cae3fa3</t>
  </si>
  <si>
    <t>0198ef6d-8543-f61d-4edc-07bcd51c380d</t>
  </si>
  <si>
    <t>0198ef6d-8543-6468-4596-cfc7b24c16e9</t>
  </si>
  <si>
    <t>0198ef6d-8543-2afc-2c12-93e895132544</t>
  </si>
  <si>
    <t>0198ef6d-8543-c453-7e15-c4a877df12b1</t>
  </si>
  <si>
    <t>0198ef6d-8543-2029-b59b-f9f9a653936a</t>
  </si>
  <si>
    <t>0198ef6d-8543-de89-1d51-d1a00a20cfe1</t>
  </si>
  <si>
    <t>0198ef6d-8543-2da2-cd65-fdc03f304e9b</t>
  </si>
  <si>
    <t>0198ef6d-8543-90ee-8214-09a6f499e9d9</t>
  </si>
  <si>
    <t>0198ef6d-8543-a456-618e-e443bc0d35e9</t>
  </si>
  <si>
    <t>0198ef6d-8543-5532-be80-6c8a18c388da</t>
  </si>
  <si>
    <t>0198ef6d-8543-daa3-3b64-47a0bed70d1b</t>
  </si>
  <si>
    <t>0198ef6d-8543-7ab3-ba92-5fa2af40f240</t>
  </si>
  <si>
    <t>0198ef6d-8543-0e30-d86c-c2c7095525ec</t>
  </si>
  <si>
    <t>0198ef6d-8543-1443-43dc-7a07aef0da30</t>
  </si>
  <si>
    <t>0198ef6d-8543-7fbb-0745-44bb651edd00</t>
  </si>
  <si>
    <t>0198ef6d-8543-72db-d650-96776e8fd4a7</t>
  </si>
  <si>
    <t>0198ef6d-8543-aed3-82fc-8fc90e0c93fd</t>
  </si>
  <si>
    <t>0198ef6d-8543-e6af-3e5a-6494a01a06ae</t>
  </si>
  <si>
    <t>0198ef6d-8543-4e2b-87de-57604330cdd3</t>
  </si>
  <si>
    <t>0198ef6d-8543-7196-e13a-d911de7aa2aa</t>
  </si>
  <si>
    <t>0198ef6d-8543-49c9-f899-a2bd7ca7905e</t>
  </si>
  <si>
    <t>0198ef6d-8543-e911-0c7d-89e8d97702dc</t>
  </si>
  <si>
    <t>0198ef6d-8543-c287-9def-b1c31ccc15e3</t>
  </si>
  <si>
    <t>0198ef6d-8543-d41c-32e8-4166495e403d</t>
  </si>
  <si>
    <t>0198ef6d-8543-92f3-9168-2df7a147b28e</t>
  </si>
  <si>
    <t>0198ef6d-8543-83ae-9c38-8230890499d5</t>
  </si>
  <si>
    <t>0198ef6d-8543-aca5-d495-a14d205474c8</t>
  </si>
  <si>
    <t>0198ef6d-8543-059f-33dd-73f8668bc5ef</t>
  </si>
  <si>
    <t>0198ef6d-8543-87f8-e4ed-200adf224eea</t>
  </si>
  <si>
    <t>case_type_col_set1_1</t>
  </si>
  <si>
    <t>case_type_col_set1_1and2</t>
  </si>
  <si>
    <t>First and second columns of each type</t>
  </si>
  <si>
    <t>Only first columns of each type</t>
  </si>
  <si>
    <t>0198ef6d-8543-3fbf-a1f9-110b6761c7eb</t>
  </si>
  <si>
    <t>0198ef6d-8543-9ed3-edd5-510f6cc18026</t>
  </si>
  <si>
    <t>0198ef6d-8543-5eb4-7e1e-c1a08ca6a3c3</t>
  </si>
  <si>
    <t>0198ef6d-8543-b8cc-571b-68f07644b837</t>
  </si>
  <si>
    <t>0198ef6d-8543-99c8-18b3-acf6d941d084</t>
  </si>
  <si>
    <t>0198ef6d-8543-0997-3263-6216c3e24cbf</t>
  </si>
  <si>
    <t>0198ef6d-8543-bde0-4947-02dc3c677d02</t>
  </si>
  <si>
    <t>0198ef6d-8543-68ca-b77e-313e4e9aa96a</t>
  </si>
  <si>
    <t>0198ef6d-8543-5e28-a8d2-678f2da7d9c6</t>
  </si>
  <si>
    <t>0198ef6d-8543-2ae4-b52b-883c0c0bfa1b</t>
  </si>
  <si>
    <t>0198ef6d-8543-195f-67cf-10238866739a</t>
  </si>
  <si>
    <t>0198ef6d-8543-7ca2-38ae-55f7c2b44656</t>
  </si>
  <si>
    <t>0198ef6d-8543-32f8-564f-9f4af227e5c2</t>
  </si>
  <si>
    <t>0198ef6d-8543-488d-d0d3-4914d2a14c97</t>
  </si>
  <si>
    <t>0198ef6d-8543-8faa-f802-c8c662466ebb</t>
  </si>
  <si>
    <t>0198ef6d-8543-fb61-4f6a-99bba683cb02</t>
  </si>
  <si>
    <t>0198ef6d-8543-089e-e554-e69349bd1928</t>
  </si>
  <si>
    <t>0198ef6d-8543-3e12-ea3b-92e18dceb141</t>
  </si>
  <si>
    <t>0198ef6d-8543-5616-bdc2-c596398e7f2e</t>
  </si>
  <si>
    <t>0198ef6d-8543-baf9-e677-5b7f8ff662ae</t>
  </si>
  <si>
    <t>0198ef6d-8543-060d-e9c1-2449f0f969b9</t>
  </si>
  <si>
    <t>0198ef6d-8543-3c06-b0c9-97e65fccf8f1</t>
  </si>
  <si>
    <t>0198ef6d-8543-b014-1c2d-60a9a62e26d6</t>
  </si>
  <si>
    <t>0198ef6d-8543-78bb-1411-19c61cfd7fc2</t>
  </si>
  <si>
    <t>0198ef6d-8543-fcd9-3e45-ca3cda578177</t>
  </si>
  <si>
    <t>0198ef6d-8543-7cb5-0038-8b89ebf36443</t>
  </si>
  <si>
    <t>0198ef6d-8543-f772-02db-351245b5845f</t>
  </si>
  <si>
    <t>0198ef6d-8543-fb05-cbaa-4b03e836f264</t>
  </si>
  <si>
    <t>0198ef6d-8543-1366-49d9-117f0550d30a</t>
  </si>
  <si>
    <t>0198ef6d-8543-7a54-1fe9-9a3de41d1c5e</t>
  </si>
  <si>
    <t>0198ef6d-8543-a219-2c29-4c79dcacd7d5</t>
  </si>
  <si>
    <t>0198ef6d-8543-566b-82a4-c4aed3b66b1b</t>
  </si>
  <si>
    <t>0198ef6d-8543-84d9-6367-38def0d5f933</t>
  </si>
  <si>
    <t>0198ef6d-8543-c44b-22e3-b17ae9e6c16c</t>
  </si>
  <si>
    <t>0198ef6d-8543-0105-3e7a-d93d3b2e023c</t>
  </si>
  <si>
    <t>0198ef6d-8543-38c2-f976-be7f46d22c36</t>
  </si>
  <si>
    <t>0198ef6d-8543-f1c6-c072-bcb6fecc8521</t>
  </si>
  <si>
    <t>0198ef6d-8543-14e4-0103-c3650c40b794</t>
  </si>
  <si>
    <t>0198ef6d-8543-291a-9eee-cfd4c1def059</t>
  </si>
  <si>
    <t>0198ef6d-8543-56c3-4120-9a1aa7c4abfa</t>
  </si>
  <si>
    <t>0198ef6d-8543-67dc-b49c-f9558d18c346</t>
  </si>
  <si>
    <t>0198ef6d-8543-3cf5-0d55-ef5788a7841a</t>
  </si>
  <si>
    <t>0198ef6d-8543-d30c-c356-315300438cd4</t>
  </si>
  <si>
    <t>0198ef6d-8543-566b-f375-f8b263e7d174</t>
  </si>
  <si>
    <t>0198ef6d-8543-0f20-0862-e79c2f76ea5a</t>
  </si>
  <si>
    <t>0198ef6d-8543-7f55-a7b9-722625f0abcc</t>
  </si>
  <si>
    <t>0198ef6d-8543-a74b-d973-63e64c130c06</t>
  </si>
  <si>
    <t>0198ef6d-8543-63e8-f1d2-a86478466036</t>
  </si>
  <si>
    <t>0198ef6d-8543-0342-0592-b9f1b9466a2c</t>
  </si>
  <si>
    <t>0198ef6d-8543-fb25-fd76-80cdfad93e2e</t>
  </si>
  <si>
    <t>0198ef6d-8543-2bb0-bef4-969f0c814af5</t>
  </si>
  <si>
    <t>0198ef6d-8543-8df0-7da6-d62bca142a54</t>
  </si>
  <si>
    <t>0198ef6d-8543-122d-e536-cb7a64657662</t>
  </si>
  <si>
    <t>0198ef6d-8543-a4b4-99be-c8297604d0a2</t>
  </si>
  <si>
    <t>0198ef6d-8543-db0f-86c6-8a62d3111f8b</t>
  </si>
  <si>
    <t>0198ef6d-8543-85e8-a3e8-b928029a7cd4</t>
  </si>
  <si>
    <t>0198ef6d-8543-32db-ef07-65f0b3e7ec83</t>
  </si>
  <si>
    <t>0198ef6d-8543-89ba-b7b2-497cf641efd2</t>
  </si>
  <si>
    <t>0198ef6d-8543-6b32-722f-5274d551cd71</t>
  </si>
  <si>
    <t>0198ef6d-8543-298a-d2d1-09bf47c459ce</t>
  </si>
  <si>
    <t>0198ef6d-8543-77a2-3cc9-a081134f72df</t>
  </si>
  <si>
    <t>0198ef6d-8543-bb42-b87b-f68c2a153bb4</t>
  </si>
  <si>
    <t>0198ef6d-8543-6660-66c0-371197a5d4b0</t>
  </si>
  <si>
    <t>0198ef6d-8543-a97e-fd60-92f428c97064</t>
  </si>
  <si>
    <t>0198ef6d-8543-0461-4671-c88b0d4307ba</t>
  </si>
  <si>
    <t>0198ef6d-8543-2776-0a67-000fc016e1aa</t>
  </si>
  <si>
    <t>0198ef6d-8543-0c75-207c-d2320d6bd0f9</t>
  </si>
  <si>
    <t>0198ef6d-8543-1bd4-1eaf-63e9b7cf86ba</t>
  </si>
  <si>
    <t>0198ef6d-8543-2315-4108-3fdb5fd5a4a0</t>
  </si>
  <si>
    <t>0198ef6d-8543-bbab-5026-5c654ec63add</t>
  </si>
  <si>
    <t>0198ef6d-8543-eb90-bb30-d1cd21ff880f</t>
  </si>
  <si>
    <t>0198ef6d-8543-23b7-939c-1b9cc8a75310</t>
  </si>
  <si>
    <t>0198ef6d-8543-e17c-9467-cb22a9324e91</t>
  </si>
  <si>
    <t>0198ef6d-8543-9e9e-a3d4-379512ff8a2c</t>
  </si>
  <si>
    <t>0198ef6d-8543-d4de-4cf0-d3b69e5ddb84</t>
  </si>
  <si>
    <t>0198ef6d-8543-9987-4777-c60548e16bc2</t>
  </si>
  <si>
    <t>0198ef6d-8543-92cd-9b4b-d04144c78404</t>
  </si>
  <si>
    <t>0198ef6d-8543-6574-4c6a-99f554d49a1b</t>
  </si>
  <si>
    <t>0198ef6d-8543-f3aa-7a22-eacf55f02b0d</t>
  </si>
  <si>
    <t>0198ef6d-8543-beba-2424-32b7a9d4305e</t>
  </si>
  <si>
    <t>0198ef6d-8543-aea0-194c-511d1b27af92</t>
  </si>
  <si>
    <t>0198ef6d-8543-0a12-60e9-f0f529afe8de</t>
  </si>
  <si>
    <t>0198ef6d-8543-ff01-b190-4775c73c9bf3</t>
  </si>
  <si>
    <t>0198ef6d-8543-83e7-b684-bb1ec25d2eac</t>
  </si>
  <si>
    <t>0198ef6d-8543-d963-f9a6-0a8c10777839</t>
  </si>
  <si>
    <t>0198ef6d-8543-1417-4188-ac7dd15be319</t>
  </si>
  <si>
    <t>0198ef6d-8543-5009-7d08-fccf99880c21</t>
  </si>
  <si>
    <t>0198ef6d-8543-ce4b-8b13-c88d8e96cd32</t>
  </si>
  <si>
    <t>0198ef6d-8543-cf2b-9b79-225067902354</t>
  </si>
  <si>
    <t>0198ef6d-8543-f252-1d65-c273f1f94158</t>
  </si>
  <si>
    <t>0198ef6d-8543-8e2b-595e-6c89fea66262</t>
  </si>
  <si>
    <t>0198ef6d-8543-d35b-89ea-5a612bd9860d</t>
  </si>
  <si>
    <t>0198ef6d-8543-ffa1-beee-85ae122e0c95</t>
  </si>
  <si>
    <t>0198ef6d-8543-8207-d05d-c6f5fc500ef0</t>
  </si>
  <si>
    <t>0198ef6d-8543-20f2-b57b-dd8c14412f19</t>
  </si>
  <si>
    <t>value</t>
  </si>
  <si>
    <t>0198ef6d-8543-d4c1-b8e7-b6f93524b895</t>
  </si>
  <si>
    <t>CATEGORY2_1</t>
  </si>
  <si>
    <t>RANK1_1</t>
  </si>
  <si>
    <t>A1</t>
  </si>
  <si>
    <t>B1</t>
  </si>
  <si>
    <t>X</t>
  </si>
  <si>
    <t>2024-01-01</t>
  </si>
  <si>
    <t>2024-01</t>
  </si>
  <si>
    <t>2024-W01</t>
  </si>
  <si>
    <t>2024-Q1</t>
  </si>
  <si>
    <t>2024</t>
  </si>
  <si>
    <t>2025-01-01</t>
  </si>
  <si>
    <t>2025-W01</t>
  </si>
  <si>
    <t>2025-01</t>
  </si>
  <si>
    <t>2025-Q1</t>
  </si>
  <si>
    <t>2025</t>
  </si>
  <si>
    <t>0198ef6d-8543-8644-c476-b020fa968b83</t>
  </si>
  <si>
    <t>0198ef6d-8543-5f5c-97f7-fa25919c719d</t>
  </si>
  <si>
    <t>0</t>
  </si>
  <si>
    <t>OTHER1_1</t>
  </si>
  <si>
    <t>OTHER2_1</t>
  </si>
  <si>
    <t>comment</t>
  </si>
  <si>
    <t>0198ef6d-8543-9674-3177-8a8c8da8bc3f</t>
  </si>
  <si>
    <t>case_id1</t>
  </si>
  <si>
    <t>created_in_data_collection_id</t>
  </si>
  <si>
    <t>dm.created_in_data_collection.name</t>
  </si>
  <si>
    <t>dm.case.case_type_id</t>
  </si>
  <si>
    <t>dm.case_type_col.case_type_id</t>
  </si>
  <si>
    <t>count</t>
  </si>
  <si>
    <t>case_date</t>
  </si>
  <si>
    <t>dm.is_allowed.case_type</t>
  </si>
  <si>
    <t>NOMINAL_1</t>
  </si>
  <si>
    <t>Nominal_1</t>
  </si>
  <si>
    <t>NOMINAL_2</t>
  </si>
  <si>
    <t>Nominal_2</t>
  </si>
  <si>
    <t>ORDINAL_1</t>
  </si>
  <si>
    <t>Ordinal_1</t>
  </si>
  <si>
    <t>ORDINAL_2</t>
  </si>
  <si>
    <t>Ordinal_2</t>
  </si>
  <si>
    <t>AGE_CATEGORY_1</t>
  </si>
  <si>
    <t>AGE_CATEGORY_2</t>
  </si>
  <si>
    <t>AGE_CATEGORY_3</t>
  </si>
  <si>
    <t>AGE_CATEGORY_4</t>
  </si>
  <si>
    <t>AGE_CATEGORY_5</t>
  </si>
  <si>
    <t>REGULAR_LANGUAGE_1</t>
  </si>
  <si>
    <t>Regex_1</t>
  </si>
  <si>
    <t>REGULAR_LANGUAGE_2</t>
  </si>
  <si>
    <t>Regex_2</t>
  </si>
  <si>
    <t>PC_L4</t>
  </si>
  <si>
    <t>PC_L3</t>
  </si>
  <si>
    <t>region_set_name</t>
  </si>
  <si>
    <t>MUN_A</t>
  </si>
  <si>
    <t>MUN_B</t>
  </si>
  <si>
    <t>MUN_C</t>
  </si>
  <si>
    <t>PV_1</t>
  </si>
  <si>
    <t>PV_2</t>
  </si>
  <si>
    <t>PV_3</t>
  </si>
  <si>
    <t>from_region_name</t>
  </si>
  <si>
    <t>to_region_name</t>
  </si>
  <si>
    <t>root1_1@org1_org</t>
  </si>
  <si>
    <t>app_admin1_1@org1_org</t>
  </si>
  <si>
    <t>refdata_admin1_1@org1_org</t>
  </si>
  <si>
    <t>org_admin1_1@org1_org</t>
  </si>
  <si>
    <t>org_admin2_1@org2_org</t>
  </si>
  <si>
    <t>org_admin3_1@org3_org</t>
  </si>
  <si>
    <t>org_admin4_1@org4_org</t>
  </si>
  <si>
    <t>org_admin5_1@org5_org</t>
  </si>
  <si>
    <t>org_user1_1@org1_org</t>
  </si>
  <si>
    <t>org_user1_2@org1_org</t>
  </si>
  <si>
    <t>org_user1_3@org1_org</t>
  </si>
  <si>
    <t>org_user1_4@org1_org</t>
  </si>
  <si>
    <t>org_user2_1@org2_org</t>
  </si>
  <si>
    <t>org_user2_2@org2_org</t>
  </si>
  <si>
    <t>org_user2_3@org2_org</t>
  </si>
  <si>
    <t>org_user2_4@org2_org</t>
  </si>
  <si>
    <t>org_user3_1@org3_org</t>
  </si>
  <si>
    <t>org_user3_2@org3_org</t>
  </si>
  <si>
    <t>org_user3_3@org3_org</t>
  </si>
  <si>
    <t>org_user3_4@org3_org</t>
  </si>
  <si>
    <t>org_user4_1@org4_org</t>
  </si>
  <si>
    <t>org_user4_2@org4_org</t>
  </si>
  <si>
    <t>org_user4_3@org4_org</t>
  </si>
  <si>
    <t>org_user4_4@org4_org</t>
  </si>
  <si>
    <t>org_user5_1@org5_org</t>
  </si>
  <si>
    <t>org_user5_2@org5_org</t>
  </si>
  <si>
    <t>org_user5_3@org5_org</t>
  </si>
  <si>
    <t>org_user5_4@org5_org</t>
  </si>
  <si>
    <t>dim_code</t>
  </si>
  <si>
    <t>concept_set_name</t>
  </si>
  <si>
    <t>_1</t>
  </si>
  <si>
    <t>_2</t>
  </si>
  <si>
    <t>_3</t>
  </si>
  <si>
    <t>_4</t>
  </si>
  <si>
    <t>_5</t>
  </si>
  <si>
    <t>case_type_name</t>
  </si>
  <si>
    <t>col_description</t>
  </si>
  <si>
    <t>case_case_type_id1</t>
  </si>
  <si>
    <t>case_created_in_data_collection_id1</t>
  </si>
  <si>
    <t>case_id</t>
  </si>
  <si>
    <t>dm.is_allowed_value</t>
  </si>
  <si>
    <t>dm.case_type_col_code</t>
  </si>
  <si>
    <t>dm.case_case_type_name</t>
  </si>
  <si>
    <t>dm.case_type_name</t>
  </si>
  <si>
    <t>dm.is_allowed_content</t>
  </si>
  <si>
    <t>dm.concept_set_code</t>
  </si>
  <si>
    <t>dm.organization_name</t>
  </si>
  <si>
    <t>dm.roles_is_root</t>
  </si>
  <si>
    <t>dm.roles_is_app_admin</t>
  </si>
  <si>
    <t>dm.roles_is_refdata_admin</t>
  </si>
  <si>
    <t>dm.roles_is_org_user</t>
  </si>
  <si>
    <t>dm.disease_name</t>
  </si>
  <si>
    <t>dm.etiological_agent_name</t>
  </si>
  <si>
    <t>dm.case_type_set_category_name</t>
  </si>
  <si>
    <t>dm.case_type_set_name</t>
  </si>
  <si>
    <t>dm.case_type_code</t>
  </si>
  <si>
    <t>dm.organization_id</t>
  </si>
  <si>
    <t>dm.user_roles_is_ge_app_admin</t>
  </si>
  <si>
    <t>dm.organization_access_case_policy_row</t>
  </si>
  <si>
    <t>dm.organization_access_case_policy_case_type_set_contains_case_type</t>
  </si>
  <si>
    <t>dm.organization_access_case_policy_add_case</t>
  </si>
  <si>
    <t>dm.organization_access_case_policy_remove_case</t>
  </si>
  <si>
    <t>dm.user_access_case_policy_row</t>
  </si>
  <si>
    <t>dm.user_access_case_policy_case_type_set_contains_case_type</t>
  </si>
  <si>
    <t>dm.user_access_case_policy_add_case</t>
  </si>
  <si>
    <t>dm.user_access_case_policy_remove_case</t>
  </si>
  <si>
    <t>dm.created_in_data_collection_name</t>
  </si>
  <si>
    <t>dm.case_case_type_matches1</t>
  </si>
  <si>
    <t>dm.case_created_in_data_collection_matches1</t>
  </si>
  <si>
    <t>dm.case_type_col_set_code</t>
  </si>
  <si>
    <t>dm.data_collection_name</t>
  </si>
  <si>
    <t>dm.read_case_type_col_set_name</t>
  </si>
  <si>
    <t>dm.write_case_type_col_set_name</t>
  </si>
  <si>
    <t>dm.user_organization_id</t>
  </si>
  <si>
    <t>dm.user_organization_name</t>
  </si>
  <si>
    <t>dm.user_name</t>
  </si>
  <si>
    <t>dm.from_data_collection_name</t>
  </si>
  <si>
    <t>dm.case_type_col.col_id</t>
  </si>
  <si>
    <t>dm.case_type_col.col.concept_set_id</t>
  </si>
  <si>
    <t>dm.case_type_col.col.region_set_id</t>
  </si>
  <si>
    <t>dm.key.abbreviation</t>
  </si>
  <si>
    <t>dm.key.name</t>
  </si>
  <si>
    <t>dm.key.id</t>
  </si>
  <si>
    <t>dm.key.code</t>
  </si>
  <si>
    <t>B</t>
  </si>
  <si>
    <t>C</t>
  </si>
  <si>
    <t>Province_1</t>
  </si>
  <si>
    <t>Province_2</t>
  </si>
  <si>
    <t>Province_3</t>
  </si>
  <si>
    <t>dm.concept_id</t>
  </si>
  <si>
    <t>dm.region_id</t>
  </si>
  <si>
    <t>RANK2_1</t>
  </si>
  <si>
    <t>dm.case_type_col.col.col_type</t>
  </si>
  <si>
    <t>validated_value</t>
  </si>
  <si>
    <t>dm.has_override_validated_value</t>
  </si>
  <si>
    <t>dm.override_validated_value</t>
  </si>
  <si>
    <t>15-24</t>
  </si>
  <si>
    <t>19-64</t>
  </si>
  <si>
    <t>1M</t>
  </si>
  <si>
    <t>dm.case_type_col.col.dim.id</t>
  </si>
  <si>
    <t>dm.case_type_col.col.dim.name</t>
  </si>
  <si>
    <t>dm.case_type_col.col.dim.type</t>
  </si>
  <si>
    <t>is_update</t>
  </si>
  <si>
    <t>dm.is_active</t>
  </si>
  <si>
    <t>0198ef6d-8543-84b3-b062-46c55df6611b</t>
  </si>
  <si>
    <t>0198ef6d-8543-019e-9b59-3976812ba31d</t>
  </si>
  <si>
    <t>0198ef6d-8543-9692-4d73-8baa6656fb8d</t>
  </si>
  <si>
    <t>from_concept_id</t>
  </si>
  <si>
    <t>to_concept_id</t>
  </si>
  <si>
    <t>dm.qc.no_identical_from_to</t>
  </si>
  <si>
    <t>dm.from_concept.concept_set.code</t>
  </si>
  <si>
    <t>dm.to_concept.concept_set.code</t>
  </si>
  <si>
    <t>019965ee-523d-8f13-b94b-16fb4469bb06</t>
  </si>
  <si>
    <t>019965ee-523d-6fda-d1cb-4f3cb8eb8637</t>
  </si>
  <si>
    <t>dm.from_concept.name</t>
  </si>
  <si>
    <t>dm.to_concept.name</t>
  </si>
  <si>
    <t>019542cc-8225-8f5d-fa30-d9c3f2629703</t>
  </si>
  <si>
    <t>key</t>
  </si>
  <si>
    <t>["CASEDB_APP_ADMIN"]</t>
  </si>
  <si>
    <t>["CASEDB_REFDATA_ADMIN"]</t>
  </si>
  <si>
    <t>["CASEDB_ORG_ADMIN"]</t>
  </si>
  <si>
    <t>["CASEDB_ORG_USER"]</t>
  </si>
  <si>
    <t>["CASEDB_ROOT"]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</si>
</sst>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2" borderId="2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1" fillId="3" borderId="0" xfId="0" applyFont="1" applyFill="1" applyAlignment="1">
      <alignment horizontal="left" vertical="top"/>
    </xf>
    <xf numFmtId="0" fontId="0" fillId="3" borderId="0" xfId="0" applyFill="1"/>
    <xf numFmtId="0" fontId="3" fillId="0" borderId="0" xfId="0" applyFont="1" applyAlignment="1">
      <alignment horizontal="left" vertical="top"/>
    </xf>
    <xf numFmtId="0" fontId="3" fillId="3" borderId="0" xfId="0" applyFont="1" applyFill="1" applyAlignment="1">
      <alignment horizontal="left" vertical="top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center" vertical="top"/>
    </xf>
    <xf numFmtId="0" fontId="0" fillId="0" borderId="0" xfId="0" quotePrefix="1"/>
    <xf numFmtId="0" fontId="1" fillId="4" borderId="1" xfId="0" applyFont="1" applyFill="1" applyBorder="1" applyAlignment="1">
      <alignment horizontal="center" vertical="top"/>
    </xf>
    <xf numFmtId="0" fontId="0" fillId="4" borderId="0" xfId="0" applyFill="1"/>
    <xf numFmtId="14" fontId="0" fillId="0" borderId="0" xfId="0" applyNumberFormat="1"/>
    <xf numFmtId="0" fontId="0" fillId="3" borderId="0" xfId="0" applyFill="1" applyAlignment="1">
      <alignment horizontal="left"/>
    </xf>
    <xf numFmtId="0" fontId="1" fillId="3" borderId="3" xfId="0" applyFont="1" applyFill="1" applyBorder="1" applyAlignment="1">
      <alignment horizontal="center" vertical="top"/>
    </xf>
    <xf numFmtId="0" fontId="1" fillId="3" borderId="4" xfId="0" applyFont="1" applyFill="1" applyBorder="1" applyAlignment="1">
      <alignment horizontal="center" vertical="top"/>
    </xf>
    <xf numFmtId="0" fontId="2" fillId="3" borderId="0" xfId="0" applyFont="1" applyFill="1" applyAlignment="1">
      <alignment horizontal="left"/>
    </xf>
    <xf numFmtId="0" fontId="0" fillId="5" borderId="0" xfId="0" applyFill="1"/>
    <xf numFmtId="0" fontId="5" fillId="0" borderId="0" xfId="1"/>
    <xf numFmtId="0" fontId="7" fillId="0" borderId="1" xfId="0" applyFont="1" applyBorder="1" applyAlignment="1">
      <alignment horizontal="center" vertical="top"/>
    </xf>
    <xf numFmtId="0" fontId="6" fillId="0" borderId="0" xfId="0" applyFont="1"/>
    <xf numFmtId="17" fontId="0" fillId="0" borderId="0" xfId="0" quotePrefix="1" applyNumberFormat="1"/>
    <xf numFmtId="0" fontId="6" fillId="3" borderId="0" xfId="0" applyFont="1" applyFill="1"/>
    <xf numFmtId="0" fontId="7" fillId="3" borderId="3" xfId="0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vo Van Walle" id="{C9EC6694-F514-41B3-A525-ED38F2FC4C4C}" userId="a643b6571df4939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" dT="2024-04-21T06:55:07.33" personId="{C9EC6694-F514-41B3-A525-ED38F2FC4C4C}" id="{15E51B03-5627-4D35-8093-BE59EFA2D09A}">
    <text>Different per standard:
- CDISC SDTM CT: one concept links to a single concept set, so can be filled in here</text>
  </threadedComment>
  <threadedComment ref="J1" dT="2024-04-21T06:55:07.33" personId="{C9EC6694-F514-41B3-A525-ED38F2FC4C4C}" id="{96837521-0505-42A2-B219-8A2F66E4A91C}">
    <text>Different per standard:
- CDISC SDTM CT: one concept links to a single concept set, so can be filled in here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mailto:refdata_admin1_1@org1.org" TargetMode="External"/><Relationship Id="rId1" Type="http://schemas.openxmlformats.org/officeDocument/2006/relationships/hyperlink" Target="mailto:refdata_admin1_1@org1.org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mailto:refdata_admin1_1@org1.org" TargetMode="External"/><Relationship Id="rId1" Type="http://schemas.openxmlformats.org/officeDocument/2006/relationships/hyperlink" Target="mailto:refdata_admin1_1@org1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BA112-3177-4B6E-842E-8D66A82353FC}">
  <dimension ref="A1:H12"/>
  <sheetViews>
    <sheetView workbookViewId="0">
      <selection activeCell="A10" sqref="A10"/>
    </sheetView>
  </sheetViews>
  <sheetFormatPr defaultRowHeight="14.4" x14ac:dyDescent="0.3"/>
  <cols>
    <col min="1" max="1" width="35.6640625" bestFit="1" customWidth="1"/>
    <col min="2" max="2" width="24.5546875" bestFit="1" customWidth="1"/>
    <col min="3" max="3" width="44.77734375" bestFit="1" customWidth="1"/>
    <col min="4" max="4" width="19.21875" bestFit="1" customWidth="1"/>
    <col min="5" max="5" width="5.44140625" bestFit="1" customWidth="1"/>
    <col min="6" max="6" width="16.109375" bestFit="1" customWidth="1"/>
    <col min="7" max="7" width="10.33203125" bestFit="1" customWidth="1"/>
    <col min="8" max="8" width="44.77734375" bestFit="1" customWidth="1"/>
  </cols>
  <sheetData>
    <row r="1" spans="1:8" x14ac:dyDescent="0.3">
      <c r="A1" t="s">
        <v>0</v>
      </c>
      <c r="B1" t="s">
        <v>142</v>
      </c>
      <c r="C1" t="s">
        <v>57</v>
      </c>
      <c r="D1" t="s">
        <v>292</v>
      </c>
      <c r="E1" t="s">
        <v>300</v>
      </c>
      <c r="F1" t="s">
        <v>301</v>
      </c>
      <c r="G1" t="s">
        <v>302</v>
      </c>
      <c r="H1" t="s">
        <v>78</v>
      </c>
    </row>
    <row r="2" spans="1:8" x14ac:dyDescent="0.3">
      <c r="A2" t="s">
        <v>337</v>
      </c>
      <c r="B2" t="s">
        <v>724</v>
      </c>
      <c r="C2" t="s">
        <v>725</v>
      </c>
      <c r="D2" t="s">
        <v>304</v>
      </c>
      <c r="H2" t="s">
        <v>530</v>
      </c>
    </row>
    <row r="3" spans="1:8" x14ac:dyDescent="0.3">
      <c r="A3" t="s">
        <v>338</v>
      </c>
      <c r="B3" t="s">
        <v>726</v>
      </c>
      <c r="C3" t="s">
        <v>727</v>
      </c>
      <c r="D3" t="s">
        <v>304</v>
      </c>
      <c r="H3" t="s">
        <v>531</v>
      </c>
    </row>
    <row r="4" spans="1:8" x14ac:dyDescent="0.3">
      <c r="A4" t="s">
        <v>339</v>
      </c>
      <c r="B4" t="s">
        <v>728</v>
      </c>
      <c r="C4" t="s">
        <v>729</v>
      </c>
      <c r="D4" t="s">
        <v>303</v>
      </c>
      <c r="H4" t="s">
        <v>532</v>
      </c>
    </row>
    <row r="5" spans="1:8" x14ac:dyDescent="0.3">
      <c r="A5" t="s">
        <v>340</v>
      </c>
      <c r="B5" t="s">
        <v>730</v>
      </c>
      <c r="C5" t="s">
        <v>731</v>
      </c>
      <c r="D5" t="s">
        <v>303</v>
      </c>
      <c r="H5" t="s">
        <v>533</v>
      </c>
    </row>
    <row r="6" spans="1:8" x14ac:dyDescent="0.3">
      <c r="A6" t="s">
        <v>341</v>
      </c>
      <c r="B6" t="s">
        <v>732</v>
      </c>
      <c r="C6" t="s">
        <v>305</v>
      </c>
      <c r="D6" t="s">
        <v>348</v>
      </c>
      <c r="H6" t="s">
        <v>305</v>
      </c>
    </row>
    <row r="7" spans="1:8" x14ac:dyDescent="0.3">
      <c r="A7" t="s">
        <v>342</v>
      </c>
      <c r="B7" t="s">
        <v>733</v>
      </c>
      <c r="C7" t="s">
        <v>306</v>
      </c>
      <c r="D7" t="s">
        <v>348</v>
      </c>
      <c r="H7" t="s">
        <v>306</v>
      </c>
    </row>
    <row r="8" spans="1:8" x14ac:dyDescent="0.3">
      <c r="A8" t="s">
        <v>343</v>
      </c>
      <c r="B8" t="s">
        <v>734</v>
      </c>
      <c r="C8" t="s">
        <v>307</v>
      </c>
      <c r="D8" t="s">
        <v>348</v>
      </c>
      <c r="H8" t="s">
        <v>307</v>
      </c>
    </row>
    <row r="9" spans="1:8" x14ac:dyDescent="0.3">
      <c r="A9" t="s">
        <v>344</v>
      </c>
      <c r="B9" t="s">
        <v>735</v>
      </c>
      <c r="C9" t="s">
        <v>308</v>
      </c>
      <c r="D9" t="s">
        <v>348</v>
      </c>
      <c r="H9" t="s">
        <v>308</v>
      </c>
    </row>
    <row r="10" spans="1:8" x14ac:dyDescent="0.3">
      <c r="A10" t="s">
        <v>345</v>
      </c>
      <c r="B10" t="s">
        <v>736</v>
      </c>
      <c r="C10" t="s">
        <v>309</v>
      </c>
      <c r="D10" t="s">
        <v>348</v>
      </c>
      <c r="H10" t="s">
        <v>309</v>
      </c>
    </row>
    <row r="11" spans="1:8" x14ac:dyDescent="0.3">
      <c r="A11" t="s">
        <v>346</v>
      </c>
      <c r="B11" t="s">
        <v>737</v>
      </c>
      <c r="C11" t="s">
        <v>738</v>
      </c>
      <c r="D11" t="s">
        <v>310</v>
      </c>
      <c r="E11" t="s">
        <v>534</v>
      </c>
      <c r="H11" t="s">
        <v>534</v>
      </c>
    </row>
    <row r="12" spans="1:8" x14ac:dyDescent="0.3">
      <c r="A12" t="s">
        <v>347</v>
      </c>
      <c r="B12" t="s">
        <v>739</v>
      </c>
      <c r="C12" t="s">
        <v>740</v>
      </c>
      <c r="D12" t="s">
        <v>310</v>
      </c>
      <c r="E12" t="s">
        <v>535</v>
      </c>
      <c r="H12" t="s">
        <v>535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97149-B80C-47C2-B2E8-DC2740D627A8}">
  <dimension ref="A1:M32"/>
  <sheetViews>
    <sheetView workbookViewId="0">
      <selection activeCell="F4" sqref="F4"/>
    </sheetView>
  </sheetViews>
  <sheetFormatPr defaultRowHeight="14.4" x14ac:dyDescent="0.3"/>
  <cols>
    <col min="1" max="1" width="35.6640625" bestFit="1" customWidth="1"/>
    <col min="2" max="2" width="15.5546875" bestFit="1" customWidth="1"/>
    <col min="3" max="3" width="19.88671875" bestFit="1" customWidth="1"/>
    <col min="4" max="4" width="10" bestFit="1" customWidth="1"/>
    <col min="5" max="5" width="10" customWidth="1"/>
    <col min="6" max="6" width="49.5546875" bestFit="1" customWidth="1"/>
    <col min="7" max="7" width="5.5546875" bestFit="1" customWidth="1"/>
    <col min="8" max="8" width="6.109375" bestFit="1" customWidth="1"/>
    <col min="9" max="9" width="18.88671875" style="6" bestFit="1" customWidth="1"/>
    <col min="10" max="10" width="36" bestFit="1" customWidth="1"/>
    <col min="11" max="11" width="12.88671875" style="6" customWidth="1"/>
    <col min="12" max="12" width="46.109375" style="6" bestFit="1" customWidth="1"/>
    <col min="13" max="13" width="14.77734375" style="6" customWidth="1"/>
  </cols>
  <sheetData>
    <row r="1" spans="1:13" x14ac:dyDescent="0.3">
      <c r="A1" t="s">
        <v>0</v>
      </c>
      <c r="B1" t="s">
        <v>142</v>
      </c>
      <c r="C1" t="s">
        <v>57</v>
      </c>
      <c r="D1" t="s">
        <v>78</v>
      </c>
      <c r="E1" t="s">
        <v>81</v>
      </c>
      <c r="F1" t="s">
        <v>153</v>
      </c>
      <c r="G1" t="s">
        <v>311</v>
      </c>
      <c r="H1" t="s">
        <v>312</v>
      </c>
      <c r="I1" s="6" t="s">
        <v>797</v>
      </c>
      <c r="J1" t="s">
        <v>184</v>
      </c>
      <c r="K1" s="6" t="s">
        <v>834</v>
      </c>
      <c r="L1" s="6" t="s">
        <v>832</v>
      </c>
      <c r="M1" s="6" t="s">
        <v>833</v>
      </c>
    </row>
    <row r="2" spans="1:13" x14ac:dyDescent="0.3">
      <c r="A2" t="s">
        <v>315</v>
      </c>
      <c r="B2" t="s">
        <v>332</v>
      </c>
      <c r="C2" t="s">
        <v>350</v>
      </c>
      <c r="F2" t="s">
        <v>154</v>
      </c>
      <c r="I2" s="6" t="str">
        <f>INDEX(ConceptSet!$B:$B,MATCH($J2,ConceptSet!$A:$A,0))</f>
        <v>NOMINAL_1</v>
      </c>
      <c r="J2" t="s">
        <v>337</v>
      </c>
      <c r="K2" s="6" t="str">
        <f>LOWER($J2)&amp;"|"&amp;LOWER($A2)</f>
        <v>0198ef6d-8543-90a8-a647-ae05912c77ba|0198ef6d-8543-1558-187c-47880d4b485e</v>
      </c>
      <c r="L2" s="6" t="str">
        <f>LOWER($J2)&amp;"|"&amp;LOWER($B2)</f>
        <v>0198ef6d-8543-90a8-a647-ae05912c77ba|category1</v>
      </c>
      <c r="M2" s="6" t="str">
        <f>LOWER($J2)&amp;"|"&amp;LOWER($C2)</f>
        <v>0198ef6d-8543-90a8-a647-ae05912c77ba|category1_1</v>
      </c>
    </row>
    <row r="3" spans="1:13" x14ac:dyDescent="0.3">
      <c r="A3" t="s">
        <v>314</v>
      </c>
      <c r="B3" t="s">
        <v>333</v>
      </c>
      <c r="C3" t="s">
        <v>351</v>
      </c>
      <c r="F3" t="s">
        <v>154</v>
      </c>
      <c r="I3" s="6" t="str">
        <f>INDEX(ConceptSet!$B:$B,MATCH($J3,ConceptSet!$A:$A,0))</f>
        <v>NOMINAL_1</v>
      </c>
      <c r="J3" t="s">
        <v>337</v>
      </c>
      <c r="K3" s="6" t="str">
        <f t="shared" ref="K3:K32" si="0">LOWER($J3)&amp;"|"&amp;LOWER($A3)</f>
        <v>0198ef6d-8543-90a8-a647-ae05912c77ba|0198ef6d-8543-022e-af76-07950e3be6d8</v>
      </c>
      <c r="L3" s="6" t="str">
        <f t="shared" ref="L3:L32" si="1">LOWER($J3)&amp;"|"&amp;LOWER($B3)</f>
        <v>0198ef6d-8543-90a8-a647-ae05912c77ba|category2</v>
      </c>
      <c r="M3" s="6" t="str">
        <f t="shared" ref="M3:M32" si="2">LOWER($J3)&amp;"|"&amp;LOWER($C3)</f>
        <v>0198ef6d-8543-90a8-a647-ae05912c77ba|category1_2</v>
      </c>
    </row>
    <row r="4" spans="1:13" x14ac:dyDescent="0.3">
      <c r="A4" t="s">
        <v>363</v>
      </c>
      <c r="B4" t="s">
        <v>352</v>
      </c>
      <c r="C4" t="s">
        <v>353</v>
      </c>
      <c r="F4" t="s">
        <v>154</v>
      </c>
      <c r="I4" s="6" t="str">
        <f>INDEX(ConceptSet!$B:$B,MATCH($J4,ConceptSet!$A:$A,0))</f>
        <v>NOMINAL_1</v>
      </c>
      <c r="J4" t="s">
        <v>337</v>
      </c>
      <c r="K4" s="6" t="str">
        <f t="shared" si="0"/>
        <v>0198ef6d-8543-90a8-a647-ae05912c77ba|0198ef6d-8543-e759-11f0-adca304123d1</v>
      </c>
      <c r="L4" s="6" t="str">
        <f t="shared" si="1"/>
        <v>0198ef6d-8543-90a8-a647-ae05912c77ba|category3</v>
      </c>
      <c r="M4" s="6" t="str">
        <f t="shared" si="2"/>
        <v>0198ef6d-8543-90a8-a647-ae05912c77ba|category1_3</v>
      </c>
    </row>
    <row r="5" spans="1:13" x14ac:dyDescent="0.3">
      <c r="A5" t="s">
        <v>364</v>
      </c>
      <c r="B5" t="s">
        <v>332</v>
      </c>
      <c r="C5" t="s">
        <v>354</v>
      </c>
      <c r="F5" t="s">
        <v>154</v>
      </c>
      <c r="I5" s="6" t="str">
        <f>INDEX(ConceptSet!$B:$B,MATCH($J5,ConceptSet!$A:$A,0))</f>
        <v>NOMINAL_2</v>
      </c>
      <c r="J5" t="s">
        <v>338</v>
      </c>
      <c r="K5" s="6" t="str">
        <f t="shared" si="0"/>
        <v>0198ef6d-8543-2a99-b3be-b0d2583cb604|0198ef6d-8543-6ac9-4915-b0f74393baa3</v>
      </c>
      <c r="L5" s="6" t="str">
        <f t="shared" si="1"/>
        <v>0198ef6d-8543-2a99-b3be-b0d2583cb604|category1</v>
      </c>
      <c r="M5" s="6" t="str">
        <f t="shared" si="2"/>
        <v>0198ef6d-8543-2a99-b3be-b0d2583cb604|category2_1</v>
      </c>
    </row>
    <row r="6" spans="1:13" x14ac:dyDescent="0.3">
      <c r="A6" t="s">
        <v>365</v>
      </c>
      <c r="B6" t="s">
        <v>333</v>
      </c>
      <c r="C6" t="s">
        <v>355</v>
      </c>
      <c r="F6" t="s">
        <v>154</v>
      </c>
      <c r="I6" s="6" t="str">
        <f>INDEX(ConceptSet!$B:$B,MATCH($J6,ConceptSet!$A:$A,0))</f>
        <v>NOMINAL_2</v>
      </c>
      <c r="J6" t="s">
        <v>338</v>
      </c>
      <c r="K6" s="6" t="str">
        <f t="shared" si="0"/>
        <v>0198ef6d-8543-2a99-b3be-b0d2583cb604|0198ef6d-8543-d8eb-6c3e-2b68e40942f8</v>
      </c>
      <c r="L6" s="6" t="str">
        <f t="shared" si="1"/>
        <v>0198ef6d-8543-2a99-b3be-b0d2583cb604|category2</v>
      </c>
      <c r="M6" s="6" t="str">
        <f t="shared" si="2"/>
        <v>0198ef6d-8543-2a99-b3be-b0d2583cb604|category2_2</v>
      </c>
    </row>
    <row r="7" spans="1:13" x14ac:dyDescent="0.3">
      <c r="A7" t="s">
        <v>366</v>
      </c>
      <c r="B7" t="s">
        <v>352</v>
      </c>
      <c r="C7" t="s">
        <v>356</v>
      </c>
      <c r="F7" t="s">
        <v>154</v>
      </c>
      <c r="I7" s="6" t="str">
        <f>INDEX(ConceptSet!$B:$B,MATCH($J7,ConceptSet!$A:$A,0))</f>
        <v>NOMINAL_2</v>
      </c>
      <c r="J7" t="s">
        <v>338</v>
      </c>
      <c r="K7" s="6" t="str">
        <f t="shared" si="0"/>
        <v>0198ef6d-8543-2a99-b3be-b0d2583cb604|0198ef6d-8543-2764-1452-6fe25c191511</v>
      </c>
      <c r="L7" s="6" t="str">
        <f t="shared" si="1"/>
        <v>0198ef6d-8543-2a99-b3be-b0d2583cb604|category3</v>
      </c>
      <c r="M7" s="6" t="str">
        <f t="shared" si="2"/>
        <v>0198ef6d-8543-2a99-b3be-b0d2583cb604|category2_3</v>
      </c>
    </row>
    <row r="8" spans="1:13" x14ac:dyDescent="0.3">
      <c r="A8" t="s">
        <v>367</v>
      </c>
      <c r="B8" t="s">
        <v>334</v>
      </c>
      <c r="C8" t="s">
        <v>357</v>
      </c>
      <c r="E8">
        <v>1</v>
      </c>
      <c r="F8" t="s">
        <v>154</v>
      </c>
      <c r="I8" s="6" t="str">
        <f>INDEX(ConceptSet!$B:$B,MATCH($J8,ConceptSet!$A:$A,0))</f>
        <v>ORDINAL_1</v>
      </c>
      <c r="J8" t="s">
        <v>339</v>
      </c>
      <c r="K8" s="6" t="str">
        <f t="shared" si="0"/>
        <v>0198ef6d-8543-b279-03a6-da9684b42b08|0198ef6d-8543-73c8-d3af-92aa66e44b8c</v>
      </c>
      <c r="L8" s="6" t="str">
        <f t="shared" si="1"/>
        <v>0198ef6d-8543-b279-03a6-da9684b42b08|rank1</v>
      </c>
      <c r="M8" s="6" t="str">
        <f t="shared" si="2"/>
        <v>0198ef6d-8543-b279-03a6-da9684b42b08|rank1_1</v>
      </c>
    </row>
    <row r="9" spans="1:13" x14ac:dyDescent="0.3">
      <c r="A9" t="s">
        <v>368</v>
      </c>
      <c r="B9" t="s">
        <v>335</v>
      </c>
      <c r="C9" t="s">
        <v>358</v>
      </c>
      <c r="E9">
        <v>2</v>
      </c>
      <c r="F9" t="s">
        <v>154</v>
      </c>
      <c r="I9" s="6" t="str">
        <f>INDEX(ConceptSet!$B:$B,MATCH($J9,ConceptSet!$A:$A,0))</f>
        <v>ORDINAL_1</v>
      </c>
      <c r="J9" t="s">
        <v>339</v>
      </c>
      <c r="K9" s="6" t="str">
        <f t="shared" si="0"/>
        <v>0198ef6d-8543-b279-03a6-da9684b42b08|0198ef6d-8543-7395-2023-95bfee798f65</v>
      </c>
      <c r="L9" s="6" t="str">
        <f t="shared" si="1"/>
        <v>0198ef6d-8543-b279-03a6-da9684b42b08|rank2</v>
      </c>
      <c r="M9" s="6" t="str">
        <f t="shared" si="2"/>
        <v>0198ef6d-8543-b279-03a6-da9684b42b08|rank1_2</v>
      </c>
    </row>
    <row r="10" spans="1:13" x14ac:dyDescent="0.3">
      <c r="A10" t="s">
        <v>369</v>
      </c>
      <c r="B10" t="s">
        <v>336</v>
      </c>
      <c r="C10" t="s">
        <v>359</v>
      </c>
      <c r="E10">
        <v>3</v>
      </c>
      <c r="F10" t="s">
        <v>154</v>
      </c>
      <c r="I10" s="6" t="str">
        <f>INDEX(ConceptSet!$B:$B,MATCH($J10,ConceptSet!$A:$A,0))</f>
        <v>ORDINAL_1</v>
      </c>
      <c r="J10" t="s">
        <v>339</v>
      </c>
      <c r="K10" s="6" t="str">
        <f t="shared" si="0"/>
        <v>0198ef6d-8543-b279-03a6-da9684b42b08|0198ef6d-8543-ef67-b7ee-fa35926c01fd</v>
      </c>
      <c r="L10" s="6" t="str">
        <f t="shared" si="1"/>
        <v>0198ef6d-8543-b279-03a6-da9684b42b08|rank3</v>
      </c>
      <c r="M10" s="6" t="str">
        <f t="shared" si="2"/>
        <v>0198ef6d-8543-b279-03a6-da9684b42b08|rank1_3</v>
      </c>
    </row>
    <row r="11" spans="1:13" x14ac:dyDescent="0.3">
      <c r="A11" t="s">
        <v>370</v>
      </c>
      <c r="B11" t="s">
        <v>334</v>
      </c>
      <c r="C11" t="s">
        <v>360</v>
      </c>
      <c r="E11">
        <v>1</v>
      </c>
      <c r="F11" t="s">
        <v>154</v>
      </c>
      <c r="I11" s="6" t="str">
        <f>INDEX(ConceptSet!$B:$B,MATCH($J11,ConceptSet!$A:$A,0))</f>
        <v>ORDINAL_2</v>
      </c>
      <c r="J11" t="s">
        <v>340</v>
      </c>
      <c r="K11" s="6" t="str">
        <f t="shared" si="0"/>
        <v>0198ef6d-8543-d076-3da0-dd48921087f9|0198ef6d-8543-1842-1575-0be542168d82</v>
      </c>
      <c r="L11" s="6" t="str">
        <f t="shared" si="1"/>
        <v>0198ef6d-8543-d076-3da0-dd48921087f9|rank1</v>
      </c>
      <c r="M11" s="6" t="str">
        <f t="shared" si="2"/>
        <v>0198ef6d-8543-d076-3da0-dd48921087f9|rank2_1</v>
      </c>
    </row>
    <row r="12" spans="1:13" x14ac:dyDescent="0.3">
      <c r="A12" t="s">
        <v>371</v>
      </c>
      <c r="B12" t="s">
        <v>335</v>
      </c>
      <c r="C12" t="s">
        <v>361</v>
      </c>
      <c r="E12">
        <v>2</v>
      </c>
      <c r="F12" t="s">
        <v>154</v>
      </c>
      <c r="I12" s="6" t="str">
        <f>INDEX(ConceptSet!$B:$B,MATCH($J12,ConceptSet!$A:$A,0))</f>
        <v>ORDINAL_2</v>
      </c>
      <c r="J12" t="s">
        <v>340</v>
      </c>
      <c r="K12" s="6" t="str">
        <f t="shared" si="0"/>
        <v>0198ef6d-8543-d076-3da0-dd48921087f9|0198ef6d-8543-db07-f368-c8dd91590021</v>
      </c>
      <c r="L12" s="6" t="str">
        <f t="shared" si="1"/>
        <v>0198ef6d-8543-d076-3da0-dd48921087f9|rank2</v>
      </c>
      <c r="M12" s="6" t="str">
        <f t="shared" si="2"/>
        <v>0198ef6d-8543-d076-3da0-dd48921087f9|rank2_2</v>
      </c>
    </row>
    <row r="13" spans="1:13" x14ac:dyDescent="0.3">
      <c r="A13" t="s">
        <v>372</v>
      </c>
      <c r="B13" t="s">
        <v>336</v>
      </c>
      <c r="C13" t="s">
        <v>362</v>
      </c>
      <c r="E13">
        <v>3</v>
      </c>
      <c r="F13" t="s">
        <v>154</v>
      </c>
      <c r="I13" s="6" t="str">
        <f>INDEX(ConceptSet!$B:$B,MATCH($J13,ConceptSet!$A:$A,0))</f>
        <v>ORDINAL_2</v>
      </c>
      <c r="J13" t="s">
        <v>340</v>
      </c>
      <c r="K13" s="6" t="str">
        <f t="shared" si="0"/>
        <v>0198ef6d-8543-d076-3da0-dd48921087f9|0198ef6d-8543-403c-ce3e-33a4efc54a25</v>
      </c>
      <c r="L13" s="6" t="str">
        <f t="shared" si="1"/>
        <v>0198ef6d-8543-d076-3da0-dd48921087f9|rank3</v>
      </c>
      <c r="M13" s="6" t="str">
        <f t="shared" si="2"/>
        <v>0198ef6d-8543-d076-3da0-dd48921087f9|rank2_3</v>
      </c>
    </row>
    <row r="14" spans="1:13" x14ac:dyDescent="0.3">
      <c r="A14" t="s">
        <v>373</v>
      </c>
      <c r="B14" t="str">
        <f t="shared" ref="B14:B28" si="3">IF($G14=$H14-1,$G14&amp;"",$G14&amp;IF($H14=125,"+","-"&amp;$H14-1))</f>
        <v>5-14</v>
      </c>
      <c r="C14" t="str">
        <f t="shared" ref="C14:C28" si="4">"Age in years, ["&amp;$G14&amp;", "&amp;$H14&amp;"["</f>
        <v>Age in years, [5, 15[</v>
      </c>
      <c r="E14">
        <v>1</v>
      </c>
      <c r="F14" t="str">
        <f t="shared" ref="F14:F28" si="5">"{""lb"":"&amp;$G14&amp;",""lb_in"":true,""ub"":"&amp;$H14&amp;",""ub_in"":false,""unit"":""YEAR""}"</f>
        <v>{"lb":5,"lb_in":true,"ub":15,"ub_in":false,"unit":"YEAR"}</v>
      </c>
      <c r="G14">
        <v>5</v>
      </c>
      <c r="H14">
        <v>15</v>
      </c>
      <c r="I14" s="6" t="str">
        <f>INDEX(ConceptSet!$B:$B,MATCH($J14,ConceptSet!$A:$A,0))</f>
        <v>AGE_CATEGORY_1</v>
      </c>
      <c r="J14" t="s">
        <v>341</v>
      </c>
      <c r="K14" s="6" t="str">
        <f t="shared" si="0"/>
        <v>0198ef6d-8543-020d-44c5-53e813a46714|0198ef6d-8543-9d0a-baf1-e5c51942de4e</v>
      </c>
      <c r="L14" s="6" t="str">
        <f t="shared" si="1"/>
        <v>0198ef6d-8543-020d-44c5-53e813a46714|5-14</v>
      </c>
      <c r="M14" s="6" t="str">
        <f t="shared" si="2"/>
        <v>0198ef6d-8543-020d-44c5-53e813a46714|age in years, [5, 15[</v>
      </c>
    </row>
    <row r="15" spans="1:13" x14ac:dyDescent="0.3">
      <c r="A15" t="s">
        <v>374</v>
      </c>
      <c r="B15" t="str">
        <f t="shared" si="3"/>
        <v>15-24</v>
      </c>
      <c r="C15" t="str">
        <f t="shared" si="4"/>
        <v>Age in years, [15, 25[</v>
      </c>
      <c r="E15">
        <v>2</v>
      </c>
      <c r="F15" t="str">
        <f t="shared" si="5"/>
        <v>{"lb":15,"lb_in":true,"ub":25,"ub_in":false,"unit":"YEAR"}</v>
      </c>
      <c r="G15">
        <v>15</v>
      </c>
      <c r="H15">
        <v>25</v>
      </c>
      <c r="I15" s="6" t="str">
        <f>INDEX(ConceptSet!$B:$B,MATCH($J15,ConceptSet!$A:$A,0))</f>
        <v>AGE_CATEGORY_1</v>
      </c>
      <c r="J15" t="s">
        <v>341</v>
      </c>
      <c r="K15" s="6" t="str">
        <f t="shared" si="0"/>
        <v>0198ef6d-8543-020d-44c5-53e813a46714|0198ef6d-8543-d03b-b9f4-f460fae89f04</v>
      </c>
      <c r="L15" s="6" t="str">
        <f t="shared" si="1"/>
        <v>0198ef6d-8543-020d-44c5-53e813a46714|15-24</v>
      </c>
      <c r="M15" s="6" t="str">
        <f t="shared" si="2"/>
        <v>0198ef6d-8543-020d-44c5-53e813a46714|age in years, [15, 25[</v>
      </c>
    </row>
    <row r="16" spans="1:13" x14ac:dyDescent="0.3">
      <c r="A16" t="s">
        <v>375</v>
      </c>
      <c r="B16" t="str">
        <f t="shared" si="3"/>
        <v>25-44</v>
      </c>
      <c r="C16" t="str">
        <f t="shared" si="4"/>
        <v>Age in years, [25, 45[</v>
      </c>
      <c r="E16">
        <v>3</v>
      </c>
      <c r="F16" t="str">
        <f t="shared" si="5"/>
        <v>{"lb":25,"lb_in":true,"ub":45,"ub_in":false,"unit":"YEAR"}</v>
      </c>
      <c r="G16">
        <v>25</v>
      </c>
      <c r="H16">
        <v>45</v>
      </c>
      <c r="I16" s="6" t="str">
        <f>INDEX(ConceptSet!$B:$B,MATCH($J16,ConceptSet!$A:$A,0))</f>
        <v>AGE_CATEGORY_1</v>
      </c>
      <c r="J16" t="s">
        <v>341</v>
      </c>
      <c r="K16" s="6" t="str">
        <f t="shared" si="0"/>
        <v>0198ef6d-8543-020d-44c5-53e813a46714|0198ef6d-8543-e70f-7b7c-8e2af8fe9e2d</v>
      </c>
      <c r="L16" s="6" t="str">
        <f t="shared" si="1"/>
        <v>0198ef6d-8543-020d-44c5-53e813a46714|25-44</v>
      </c>
      <c r="M16" s="6" t="str">
        <f t="shared" si="2"/>
        <v>0198ef6d-8543-020d-44c5-53e813a46714|age in years, [25, 45[</v>
      </c>
    </row>
    <row r="17" spans="1:13" x14ac:dyDescent="0.3">
      <c r="A17" t="s">
        <v>327</v>
      </c>
      <c r="B17" t="str">
        <f t="shared" si="3"/>
        <v>45-64</v>
      </c>
      <c r="C17" t="str">
        <f t="shared" si="4"/>
        <v>Age in years, [45, 65[</v>
      </c>
      <c r="E17">
        <v>4</v>
      </c>
      <c r="F17" t="str">
        <f t="shared" si="5"/>
        <v>{"lb":45,"lb_in":true,"ub":65,"ub_in":false,"unit":"YEAR"}</v>
      </c>
      <c r="G17">
        <v>45</v>
      </c>
      <c r="H17">
        <v>65</v>
      </c>
      <c r="I17" s="6" t="str">
        <f>INDEX(ConceptSet!$B:$B,MATCH($J17,ConceptSet!$A:$A,0))</f>
        <v>AGE_CATEGORY_1</v>
      </c>
      <c r="J17" t="s">
        <v>341</v>
      </c>
      <c r="K17" s="6" t="str">
        <f t="shared" si="0"/>
        <v>0198ef6d-8543-020d-44c5-53e813a46714|0198ef6d-8543-8304-54a7-34542a0a9c33</v>
      </c>
      <c r="L17" s="6" t="str">
        <f t="shared" si="1"/>
        <v>0198ef6d-8543-020d-44c5-53e813a46714|45-64</v>
      </c>
      <c r="M17" s="6" t="str">
        <f t="shared" si="2"/>
        <v>0198ef6d-8543-020d-44c5-53e813a46714|age in years, [45, 65[</v>
      </c>
    </row>
    <row r="18" spans="1:13" x14ac:dyDescent="0.3">
      <c r="A18" t="s">
        <v>326</v>
      </c>
      <c r="B18" t="str">
        <f t="shared" si="3"/>
        <v>65+</v>
      </c>
      <c r="C18" t="str">
        <f t="shared" si="4"/>
        <v>Age in years, [65, 125[</v>
      </c>
      <c r="E18">
        <v>5</v>
      </c>
      <c r="F18" t="str">
        <f t="shared" si="5"/>
        <v>{"lb":65,"lb_in":true,"ub":125,"ub_in":false,"unit":"YEAR"}</v>
      </c>
      <c r="G18">
        <v>65</v>
      </c>
      <c r="H18">
        <v>125</v>
      </c>
      <c r="I18" s="6" t="str">
        <f>INDEX(ConceptSet!$B:$B,MATCH($J18,ConceptSet!$A:$A,0))</f>
        <v>AGE_CATEGORY_1</v>
      </c>
      <c r="J18" t="s">
        <v>341</v>
      </c>
      <c r="K18" s="6" t="str">
        <f t="shared" si="0"/>
        <v>0198ef6d-8543-020d-44c5-53e813a46714|0198ef6d-8543-c436-8749-ad1b2a75b4ba</v>
      </c>
      <c r="L18" s="6" t="str">
        <f t="shared" si="1"/>
        <v>0198ef6d-8543-020d-44c5-53e813a46714|65+</v>
      </c>
      <c r="M18" s="6" t="str">
        <f t="shared" si="2"/>
        <v>0198ef6d-8543-020d-44c5-53e813a46714|age in years, [65, 125[</v>
      </c>
    </row>
    <row r="19" spans="1:13" x14ac:dyDescent="0.3">
      <c r="A19" t="s">
        <v>325</v>
      </c>
      <c r="B19" t="str">
        <f t="shared" si="3"/>
        <v>5-18</v>
      </c>
      <c r="C19" t="str">
        <f t="shared" si="4"/>
        <v>Age in years, [5, 19[</v>
      </c>
      <c r="E19">
        <v>1</v>
      </c>
      <c r="F19" t="str">
        <f t="shared" si="5"/>
        <v>{"lb":5,"lb_in":true,"ub":19,"ub_in":false,"unit":"YEAR"}</v>
      </c>
      <c r="G19">
        <v>5</v>
      </c>
      <c r="H19">
        <v>19</v>
      </c>
      <c r="I19" s="6" t="str">
        <f>INDEX(ConceptSet!$B:$B,MATCH($J19,ConceptSet!$A:$A,0))</f>
        <v>AGE_CATEGORY_2</v>
      </c>
      <c r="J19" t="s">
        <v>342</v>
      </c>
      <c r="K19" s="6" t="str">
        <f t="shared" si="0"/>
        <v>0198ef6d-8543-2a37-be54-7f7d24e1ed1d|0198ef6d-8543-893c-c5e2-73c38bec9ac6</v>
      </c>
      <c r="L19" s="6" t="str">
        <f t="shared" si="1"/>
        <v>0198ef6d-8543-2a37-be54-7f7d24e1ed1d|5-18</v>
      </c>
      <c r="M19" s="6" t="str">
        <f t="shared" si="2"/>
        <v>0198ef6d-8543-2a37-be54-7f7d24e1ed1d|age in years, [5, 19[</v>
      </c>
    </row>
    <row r="20" spans="1:13" x14ac:dyDescent="0.3">
      <c r="A20" t="s">
        <v>324</v>
      </c>
      <c r="B20" t="str">
        <f t="shared" si="3"/>
        <v>19-64</v>
      </c>
      <c r="C20" t="str">
        <f t="shared" si="4"/>
        <v>Age in years, [19, 65[</v>
      </c>
      <c r="E20">
        <v>2</v>
      </c>
      <c r="F20" t="str">
        <f t="shared" si="5"/>
        <v>{"lb":19,"lb_in":true,"ub":65,"ub_in":false,"unit":"YEAR"}</v>
      </c>
      <c r="G20">
        <v>19</v>
      </c>
      <c r="H20">
        <v>65</v>
      </c>
      <c r="I20" s="6" t="str">
        <f>INDEX(ConceptSet!$B:$B,MATCH($J20,ConceptSet!$A:$A,0))</f>
        <v>AGE_CATEGORY_2</v>
      </c>
      <c r="J20" t="s">
        <v>342</v>
      </c>
      <c r="K20" s="6" t="str">
        <f t="shared" si="0"/>
        <v>0198ef6d-8543-2a37-be54-7f7d24e1ed1d|0198ef6d-8543-626b-c05d-de74547d3621</v>
      </c>
      <c r="L20" s="6" t="str">
        <f t="shared" si="1"/>
        <v>0198ef6d-8543-2a37-be54-7f7d24e1ed1d|19-64</v>
      </c>
      <c r="M20" s="6" t="str">
        <f t="shared" si="2"/>
        <v>0198ef6d-8543-2a37-be54-7f7d24e1ed1d|age in years, [19, 65[</v>
      </c>
    </row>
    <row r="21" spans="1:13" x14ac:dyDescent="0.3">
      <c r="A21" t="s">
        <v>323</v>
      </c>
      <c r="B21" t="str">
        <f t="shared" si="3"/>
        <v>0-14</v>
      </c>
      <c r="C21" t="str">
        <f t="shared" si="4"/>
        <v>Age in years, [0, 15[</v>
      </c>
      <c r="E21">
        <v>1</v>
      </c>
      <c r="F21" t="str">
        <f t="shared" si="5"/>
        <v>{"lb":0,"lb_in":true,"ub":15,"ub_in":false,"unit":"YEAR"}</v>
      </c>
      <c r="G21">
        <v>0</v>
      </c>
      <c r="H21">
        <v>15</v>
      </c>
      <c r="I21" s="6" t="str">
        <f>INDEX(ConceptSet!$B:$B,MATCH($J21,ConceptSet!$A:$A,0))</f>
        <v>AGE_CATEGORY_3</v>
      </c>
      <c r="J21" t="s">
        <v>343</v>
      </c>
      <c r="K21" s="6" t="str">
        <f t="shared" si="0"/>
        <v>0198ef6d-8543-f668-cedc-b78f8e3bc412|0198ef6d-8543-1ce7-83c8-e53fe4b7fb8e</v>
      </c>
      <c r="L21" s="6" t="str">
        <f t="shared" si="1"/>
        <v>0198ef6d-8543-f668-cedc-b78f8e3bc412|0-14</v>
      </c>
      <c r="M21" s="6" t="str">
        <f t="shared" si="2"/>
        <v>0198ef6d-8543-f668-cedc-b78f8e3bc412|age in years, [0, 15[</v>
      </c>
    </row>
    <row r="22" spans="1:13" x14ac:dyDescent="0.3">
      <c r="A22" t="s">
        <v>322</v>
      </c>
      <c r="B22" t="str">
        <f t="shared" si="3"/>
        <v>25-34</v>
      </c>
      <c r="C22" t="str">
        <f t="shared" si="4"/>
        <v>Age in years, [25, 35[</v>
      </c>
      <c r="E22">
        <v>2</v>
      </c>
      <c r="F22" t="str">
        <f t="shared" si="5"/>
        <v>{"lb":25,"lb_in":true,"ub":35,"ub_in":false,"unit":"YEAR"}</v>
      </c>
      <c r="G22">
        <v>25</v>
      </c>
      <c r="H22">
        <v>35</v>
      </c>
      <c r="I22" s="6" t="str">
        <f>INDEX(ConceptSet!$B:$B,MATCH($J22,ConceptSet!$A:$A,0))</f>
        <v>AGE_CATEGORY_3</v>
      </c>
      <c r="J22" t="s">
        <v>343</v>
      </c>
      <c r="K22" s="6" t="str">
        <f t="shared" si="0"/>
        <v>0198ef6d-8543-f668-cedc-b78f8e3bc412|0198ef6d-8543-773c-35de-7133eb350f0c</v>
      </c>
      <c r="L22" s="6" t="str">
        <f t="shared" si="1"/>
        <v>0198ef6d-8543-f668-cedc-b78f8e3bc412|25-34</v>
      </c>
      <c r="M22" s="6" t="str">
        <f t="shared" si="2"/>
        <v>0198ef6d-8543-f668-cedc-b78f8e3bc412|age in years, [25, 35[</v>
      </c>
    </row>
    <row r="23" spans="1:13" x14ac:dyDescent="0.3">
      <c r="A23" t="s">
        <v>321</v>
      </c>
      <c r="B23" t="str">
        <f t="shared" si="3"/>
        <v>35-44</v>
      </c>
      <c r="C23" t="str">
        <f t="shared" si="4"/>
        <v>Age in years, [35, 45[</v>
      </c>
      <c r="E23">
        <v>3</v>
      </c>
      <c r="F23" t="str">
        <f t="shared" si="5"/>
        <v>{"lb":35,"lb_in":true,"ub":45,"ub_in":false,"unit":"YEAR"}</v>
      </c>
      <c r="G23">
        <v>35</v>
      </c>
      <c r="H23">
        <v>45</v>
      </c>
      <c r="I23" s="6" t="str">
        <f>INDEX(ConceptSet!$B:$B,MATCH($J23,ConceptSet!$A:$A,0))</f>
        <v>AGE_CATEGORY_3</v>
      </c>
      <c r="J23" t="s">
        <v>343</v>
      </c>
      <c r="K23" s="6" t="str">
        <f t="shared" si="0"/>
        <v>0198ef6d-8543-f668-cedc-b78f8e3bc412|0198ef6d-8543-8382-74c3-3094271a22fd</v>
      </c>
      <c r="L23" s="6" t="str">
        <f t="shared" si="1"/>
        <v>0198ef6d-8543-f668-cedc-b78f8e3bc412|35-44</v>
      </c>
      <c r="M23" s="6" t="str">
        <f t="shared" si="2"/>
        <v>0198ef6d-8543-f668-cedc-b78f8e3bc412|age in years, [35, 45[</v>
      </c>
    </row>
    <row r="24" spans="1:13" x14ac:dyDescent="0.3">
      <c r="A24" t="s">
        <v>320</v>
      </c>
      <c r="B24" t="str">
        <f t="shared" si="3"/>
        <v>45+</v>
      </c>
      <c r="C24" t="str">
        <f t="shared" si="4"/>
        <v>Age in years, [45, 125[</v>
      </c>
      <c r="E24">
        <v>4</v>
      </c>
      <c r="F24" t="str">
        <f t="shared" si="5"/>
        <v>{"lb":45,"lb_in":true,"ub":125,"ub_in":false,"unit":"YEAR"}</v>
      </c>
      <c r="G24">
        <v>45</v>
      </c>
      <c r="H24">
        <v>125</v>
      </c>
      <c r="I24" s="6" t="str">
        <f>INDEX(ConceptSet!$B:$B,MATCH($J24,ConceptSet!$A:$A,0))</f>
        <v>AGE_CATEGORY_3</v>
      </c>
      <c r="J24" t="s">
        <v>343</v>
      </c>
      <c r="K24" s="6" t="str">
        <f t="shared" si="0"/>
        <v>0198ef6d-8543-f668-cedc-b78f8e3bc412|0198ef6d-8543-9cc1-eca7-e072c2b8acae</v>
      </c>
      <c r="L24" s="6" t="str">
        <f t="shared" si="1"/>
        <v>0198ef6d-8543-f668-cedc-b78f8e3bc412|45+</v>
      </c>
      <c r="M24" s="6" t="str">
        <f t="shared" si="2"/>
        <v>0198ef6d-8543-f668-cedc-b78f8e3bc412|age in years, [45, 125[</v>
      </c>
    </row>
    <row r="25" spans="1:13" x14ac:dyDescent="0.3">
      <c r="A25" t="s">
        <v>319</v>
      </c>
      <c r="B25" t="str">
        <f t="shared" si="3"/>
        <v>0</v>
      </c>
      <c r="C25" t="str">
        <f t="shared" si="4"/>
        <v>Age in years, [0, 1[</v>
      </c>
      <c r="E25">
        <v>1</v>
      </c>
      <c r="F25" t="str">
        <f t="shared" si="5"/>
        <v>{"lb":0,"lb_in":true,"ub":1,"ub_in":false,"unit":"YEAR"}</v>
      </c>
      <c r="G25">
        <v>0</v>
      </c>
      <c r="H25">
        <v>1</v>
      </c>
      <c r="I25" s="6" t="str">
        <f>INDEX(ConceptSet!$B:$B,MATCH($J25,ConceptSet!$A:$A,0))</f>
        <v>AGE_CATEGORY_4</v>
      </c>
      <c r="J25" t="s">
        <v>344</v>
      </c>
      <c r="K25" s="6" t="str">
        <f t="shared" si="0"/>
        <v>0198ef6d-8543-2673-a691-fe8584d0695e|0198ef6d-8543-98db-539f-d07c72d29ddb</v>
      </c>
      <c r="L25" s="6" t="str">
        <f t="shared" si="1"/>
        <v>0198ef6d-8543-2673-a691-fe8584d0695e|0</v>
      </c>
      <c r="M25" s="6" t="str">
        <f t="shared" si="2"/>
        <v>0198ef6d-8543-2673-a691-fe8584d0695e|age in years, [0, 1[</v>
      </c>
    </row>
    <row r="26" spans="1:13" x14ac:dyDescent="0.3">
      <c r="A26" t="s">
        <v>318</v>
      </c>
      <c r="B26" t="str">
        <f t="shared" si="3"/>
        <v>1-4</v>
      </c>
      <c r="C26" t="str">
        <f t="shared" si="4"/>
        <v>Age in years, [1, 5[</v>
      </c>
      <c r="E26">
        <v>2</v>
      </c>
      <c r="F26" t="str">
        <f t="shared" si="5"/>
        <v>{"lb":1,"lb_in":true,"ub":5,"ub_in":false,"unit":"YEAR"}</v>
      </c>
      <c r="G26">
        <v>1</v>
      </c>
      <c r="H26">
        <v>5</v>
      </c>
      <c r="I26" s="6" t="str">
        <f>INDEX(ConceptSet!$B:$B,MATCH($J26,ConceptSet!$A:$A,0))</f>
        <v>AGE_CATEGORY_4</v>
      </c>
      <c r="J26" t="s">
        <v>344</v>
      </c>
      <c r="K26" s="6" t="str">
        <f t="shared" si="0"/>
        <v>0198ef6d-8543-2673-a691-fe8584d0695e|0198ef6d-8543-3c58-ac5e-cc9eb329457f</v>
      </c>
      <c r="L26" s="6" t="str">
        <f t="shared" si="1"/>
        <v>0198ef6d-8543-2673-a691-fe8584d0695e|1-4</v>
      </c>
      <c r="M26" s="6" t="str">
        <f t="shared" si="2"/>
        <v>0198ef6d-8543-2673-a691-fe8584d0695e|age in years, [1, 5[</v>
      </c>
    </row>
    <row r="27" spans="1:13" x14ac:dyDescent="0.3">
      <c r="A27" t="s">
        <v>317</v>
      </c>
      <c r="B27" t="str">
        <f t="shared" si="3"/>
        <v>45-54</v>
      </c>
      <c r="C27" t="str">
        <f t="shared" si="4"/>
        <v>Age in years, [45, 55[</v>
      </c>
      <c r="E27">
        <v>3</v>
      </c>
      <c r="F27" t="str">
        <f t="shared" si="5"/>
        <v>{"lb":45,"lb_in":true,"ub":55,"ub_in":false,"unit":"YEAR"}</v>
      </c>
      <c r="G27">
        <v>45</v>
      </c>
      <c r="H27">
        <v>55</v>
      </c>
      <c r="I27" s="6" t="str">
        <f>INDEX(ConceptSet!$B:$B,MATCH($J27,ConceptSet!$A:$A,0))</f>
        <v>AGE_CATEGORY_4</v>
      </c>
      <c r="J27" t="s">
        <v>344</v>
      </c>
      <c r="K27" s="6" t="str">
        <f t="shared" si="0"/>
        <v>0198ef6d-8543-2673-a691-fe8584d0695e|0198ef6d-8543-877c-0f63-6d7b926dfea2</v>
      </c>
      <c r="L27" s="6" t="str">
        <f t="shared" si="1"/>
        <v>0198ef6d-8543-2673-a691-fe8584d0695e|45-54</v>
      </c>
      <c r="M27" s="6" t="str">
        <f t="shared" si="2"/>
        <v>0198ef6d-8543-2673-a691-fe8584d0695e|age in years, [45, 55[</v>
      </c>
    </row>
    <row r="28" spans="1:13" x14ac:dyDescent="0.3">
      <c r="A28" t="s">
        <v>316</v>
      </c>
      <c r="B28" t="str">
        <f t="shared" si="3"/>
        <v>55-64</v>
      </c>
      <c r="C28" t="str">
        <f t="shared" si="4"/>
        <v>Age in years, [55, 65[</v>
      </c>
      <c r="E28">
        <v>4</v>
      </c>
      <c r="F28" t="str">
        <f t="shared" si="5"/>
        <v>{"lb":55,"lb_in":true,"ub":65,"ub_in":false,"unit":"YEAR"}</v>
      </c>
      <c r="G28">
        <v>55</v>
      </c>
      <c r="H28">
        <v>65</v>
      </c>
      <c r="I28" s="6" t="str">
        <f>INDEX(ConceptSet!$B:$B,MATCH($J28,ConceptSet!$A:$A,0))</f>
        <v>AGE_CATEGORY_4</v>
      </c>
      <c r="J28" t="s">
        <v>344</v>
      </c>
      <c r="K28" s="6" t="str">
        <f t="shared" si="0"/>
        <v>0198ef6d-8543-2673-a691-fe8584d0695e|0198ef6d-8543-70a1-1296-358b9a16f485</v>
      </c>
      <c r="L28" s="6" t="str">
        <f t="shared" si="1"/>
        <v>0198ef6d-8543-2673-a691-fe8584d0695e|55-64</v>
      </c>
      <c r="M28" s="6" t="str">
        <f t="shared" si="2"/>
        <v>0198ef6d-8543-2673-a691-fe8584d0695e|age in years, [55, 65[</v>
      </c>
    </row>
    <row r="29" spans="1:13" x14ac:dyDescent="0.3">
      <c r="A29" t="s">
        <v>331</v>
      </c>
      <c r="B29" t="str">
        <f>IF($G29=$H29-1,$G29&amp;"",$G29&amp;IF($H29=48,"+","-"&amp;$H29-1))&amp;"M"</f>
        <v>0M</v>
      </c>
      <c r="C29" t="str">
        <f>"Age in months, ["&amp;$G29&amp;", "&amp;$H29&amp;"["</f>
        <v>Age in months, [0, 1[</v>
      </c>
      <c r="E29">
        <v>1</v>
      </c>
      <c r="F29" t="str">
        <f>"{""lb"":"&amp;$G29&amp;",""lb_in"":true,""ub"":"&amp;$H29&amp;",""ub_in"":false,""unit"":""MONTH""}"</f>
        <v>{"lb":0,"lb_in":true,"ub":1,"ub_in":false,"unit":"MONTH"}</v>
      </c>
      <c r="G29">
        <v>0</v>
      </c>
      <c r="H29">
        <v>1</v>
      </c>
      <c r="I29" s="6" t="str">
        <f>INDEX(ConceptSet!$B:$B,MATCH($J29,ConceptSet!$A:$A,0))</f>
        <v>AGE_CATEGORY_5</v>
      </c>
      <c r="J29" t="s">
        <v>345</v>
      </c>
      <c r="K29" s="6" t="str">
        <f t="shared" si="0"/>
        <v>0198ef6d-8543-cb6b-0c98-c2a7e640e10d|0198ef6d-8543-595a-1fed-0c02d313b824</v>
      </c>
      <c r="L29" s="6" t="str">
        <f t="shared" si="1"/>
        <v>0198ef6d-8543-cb6b-0c98-c2a7e640e10d|0m</v>
      </c>
      <c r="M29" s="6" t="str">
        <f t="shared" si="2"/>
        <v>0198ef6d-8543-cb6b-0c98-c2a7e640e10d|age in months, [0, 1[</v>
      </c>
    </row>
    <row r="30" spans="1:13" x14ac:dyDescent="0.3">
      <c r="A30" t="s">
        <v>330</v>
      </c>
      <c r="B30" t="str">
        <f>IF($G30=$H30-1,$G30&amp;"",$G30&amp;IF($H30=48,"+","-"&amp;$H30-1))&amp;"M"</f>
        <v>1M</v>
      </c>
      <c r="C30" t="str">
        <f t="shared" ref="C30:C32" si="6">"Age in months, ["&amp;$G30&amp;", "&amp;$H30&amp;"["</f>
        <v>Age in months, [1, 2[</v>
      </c>
      <c r="E30">
        <v>2</v>
      </c>
      <c r="F30" t="str">
        <f t="shared" ref="F30:F32" si="7">"{""lb"":"&amp;$G30&amp;",""lb_in"":true,""ub"":"&amp;$H30&amp;",""ub_in"":false,""unit"":""MONTH""}"</f>
        <v>{"lb":1,"lb_in":true,"ub":2,"ub_in":false,"unit":"MONTH"}</v>
      </c>
      <c r="G30">
        <v>1</v>
      </c>
      <c r="H30">
        <v>2</v>
      </c>
      <c r="I30" s="6" t="str">
        <f>INDEX(ConceptSet!$B:$B,MATCH($J30,ConceptSet!$A:$A,0))</f>
        <v>AGE_CATEGORY_5</v>
      </c>
      <c r="J30" t="s">
        <v>345</v>
      </c>
      <c r="K30" s="6" t="str">
        <f t="shared" si="0"/>
        <v>0198ef6d-8543-cb6b-0c98-c2a7e640e10d|0198ef6d-8543-9248-0edb-2477c9364381</v>
      </c>
      <c r="L30" s="6" t="str">
        <f t="shared" si="1"/>
        <v>0198ef6d-8543-cb6b-0c98-c2a7e640e10d|1m</v>
      </c>
      <c r="M30" s="6" t="str">
        <f t="shared" si="2"/>
        <v>0198ef6d-8543-cb6b-0c98-c2a7e640e10d|age in months, [1, 2[</v>
      </c>
    </row>
    <row r="31" spans="1:13" x14ac:dyDescent="0.3">
      <c r="A31" t="s">
        <v>329</v>
      </c>
      <c r="B31" t="str">
        <f>IF($G31=$H31-1,$G31&amp;"",$G31&amp;IF($H31=48,"+","-"&amp;$H31-1))&amp;"M"</f>
        <v>2M</v>
      </c>
      <c r="C31" t="str">
        <f t="shared" si="6"/>
        <v>Age in months, [2, 3[</v>
      </c>
      <c r="E31">
        <v>3</v>
      </c>
      <c r="F31" t="str">
        <f t="shared" si="7"/>
        <v>{"lb":2,"lb_in":true,"ub":3,"ub_in":false,"unit":"MONTH"}</v>
      </c>
      <c r="G31">
        <v>2</v>
      </c>
      <c r="H31">
        <v>3</v>
      </c>
      <c r="I31" s="6" t="str">
        <f>INDEX(ConceptSet!$B:$B,MATCH($J31,ConceptSet!$A:$A,0))</f>
        <v>AGE_CATEGORY_5</v>
      </c>
      <c r="J31" t="s">
        <v>345</v>
      </c>
      <c r="K31" s="6" t="str">
        <f t="shared" si="0"/>
        <v>0198ef6d-8543-cb6b-0c98-c2a7e640e10d|0198ef6d-8543-fa54-4ee1-8145b37ae29c</v>
      </c>
      <c r="L31" s="6" t="str">
        <f t="shared" si="1"/>
        <v>0198ef6d-8543-cb6b-0c98-c2a7e640e10d|2m</v>
      </c>
      <c r="M31" s="6" t="str">
        <f t="shared" si="2"/>
        <v>0198ef6d-8543-cb6b-0c98-c2a7e640e10d|age in months, [2, 3[</v>
      </c>
    </row>
    <row r="32" spans="1:13" x14ac:dyDescent="0.3">
      <c r="A32" t="s">
        <v>328</v>
      </c>
      <c r="B32" t="str">
        <f>IF($G32=$H32-1,$G32&amp;"",$G32&amp;IF($H32=48,"+","-"&amp;$H32-1))&amp;"M"</f>
        <v>3+M</v>
      </c>
      <c r="C32" t="str">
        <f t="shared" si="6"/>
        <v>Age in months, [3, 48[</v>
      </c>
      <c r="E32">
        <v>4</v>
      </c>
      <c r="F32" t="str">
        <f t="shared" si="7"/>
        <v>{"lb":3,"lb_in":true,"ub":48,"ub_in":false,"unit":"MONTH"}</v>
      </c>
      <c r="G32">
        <v>3</v>
      </c>
      <c r="H32">
        <v>48</v>
      </c>
      <c r="I32" s="6" t="str">
        <f>INDEX(ConceptSet!$B:$B,MATCH($J32,ConceptSet!$A:$A,0))</f>
        <v>AGE_CATEGORY_5</v>
      </c>
      <c r="J32" t="s">
        <v>345</v>
      </c>
      <c r="K32" s="6" t="str">
        <f t="shared" si="0"/>
        <v>0198ef6d-8543-cb6b-0c98-c2a7e640e10d|0198ef6d-8543-9154-e58f-dd117f762168</v>
      </c>
      <c r="L32" s="6" t="str">
        <f t="shared" si="1"/>
        <v>0198ef6d-8543-cb6b-0c98-c2a7e640e10d|3+m</v>
      </c>
      <c r="M32" s="6" t="str">
        <f t="shared" si="2"/>
        <v>0198ef6d-8543-cb6b-0c98-c2a7e640e10d|age in months, [3, 48[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CC706-F5CD-4FB9-9D79-96282C7625CA}">
  <dimension ref="A1:I3"/>
  <sheetViews>
    <sheetView workbookViewId="0">
      <selection activeCell="E2" sqref="E2"/>
    </sheetView>
  </sheetViews>
  <sheetFormatPr defaultRowHeight="14.4" x14ac:dyDescent="0.3"/>
  <cols>
    <col min="1" max="1" width="36.33203125" bestFit="1" customWidth="1"/>
    <col min="2" max="3" width="36.21875" bestFit="1" customWidth="1"/>
    <col min="4" max="4" width="24.6640625" style="6" bestFit="1" customWidth="1"/>
    <col min="5" max="5" width="20.44140625" bestFit="1" customWidth="1"/>
    <col min="6" max="6" width="18.21875" bestFit="1" customWidth="1"/>
    <col min="7" max="7" width="31.33203125" bestFit="1" customWidth="1"/>
    <col min="8" max="8" width="29" bestFit="1" customWidth="1"/>
    <col min="9" max="9" width="9.6640625" bestFit="1" customWidth="1"/>
  </cols>
  <sheetData>
    <row r="1" spans="1:9" x14ac:dyDescent="0.3">
      <c r="A1" t="s">
        <v>0</v>
      </c>
      <c r="B1" t="s">
        <v>859</v>
      </c>
      <c r="C1" t="s">
        <v>860</v>
      </c>
      <c r="D1" s="6" t="s">
        <v>861</v>
      </c>
      <c r="E1" t="s">
        <v>866</v>
      </c>
      <c r="F1" t="s">
        <v>867</v>
      </c>
      <c r="G1" t="s">
        <v>862</v>
      </c>
      <c r="H1" t="s">
        <v>863</v>
      </c>
      <c r="I1" t="s">
        <v>416</v>
      </c>
    </row>
    <row r="2" spans="1:9" x14ac:dyDescent="0.3">
      <c r="A2" t="s">
        <v>864</v>
      </c>
      <c r="B2" t="s">
        <v>315</v>
      </c>
      <c r="C2" t="s">
        <v>364</v>
      </c>
      <c r="D2" s="6" t="b">
        <f>$B2&lt;&gt;$C2</f>
        <v>1</v>
      </c>
      <c r="E2" t="str">
        <f>INDEX(Concept!$C:$C,MATCH($B2,Concept!$A:$A,0))</f>
        <v>Category1_1</v>
      </c>
      <c r="F2" t="str">
        <f>INDEX(Concept!$C:$C,MATCH($C2,Concept!$A:$A,0))</f>
        <v>Category2_1</v>
      </c>
      <c r="G2" t="str">
        <f>INDEX(Concept!$I:$I,MATCH($B2,Concept!$A:$A,0))</f>
        <v>NOMINAL_1</v>
      </c>
      <c r="H2" t="str">
        <f>INDEX(Concept!$I:$I,MATCH($C2,Concept!$A:$A,0))</f>
        <v>NOMINAL_2</v>
      </c>
      <c r="I2" t="s">
        <v>417</v>
      </c>
    </row>
    <row r="3" spans="1:9" x14ac:dyDescent="0.3">
      <c r="A3" t="s">
        <v>865</v>
      </c>
      <c r="B3" t="s">
        <v>315</v>
      </c>
      <c r="C3" t="s">
        <v>365</v>
      </c>
      <c r="D3" s="6" t="b">
        <f t="shared" ref="D3" si="0">$B3&lt;&gt;$C3</f>
        <v>1</v>
      </c>
      <c r="E3" t="str">
        <f>INDEX(Concept!$C:$C,MATCH($B3,Concept!$A:$A,0))</f>
        <v>Category1_1</v>
      </c>
      <c r="F3" t="str">
        <f>INDEX(Concept!$C:$C,MATCH($C3,Concept!$A:$A,0))</f>
        <v>Category2_2</v>
      </c>
      <c r="G3" t="str">
        <f>INDEX(Concept!$I:$I,MATCH($B3,Concept!$A:$A,0))</f>
        <v>NOMINAL_1</v>
      </c>
      <c r="H3" t="str">
        <f>INDEX(Concept!$I:$I,MATCH($C3,Concept!$A:$A,0))</f>
        <v>NOMINAL_2</v>
      </c>
      <c r="I3" t="s">
        <v>417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8A4C3-472B-45B0-ABE1-5F12E28FD147}">
  <dimension ref="A1:D5"/>
  <sheetViews>
    <sheetView workbookViewId="0">
      <selection activeCell="A2" sqref="A2:A5"/>
    </sheetView>
  </sheetViews>
  <sheetFormatPr defaultRowHeight="14.4" x14ac:dyDescent="0.3"/>
  <cols>
    <col min="1" max="1" width="36.109375" bestFit="1" customWidth="1"/>
    <col min="2" max="2" width="25.77734375" bestFit="1" customWidth="1"/>
    <col min="3" max="3" width="53.109375" bestFit="1" customWidth="1"/>
    <col min="4" max="4" width="19.44140625" bestFit="1" customWidth="1"/>
  </cols>
  <sheetData>
    <row r="1" spans="1:4" x14ac:dyDescent="0.3">
      <c r="A1" s="21" t="s">
        <v>0</v>
      </c>
      <c r="B1" s="21" t="s">
        <v>142</v>
      </c>
      <c r="C1" s="21" t="s">
        <v>57</v>
      </c>
      <c r="D1" s="21" t="s">
        <v>376</v>
      </c>
    </row>
    <row r="2" spans="1:4" x14ac:dyDescent="0.3">
      <c r="A2" t="s">
        <v>387</v>
      </c>
      <c r="B2" t="s">
        <v>741</v>
      </c>
      <c r="C2" t="s">
        <v>377</v>
      </c>
      <c r="D2" t="b">
        <v>1</v>
      </c>
    </row>
    <row r="3" spans="1:4" x14ac:dyDescent="0.3">
      <c r="A3" t="s">
        <v>388</v>
      </c>
      <c r="B3" t="s">
        <v>742</v>
      </c>
      <c r="C3" t="s">
        <v>378</v>
      </c>
      <c r="D3" t="b">
        <v>1</v>
      </c>
    </row>
    <row r="4" spans="1:4" x14ac:dyDescent="0.3">
      <c r="A4" t="s">
        <v>389</v>
      </c>
      <c r="B4" t="s">
        <v>382</v>
      </c>
      <c r="C4" t="s">
        <v>379</v>
      </c>
      <c r="D4" t="b">
        <v>0</v>
      </c>
    </row>
    <row r="5" spans="1:4" x14ac:dyDescent="0.3">
      <c r="A5" t="s">
        <v>390</v>
      </c>
      <c r="B5" t="s">
        <v>381</v>
      </c>
      <c r="C5" t="s">
        <v>380</v>
      </c>
      <c r="D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1BF17-C2B7-4D3E-9E1A-256BD885C609}">
  <dimension ref="A1:K15"/>
  <sheetViews>
    <sheetView workbookViewId="0">
      <selection activeCell="E14" sqref="E14"/>
    </sheetView>
  </sheetViews>
  <sheetFormatPr defaultRowHeight="14.4" x14ac:dyDescent="0.3"/>
  <cols>
    <col min="1" max="1" width="36.21875" bestFit="1" customWidth="1"/>
    <col min="2" max="2" width="35.88671875" bestFit="1" customWidth="1"/>
    <col min="3" max="3" width="35.88671875" customWidth="1"/>
    <col min="5" max="5" width="13.44140625" bestFit="1" customWidth="1"/>
    <col min="6" max="6" width="11.33203125" bestFit="1" customWidth="1"/>
    <col min="7" max="7" width="11.88671875" bestFit="1" customWidth="1"/>
    <col min="8" max="8" width="9.6640625" bestFit="1" customWidth="1"/>
    <col min="9" max="9" width="10.21875" bestFit="1" customWidth="1"/>
    <col min="10" max="10" width="43.33203125" style="6" bestFit="1" customWidth="1"/>
    <col min="11" max="11" width="49.88671875" style="6" bestFit="1" customWidth="1"/>
  </cols>
  <sheetData>
    <row r="1" spans="1:11" x14ac:dyDescent="0.3">
      <c r="A1" s="21" t="s">
        <v>0</v>
      </c>
      <c r="B1" s="21" t="s">
        <v>185</v>
      </c>
      <c r="C1" s="21" t="s">
        <v>743</v>
      </c>
      <c r="D1" s="21" t="s">
        <v>142</v>
      </c>
      <c r="E1" s="21" t="s">
        <v>57</v>
      </c>
      <c r="F1" s="21" t="s">
        <v>383</v>
      </c>
      <c r="G1" s="21" t="s">
        <v>384</v>
      </c>
      <c r="H1" s="21" t="s">
        <v>385</v>
      </c>
      <c r="I1" s="21" t="s">
        <v>386</v>
      </c>
      <c r="J1" s="25" t="s">
        <v>835</v>
      </c>
      <c r="K1" s="25" t="s">
        <v>833</v>
      </c>
    </row>
    <row r="2" spans="1:11" x14ac:dyDescent="0.3">
      <c r="A2" t="s">
        <v>400</v>
      </c>
      <c r="B2" t="s">
        <v>387</v>
      </c>
      <c r="C2" t="str">
        <f>INDEX(RegionSet!$C:$C,MATCH($B2,RegionSet!$A:$A,0))</f>
        <v>Postal codes - Level 4</v>
      </c>
      <c r="D2" s="11" t="s">
        <v>392</v>
      </c>
      <c r="E2" t="str">
        <f t="shared" ref="E2:E9" si="0">"PC_"&amp;$D2</f>
        <v>PC_1011</v>
      </c>
      <c r="F2">
        <v>1</v>
      </c>
      <c r="G2">
        <v>1</v>
      </c>
      <c r="H2">
        <v>1</v>
      </c>
      <c r="I2">
        <v>1</v>
      </c>
      <c r="J2" s="6" t="str">
        <f>LOWER($B2&amp;"|"&amp;$D2)</f>
        <v>0198ef6d-8543-92bb-3d7b-9a6b17e52c7d|1011</v>
      </c>
      <c r="K2" s="6" t="str">
        <f>LOWER($B2&amp;"|"&amp;$E2)</f>
        <v>0198ef6d-8543-92bb-3d7b-9a6b17e52c7d|pc_1011</v>
      </c>
    </row>
    <row r="3" spans="1:11" x14ac:dyDescent="0.3">
      <c r="A3" t="s">
        <v>401</v>
      </c>
      <c r="B3" t="s">
        <v>387</v>
      </c>
      <c r="C3" t="str">
        <f>INDEX(RegionSet!$C:$C,MATCH($B3,RegionSet!$A:$A,0))</f>
        <v>Postal codes - Level 4</v>
      </c>
      <c r="D3" s="11" t="s">
        <v>396</v>
      </c>
      <c r="E3" t="str">
        <f t="shared" si="0"/>
        <v>PC_1012</v>
      </c>
      <c r="F3">
        <v>1</v>
      </c>
      <c r="G3">
        <v>1</v>
      </c>
      <c r="H3">
        <v>1</v>
      </c>
      <c r="I3">
        <v>1</v>
      </c>
      <c r="J3" s="6" t="str">
        <f t="shared" ref="J3:J15" si="1">LOWER($B3&amp;"|"&amp;$D3)</f>
        <v>0198ef6d-8543-92bb-3d7b-9a6b17e52c7d|1012</v>
      </c>
      <c r="K3" s="6" t="str">
        <f t="shared" ref="K3:K15" si="2">LOWER($B3&amp;"|"&amp;$E3)</f>
        <v>0198ef6d-8543-92bb-3d7b-9a6b17e52c7d|pc_1012</v>
      </c>
    </row>
    <row r="4" spans="1:11" x14ac:dyDescent="0.3">
      <c r="A4" t="s">
        <v>402</v>
      </c>
      <c r="B4" t="s">
        <v>387</v>
      </c>
      <c r="C4" t="str">
        <f>INDEX(RegionSet!$C:$C,MATCH($B4,RegionSet!$A:$A,0))</f>
        <v>Postal codes - Level 4</v>
      </c>
      <c r="D4" s="11" t="s">
        <v>397</v>
      </c>
      <c r="E4" t="str">
        <f t="shared" si="0"/>
        <v>PC_1013</v>
      </c>
      <c r="F4">
        <v>1</v>
      </c>
      <c r="G4">
        <v>1</v>
      </c>
      <c r="H4">
        <v>1</v>
      </c>
      <c r="I4">
        <v>1</v>
      </c>
      <c r="J4" s="6" t="str">
        <f t="shared" si="1"/>
        <v>0198ef6d-8543-92bb-3d7b-9a6b17e52c7d|1013</v>
      </c>
      <c r="K4" s="6" t="str">
        <f t="shared" si="2"/>
        <v>0198ef6d-8543-92bb-3d7b-9a6b17e52c7d|pc_1013</v>
      </c>
    </row>
    <row r="5" spans="1:11" x14ac:dyDescent="0.3">
      <c r="A5" t="s">
        <v>403</v>
      </c>
      <c r="B5" t="s">
        <v>387</v>
      </c>
      <c r="C5" t="str">
        <f>INDEX(RegionSet!$C:$C,MATCH($B5,RegionSet!$A:$A,0))</f>
        <v>Postal codes - Level 4</v>
      </c>
      <c r="D5" s="11" t="s">
        <v>394</v>
      </c>
      <c r="E5" t="str">
        <f t="shared" si="0"/>
        <v>PC_1021</v>
      </c>
      <c r="F5">
        <v>1</v>
      </c>
      <c r="G5">
        <v>1</v>
      </c>
      <c r="H5">
        <v>1</v>
      </c>
      <c r="I5">
        <v>1</v>
      </c>
      <c r="J5" s="6" t="str">
        <f t="shared" si="1"/>
        <v>0198ef6d-8543-92bb-3d7b-9a6b17e52c7d|1021</v>
      </c>
      <c r="K5" s="6" t="str">
        <f t="shared" si="2"/>
        <v>0198ef6d-8543-92bb-3d7b-9a6b17e52c7d|pc_1021</v>
      </c>
    </row>
    <row r="6" spans="1:11" x14ac:dyDescent="0.3">
      <c r="A6" t="s">
        <v>404</v>
      </c>
      <c r="B6" t="s">
        <v>387</v>
      </c>
      <c r="C6" t="str">
        <f>INDEX(RegionSet!$C:$C,MATCH($B6,RegionSet!$A:$A,0))</f>
        <v>Postal codes - Level 4</v>
      </c>
      <c r="D6" s="11" t="s">
        <v>393</v>
      </c>
      <c r="E6" t="str">
        <f t="shared" si="0"/>
        <v>PC_1022</v>
      </c>
      <c r="F6">
        <v>1</v>
      </c>
      <c r="G6">
        <v>1</v>
      </c>
      <c r="H6">
        <v>1</v>
      </c>
      <c r="I6">
        <v>1</v>
      </c>
      <c r="J6" s="6" t="str">
        <f t="shared" si="1"/>
        <v>0198ef6d-8543-92bb-3d7b-9a6b17e52c7d|1022</v>
      </c>
      <c r="K6" s="6" t="str">
        <f t="shared" si="2"/>
        <v>0198ef6d-8543-92bb-3d7b-9a6b17e52c7d|pc_1022</v>
      </c>
    </row>
    <row r="7" spans="1:11" x14ac:dyDescent="0.3">
      <c r="A7" t="s">
        <v>405</v>
      </c>
      <c r="B7" t="s">
        <v>387</v>
      </c>
      <c r="C7" t="str">
        <f>INDEX(RegionSet!$C:$C,MATCH($B7,RegionSet!$A:$A,0))</f>
        <v>Postal codes - Level 4</v>
      </c>
      <c r="D7" s="11" t="s">
        <v>395</v>
      </c>
      <c r="E7" t="str">
        <f t="shared" si="0"/>
        <v>PC_1023</v>
      </c>
      <c r="F7">
        <v>1</v>
      </c>
      <c r="G7">
        <v>1</v>
      </c>
      <c r="H7">
        <v>1</v>
      </c>
      <c r="I7">
        <v>1</v>
      </c>
      <c r="J7" s="6" t="str">
        <f t="shared" si="1"/>
        <v>0198ef6d-8543-92bb-3d7b-9a6b17e52c7d|1023</v>
      </c>
      <c r="K7" s="6" t="str">
        <f t="shared" si="2"/>
        <v>0198ef6d-8543-92bb-3d7b-9a6b17e52c7d|pc_1023</v>
      </c>
    </row>
    <row r="8" spans="1:11" x14ac:dyDescent="0.3">
      <c r="A8" t="s">
        <v>406</v>
      </c>
      <c r="B8" t="s">
        <v>388</v>
      </c>
      <c r="C8" t="str">
        <f>INDEX(RegionSet!$C:$C,MATCH($B8,RegionSet!$A:$A,0))</f>
        <v>Postal codes - Level 3</v>
      </c>
      <c r="D8" s="11" t="s">
        <v>398</v>
      </c>
      <c r="E8" t="str">
        <f t="shared" si="0"/>
        <v>PC_101</v>
      </c>
      <c r="F8">
        <v>1</v>
      </c>
      <c r="G8">
        <v>1</v>
      </c>
      <c r="H8">
        <v>1</v>
      </c>
      <c r="I8">
        <v>1</v>
      </c>
      <c r="J8" s="6" t="str">
        <f t="shared" si="1"/>
        <v>0198ef6d-8543-0ad2-6a86-701cc690b0a4|101</v>
      </c>
      <c r="K8" s="6" t="str">
        <f t="shared" si="2"/>
        <v>0198ef6d-8543-0ad2-6a86-701cc690b0a4|pc_101</v>
      </c>
    </row>
    <row r="9" spans="1:11" x14ac:dyDescent="0.3">
      <c r="A9" t="s">
        <v>407</v>
      </c>
      <c r="B9" t="s">
        <v>388</v>
      </c>
      <c r="C9" t="str">
        <f>INDEX(RegionSet!$C:$C,MATCH($B9,RegionSet!$A:$A,0))</f>
        <v>Postal codes - Level 3</v>
      </c>
      <c r="D9" s="11" t="s">
        <v>399</v>
      </c>
      <c r="E9" t="str">
        <f t="shared" si="0"/>
        <v>PC_102</v>
      </c>
      <c r="F9">
        <v>1</v>
      </c>
      <c r="G9">
        <v>1</v>
      </c>
      <c r="H9">
        <v>1</v>
      </c>
      <c r="I9">
        <v>1</v>
      </c>
      <c r="J9" s="6" t="str">
        <f t="shared" si="1"/>
        <v>0198ef6d-8543-0ad2-6a86-701cc690b0a4|102</v>
      </c>
      <c r="K9" s="6" t="str">
        <f t="shared" si="2"/>
        <v>0198ef6d-8543-0ad2-6a86-701cc690b0a4|pc_102</v>
      </c>
    </row>
    <row r="10" spans="1:11" x14ac:dyDescent="0.3">
      <c r="A10" t="s">
        <v>408</v>
      </c>
      <c r="B10" t="s">
        <v>389</v>
      </c>
      <c r="C10" t="str">
        <f>INDEX(RegionSet!$C:$C,MATCH($B10,RegionSet!$A:$A,0))</f>
        <v>Municipalities</v>
      </c>
      <c r="D10" t="s">
        <v>391</v>
      </c>
      <c r="E10" t="s">
        <v>744</v>
      </c>
      <c r="F10">
        <v>1</v>
      </c>
      <c r="G10">
        <v>1</v>
      </c>
      <c r="H10">
        <v>1</v>
      </c>
      <c r="I10">
        <v>1</v>
      </c>
      <c r="J10" s="6" t="str">
        <f t="shared" si="1"/>
        <v>0198ef6d-8543-5e3f-5ed0-dd932e32c2aa|a</v>
      </c>
      <c r="K10" s="6" t="str">
        <f t="shared" si="2"/>
        <v>0198ef6d-8543-5e3f-5ed0-dd932e32c2aa|mun_a</v>
      </c>
    </row>
    <row r="11" spans="1:11" x14ac:dyDescent="0.3">
      <c r="A11" t="s">
        <v>409</v>
      </c>
      <c r="B11" t="s">
        <v>389</v>
      </c>
      <c r="C11" t="str">
        <f>INDEX(RegionSet!$C:$C,MATCH($B11,RegionSet!$A:$A,0))</f>
        <v>Municipalities</v>
      </c>
      <c r="D11" t="s">
        <v>836</v>
      </c>
      <c r="E11" t="s">
        <v>745</v>
      </c>
      <c r="F11">
        <v>1</v>
      </c>
      <c r="G11">
        <v>1</v>
      </c>
      <c r="H11">
        <v>1</v>
      </c>
      <c r="I11">
        <v>1</v>
      </c>
      <c r="J11" s="6" t="str">
        <f t="shared" si="1"/>
        <v>0198ef6d-8543-5e3f-5ed0-dd932e32c2aa|b</v>
      </c>
      <c r="K11" s="6" t="str">
        <f t="shared" si="2"/>
        <v>0198ef6d-8543-5e3f-5ed0-dd932e32c2aa|mun_b</v>
      </c>
    </row>
    <row r="12" spans="1:11" x14ac:dyDescent="0.3">
      <c r="A12" t="s">
        <v>410</v>
      </c>
      <c r="B12" t="s">
        <v>389</v>
      </c>
      <c r="C12" t="str">
        <f>INDEX(RegionSet!$C:$C,MATCH($B12,RegionSet!$A:$A,0))</f>
        <v>Municipalities</v>
      </c>
      <c r="D12" t="s">
        <v>837</v>
      </c>
      <c r="E12" t="s">
        <v>746</v>
      </c>
      <c r="F12">
        <v>1</v>
      </c>
      <c r="G12">
        <v>1</v>
      </c>
      <c r="H12">
        <v>1</v>
      </c>
      <c r="I12">
        <v>1</v>
      </c>
      <c r="J12" s="6" t="str">
        <f t="shared" si="1"/>
        <v>0198ef6d-8543-5e3f-5ed0-dd932e32c2aa|c</v>
      </c>
      <c r="K12" s="6" t="str">
        <f t="shared" si="2"/>
        <v>0198ef6d-8543-5e3f-5ed0-dd932e32c2aa|mun_c</v>
      </c>
    </row>
    <row r="13" spans="1:11" x14ac:dyDescent="0.3">
      <c r="A13" t="s">
        <v>411</v>
      </c>
      <c r="B13" t="s">
        <v>390</v>
      </c>
      <c r="C13" t="str">
        <f>INDEX(RegionSet!$C:$C,MATCH($B13,RegionSet!$A:$A,0))</f>
        <v>Provinces</v>
      </c>
      <c r="D13" t="s">
        <v>747</v>
      </c>
      <c r="E13" t="s">
        <v>838</v>
      </c>
      <c r="F13">
        <v>1</v>
      </c>
      <c r="G13">
        <v>1</v>
      </c>
      <c r="H13">
        <v>1</v>
      </c>
      <c r="I13">
        <v>1</v>
      </c>
      <c r="J13" s="6" t="str">
        <f t="shared" si="1"/>
        <v>0198ef6d-8543-ca21-8fc9-aac9c10fe055|pv_1</v>
      </c>
      <c r="K13" s="6" t="str">
        <f t="shared" si="2"/>
        <v>0198ef6d-8543-ca21-8fc9-aac9c10fe055|province_1</v>
      </c>
    </row>
    <row r="14" spans="1:11" x14ac:dyDescent="0.3">
      <c r="A14" t="s">
        <v>412</v>
      </c>
      <c r="B14" t="s">
        <v>390</v>
      </c>
      <c r="C14" t="str">
        <f>INDEX(RegionSet!$C:$C,MATCH($B14,RegionSet!$A:$A,0))</f>
        <v>Provinces</v>
      </c>
      <c r="D14" t="s">
        <v>748</v>
      </c>
      <c r="E14" t="s">
        <v>839</v>
      </c>
      <c r="F14">
        <v>1</v>
      </c>
      <c r="G14">
        <v>1</v>
      </c>
      <c r="H14">
        <v>1</v>
      </c>
      <c r="I14">
        <v>1</v>
      </c>
      <c r="J14" s="6" t="str">
        <f t="shared" si="1"/>
        <v>0198ef6d-8543-ca21-8fc9-aac9c10fe055|pv_2</v>
      </c>
      <c r="K14" s="6" t="str">
        <f t="shared" si="2"/>
        <v>0198ef6d-8543-ca21-8fc9-aac9c10fe055|province_2</v>
      </c>
    </row>
    <row r="15" spans="1:11" x14ac:dyDescent="0.3">
      <c r="A15" t="s">
        <v>413</v>
      </c>
      <c r="B15" t="s">
        <v>390</v>
      </c>
      <c r="C15" t="str">
        <f>INDEX(RegionSet!$C:$C,MATCH($B15,RegionSet!$A:$A,0))</f>
        <v>Provinces</v>
      </c>
      <c r="D15" t="s">
        <v>749</v>
      </c>
      <c r="E15" t="s">
        <v>840</v>
      </c>
      <c r="F15">
        <v>1</v>
      </c>
      <c r="G15">
        <v>1</v>
      </c>
      <c r="H15">
        <v>1</v>
      </c>
      <c r="I15">
        <v>1</v>
      </c>
      <c r="J15" s="6" t="str">
        <f t="shared" si="1"/>
        <v>0198ef6d-8543-ca21-8fc9-aac9c10fe055|pv_3</v>
      </c>
      <c r="K15" s="6" t="str">
        <f t="shared" si="2"/>
        <v>0198ef6d-8543-ca21-8fc9-aac9c10fe055|province_3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C0D8C-5572-44D9-BA3F-CF80F24C999C}">
  <dimension ref="A1:F22"/>
  <sheetViews>
    <sheetView workbookViewId="0">
      <selection activeCell="A2" sqref="A2"/>
    </sheetView>
  </sheetViews>
  <sheetFormatPr defaultRowHeight="14.4" x14ac:dyDescent="0.3"/>
  <cols>
    <col min="1" max="2" width="36" bestFit="1" customWidth="1"/>
    <col min="3" max="3" width="36" customWidth="1"/>
    <col min="4" max="4" width="36.21875" bestFit="1" customWidth="1"/>
    <col min="5" max="5" width="36.21875" customWidth="1"/>
    <col min="6" max="6" width="9.6640625" bestFit="1" customWidth="1"/>
  </cols>
  <sheetData>
    <row r="1" spans="1:6" x14ac:dyDescent="0.3">
      <c r="A1" s="21" t="s">
        <v>0</v>
      </c>
      <c r="B1" s="21" t="s">
        <v>414</v>
      </c>
      <c r="C1" s="21" t="s">
        <v>750</v>
      </c>
      <c r="D1" s="21" t="s">
        <v>415</v>
      </c>
      <c r="E1" s="21" t="s">
        <v>751</v>
      </c>
      <c r="F1" s="21" t="s">
        <v>416</v>
      </c>
    </row>
    <row r="2" spans="1:6" x14ac:dyDescent="0.3">
      <c r="A2" t="s">
        <v>418</v>
      </c>
      <c r="B2" t="s">
        <v>406</v>
      </c>
      <c r="C2" t="str">
        <f>INDEX(Region!$E:$E,MATCH($B2,Region!$A:$A,0))</f>
        <v>PC_101</v>
      </c>
      <c r="D2" t="s">
        <v>400</v>
      </c>
      <c r="E2" t="str">
        <f>INDEX(Region!$E:$E,MATCH($D2,Region!$A:$A,0))</f>
        <v>PC_1011</v>
      </c>
      <c r="F2" t="s">
        <v>417</v>
      </c>
    </row>
    <row r="3" spans="1:6" x14ac:dyDescent="0.3">
      <c r="A3" t="s">
        <v>419</v>
      </c>
      <c r="B3" t="s">
        <v>406</v>
      </c>
      <c r="C3" t="str">
        <f>INDEX(Region!$E:$E,MATCH($B3,Region!$A:$A,0))</f>
        <v>PC_101</v>
      </c>
      <c r="D3" t="s">
        <v>401</v>
      </c>
      <c r="E3" t="str">
        <f>INDEX(Region!$E:$E,MATCH($D3,Region!$A:$A,0))</f>
        <v>PC_1012</v>
      </c>
      <c r="F3" t="s">
        <v>417</v>
      </c>
    </row>
    <row r="4" spans="1:6" x14ac:dyDescent="0.3">
      <c r="A4" t="s">
        <v>420</v>
      </c>
      <c r="B4" t="s">
        <v>406</v>
      </c>
      <c r="C4" t="str">
        <f>INDEX(Region!$E:$E,MATCH($B4,Region!$A:$A,0))</f>
        <v>PC_101</v>
      </c>
      <c r="D4" t="s">
        <v>402</v>
      </c>
      <c r="E4" t="str">
        <f>INDEX(Region!$E:$E,MATCH($D4,Region!$A:$A,0))</f>
        <v>PC_1013</v>
      </c>
      <c r="F4" t="s">
        <v>417</v>
      </c>
    </row>
    <row r="5" spans="1:6" x14ac:dyDescent="0.3">
      <c r="A5" t="s">
        <v>421</v>
      </c>
      <c r="B5" t="s">
        <v>407</v>
      </c>
      <c r="C5" t="str">
        <f>INDEX(Region!$E:$E,MATCH($B5,Region!$A:$A,0))</f>
        <v>PC_102</v>
      </c>
      <c r="D5" t="s">
        <v>403</v>
      </c>
      <c r="E5" t="str">
        <f>INDEX(Region!$E:$E,MATCH($D5,Region!$A:$A,0))</f>
        <v>PC_1021</v>
      </c>
      <c r="F5" t="s">
        <v>417</v>
      </c>
    </row>
    <row r="6" spans="1:6" x14ac:dyDescent="0.3">
      <c r="A6" t="s">
        <v>422</v>
      </c>
      <c r="B6" t="s">
        <v>407</v>
      </c>
      <c r="C6" t="str">
        <f>INDEX(Region!$E:$E,MATCH($B6,Region!$A:$A,0))</f>
        <v>PC_102</v>
      </c>
      <c r="D6" t="s">
        <v>404</v>
      </c>
      <c r="E6" t="str">
        <f>INDEX(Region!$E:$E,MATCH($D6,Region!$A:$A,0))</f>
        <v>PC_1022</v>
      </c>
      <c r="F6" t="s">
        <v>417</v>
      </c>
    </row>
    <row r="7" spans="1:6" x14ac:dyDescent="0.3">
      <c r="A7" t="s">
        <v>423</v>
      </c>
      <c r="B7" t="s">
        <v>407</v>
      </c>
      <c r="C7" t="str">
        <f>INDEX(Region!$E:$E,MATCH($B7,Region!$A:$A,0))</f>
        <v>PC_102</v>
      </c>
      <c r="D7" t="s">
        <v>405</v>
      </c>
      <c r="E7" t="str">
        <f>INDEX(Region!$E:$E,MATCH($D7,Region!$A:$A,0))</f>
        <v>PC_1023</v>
      </c>
      <c r="F7" t="s">
        <v>417</v>
      </c>
    </row>
    <row r="8" spans="1:6" x14ac:dyDescent="0.3">
      <c r="A8" t="s">
        <v>424</v>
      </c>
      <c r="B8" t="s">
        <v>408</v>
      </c>
      <c r="C8" t="str">
        <f>INDEX(Region!$E:$E,MATCH($B8,Region!$A:$A,0))</f>
        <v>MUN_A</v>
      </c>
      <c r="D8" t="s">
        <v>400</v>
      </c>
      <c r="E8" t="str">
        <f>INDEX(Region!$E:$E,MATCH($D8,Region!$A:$A,0))</f>
        <v>PC_1011</v>
      </c>
      <c r="F8" t="s">
        <v>417</v>
      </c>
    </row>
    <row r="9" spans="1:6" x14ac:dyDescent="0.3">
      <c r="A9" t="s">
        <v>425</v>
      </c>
      <c r="B9" t="s">
        <v>408</v>
      </c>
      <c r="C9" t="str">
        <f>INDEX(Region!$E:$E,MATCH($B9,Region!$A:$A,0))</f>
        <v>MUN_A</v>
      </c>
      <c r="D9" t="s">
        <v>401</v>
      </c>
      <c r="E9" t="str">
        <f>INDEX(Region!$E:$E,MATCH($D9,Region!$A:$A,0))</f>
        <v>PC_1012</v>
      </c>
      <c r="F9" t="s">
        <v>417</v>
      </c>
    </row>
    <row r="10" spans="1:6" x14ac:dyDescent="0.3">
      <c r="A10" t="s">
        <v>426</v>
      </c>
      <c r="B10" t="s">
        <v>409</v>
      </c>
      <c r="C10" t="str">
        <f>INDEX(Region!$E:$E,MATCH($B10,Region!$A:$A,0))</f>
        <v>MUN_B</v>
      </c>
      <c r="D10" t="s">
        <v>402</v>
      </c>
      <c r="E10" t="str">
        <f>INDEX(Region!$E:$E,MATCH($D10,Region!$A:$A,0))</f>
        <v>PC_1013</v>
      </c>
      <c r="F10" t="s">
        <v>417</v>
      </c>
    </row>
    <row r="11" spans="1:6" x14ac:dyDescent="0.3">
      <c r="A11" t="s">
        <v>427</v>
      </c>
      <c r="B11" t="s">
        <v>409</v>
      </c>
      <c r="C11" t="str">
        <f>INDEX(Region!$E:$E,MATCH($B11,Region!$A:$A,0))</f>
        <v>MUN_B</v>
      </c>
      <c r="D11" t="s">
        <v>403</v>
      </c>
      <c r="E11" t="str">
        <f>INDEX(Region!$E:$E,MATCH($D11,Region!$A:$A,0))</f>
        <v>PC_1021</v>
      </c>
      <c r="F11" t="s">
        <v>417</v>
      </c>
    </row>
    <row r="12" spans="1:6" x14ac:dyDescent="0.3">
      <c r="A12" t="s">
        <v>428</v>
      </c>
      <c r="B12" t="s">
        <v>410</v>
      </c>
      <c r="C12" t="str">
        <f>INDEX(Region!$E:$E,MATCH($B12,Region!$A:$A,0))</f>
        <v>MUN_C</v>
      </c>
      <c r="D12" t="s">
        <v>404</v>
      </c>
      <c r="E12" t="str">
        <f>INDEX(Region!$E:$E,MATCH($D12,Region!$A:$A,0))</f>
        <v>PC_1022</v>
      </c>
      <c r="F12" t="s">
        <v>417</v>
      </c>
    </row>
    <row r="13" spans="1:6" x14ac:dyDescent="0.3">
      <c r="A13" t="s">
        <v>429</v>
      </c>
      <c r="B13" t="s">
        <v>410</v>
      </c>
      <c r="C13" t="str">
        <f>INDEX(Region!$E:$E,MATCH($B13,Region!$A:$A,0))</f>
        <v>MUN_C</v>
      </c>
      <c r="D13" t="s">
        <v>405</v>
      </c>
      <c r="E13" t="str">
        <f>INDEX(Region!$E:$E,MATCH($D13,Region!$A:$A,0))</f>
        <v>PC_1023</v>
      </c>
      <c r="F13" t="s">
        <v>417</v>
      </c>
    </row>
    <row r="14" spans="1:6" x14ac:dyDescent="0.3">
      <c r="A14" t="s">
        <v>430</v>
      </c>
      <c r="B14" t="s">
        <v>411</v>
      </c>
      <c r="C14" t="str">
        <f>INDEX(Region!$E:$E,MATCH($B14,Region!$A:$A,0))</f>
        <v>Province_1</v>
      </c>
      <c r="D14" t="s">
        <v>400</v>
      </c>
      <c r="E14" t="str">
        <f>INDEX(Region!$E:$E,MATCH($D14,Region!$A:$A,0))</f>
        <v>PC_1011</v>
      </c>
      <c r="F14" t="s">
        <v>417</v>
      </c>
    </row>
    <row r="15" spans="1:6" x14ac:dyDescent="0.3">
      <c r="A15" t="s">
        <v>431</v>
      </c>
      <c r="B15" t="s">
        <v>411</v>
      </c>
      <c r="C15" t="str">
        <f>INDEX(Region!$E:$E,MATCH($B15,Region!$A:$A,0))</f>
        <v>Province_1</v>
      </c>
      <c r="D15" t="s">
        <v>401</v>
      </c>
      <c r="E15" t="str">
        <f>INDEX(Region!$E:$E,MATCH($D15,Region!$A:$A,0))</f>
        <v>PC_1012</v>
      </c>
      <c r="F15" t="s">
        <v>417</v>
      </c>
    </row>
    <row r="16" spans="1:6" x14ac:dyDescent="0.3">
      <c r="A16" t="s">
        <v>432</v>
      </c>
      <c r="B16" t="s">
        <v>411</v>
      </c>
      <c r="C16" t="str">
        <f>INDEX(Region!$E:$E,MATCH($B16,Region!$A:$A,0))</f>
        <v>Province_1</v>
      </c>
      <c r="D16" t="s">
        <v>402</v>
      </c>
      <c r="E16" t="str">
        <f>INDEX(Region!$E:$E,MATCH($D16,Region!$A:$A,0))</f>
        <v>PC_1013</v>
      </c>
      <c r="F16" t="s">
        <v>417</v>
      </c>
    </row>
    <row r="17" spans="1:6" x14ac:dyDescent="0.3">
      <c r="A17" t="s">
        <v>433</v>
      </c>
      <c r="B17" t="s">
        <v>411</v>
      </c>
      <c r="C17" t="str">
        <f>INDEX(Region!$E:$E,MATCH($B17,Region!$A:$A,0))</f>
        <v>Province_1</v>
      </c>
      <c r="D17" t="s">
        <v>403</v>
      </c>
      <c r="E17" t="str">
        <f>INDEX(Region!$E:$E,MATCH($D17,Region!$A:$A,0))</f>
        <v>PC_1021</v>
      </c>
      <c r="F17" t="s">
        <v>417</v>
      </c>
    </row>
    <row r="18" spans="1:6" x14ac:dyDescent="0.3">
      <c r="A18" t="s">
        <v>434</v>
      </c>
      <c r="B18" t="s">
        <v>412</v>
      </c>
      <c r="C18" t="str">
        <f>INDEX(Region!$E:$E,MATCH($B18,Region!$A:$A,0))</f>
        <v>Province_2</v>
      </c>
      <c r="D18" t="s">
        <v>404</v>
      </c>
      <c r="E18" t="str">
        <f>INDEX(Region!$E:$E,MATCH($D18,Region!$A:$A,0))</f>
        <v>PC_1022</v>
      </c>
      <c r="F18" t="s">
        <v>417</v>
      </c>
    </row>
    <row r="19" spans="1:6" x14ac:dyDescent="0.3">
      <c r="A19" t="s">
        <v>435</v>
      </c>
      <c r="B19" t="s">
        <v>412</v>
      </c>
      <c r="C19" t="str">
        <f>INDEX(Region!$E:$E,MATCH($B19,Region!$A:$A,0))</f>
        <v>Province_2</v>
      </c>
      <c r="D19" t="s">
        <v>405</v>
      </c>
      <c r="E19" t="str">
        <f>INDEX(Region!$E:$E,MATCH($D19,Region!$A:$A,0))</f>
        <v>PC_1023</v>
      </c>
      <c r="F19" t="s">
        <v>417</v>
      </c>
    </row>
    <row r="20" spans="1:6" x14ac:dyDescent="0.3">
      <c r="A20" t="s">
        <v>436</v>
      </c>
      <c r="B20" t="s">
        <v>411</v>
      </c>
      <c r="C20" t="str">
        <f>INDEX(Region!$E:$E,MATCH($B20,Region!$A:$A,0))</f>
        <v>Province_1</v>
      </c>
      <c r="D20" t="s">
        <v>408</v>
      </c>
      <c r="E20" t="str">
        <f>INDEX(Region!$E:$E,MATCH($D20,Region!$A:$A,0))</f>
        <v>MUN_A</v>
      </c>
      <c r="F20" t="s">
        <v>417</v>
      </c>
    </row>
    <row r="21" spans="1:6" x14ac:dyDescent="0.3">
      <c r="A21" t="s">
        <v>437</v>
      </c>
      <c r="B21" t="s">
        <v>411</v>
      </c>
      <c r="C21" t="str">
        <f>INDEX(Region!$E:$E,MATCH($B21,Region!$A:$A,0))</f>
        <v>Province_1</v>
      </c>
      <c r="D21" t="s">
        <v>409</v>
      </c>
      <c r="E21" t="str">
        <f>INDEX(Region!$E:$E,MATCH($D21,Region!$A:$A,0))</f>
        <v>MUN_B</v>
      </c>
      <c r="F21" t="s">
        <v>417</v>
      </c>
    </row>
    <row r="22" spans="1:6" x14ac:dyDescent="0.3">
      <c r="A22" t="s">
        <v>438</v>
      </c>
      <c r="B22" t="s">
        <v>412</v>
      </c>
      <c r="C22" t="str">
        <f>INDEX(Region!$E:$E,MATCH($B22,Region!$A:$A,0))</f>
        <v>Province_2</v>
      </c>
      <c r="D22" t="s">
        <v>410</v>
      </c>
      <c r="E22" t="str">
        <f>INDEX(Region!$E:$E,MATCH($D22,Region!$A:$A,0))</f>
        <v>MUN_C</v>
      </c>
      <c r="F22" t="s">
        <v>417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6"/>
  <sheetViews>
    <sheetView workbookViewId="0">
      <selection activeCell="A2" sqref="A2"/>
    </sheetView>
  </sheetViews>
  <sheetFormatPr defaultColWidth="8.77734375" defaultRowHeight="14.4" x14ac:dyDescent="0.3"/>
  <cols>
    <col min="1" max="1" width="36" bestFit="1" customWidth="1"/>
    <col min="2" max="2" width="5.77734375" bestFit="1" customWidth="1"/>
    <col min="3" max="3" width="16" bestFit="1" customWidth="1"/>
    <col min="4" max="4" width="13.77734375" bestFit="1" customWidth="1"/>
    <col min="5" max="5" width="11.109375" bestFit="1" customWidth="1"/>
  </cols>
  <sheetData>
    <row r="1" spans="1:5" x14ac:dyDescent="0.3">
      <c r="A1" s="1" t="s">
        <v>0</v>
      </c>
      <c r="B1" s="1" t="s">
        <v>57</v>
      </c>
      <c r="C1" s="1" t="s">
        <v>205</v>
      </c>
      <c r="D1" s="1" t="s">
        <v>206</v>
      </c>
      <c r="E1" s="1" t="s">
        <v>207</v>
      </c>
    </row>
    <row r="2" spans="1:5" x14ac:dyDescent="0.3">
      <c r="A2" t="s">
        <v>43</v>
      </c>
      <c r="B2" t="s">
        <v>208</v>
      </c>
      <c r="C2" t="s">
        <v>208</v>
      </c>
    </row>
    <row r="3" spans="1:5" x14ac:dyDescent="0.3">
      <c r="A3" t="s">
        <v>46</v>
      </c>
      <c r="B3" t="s">
        <v>209</v>
      </c>
      <c r="C3" t="s">
        <v>209</v>
      </c>
    </row>
    <row r="4" spans="1:5" x14ac:dyDescent="0.3">
      <c r="A4" t="s">
        <v>49</v>
      </c>
      <c r="B4" t="s">
        <v>210</v>
      </c>
      <c r="C4" t="s">
        <v>210</v>
      </c>
    </row>
    <row r="5" spans="1:5" x14ac:dyDescent="0.3">
      <c r="A5" t="s">
        <v>52</v>
      </c>
      <c r="B5" t="s">
        <v>211</v>
      </c>
      <c r="C5" t="s">
        <v>211</v>
      </c>
    </row>
    <row r="6" spans="1:5" x14ac:dyDescent="0.3">
      <c r="A6" t="s">
        <v>55</v>
      </c>
      <c r="B6" t="s">
        <v>212</v>
      </c>
      <c r="C6" t="s">
        <v>212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2"/>
  <sheetViews>
    <sheetView workbookViewId="0">
      <selection activeCell="A2" sqref="A2"/>
    </sheetView>
  </sheetViews>
  <sheetFormatPr defaultColWidth="8.77734375" defaultRowHeight="14.4" x14ac:dyDescent="0.3"/>
  <cols>
    <col min="1" max="1" width="36.44140625" bestFit="1" customWidth="1"/>
    <col min="2" max="2" width="16.109375" bestFit="1" customWidth="1"/>
    <col min="3" max="3" width="10.33203125" style="6" bestFit="1" customWidth="1"/>
  </cols>
  <sheetData>
    <row r="1" spans="1:3" x14ac:dyDescent="0.3">
      <c r="A1" s="1" t="s">
        <v>0</v>
      </c>
      <c r="B1" s="1" t="s">
        <v>57</v>
      </c>
      <c r="C1" s="10" t="s">
        <v>78</v>
      </c>
    </row>
    <row r="2" spans="1:3" x14ac:dyDescent="0.3">
      <c r="A2" t="s">
        <v>11</v>
      </c>
      <c r="B2" t="s">
        <v>194</v>
      </c>
      <c r="C2" s="6" t="str">
        <f>"dc"&amp;RIGHT($B2,LEN($B2)-15)</f>
        <v>dc1</v>
      </c>
    </row>
    <row r="3" spans="1:3" x14ac:dyDescent="0.3">
      <c r="A3" t="s">
        <v>17</v>
      </c>
      <c r="B3" t="s">
        <v>195</v>
      </c>
      <c r="C3" s="6" t="str">
        <f t="shared" ref="C3:C12" si="0">"dc"&amp;RIGHT($B3,LEN($B3)-15)</f>
        <v>dc2</v>
      </c>
    </row>
    <row r="4" spans="1:3" x14ac:dyDescent="0.3">
      <c r="A4" t="s">
        <v>23</v>
      </c>
      <c r="B4" t="s">
        <v>196</v>
      </c>
      <c r="C4" s="6" t="str">
        <f t="shared" si="0"/>
        <v>dc3</v>
      </c>
    </row>
    <row r="5" spans="1:3" x14ac:dyDescent="0.3">
      <c r="A5" t="s">
        <v>29</v>
      </c>
      <c r="B5" t="s">
        <v>197</v>
      </c>
      <c r="C5" s="6" t="str">
        <f t="shared" si="0"/>
        <v>dc4</v>
      </c>
    </row>
    <row r="6" spans="1:3" x14ac:dyDescent="0.3">
      <c r="A6" t="s">
        <v>35</v>
      </c>
      <c r="B6" t="s">
        <v>198</v>
      </c>
      <c r="C6" s="6" t="str">
        <f t="shared" si="0"/>
        <v>dc5</v>
      </c>
    </row>
    <row r="7" spans="1:3" x14ac:dyDescent="0.3">
      <c r="A7" t="s">
        <v>15</v>
      </c>
      <c r="B7" t="s">
        <v>199</v>
      </c>
      <c r="C7" s="6" t="str">
        <f t="shared" si="0"/>
        <v>dc6</v>
      </c>
    </row>
    <row r="8" spans="1:3" x14ac:dyDescent="0.3">
      <c r="A8" t="s">
        <v>21</v>
      </c>
      <c r="B8" t="s">
        <v>200</v>
      </c>
      <c r="C8" s="6" t="str">
        <f t="shared" si="0"/>
        <v>dc7</v>
      </c>
    </row>
    <row r="9" spans="1:3" x14ac:dyDescent="0.3">
      <c r="A9" t="s">
        <v>27</v>
      </c>
      <c r="B9" t="s">
        <v>201</v>
      </c>
      <c r="C9" s="6" t="str">
        <f t="shared" si="0"/>
        <v>dc8</v>
      </c>
    </row>
    <row r="10" spans="1:3" x14ac:dyDescent="0.3">
      <c r="A10" t="s">
        <v>33</v>
      </c>
      <c r="B10" t="s">
        <v>202</v>
      </c>
      <c r="C10" s="6" t="str">
        <f t="shared" si="0"/>
        <v>dc9</v>
      </c>
    </row>
    <row r="11" spans="1:3" x14ac:dyDescent="0.3">
      <c r="A11" t="s">
        <v>39</v>
      </c>
      <c r="B11" t="s">
        <v>203</v>
      </c>
      <c r="C11" s="6" t="str">
        <f t="shared" si="0"/>
        <v>dc10</v>
      </c>
    </row>
    <row r="12" spans="1:3" x14ac:dyDescent="0.3">
      <c r="A12" t="s">
        <v>40</v>
      </c>
      <c r="B12" t="s">
        <v>204</v>
      </c>
      <c r="C12" s="6" t="str">
        <f t="shared" si="0"/>
        <v>dc11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29"/>
  <sheetViews>
    <sheetView tabSelected="1" workbookViewId="0">
      <selection activeCell="E2" sqref="E2"/>
    </sheetView>
  </sheetViews>
  <sheetFormatPr defaultColWidth="8.77734375" defaultRowHeight="14.4" x14ac:dyDescent="0.3"/>
  <cols>
    <col min="1" max="1" width="36.33203125" bestFit="1" customWidth="1"/>
    <col min="2" max="2" width="36.33203125" customWidth="1"/>
    <col min="3" max="3" width="27.77734375" bestFit="1" customWidth="1"/>
    <col min="4" max="4" width="18.77734375" bestFit="1" customWidth="1"/>
    <col min="6" max="6" width="21" bestFit="1" customWidth="1"/>
    <col min="7" max="7" width="36" bestFit="1" customWidth="1"/>
    <col min="8" max="8" width="20.33203125" style="6" bestFit="1" customWidth="1"/>
    <col min="9" max="10" width="14.44140625" style="6" bestFit="1" customWidth="1"/>
    <col min="11" max="11" width="25.44140625" style="6" bestFit="1" customWidth="1"/>
    <col min="12" max="12" width="18.109375" style="6" bestFit="1" customWidth="1"/>
    <col min="13" max="13" width="18.77734375" style="6" bestFit="1" customWidth="1"/>
  </cols>
  <sheetData>
    <row r="1" spans="1:13" x14ac:dyDescent="0.3">
      <c r="A1" s="1" t="s">
        <v>0</v>
      </c>
      <c r="B1" s="1" t="s">
        <v>869</v>
      </c>
      <c r="C1" s="1" t="s">
        <v>190</v>
      </c>
      <c r="D1" s="1" t="s">
        <v>57</v>
      </c>
      <c r="E1" s="1" t="s">
        <v>3</v>
      </c>
      <c r="F1" s="1" t="s">
        <v>191</v>
      </c>
      <c r="G1" s="1" t="s">
        <v>41</v>
      </c>
      <c r="H1" s="5" t="s">
        <v>798</v>
      </c>
      <c r="I1" s="5" t="s">
        <v>799</v>
      </c>
      <c r="J1" s="5" t="s">
        <v>800</v>
      </c>
      <c r="K1" s="5" t="s">
        <v>801</v>
      </c>
      <c r="L1" s="5" t="s">
        <v>802</v>
      </c>
      <c r="M1" s="17" t="s">
        <v>285</v>
      </c>
    </row>
    <row r="2" spans="1:13" x14ac:dyDescent="0.3">
      <c r="A2" t="s">
        <v>868</v>
      </c>
      <c r="B2" t="s">
        <v>752</v>
      </c>
      <c r="C2" t="s">
        <v>752</v>
      </c>
      <c r="D2" t="str">
        <f>LEFT(C2,FIND("@",C2)-1)</f>
        <v>root1_1</v>
      </c>
      <c r="E2" t="b">
        <v>1</v>
      </c>
      <c r="F2" t="s">
        <v>874</v>
      </c>
      <c r="G2" t="s">
        <v>43</v>
      </c>
      <c r="H2" s="18" t="str">
        <f>INDEX(Organization!$B:$B,MATCH($G2,Organization!$A:$A,0))</f>
        <v>org1</v>
      </c>
      <c r="I2" s="18" t="b">
        <f>ISNUMBER(SEARCH("ROOT", F2))</f>
        <v>1</v>
      </c>
      <c r="J2" s="18" t="b">
        <f>ISNUMBER(SEARCH("APP_ADMIN", $F2))</f>
        <v>0</v>
      </c>
      <c r="K2" s="18" t="b">
        <f>ISNUMBER(SEARCH("METADATA_ADMIN", $F2))</f>
        <v>0</v>
      </c>
      <c r="L2" s="18" t="b">
        <f>ISNUMBER(SEARCH("ORG_USER", $F2))</f>
        <v>0</v>
      </c>
      <c r="M2" s="6" t="b">
        <f>OR($I2,$J2)</f>
        <v>1</v>
      </c>
    </row>
    <row r="3" spans="1:13" x14ac:dyDescent="0.3">
      <c r="A3" t="s">
        <v>192</v>
      </c>
      <c r="B3" t="s">
        <v>753</v>
      </c>
      <c r="C3" t="s">
        <v>753</v>
      </c>
      <c r="D3" t="str">
        <f t="shared" ref="D3:D29" si="0">LEFT(C3,FIND("@",C3)-1)</f>
        <v>app_admin1_1</v>
      </c>
      <c r="E3" t="b">
        <v>1</v>
      </c>
      <c r="F3" t="s">
        <v>870</v>
      </c>
      <c r="G3" t="s">
        <v>43</v>
      </c>
      <c r="H3" s="18" t="str">
        <f>INDEX(Organization!$B:$B,MATCH($G3,Organization!$A:$A,0))</f>
        <v>org1</v>
      </c>
      <c r="I3" s="18" t="b">
        <f t="shared" ref="I3:I29" si="1">ISNUMBER(SEARCH("ROOT", F3))</f>
        <v>0</v>
      </c>
      <c r="J3" s="18" t="b">
        <f t="shared" ref="J3:J29" si="2">ISNUMBER(SEARCH("APP_ADMIN", $F3))</f>
        <v>1</v>
      </c>
      <c r="K3" s="18" t="b">
        <f t="shared" ref="K3:K29" si="3">ISNUMBER(SEARCH("METADATA_ADMIN", $F3))</f>
        <v>0</v>
      </c>
      <c r="L3" s="18" t="b">
        <f t="shared" ref="L3:L29" si="4">ISNUMBER(SEARCH("ORG_USER", $F3))</f>
        <v>0</v>
      </c>
      <c r="M3" s="6" t="b">
        <f t="shared" ref="M3:M29" si="5">OR($I3,$J3)</f>
        <v>1</v>
      </c>
    </row>
    <row r="4" spans="1:13" x14ac:dyDescent="0.3">
      <c r="A4" t="s">
        <v>193</v>
      </c>
      <c r="B4" s="20" t="s">
        <v>754</v>
      </c>
      <c r="C4" s="20" t="s">
        <v>754</v>
      </c>
      <c r="D4" t="str">
        <f t="shared" si="0"/>
        <v>refdata_admin1_1</v>
      </c>
      <c r="E4" t="b">
        <v>1</v>
      </c>
      <c r="F4" t="s">
        <v>871</v>
      </c>
      <c r="G4" t="s">
        <v>43</v>
      </c>
      <c r="H4" s="18" t="str">
        <f>INDEX(Organization!$B:$B,MATCH($G4,Organization!$A:$A,0))</f>
        <v>org1</v>
      </c>
      <c r="I4" s="18" t="b">
        <f t="shared" si="1"/>
        <v>0</v>
      </c>
      <c r="J4" s="18" t="b">
        <f t="shared" si="2"/>
        <v>0</v>
      </c>
      <c r="K4" s="18" t="b">
        <f t="shared" si="3"/>
        <v>0</v>
      </c>
      <c r="L4" s="18" t="b">
        <f t="shared" si="4"/>
        <v>0</v>
      </c>
      <c r="M4" s="6" t="b">
        <f t="shared" si="5"/>
        <v>0</v>
      </c>
    </row>
    <row r="5" spans="1:13" x14ac:dyDescent="0.3">
      <c r="A5" t="s">
        <v>44</v>
      </c>
      <c r="B5" t="s">
        <v>755</v>
      </c>
      <c r="C5" t="s">
        <v>755</v>
      </c>
      <c r="D5" t="str">
        <f t="shared" si="0"/>
        <v>org_admin1_1</v>
      </c>
      <c r="E5" t="b">
        <v>1</v>
      </c>
      <c r="F5" t="s">
        <v>872</v>
      </c>
      <c r="G5" t="s">
        <v>43</v>
      </c>
      <c r="H5" s="18" t="str">
        <f>INDEX(Organization!$B:$B,MATCH($G5,Organization!$A:$A,0))</f>
        <v>org1</v>
      </c>
      <c r="I5" s="18" t="b">
        <f t="shared" si="1"/>
        <v>0</v>
      </c>
      <c r="J5" s="18" t="b">
        <f t="shared" si="2"/>
        <v>0</v>
      </c>
      <c r="K5" s="18" t="b">
        <f t="shared" si="3"/>
        <v>0</v>
      </c>
      <c r="L5" s="18" t="b">
        <f t="shared" si="4"/>
        <v>0</v>
      </c>
      <c r="M5" s="6" t="b">
        <f t="shared" si="5"/>
        <v>0</v>
      </c>
    </row>
    <row r="6" spans="1:13" x14ac:dyDescent="0.3">
      <c r="A6" t="s">
        <v>47</v>
      </c>
      <c r="B6" t="s">
        <v>756</v>
      </c>
      <c r="C6" t="s">
        <v>756</v>
      </c>
      <c r="D6" t="str">
        <f t="shared" si="0"/>
        <v>org_admin2_1</v>
      </c>
      <c r="E6" t="b">
        <v>1</v>
      </c>
      <c r="F6" t="s">
        <v>872</v>
      </c>
      <c r="G6" t="s">
        <v>46</v>
      </c>
      <c r="H6" s="18" t="str">
        <f>INDEX(Organization!$B:$B,MATCH($G6,Organization!$A:$A,0))</f>
        <v>org2</v>
      </c>
      <c r="I6" s="18" t="b">
        <f t="shared" si="1"/>
        <v>0</v>
      </c>
      <c r="J6" s="18" t="b">
        <f t="shared" si="2"/>
        <v>0</v>
      </c>
      <c r="K6" s="18" t="b">
        <f t="shared" si="3"/>
        <v>0</v>
      </c>
      <c r="L6" s="18" t="b">
        <f t="shared" si="4"/>
        <v>0</v>
      </c>
      <c r="M6" s="6" t="b">
        <f t="shared" si="5"/>
        <v>0</v>
      </c>
    </row>
    <row r="7" spans="1:13" x14ac:dyDescent="0.3">
      <c r="A7" t="s">
        <v>50</v>
      </c>
      <c r="B7" t="s">
        <v>757</v>
      </c>
      <c r="C7" t="s">
        <v>757</v>
      </c>
      <c r="D7" t="str">
        <f t="shared" si="0"/>
        <v>org_admin3_1</v>
      </c>
      <c r="E7" t="b">
        <v>1</v>
      </c>
      <c r="F7" t="s">
        <v>872</v>
      </c>
      <c r="G7" t="s">
        <v>49</v>
      </c>
      <c r="H7" s="18" t="str">
        <f>INDEX(Organization!$B:$B,MATCH($G7,Organization!$A:$A,0))</f>
        <v>org3</v>
      </c>
      <c r="I7" s="18" t="b">
        <f t="shared" si="1"/>
        <v>0</v>
      </c>
      <c r="J7" s="18" t="b">
        <f t="shared" si="2"/>
        <v>0</v>
      </c>
      <c r="K7" s="18" t="b">
        <f t="shared" si="3"/>
        <v>0</v>
      </c>
      <c r="L7" s="18" t="b">
        <f t="shared" si="4"/>
        <v>0</v>
      </c>
      <c r="M7" s="6" t="b">
        <f t="shared" si="5"/>
        <v>0</v>
      </c>
    </row>
    <row r="8" spans="1:13" x14ac:dyDescent="0.3">
      <c r="A8" t="s">
        <v>53</v>
      </c>
      <c r="B8" t="s">
        <v>758</v>
      </c>
      <c r="C8" t="s">
        <v>758</v>
      </c>
      <c r="D8" t="str">
        <f t="shared" si="0"/>
        <v>org_admin4_1</v>
      </c>
      <c r="E8" t="b">
        <v>1</v>
      </c>
      <c r="F8" t="s">
        <v>872</v>
      </c>
      <c r="G8" t="s">
        <v>52</v>
      </c>
      <c r="H8" s="18" t="str">
        <f>INDEX(Organization!$B:$B,MATCH($G8,Organization!$A:$A,0))</f>
        <v>org4</v>
      </c>
      <c r="I8" s="18" t="b">
        <f t="shared" si="1"/>
        <v>0</v>
      </c>
      <c r="J8" s="18" t="b">
        <f t="shared" si="2"/>
        <v>0</v>
      </c>
      <c r="K8" s="18" t="b">
        <f t="shared" si="3"/>
        <v>0</v>
      </c>
      <c r="L8" s="18" t="b">
        <f t="shared" si="4"/>
        <v>0</v>
      </c>
      <c r="M8" s="6" t="b">
        <f t="shared" si="5"/>
        <v>0</v>
      </c>
    </row>
    <row r="9" spans="1:13" x14ac:dyDescent="0.3">
      <c r="A9" t="s">
        <v>56</v>
      </c>
      <c r="B9" t="s">
        <v>759</v>
      </c>
      <c r="C9" t="s">
        <v>759</v>
      </c>
      <c r="D9" t="str">
        <f t="shared" si="0"/>
        <v>org_admin5_1</v>
      </c>
      <c r="E9" t="b">
        <v>1</v>
      </c>
      <c r="F9" t="s">
        <v>872</v>
      </c>
      <c r="G9" t="s">
        <v>55</v>
      </c>
      <c r="H9" s="18" t="str">
        <f>INDEX(Organization!$B:$B,MATCH($G9,Organization!$A:$A,0))</f>
        <v>org5</v>
      </c>
      <c r="I9" s="18" t="b">
        <f t="shared" si="1"/>
        <v>0</v>
      </c>
      <c r="J9" s="18" t="b">
        <f t="shared" si="2"/>
        <v>0</v>
      </c>
      <c r="K9" s="18" t="b">
        <f t="shared" si="3"/>
        <v>0</v>
      </c>
      <c r="L9" s="18" t="b">
        <f t="shared" si="4"/>
        <v>0</v>
      </c>
      <c r="M9" s="6" t="b">
        <f t="shared" si="5"/>
        <v>0</v>
      </c>
    </row>
    <row r="10" spans="1:13" x14ac:dyDescent="0.3">
      <c r="A10" t="s">
        <v>10</v>
      </c>
      <c r="B10" t="s">
        <v>760</v>
      </c>
      <c r="C10" t="s">
        <v>760</v>
      </c>
      <c r="D10" t="str">
        <f t="shared" si="0"/>
        <v>org_user1_1</v>
      </c>
      <c r="E10" t="b">
        <v>1</v>
      </c>
      <c r="F10" t="s">
        <v>873</v>
      </c>
      <c r="G10" t="s">
        <v>43</v>
      </c>
      <c r="H10" s="18" t="str">
        <f>INDEX(Organization!$B:$B,MATCH($G10,Organization!$A:$A,0))</f>
        <v>org1</v>
      </c>
      <c r="I10" s="18" t="b">
        <f t="shared" si="1"/>
        <v>0</v>
      </c>
      <c r="J10" s="18" t="b">
        <f t="shared" si="2"/>
        <v>0</v>
      </c>
      <c r="K10" s="18" t="b">
        <f t="shared" si="3"/>
        <v>0</v>
      </c>
      <c r="L10" s="18" t="b">
        <f t="shared" si="4"/>
        <v>1</v>
      </c>
      <c r="M10" s="6" t="b">
        <f t="shared" si="5"/>
        <v>0</v>
      </c>
    </row>
    <row r="11" spans="1:13" x14ac:dyDescent="0.3">
      <c r="A11" t="s">
        <v>12</v>
      </c>
      <c r="B11" t="s">
        <v>761</v>
      </c>
      <c r="C11" t="s">
        <v>761</v>
      </c>
      <c r="D11" t="str">
        <f t="shared" si="0"/>
        <v>org_user1_2</v>
      </c>
      <c r="E11" t="b">
        <v>1</v>
      </c>
      <c r="F11" t="s">
        <v>873</v>
      </c>
      <c r="G11" t="s">
        <v>43</v>
      </c>
      <c r="H11" s="18" t="str">
        <f>INDEX(Organization!$B:$B,MATCH($G11,Organization!$A:$A,0))</f>
        <v>org1</v>
      </c>
      <c r="I11" s="18" t="b">
        <f t="shared" si="1"/>
        <v>0</v>
      </c>
      <c r="J11" s="18" t="b">
        <f t="shared" si="2"/>
        <v>0</v>
      </c>
      <c r="K11" s="18" t="b">
        <f t="shared" si="3"/>
        <v>0</v>
      </c>
      <c r="L11" s="18" t="b">
        <f t="shared" si="4"/>
        <v>1</v>
      </c>
      <c r="M11" s="6" t="b">
        <f t="shared" si="5"/>
        <v>0</v>
      </c>
    </row>
    <row r="12" spans="1:13" x14ac:dyDescent="0.3">
      <c r="A12" t="s">
        <v>13</v>
      </c>
      <c r="B12" t="s">
        <v>762</v>
      </c>
      <c r="C12" t="s">
        <v>762</v>
      </c>
      <c r="D12" t="str">
        <f t="shared" si="0"/>
        <v>org_user1_3</v>
      </c>
      <c r="E12" t="b">
        <v>1</v>
      </c>
      <c r="F12" t="s">
        <v>873</v>
      </c>
      <c r="G12" t="s">
        <v>43</v>
      </c>
      <c r="H12" s="18" t="str">
        <f>INDEX(Organization!$B:$B,MATCH($G12,Organization!$A:$A,0))</f>
        <v>org1</v>
      </c>
      <c r="I12" s="18" t="b">
        <f t="shared" si="1"/>
        <v>0</v>
      </c>
      <c r="J12" s="18" t="b">
        <f t="shared" si="2"/>
        <v>0</v>
      </c>
      <c r="K12" s="18" t="b">
        <f t="shared" si="3"/>
        <v>0</v>
      </c>
      <c r="L12" s="18" t="b">
        <f t="shared" si="4"/>
        <v>1</v>
      </c>
      <c r="M12" s="6" t="b">
        <f t="shared" si="5"/>
        <v>0</v>
      </c>
    </row>
    <row r="13" spans="1:13" x14ac:dyDescent="0.3">
      <c r="A13" t="s">
        <v>14</v>
      </c>
      <c r="B13" t="s">
        <v>763</v>
      </c>
      <c r="C13" t="s">
        <v>763</v>
      </c>
      <c r="D13" t="str">
        <f t="shared" si="0"/>
        <v>org_user1_4</v>
      </c>
      <c r="E13" t="b">
        <v>1</v>
      </c>
      <c r="F13" t="s">
        <v>873</v>
      </c>
      <c r="G13" t="s">
        <v>43</v>
      </c>
      <c r="H13" s="18" t="str">
        <f>INDEX(Organization!$B:$B,MATCH($G13,Organization!$A:$A,0))</f>
        <v>org1</v>
      </c>
      <c r="I13" s="18" t="b">
        <f t="shared" si="1"/>
        <v>0</v>
      </c>
      <c r="J13" s="18" t="b">
        <f t="shared" si="2"/>
        <v>0</v>
      </c>
      <c r="K13" s="18" t="b">
        <f t="shared" si="3"/>
        <v>0</v>
      </c>
      <c r="L13" s="18" t="b">
        <f t="shared" si="4"/>
        <v>1</v>
      </c>
      <c r="M13" s="6" t="b">
        <f t="shared" si="5"/>
        <v>0</v>
      </c>
    </row>
    <row r="14" spans="1:13" x14ac:dyDescent="0.3">
      <c r="A14" t="s">
        <v>16</v>
      </c>
      <c r="B14" t="s">
        <v>764</v>
      </c>
      <c r="C14" t="s">
        <v>764</v>
      </c>
      <c r="D14" t="str">
        <f t="shared" si="0"/>
        <v>org_user2_1</v>
      </c>
      <c r="E14" t="b">
        <v>1</v>
      </c>
      <c r="F14" t="s">
        <v>873</v>
      </c>
      <c r="G14" t="s">
        <v>46</v>
      </c>
      <c r="H14" s="18" t="str">
        <f>INDEX(Organization!$B:$B,MATCH($G14,Organization!$A:$A,0))</f>
        <v>org2</v>
      </c>
      <c r="I14" s="18" t="b">
        <f t="shared" si="1"/>
        <v>0</v>
      </c>
      <c r="J14" s="18" t="b">
        <f t="shared" si="2"/>
        <v>0</v>
      </c>
      <c r="K14" s="18" t="b">
        <f t="shared" si="3"/>
        <v>0</v>
      </c>
      <c r="L14" s="18" t="b">
        <f t="shared" si="4"/>
        <v>1</v>
      </c>
      <c r="M14" s="6" t="b">
        <f t="shared" si="5"/>
        <v>0</v>
      </c>
    </row>
    <row r="15" spans="1:13" x14ac:dyDescent="0.3">
      <c r="A15" t="s">
        <v>18</v>
      </c>
      <c r="B15" t="s">
        <v>765</v>
      </c>
      <c r="C15" t="s">
        <v>765</v>
      </c>
      <c r="D15" t="str">
        <f t="shared" si="0"/>
        <v>org_user2_2</v>
      </c>
      <c r="E15" t="b">
        <v>1</v>
      </c>
      <c r="F15" t="s">
        <v>873</v>
      </c>
      <c r="G15" t="s">
        <v>46</v>
      </c>
      <c r="H15" s="18" t="str">
        <f>INDEX(Organization!$B:$B,MATCH($G15,Organization!$A:$A,0))</f>
        <v>org2</v>
      </c>
      <c r="I15" s="18" t="b">
        <f t="shared" si="1"/>
        <v>0</v>
      </c>
      <c r="J15" s="18" t="b">
        <f t="shared" si="2"/>
        <v>0</v>
      </c>
      <c r="K15" s="18" t="b">
        <f t="shared" si="3"/>
        <v>0</v>
      </c>
      <c r="L15" s="18" t="b">
        <f t="shared" si="4"/>
        <v>1</v>
      </c>
      <c r="M15" s="6" t="b">
        <f t="shared" si="5"/>
        <v>0</v>
      </c>
    </row>
    <row r="16" spans="1:13" x14ac:dyDescent="0.3">
      <c r="A16" t="s">
        <v>19</v>
      </c>
      <c r="B16" t="s">
        <v>766</v>
      </c>
      <c r="C16" t="s">
        <v>766</v>
      </c>
      <c r="D16" t="str">
        <f t="shared" si="0"/>
        <v>org_user2_3</v>
      </c>
      <c r="E16" t="b">
        <v>1</v>
      </c>
      <c r="F16" t="s">
        <v>873</v>
      </c>
      <c r="G16" t="s">
        <v>46</v>
      </c>
      <c r="H16" s="18" t="str">
        <f>INDEX(Organization!$B:$B,MATCH($G16,Organization!$A:$A,0))</f>
        <v>org2</v>
      </c>
      <c r="I16" s="18" t="b">
        <f t="shared" si="1"/>
        <v>0</v>
      </c>
      <c r="J16" s="18" t="b">
        <f t="shared" si="2"/>
        <v>0</v>
      </c>
      <c r="K16" s="18" t="b">
        <f t="shared" si="3"/>
        <v>0</v>
      </c>
      <c r="L16" s="18" t="b">
        <f t="shared" si="4"/>
        <v>1</v>
      </c>
      <c r="M16" s="6" t="b">
        <f t="shared" si="5"/>
        <v>0</v>
      </c>
    </row>
    <row r="17" spans="1:13" x14ac:dyDescent="0.3">
      <c r="A17" t="s">
        <v>20</v>
      </c>
      <c r="B17" t="s">
        <v>767</v>
      </c>
      <c r="C17" t="s">
        <v>767</v>
      </c>
      <c r="D17" t="str">
        <f t="shared" si="0"/>
        <v>org_user2_4</v>
      </c>
      <c r="E17" t="b">
        <v>1</v>
      </c>
      <c r="F17" t="s">
        <v>873</v>
      </c>
      <c r="G17" t="s">
        <v>46</v>
      </c>
      <c r="H17" s="18" t="str">
        <f>INDEX(Organization!$B:$B,MATCH($G17,Organization!$A:$A,0))</f>
        <v>org2</v>
      </c>
      <c r="I17" s="18" t="b">
        <f t="shared" si="1"/>
        <v>0</v>
      </c>
      <c r="J17" s="18" t="b">
        <f t="shared" si="2"/>
        <v>0</v>
      </c>
      <c r="K17" s="18" t="b">
        <f t="shared" si="3"/>
        <v>0</v>
      </c>
      <c r="L17" s="18" t="b">
        <f t="shared" si="4"/>
        <v>1</v>
      </c>
      <c r="M17" s="6" t="b">
        <f t="shared" si="5"/>
        <v>0</v>
      </c>
    </row>
    <row r="18" spans="1:13" x14ac:dyDescent="0.3">
      <c r="A18" t="s">
        <v>22</v>
      </c>
      <c r="B18" t="s">
        <v>768</v>
      </c>
      <c r="C18" t="s">
        <v>768</v>
      </c>
      <c r="D18" t="str">
        <f t="shared" si="0"/>
        <v>org_user3_1</v>
      </c>
      <c r="E18" t="b">
        <v>1</v>
      </c>
      <c r="F18" t="s">
        <v>873</v>
      </c>
      <c r="G18" t="s">
        <v>49</v>
      </c>
      <c r="H18" s="18" t="str">
        <f>INDEX(Organization!$B:$B,MATCH($G18,Organization!$A:$A,0))</f>
        <v>org3</v>
      </c>
      <c r="I18" s="18" t="b">
        <f t="shared" si="1"/>
        <v>0</v>
      </c>
      <c r="J18" s="18" t="b">
        <f t="shared" si="2"/>
        <v>0</v>
      </c>
      <c r="K18" s="18" t="b">
        <f t="shared" si="3"/>
        <v>0</v>
      </c>
      <c r="L18" s="18" t="b">
        <f t="shared" si="4"/>
        <v>1</v>
      </c>
      <c r="M18" s="6" t="b">
        <f t="shared" si="5"/>
        <v>0</v>
      </c>
    </row>
    <row r="19" spans="1:13" x14ac:dyDescent="0.3">
      <c r="A19" t="s">
        <v>24</v>
      </c>
      <c r="B19" t="s">
        <v>769</v>
      </c>
      <c r="C19" t="s">
        <v>769</v>
      </c>
      <c r="D19" t="str">
        <f t="shared" si="0"/>
        <v>org_user3_2</v>
      </c>
      <c r="E19" t="b">
        <v>1</v>
      </c>
      <c r="F19" t="s">
        <v>873</v>
      </c>
      <c r="G19" t="s">
        <v>49</v>
      </c>
      <c r="H19" s="18" t="str">
        <f>INDEX(Organization!$B:$B,MATCH($G19,Organization!$A:$A,0))</f>
        <v>org3</v>
      </c>
      <c r="I19" s="18" t="b">
        <f t="shared" si="1"/>
        <v>0</v>
      </c>
      <c r="J19" s="18" t="b">
        <f t="shared" si="2"/>
        <v>0</v>
      </c>
      <c r="K19" s="18" t="b">
        <f t="shared" si="3"/>
        <v>0</v>
      </c>
      <c r="L19" s="18" t="b">
        <f t="shared" si="4"/>
        <v>1</v>
      </c>
      <c r="M19" s="6" t="b">
        <f t="shared" si="5"/>
        <v>0</v>
      </c>
    </row>
    <row r="20" spans="1:13" x14ac:dyDescent="0.3">
      <c r="A20" t="s">
        <v>25</v>
      </c>
      <c r="B20" t="s">
        <v>770</v>
      </c>
      <c r="C20" t="s">
        <v>770</v>
      </c>
      <c r="D20" t="str">
        <f t="shared" si="0"/>
        <v>org_user3_3</v>
      </c>
      <c r="E20" t="b">
        <v>1</v>
      </c>
      <c r="F20" t="s">
        <v>873</v>
      </c>
      <c r="G20" t="s">
        <v>49</v>
      </c>
      <c r="H20" s="18" t="str">
        <f>INDEX(Organization!$B:$B,MATCH($G20,Organization!$A:$A,0))</f>
        <v>org3</v>
      </c>
      <c r="I20" s="18" t="b">
        <f t="shared" si="1"/>
        <v>0</v>
      </c>
      <c r="J20" s="18" t="b">
        <f t="shared" si="2"/>
        <v>0</v>
      </c>
      <c r="K20" s="18" t="b">
        <f t="shared" si="3"/>
        <v>0</v>
      </c>
      <c r="L20" s="18" t="b">
        <f t="shared" si="4"/>
        <v>1</v>
      </c>
      <c r="M20" s="6" t="b">
        <f t="shared" si="5"/>
        <v>0</v>
      </c>
    </row>
    <row r="21" spans="1:13" x14ac:dyDescent="0.3">
      <c r="A21" t="s">
        <v>26</v>
      </c>
      <c r="B21" t="s">
        <v>771</v>
      </c>
      <c r="C21" t="s">
        <v>771</v>
      </c>
      <c r="D21" t="str">
        <f t="shared" si="0"/>
        <v>org_user3_4</v>
      </c>
      <c r="E21" t="b">
        <v>1</v>
      </c>
      <c r="F21" t="s">
        <v>873</v>
      </c>
      <c r="G21" t="s">
        <v>49</v>
      </c>
      <c r="H21" s="18" t="str">
        <f>INDEX(Organization!$B:$B,MATCH($G21,Organization!$A:$A,0))</f>
        <v>org3</v>
      </c>
      <c r="I21" s="18" t="b">
        <f t="shared" si="1"/>
        <v>0</v>
      </c>
      <c r="J21" s="18" t="b">
        <f t="shared" si="2"/>
        <v>0</v>
      </c>
      <c r="K21" s="18" t="b">
        <f t="shared" si="3"/>
        <v>0</v>
      </c>
      <c r="L21" s="18" t="b">
        <f t="shared" si="4"/>
        <v>1</v>
      </c>
      <c r="M21" s="6" t="b">
        <f t="shared" si="5"/>
        <v>0</v>
      </c>
    </row>
    <row r="22" spans="1:13" x14ac:dyDescent="0.3">
      <c r="A22" t="s">
        <v>28</v>
      </c>
      <c r="B22" t="s">
        <v>772</v>
      </c>
      <c r="C22" t="s">
        <v>772</v>
      </c>
      <c r="D22" t="str">
        <f t="shared" si="0"/>
        <v>org_user4_1</v>
      </c>
      <c r="E22" t="b">
        <v>1</v>
      </c>
      <c r="F22" t="s">
        <v>873</v>
      </c>
      <c r="G22" t="s">
        <v>52</v>
      </c>
      <c r="H22" s="18" t="str">
        <f>INDEX(Organization!$B:$B,MATCH($G22,Organization!$A:$A,0))</f>
        <v>org4</v>
      </c>
      <c r="I22" s="18" t="b">
        <f t="shared" si="1"/>
        <v>0</v>
      </c>
      <c r="J22" s="18" t="b">
        <f t="shared" si="2"/>
        <v>0</v>
      </c>
      <c r="K22" s="18" t="b">
        <f t="shared" si="3"/>
        <v>0</v>
      </c>
      <c r="L22" s="18" t="b">
        <f t="shared" si="4"/>
        <v>1</v>
      </c>
      <c r="M22" s="6" t="b">
        <f t="shared" si="5"/>
        <v>0</v>
      </c>
    </row>
    <row r="23" spans="1:13" x14ac:dyDescent="0.3">
      <c r="A23" t="s">
        <v>30</v>
      </c>
      <c r="B23" t="s">
        <v>773</v>
      </c>
      <c r="C23" t="s">
        <v>773</v>
      </c>
      <c r="D23" t="str">
        <f t="shared" si="0"/>
        <v>org_user4_2</v>
      </c>
      <c r="E23" t="b">
        <v>1</v>
      </c>
      <c r="F23" t="s">
        <v>873</v>
      </c>
      <c r="G23" t="s">
        <v>52</v>
      </c>
      <c r="H23" s="18" t="str">
        <f>INDEX(Organization!$B:$B,MATCH($G23,Organization!$A:$A,0))</f>
        <v>org4</v>
      </c>
      <c r="I23" s="18" t="b">
        <f t="shared" si="1"/>
        <v>0</v>
      </c>
      <c r="J23" s="18" t="b">
        <f t="shared" si="2"/>
        <v>0</v>
      </c>
      <c r="K23" s="18" t="b">
        <f t="shared" si="3"/>
        <v>0</v>
      </c>
      <c r="L23" s="18" t="b">
        <f t="shared" si="4"/>
        <v>1</v>
      </c>
      <c r="M23" s="6" t="b">
        <f t="shared" si="5"/>
        <v>0</v>
      </c>
    </row>
    <row r="24" spans="1:13" x14ac:dyDescent="0.3">
      <c r="A24" t="s">
        <v>31</v>
      </c>
      <c r="B24" t="s">
        <v>774</v>
      </c>
      <c r="C24" t="s">
        <v>774</v>
      </c>
      <c r="D24" t="str">
        <f t="shared" si="0"/>
        <v>org_user4_3</v>
      </c>
      <c r="E24" t="b">
        <v>1</v>
      </c>
      <c r="F24" t="s">
        <v>873</v>
      </c>
      <c r="G24" t="s">
        <v>52</v>
      </c>
      <c r="H24" s="18" t="str">
        <f>INDEX(Organization!$B:$B,MATCH($G24,Organization!$A:$A,0))</f>
        <v>org4</v>
      </c>
      <c r="I24" s="18" t="b">
        <f t="shared" si="1"/>
        <v>0</v>
      </c>
      <c r="J24" s="18" t="b">
        <f t="shared" si="2"/>
        <v>0</v>
      </c>
      <c r="K24" s="18" t="b">
        <f t="shared" si="3"/>
        <v>0</v>
      </c>
      <c r="L24" s="18" t="b">
        <f t="shared" si="4"/>
        <v>1</v>
      </c>
      <c r="M24" s="6" t="b">
        <f t="shared" si="5"/>
        <v>0</v>
      </c>
    </row>
    <row r="25" spans="1:13" x14ac:dyDescent="0.3">
      <c r="A25" t="s">
        <v>32</v>
      </c>
      <c r="B25" t="s">
        <v>775</v>
      </c>
      <c r="C25" t="s">
        <v>775</v>
      </c>
      <c r="D25" t="str">
        <f t="shared" si="0"/>
        <v>org_user4_4</v>
      </c>
      <c r="E25" t="b">
        <v>1</v>
      </c>
      <c r="F25" t="s">
        <v>873</v>
      </c>
      <c r="G25" t="s">
        <v>52</v>
      </c>
      <c r="H25" s="18" t="str">
        <f>INDEX(Organization!$B:$B,MATCH($G25,Organization!$A:$A,0))</f>
        <v>org4</v>
      </c>
      <c r="I25" s="18" t="b">
        <f t="shared" si="1"/>
        <v>0</v>
      </c>
      <c r="J25" s="18" t="b">
        <f t="shared" si="2"/>
        <v>0</v>
      </c>
      <c r="K25" s="18" t="b">
        <f t="shared" si="3"/>
        <v>0</v>
      </c>
      <c r="L25" s="18" t="b">
        <f t="shared" si="4"/>
        <v>1</v>
      </c>
      <c r="M25" s="6" t="b">
        <f t="shared" si="5"/>
        <v>0</v>
      </c>
    </row>
    <row r="26" spans="1:13" x14ac:dyDescent="0.3">
      <c r="A26" t="s">
        <v>34</v>
      </c>
      <c r="B26" t="s">
        <v>776</v>
      </c>
      <c r="C26" t="s">
        <v>776</v>
      </c>
      <c r="D26" t="str">
        <f t="shared" si="0"/>
        <v>org_user5_1</v>
      </c>
      <c r="E26" t="b">
        <v>1</v>
      </c>
      <c r="F26" t="s">
        <v>873</v>
      </c>
      <c r="G26" t="s">
        <v>55</v>
      </c>
      <c r="H26" s="18" t="str">
        <f>INDEX(Organization!$B:$B,MATCH($G26,Organization!$A:$A,0))</f>
        <v>org5</v>
      </c>
      <c r="I26" s="18" t="b">
        <f t="shared" si="1"/>
        <v>0</v>
      </c>
      <c r="J26" s="18" t="b">
        <f t="shared" si="2"/>
        <v>0</v>
      </c>
      <c r="K26" s="18" t="b">
        <f t="shared" si="3"/>
        <v>0</v>
      </c>
      <c r="L26" s="18" t="b">
        <f t="shared" si="4"/>
        <v>1</v>
      </c>
      <c r="M26" s="6" t="b">
        <f t="shared" si="5"/>
        <v>0</v>
      </c>
    </row>
    <row r="27" spans="1:13" x14ac:dyDescent="0.3">
      <c r="A27" t="s">
        <v>36</v>
      </c>
      <c r="B27" t="s">
        <v>777</v>
      </c>
      <c r="C27" t="s">
        <v>777</v>
      </c>
      <c r="D27" t="str">
        <f t="shared" si="0"/>
        <v>org_user5_2</v>
      </c>
      <c r="E27" t="b">
        <v>1</v>
      </c>
      <c r="F27" t="s">
        <v>873</v>
      </c>
      <c r="G27" t="s">
        <v>55</v>
      </c>
      <c r="H27" s="18" t="str">
        <f>INDEX(Organization!$B:$B,MATCH($G27,Organization!$A:$A,0))</f>
        <v>org5</v>
      </c>
      <c r="I27" s="18" t="b">
        <f t="shared" si="1"/>
        <v>0</v>
      </c>
      <c r="J27" s="18" t="b">
        <f t="shared" si="2"/>
        <v>0</v>
      </c>
      <c r="K27" s="18" t="b">
        <f t="shared" si="3"/>
        <v>0</v>
      </c>
      <c r="L27" s="18" t="b">
        <f t="shared" si="4"/>
        <v>1</v>
      </c>
      <c r="M27" s="6" t="b">
        <f t="shared" si="5"/>
        <v>0</v>
      </c>
    </row>
    <row r="28" spans="1:13" x14ac:dyDescent="0.3">
      <c r="A28" t="s">
        <v>37</v>
      </c>
      <c r="B28" t="s">
        <v>778</v>
      </c>
      <c r="C28" t="s">
        <v>778</v>
      </c>
      <c r="D28" t="str">
        <f t="shared" si="0"/>
        <v>org_user5_3</v>
      </c>
      <c r="E28" t="b">
        <v>1</v>
      </c>
      <c r="F28" t="s">
        <v>873</v>
      </c>
      <c r="G28" t="s">
        <v>55</v>
      </c>
      <c r="H28" s="18" t="str">
        <f>INDEX(Organization!$B:$B,MATCH($G28,Organization!$A:$A,0))</f>
        <v>org5</v>
      </c>
      <c r="I28" s="18" t="b">
        <f t="shared" si="1"/>
        <v>0</v>
      </c>
      <c r="J28" s="18" t="b">
        <f t="shared" si="2"/>
        <v>0</v>
      </c>
      <c r="K28" s="18" t="b">
        <f t="shared" si="3"/>
        <v>0</v>
      </c>
      <c r="L28" s="18" t="b">
        <f t="shared" si="4"/>
        <v>1</v>
      </c>
      <c r="M28" s="6" t="b">
        <f t="shared" si="5"/>
        <v>0</v>
      </c>
    </row>
    <row r="29" spans="1:13" x14ac:dyDescent="0.3">
      <c r="A29" t="s">
        <v>38</v>
      </c>
      <c r="B29" t="s">
        <v>779</v>
      </c>
      <c r="C29" t="s">
        <v>779</v>
      </c>
      <c r="D29" t="str">
        <f t="shared" si="0"/>
        <v>org_user5_4</v>
      </c>
      <c r="E29" t="b">
        <v>1</v>
      </c>
      <c r="F29" t="s">
        <v>873</v>
      </c>
      <c r="G29" t="s">
        <v>55</v>
      </c>
      <c r="H29" s="18" t="str">
        <f>INDEX(Organization!$B:$B,MATCH($G29,Organization!$A:$A,0))</f>
        <v>org5</v>
      </c>
      <c r="I29" s="18" t="b">
        <f t="shared" si="1"/>
        <v>0</v>
      </c>
      <c r="J29" s="18" t="b">
        <f t="shared" si="2"/>
        <v>0</v>
      </c>
      <c r="K29" s="18" t="b">
        <f t="shared" si="3"/>
        <v>0</v>
      </c>
      <c r="L29" s="18" t="b">
        <f t="shared" si="4"/>
        <v>1</v>
      </c>
      <c r="M29" s="6" t="b">
        <f t="shared" si="5"/>
        <v>0</v>
      </c>
    </row>
  </sheetData>
  <hyperlinks>
    <hyperlink ref="C4" r:id="rId1" display="refdata_admin1_1@org1.org" xr:uid="{6720259D-8B8B-404B-BBFC-255A858BC201}"/>
    <hyperlink ref="B4" r:id="rId2" display="refdata_admin1_1@org1.org" xr:uid="{20728C37-5C65-48C8-8BFF-B78EF176652E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8"/>
  <sheetViews>
    <sheetView workbookViewId="0">
      <selection activeCell="F2" sqref="F2"/>
    </sheetView>
  </sheetViews>
  <sheetFormatPr defaultColWidth="8.77734375" defaultRowHeight="14.4" x14ac:dyDescent="0.3"/>
  <cols>
    <col min="1" max="1" width="36" bestFit="1" customWidth="1"/>
    <col min="2" max="3" width="27" bestFit="1" customWidth="1"/>
    <col min="4" max="4" width="18" style="6" bestFit="1" customWidth="1"/>
    <col min="5" max="5" width="36.109375" bestFit="1" customWidth="1"/>
    <col min="6" max="6" width="18" bestFit="1" customWidth="1"/>
    <col min="7" max="7" width="20.109375" bestFit="1" customWidth="1"/>
    <col min="8" max="8" width="35.6640625" bestFit="1" customWidth="1"/>
    <col min="9" max="9" width="14.44140625" style="6" bestFit="1" customWidth="1"/>
    <col min="10" max="10" width="36" bestFit="1" customWidth="1"/>
    <col min="11" max="11" width="11.44140625" style="6" bestFit="1" customWidth="1"/>
  </cols>
  <sheetData>
    <row r="1" spans="1:11" x14ac:dyDescent="0.3">
      <c r="A1" s="1" t="s">
        <v>0</v>
      </c>
      <c r="B1" s="1" t="s">
        <v>869</v>
      </c>
      <c r="C1" s="1" t="s">
        <v>190</v>
      </c>
      <c r="D1" s="10" t="s">
        <v>277</v>
      </c>
      <c r="E1" s="1" t="s">
        <v>214</v>
      </c>
      <c r="F1" s="1" t="s">
        <v>215</v>
      </c>
      <c r="G1" s="1" t="s">
        <v>191</v>
      </c>
      <c r="H1" s="1" t="s">
        <v>216</v>
      </c>
      <c r="I1" s="10" t="s">
        <v>280</v>
      </c>
      <c r="J1" s="1" t="s">
        <v>41</v>
      </c>
      <c r="K1" s="10" t="s">
        <v>273</v>
      </c>
    </row>
    <row r="2" spans="1:11" x14ac:dyDescent="0.3">
      <c r="A2" t="s">
        <v>217</v>
      </c>
      <c r="B2" t="s">
        <v>753</v>
      </c>
      <c r="C2" t="s">
        <v>753</v>
      </c>
      <c r="D2" s="6" t="str">
        <f>LEFT($C2,LEN($C2)-9)</f>
        <v>app_admin1_1</v>
      </c>
      <c r="E2" t="s">
        <v>218</v>
      </c>
      <c r="F2" s="2">
        <v>45743.390918726589</v>
      </c>
      <c r="G2" t="s">
        <v>870</v>
      </c>
      <c r="H2" t="s">
        <v>868</v>
      </c>
      <c r="I2" s="6" t="str">
        <f>INDEX(User!$D:$D,MATCH($H2,User!$A:$A,0))</f>
        <v>root1_1</v>
      </c>
      <c r="J2" t="s">
        <v>43</v>
      </c>
      <c r="K2" s="6" t="str">
        <f>INDEX(Organization!$B:$B,MATCH($J2,Organization!$A:$A,0))</f>
        <v>org1</v>
      </c>
    </row>
    <row r="3" spans="1:11" x14ac:dyDescent="0.3">
      <c r="A3" t="s">
        <v>219</v>
      </c>
      <c r="B3" s="20" t="s">
        <v>754</v>
      </c>
      <c r="C3" s="20" t="s">
        <v>754</v>
      </c>
      <c r="D3" s="6" t="str">
        <f t="shared" ref="D3:D28" si="0">LEFT($C3,LEN($C3)-9)</f>
        <v>refdata_admin1_1</v>
      </c>
      <c r="E3" t="s">
        <v>220</v>
      </c>
      <c r="F3" s="2">
        <v>45743.390918741461</v>
      </c>
      <c r="G3" t="s">
        <v>871</v>
      </c>
      <c r="H3" t="s">
        <v>192</v>
      </c>
      <c r="I3" s="6" t="str">
        <f>INDEX(User!$D:$D,MATCH($H3,User!$A:$A,0))</f>
        <v>app_admin1_1</v>
      </c>
      <c r="J3" t="s">
        <v>43</v>
      </c>
      <c r="K3" s="6" t="str">
        <f>INDEX(Organization!$B:$B,MATCH($J3,Organization!$A:$A,0))</f>
        <v>org1</v>
      </c>
    </row>
    <row r="4" spans="1:11" x14ac:dyDescent="0.3">
      <c r="A4" t="s">
        <v>221</v>
      </c>
      <c r="B4" t="s">
        <v>755</v>
      </c>
      <c r="C4" t="s">
        <v>755</v>
      </c>
      <c r="D4" s="6" t="str">
        <f t="shared" si="0"/>
        <v>org_admin1_1</v>
      </c>
      <c r="E4" t="s">
        <v>222</v>
      </c>
      <c r="F4" s="2">
        <v>45743.390918746562</v>
      </c>
      <c r="G4" t="s">
        <v>872</v>
      </c>
      <c r="H4" t="s">
        <v>192</v>
      </c>
      <c r="I4" s="6" t="str">
        <f>INDEX(User!$D:$D,MATCH($H4,User!$A:$A,0))</f>
        <v>app_admin1_1</v>
      </c>
      <c r="J4" t="s">
        <v>43</v>
      </c>
      <c r="K4" s="6" t="str">
        <f>INDEX(Organization!$B:$B,MATCH($J4,Organization!$A:$A,0))</f>
        <v>org1</v>
      </c>
    </row>
    <row r="5" spans="1:11" x14ac:dyDescent="0.3">
      <c r="A5" t="s">
        <v>223</v>
      </c>
      <c r="B5" t="s">
        <v>756</v>
      </c>
      <c r="C5" t="s">
        <v>756</v>
      </c>
      <c r="D5" s="6" t="str">
        <f t="shared" si="0"/>
        <v>org_admin2_1</v>
      </c>
      <c r="E5" t="s">
        <v>224</v>
      </c>
      <c r="F5" s="2">
        <v>45743.390918763551</v>
      </c>
      <c r="G5" t="s">
        <v>872</v>
      </c>
      <c r="H5" t="s">
        <v>192</v>
      </c>
      <c r="I5" s="6" t="str">
        <f>INDEX(User!$D:$D,MATCH($H5,User!$A:$A,0))</f>
        <v>app_admin1_1</v>
      </c>
      <c r="J5" t="s">
        <v>46</v>
      </c>
      <c r="K5" s="6" t="str">
        <f>INDEX(Organization!$B:$B,MATCH($J5,Organization!$A:$A,0))</f>
        <v>org2</v>
      </c>
    </row>
    <row r="6" spans="1:11" x14ac:dyDescent="0.3">
      <c r="A6" t="s">
        <v>225</v>
      </c>
      <c r="B6" t="s">
        <v>757</v>
      </c>
      <c r="C6" t="s">
        <v>757</v>
      </c>
      <c r="D6" s="6" t="str">
        <f t="shared" si="0"/>
        <v>org_admin3_1</v>
      </c>
      <c r="E6" t="s">
        <v>226</v>
      </c>
      <c r="F6" s="2">
        <v>45743.390918772537</v>
      </c>
      <c r="G6" t="s">
        <v>872</v>
      </c>
      <c r="H6" t="s">
        <v>192</v>
      </c>
      <c r="I6" s="6" t="str">
        <f>INDEX(User!$D:$D,MATCH($H6,User!$A:$A,0))</f>
        <v>app_admin1_1</v>
      </c>
      <c r="J6" t="s">
        <v>49</v>
      </c>
      <c r="K6" s="6" t="str">
        <f>INDEX(Organization!$B:$B,MATCH($J6,Organization!$A:$A,0))</f>
        <v>org3</v>
      </c>
    </row>
    <row r="7" spans="1:11" x14ac:dyDescent="0.3">
      <c r="A7" t="s">
        <v>227</v>
      </c>
      <c r="B7" t="s">
        <v>758</v>
      </c>
      <c r="C7" t="s">
        <v>758</v>
      </c>
      <c r="D7" s="6" t="str">
        <f t="shared" si="0"/>
        <v>org_admin4_1</v>
      </c>
      <c r="E7" t="s">
        <v>228</v>
      </c>
      <c r="F7" s="2">
        <v>45743.390918781181</v>
      </c>
      <c r="G7" t="s">
        <v>872</v>
      </c>
      <c r="H7" t="s">
        <v>192</v>
      </c>
      <c r="I7" s="6" t="str">
        <f>INDEX(User!$D:$D,MATCH($H7,User!$A:$A,0))</f>
        <v>app_admin1_1</v>
      </c>
      <c r="J7" t="s">
        <v>52</v>
      </c>
      <c r="K7" s="6" t="str">
        <f>INDEX(Organization!$B:$B,MATCH($J7,Organization!$A:$A,0))</f>
        <v>org4</v>
      </c>
    </row>
    <row r="8" spans="1:11" x14ac:dyDescent="0.3">
      <c r="A8" t="s">
        <v>229</v>
      </c>
      <c r="B8" t="s">
        <v>759</v>
      </c>
      <c r="C8" t="s">
        <v>759</v>
      </c>
      <c r="D8" s="6" t="str">
        <f t="shared" si="0"/>
        <v>org_admin5_1</v>
      </c>
      <c r="E8" t="s">
        <v>230</v>
      </c>
      <c r="F8" s="2">
        <v>45743.3909187889</v>
      </c>
      <c r="G8" t="s">
        <v>872</v>
      </c>
      <c r="H8" t="s">
        <v>192</v>
      </c>
      <c r="I8" s="6" t="str">
        <f>INDEX(User!$D:$D,MATCH($H8,User!$A:$A,0))</f>
        <v>app_admin1_1</v>
      </c>
      <c r="J8" t="s">
        <v>55</v>
      </c>
      <c r="K8" s="6" t="str">
        <f>INDEX(Organization!$B:$B,MATCH($J8,Organization!$A:$A,0))</f>
        <v>org5</v>
      </c>
    </row>
    <row r="9" spans="1:11" x14ac:dyDescent="0.3">
      <c r="A9" t="s">
        <v>231</v>
      </c>
      <c r="B9" t="s">
        <v>760</v>
      </c>
      <c r="C9" t="s">
        <v>760</v>
      </c>
      <c r="D9" s="6" t="str">
        <f t="shared" si="0"/>
        <v>org_user1_1</v>
      </c>
      <c r="E9" t="s">
        <v>232</v>
      </c>
      <c r="F9" s="2">
        <v>45743.390918796598</v>
      </c>
      <c r="G9" t="s">
        <v>873</v>
      </c>
      <c r="H9" t="s">
        <v>192</v>
      </c>
      <c r="I9" s="6" t="str">
        <f>INDEX(User!$D:$D,MATCH($H9,User!$A:$A,0))</f>
        <v>app_admin1_1</v>
      </c>
      <c r="J9" t="s">
        <v>43</v>
      </c>
      <c r="K9" s="6" t="str">
        <f>INDEX(Organization!$B:$B,MATCH($J9,Organization!$A:$A,0))</f>
        <v>org1</v>
      </c>
    </row>
    <row r="10" spans="1:11" x14ac:dyDescent="0.3">
      <c r="A10" t="s">
        <v>233</v>
      </c>
      <c r="B10" t="s">
        <v>761</v>
      </c>
      <c r="C10" t="s">
        <v>761</v>
      </c>
      <c r="D10" s="6" t="str">
        <f t="shared" si="0"/>
        <v>org_user1_2</v>
      </c>
      <c r="E10" t="s">
        <v>234</v>
      </c>
      <c r="F10" s="2">
        <v>45743.390918801953</v>
      </c>
      <c r="G10" t="s">
        <v>873</v>
      </c>
      <c r="H10" t="s">
        <v>192</v>
      </c>
      <c r="I10" s="6" t="str">
        <f>INDEX(User!$D:$D,MATCH($H10,User!$A:$A,0))</f>
        <v>app_admin1_1</v>
      </c>
      <c r="J10" t="s">
        <v>43</v>
      </c>
      <c r="K10" s="6" t="str">
        <f>INDEX(Organization!$B:$B,MATCH($J10,Organization!$A:$A,0))</f>
        <v>org1</v>
      </c>
    </row>
    <row r="11" spans="1:11" x14ac:dyDescent="0.3">
      <c r="A11" t="s">
        <v>235</v>
      </c>
      <c r="B11" t="s">
        <v>762</v>
      </c>
      <c r="C11" t="s">
        <v>762</v>
      </c>
      <c r="D11" s="6" t="str">
        <f t="shared" si="0"/>
        <v>org_user1_3</v>
      </c>
      <c r="E11" t="s">
        <v>236</v>
      </c>
      <c r="F11" s="2">
        <v>45743.390918807163</v>
      </c>
      <c r="G11" t="s">
        <v>873</v>
      </c>
      <c r="H11" t="s">
        <v>192</v>
      </c>
      <c r="I11" s="6" t="str">
        <f>INDEX(User!$D:$D,MATCH($H11,User!$A:$A,0))</f>
        <v>app_admin1_1</v>
      </c>
      <c r="J11" t="s">
        <v>43</v>
      </c>
      <c r="K11" s="6" t="str">
        <f>INDEX(Organization!$B:$B,MATCH($J11,Organization!$A:$A,0))</f>
        <v>org1</v>
      </c>
    </row>
    <row r="12" spans="1:11" x14ac:dyDescent="0.3">
      <c r="A12" t="s">
        <v>237</v>
      </c>
      <c r="B12" t="s">
        <v>763</v>
      </c>
      <c r="C12" t="s">
        <v>763</v>
      </c>
      <c r="D12" s="6" t="str">
        <f t="shared" si="0"/>
        <v>org_user1_4</v>
      </c>
      <c r="E12" t="s">
        <v>238</v>
      </c>
      <c r="F12" s="2">
        <v>45743.3909188123</v>
      </c>
      <c r="G12" t="s">
        <v>873</v>
      </c>
      <c r="H12" t="s">
        <v>192</v>
      </c>
      <c r="I12" s="6" t="str">
        <f>INDEX(User!$D:$D,MATCH($H12,User!$A:$A,0))</f>
        <v>app_admin1_1</v>
      </c>
      <c r="J12" t="s">
        <v>43</v>
      </c>
      <c r="K12" s="6" t="str">
        <f>INDEX(Organization!$B:$B,MATCH($J12,Organization!$A:$A,0))</f>
        <v>org1</v>
      </c>
    </row>
    <row r="13" spans="1:11" x14ac:dyDescent="0.3">
      <c r="A13" t="s">
        <v>239</v>
      </c>
      <c r="B13" t="s">
        <v>764</v>
      </c>
      <c r="C13" t="s">
        <v>764</v>
      </c>
      <c r="D13" s="6" t="str">
        <f t="shared" si="0"/>
        <v>org_user2_1</v>
      </c>
      <c r="E13" t="s">
        <v>240</v>
      </c>
      <c r="F13" s="2">
        <v>45743.390918817633</v>
      </c>
      <c r="G13" t="s">
        <v>873</v>
      </c>
      <c r="H13" t="s">
        <v>192</v>
      </c>
      <c r="I13" s="6" t="str">
        <f>INDEX(User!$D:$D,MATCH($H13,User!$A:$A,0))</f>
        <v>app_admin1_1</v>
      </c>
      <c r="J13" t="s">
        <v>46</v>
      </c>
      <c r="K13" s="6" t="str">
        <f>INDEX(Organization!$B:$B,MATCH($J13,Organization!$A:$A,0))</f>
        <v>org2</v>
      </c>
    </row>
    <row r="14" spans="1:11" x14ac:dyDescent="0.3">
      <c r="A14" t="s">
        <v>241</v>
      </c>
      <c r="B14" t="s">
        <v>765</v>
      </c>
      <c r="C14" t="s">
        <v>765</v>
      </c>
      <c r="D14" s="6" t="str">
        <f t="shared" si="0"/>
        <v>org_user2_2</v>
      </c>
      <c r="E14" t="s">
        <v>242</v>
      </c>
      <c r="F14" s="2">
        <v>45743.390918822908</v>
      </c>
      <c r="G14" t="s">
        <v>873</v>
      </c>
      <c r="H14" t="s">
        <v>192</v>
      </c>
      <c r="I14" s="6" t="str">
        <f>INDEX(User!$D:$D,MATCH($H14,User!$A:$A,0))</f>
        <v>app_admin1_1</v>
      </c>
      <c r="J14" t="s">
        <v>46</v>
      </c>
      <c r="K14" s="6" t="str">
        <f>INDEX(Organization!$B:$B,MATCH($J14,Organization!$A:$A,0))</f>
        <v>org2</v>
      </c>
    </row>
    <row r="15" spans="1:11" x14ac:dyDescent="0.3">
      <c r="A15" t="s">
        <v>243</v>
      </c>
      <c r="B15" t="s">
        <v>766</v>
      </c>
      <c r="C15" t="s">
        <v>766</v>
      </c>
      <c r="D15" s="6" t="str">
        <f t="shared" si="0"/>
        <v>org_user2_3</v>
      </c>
      <c r="E15" t="s">
        <v>244</v>
      </c>
      <c r="F15" s="2">
        <v>45743.390918828743</v>
      </c>
      <c r="G15" t="s">
        <v>873</v>
      </c>
      <c r="H15" t="s">
        <v>192</v>
      </c>
      <c r="I15" s="6" t="str">
        <f>INDEX(User!$D:$D,MATCH($H15,User!$A:$A,0))</f>
        <v>app_admin1_1</v>
      </c>
      <c r="J15" t="s">
        <v>46</v>
      </c>
      <c r="K15" s="6" t="str">
        <f>INDEX(Organization!$B:$B,MATCH($J15,Organization!$A:$A,0))</f>
        <v>org2</v>
      </c>
    </row>
    <row r="16" spans="1:11" x14ac:dyDescent="0.3">
      <c r="A16" t="s">
        <v>245</v>
      </c>
      <c r="B16" t="s">
        <v>767</v>
      </c>
      <c r="C16" t="s">
        <v>767</v>
      </c>
      <c r="D16" s="6" t="str">
        <f t="shared" si="0"/>
        <v>org_user2_4</v>
      </c>
      <c r="E16" t="s">
        <v>246</v>
      </c>
      <c r="F16" s="2">
        <v>45743.390918834302</v>
      </c>
      <c r="G16" t="s">
        <v>873</v>
      </c>
      <c r="H16" t="s">
        <v>192</v>
      </c>
      <c r="I16" s="6" t="str">
        <f>INDEX(User!$D:$D,MATCH($H16,User!$A:$A,0))</f>
        <v>app_admin1_1</v>
      </c>
      <c r="J16" t="s">
        <v>46</v>
      </c>
      <c r="K16" s="6" t="str">
        <f>INDEX(Organization!$B:$B,MATCH($J16,Organization!$A:$A,0))</f>
        <v>org2</v>
      </c>
    </row>
    <row r="17" spans="1:11" x14ac:dyDescent="0.3">
      <c r="A17" t="s">
        <v>247</v>
      </c>
      <c r="B17" t="s">
        <v>768</v>
      </c>
      <c r="C17" t="s">
        <v>768</v>
      </c>
      <c r="D17" s="6" t="str">
        <f t="shared" si="0"/>
        <v>org_user3_1</v>
      </c>
      <c r="E17" t="s">
        <v>248</v>
      </c>
      <c r="F17" s="2">
        <v>45743.390918839839</v>
      </c>
      <c r="G17" t="s">
        <v>873</v>
      </c>
      <c r="H17" t="s">
        <v>192</v>
      </c>
      <c r="I17" s="6" t="str">
        <f>INDEX(User!$D:$D,MATCH($H17,User!$A:$A,0))</f>
        <v>app_admin1_1</v>
      </c>
      <c r="J17" t="s">
        <v>49</v>
      </c>
      <c r="K17" s="6" t="str">
        <f>INDEX(Organization!$B:$B,MATCH($J17,Organization!$A:$A,0))</f>
        <v>org3</v>
      </c>
    </row>
    <row r="18" spans="1:11" x14ac:dyDescent="0.3">
      <c r="A18" t="s">
        <v>249</v>
      </c>
      <c r="B18" t="s">
        <v>769</v>
      </c>
      <c r="C18" t="s">
        <v>769</v>
      </c>
      <c r="D18" s="6" t="str">
        <f t="shared" si="0"/>
        <v>org_user3_2</v>
      </c>
      <c r="E18" t="s">
        <v>250</v>
      </c>
      <c r="F18" s="2">
        <v>45743.390918845187</v>
      </c>
      <c r="G18" t="s">
        <v>873</v>
      </c>
      <c r="H18" t="s">
        <v>192</v>
      </c>
      <c r="I18" s="6" t="str">
        <f>INDEX(User!$D:$D,MATCH($H18,User!$A:$A,0))</f>
        <v>app_admin1_1</v>
      </c>
      <c r="J18" t="s">
        <v>49</v>
      </c>
      <c r="K18" s="6" t="str">
        <f>INDEX(Organization!$B:$B,MATCH($J18,Organization!$A:$A,0))</f>
        <v>org3</v>
      </c>
    </row>
    <row r="19" spans="1:11" x14ac:dyDescent="0.3">
      <c r="A19" t="s">
        <v>251</v>
      </c>
      <c r="B19" t="s">
        <v>770</v>
      </c>
      <c r="C19" t="s">
        <v>770</v>
      </c>
      <c r="D19" s="6" t="str">
        <f t="shared" si="0"/>
        <v>org_user3_3</v>
      </c>
      <c r="E19" t="s">
        <v>252</v>
      </c>
      <c r="F19" s="2">
        <v>45743.390918851088</v>
      </c>
      <c r="G19" t="s">
        <v>873</v>
      </c>
      <c r="H19" t="s">
        <v>192</v>
      </c>
      <c r="I19" s="6" t="str">
        <f>INDEX(User!$D:$D,MATCH($H19,User!$A:$A,0))</f>
        <v>app_admin1_1</v>
      </c>
      <c r="J19" t="s">
        <v>49</v>
      </c>
      <c r="K19" s="6" t="str">
        <f>INDEX(Organization!$B:$B,MATCH($J19,Organization!$A:$A,0))</f>
        <v>org3</v>
      </c>
    </row>
    <row r="20" spans="1:11" x14ac:dyDescent="0.3">
      <c r="A20" t="s">
        <v>253</v>
      </c>
      <c r="B20" t="s">
        <v>771</v>
      </c>
      <c r="C20" t="s">
        <v>771</v>
      </c>
      <c r="D20" s="6" t="str">
        <f t="shared" si="0"/>
        <v>org_user3_4</v>
      </c>
      <c r="E20" t="s">
        <v>254</v>
      </c>
      <c r="F20" s="2">
        <v>45743.39091885696</v>
      </c>
      <c r="G20" t="s">
        <v>873</v>
      </c>
      <c r="H20" t="s">
        <v>192</v>
      </c>
      <c r="I20" s="6" t="str">
        <f>INDEX(User!$D:$D,MATCH($H20,User!$A:$A,0))</f>
        <v>app_admin1_1</v>
      </c>
      <c r="J20" t="s">
        <v>49</v>
      </c>
      <c r="K20" s="6" t="str">
        <f>INDEX(Organization!$B:$B,MATCH($J20,Organization!$A:$A,0))</f>
        <v>org3</v>
      </c>
    </row>
    <row r="21" spans="1:11" x14ac:dyDescent="0.3">
      <c r="A21" t="s">
        <v>255</v>
      </c>
      <c r="B21" t="s">
        <v>772</v>
      </c>
      <c r="C21" t="s">
        <v>772</v>
      </c>
      <c r="D21" s="6" t="str">
        <f t="shared" si="0"/>
        <v>org_user4_1</v>
      </c>
      <c r="E21" t="s">
        <v>256</v>
      </c>
      <c r="F21" s="2">
        <v>45743.390918862962</v>
      </c>
      <c r="G21" t="s">
        <v>873</v>
      </c>
      <c r="H21" t="s">
        <v>192</v>
      </c>
      <c r="I21" s="6" t="str">
        <f>INDEX(User!$D:$D,MATCH($H21,User!$A:$A,0))</f>
        <v>app_admin1_1</v>
      </c>
      <c r="J21" t="s">
        <v>52</v>
      </c>
      <c r="K21" s="6" t="str">
        <f>INDEX(Organization!$B:$B,MATCH($J21,Organization!$A:$A,0))</f>
        <v>org4</v>
      </c>
    </row>
    <row r="22" spans="1:11" x14ac:dyDescent="0.3">
      <c r="A22" t="s">
        <v>257</v>
      </c>
      <c r="B22" t="s">
        <v>773</v>
      </c>
      <c r="C22" t="s">
        <v>773</v>
      </c>
      <c r="D22" s="6" t="str">
        <f t="shared" si="0"/>
        <v>org_user4_2</v>
      </c>
      <c r="E22" t="s">
        <v>258</v>
      </c>
      <c r="F22" s="2">
        <v>45743.390918868739</v>
      </c>
      <c r="G22" t="s">
        <v>873</v>
      </c>
      <c r="H22" t="s">
        <v>192</v>
      </c>
      <c r="I22" s="6" t="str">
        <f>INDEX(User!$D:$D,MATCH($H22,User!$A:$A,0))</f>
        <v>app_admin1_1</v>
      </c>
      <c r="J22" t="s">
        <v>52</v>
      </c>
      <c r="K22" s="6" t="str">
        <f>INDEX(Organization!$B:$B,MATCH($J22,Organization!$A:$A,0))</f>
        <v>org4</v>
      </c>
    </row>
    <row r="23" spans="1:11" x14ac:dyDescent="0.3">
      <c r="A23" t="s">
        <v>259</v>
      </c>
      <c r="B23" t="s">
        <v>774</v>
      </c>
      <c r="C23" t="s">
        <v>774</v>
      </c>
      <c r="D23" s="6" t="str">
        <f t="shared" si="0"/>
        <v>org_user4_3</v>
      </c>
      <c r="E23" t="s">
        <v>260</v>
      </c>
      <c r="F23" s="2">
        <v>45743.390918874728</v>
      </c>
      <c r="G23" t="s">
        <v>873</v>
      </c>
      <c r="H23" t="s">
        <v>192</v>
      </c>
      <c r="I23" s="6" t="str">
        <f>INDEX(User!$D:$D,MATCH($H23,User!$A:$A,0))</f>
        <v>app_admin1_1</v>
      </c>
      <c r="J23" t="s">
        <v>52</v>
      </c>
      <c r="K23" s="6" t="str">
        <f>INDEX(Organization!$B:$B,MATCH($J23,Organization!$A:$A,0))</f>
        <v>org4</v>
      </c>
    </row>
    <row r="24" spans="1:11" x14ac:dyDescent="0.3">
      <c r="A24" t="s">
        <v>261</v>
      </c>
      <c r="B24" t="s">
        <v>775</v>
      </c>
      <c r="C24" t="s">
        <v>775</v>
      </c>
      <c r="D24" s="6" t="str">
        <f t="shared" si="0"/>
        <v>org_user4_4</v>
      </c>
      <c r="E24" t="s">
        <v>262</v>
      </c>
      <c r="F24" s="2">
        <v>45743.390918881109</v>
      </c>
      <c r="G24" t="s">
        <v>873</v>
      </c>
      <c r="H24" t="s">
        <v>192</v>
      </c>
      <c r="I24" s="6" t="str">
        <f>INDEX(User!$D:$D,MATCH($H24,User!$A:$A,0))</f>
        <v>app_admin1_1</v>
      </c>
      <c r="J24" t="s">
        <v>52</v>
      </c>
      <c r="K24" s="6" t="str">
        <f>INDEX(Organization!$B:$B,MATCH($J24,Organization!$A:$A,0))</f>
        <v>org4</v>
      </c>
    </row>
    <row r="25" spans="1:11" x14ac:dyDescent="0.3">
      <c r="A25" t="s">
        <v>263</v>
      </c>
      <c r="B25" t="s">
        <v>776</v>
      </c>
      <c r="C25" t="s">
        <v>776</v>
      </c>
      <c r="D25" s="6" t="str">
        <f t="shared" si="0"/>
        <v>org_user5_1</v>
      </c>
      <c r="E25" t="s">
        <v>264</v>
      </c>
      <c r="F25" s="2">
        <v>45743.390918887373</v>
      </c>
      <c r="G25" t="s">
        <v>873</v>
      </c>
      <c r="H25" t="s">
        <v>192</v>
      </c>
      <c r="I25" s="6" t="str">
        <f>INDEX(User!$D:$D,MATCH($H25,User!$A:$A,0))</f>
        <v>app_admin1_1</v>
      </c>
      <c r="J25" t="s">
        <v>55</v>
      </c>
      <c r="K25" s="6" t="str">
        <f>INDEX(Organization!$B:$B,MATCH($J25,Organization!$A:$A,0))</f>
        <v>org5</v>
      </c>
    </row>
    <row r="26" spans="1:11" x14ac:dyDescent="0.3">
      <c r="A26" t="s">
        <v>265</v>
      </c>
      <c r="B26" t="s">
        <v>777</v>
      </c>
      <c r="C26" t="s">
        <v>777</v>
      </c>
      <c r="D26" s="6" t="str">
        <f t="shared" si="0"/>
        <v>org_user5_2</v>
      </c>
      <c r="E26" t="s">
        <v>266</v>
      </c>
      <c r="F26" s="2">
        <v>45743.39091889358</v>
      </c>
      <c r="G26" t="s">
        <v>873</v>
      </c>
      <c r="H26" t="s">
        <v>192</v>
      </c>
      <c r="I26" s="6" t="str">
        <f>INDEX(User!$D:$D,MATCH($H26,User!$A:$A,0))</f>
        <v>app_admin1_1</v>
      </c>
      <c r="J26" t="s">
        <v>55</v>
      </c>
      <c r="K26" s="6" t="str">
        <f>INDEX(Organization!$B:$B,MATCH($J26,Organization!$A:$A,0))</f>
        <v>org5</v>
      </c>
    </row>
    <row r="27" spans="1:11" x14ac:dyDescent="0.3">
      <c r="A27" t="s">
        <v>267</v>
      </c>
      <c r="B27" t="s">
        <v>778</v>
      </c>
      <c r="C27" t="s">
        <v>778</v>
      </c>
      <c r="D27" s="6" t="str">
        <f t="shared" si="0"/>
        <v>org_user5_3</v>
      </c>
      <c r="E27" t="s">
        <v>268</v>
      </c>
      <c r="F27" s="2">
        <v>45743.390918900091</v>
      </c>
      <c r="G27" t="s">
        <v>873</v>
      </c>
      <c r="H27" t="s">
        <v>192</v>
      </c>
      <c r="I27" s="6" t="str">
        <f>INDEX(User!$D:$D,MATCH($H27,User!$A:$A,0))</f>
        <v>app_admin1_1</v>
      </c>
      <c r="J27" t="s">
        <v>55</v>
      </c>
      <c r="K27" s="6" t="str">
        <f>INDEX(Organization!$B:$B,MATCH($J27,Organization!$A:$A,0))</f>
        <v>org5</v>
      </c>
    </row>
    <row r="28" spans="1:11" x14ac:dyDescent="0.3">
      <c r="A28" t="s">
        <v>269</v>
      </c>
      <c r="B28" t="s">
        <v>779</v>
      </c>
      <c r="C28" t="s">
        <v>779</v>
      </c>
      <c r="D28" s="6" t="str">
        <f t="shared" si="0"/>
        <v>org_user5_4</v>
      </c>
      <c r="E28" t="s">
        <v>270</v>
      </c>
      <c r="F28" s="2">
        <v>45743.390918906553</v>
      </c>
      <c r="G28" t="s">
        <v>873</v>
      </c>
      <c r="H28" t="s">
        <v>192</v>
      </c>
      <c r="I28" s="6" t="str">
        <f>INDEX(User!$D:$D,MATCH($H28,User!$A:$A,0))</f>
        <v>app_admin1_1</v>
      </c>
      <c r="J28" t="s">
        <v>55</v>
      </c>
      <c r="K28" s="6" t="str">
        <f>INDEX(Organization!$B:$B,MATCH($J28,Organization!$A:$A,0))</f>
        <v>org5</v>
      </c>
    </row>
  </sheetData>
  <hyperlinks>
    <hyperlink ref="C3" r:id="rId1" display="refdata_admin1_1@org1.org" xr:uid="{C6CE08DD-189A-544E-9566-622F7BE1E7EA}"/>
    <hyperlink ref="B3" r:id="rId2" display="refdata_admin1_1@org1.org" xr:uid="{8DE1F2C7-69F9-4371-8548-F3E32F7DB47B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1"/>
  <sheetViews>
    <sheetView workbookViewId="0">
      <selection activeCell="A10" sqref="A10:A11"/>
    </sheetView>
  </sheetViews>
  <sheetFormatPr defaultColWidth="8.77734375" defaultRowHeight="14.4" x14ac:dyDescent="0.3"/>
  <cols>
    <col min="1" max="1" width="35.77734375" bestFit="1" customWidth="1"/>
    <col min="2" max="2" width="14.5546875" bestFit="1" customWidth="1"/>
    <col min="3" max="4" width="9" bestFit="1" customWidth="1"/>
    <col min="5" max="5" width="4.77734375" bestFit="1" customWidth="1"/>
    <col min="6" max="6" width="14.44140625" bestFit="1" customWidth="1"/>
    <col min="7" max="7" width="19.88671875" style="6" bestFit="1" customWidth="1"/>
    <col min="8" max="8" width="5.77734375" bestFit="1" customWidth="1"/>
  </cols>
  <sheetData>
    <row r="1" spans="1:8" x14ac:dyDescent="0.3">
      <c r="A1" s="1" t="s">
        <v>0</v>
      </c>
      <c r="B1" s="1" t="s">
        <v>188</v>
      </c>
      <c r="C1" s="1" t="s">
        <v>142</v>
      </c>
      <c r="D1" s="1" t="s">
        <v>143</v>
      </c>
      <c r="E1" s="1" t="s">
        <v>81</v>
      </c>
      <c r="F1" s="1" t="s">
        <v>189</v>
      </c>
      <c r="G1" s="10" t="s">
        <v>78</v>
      </c>
      <c r="H1" s="1" t="s">
        <v>153</v>
      </c>
    </row>
    <row r="2" spans="1:8" x14ac:dyDescent="0.3">
      <c r="A2" t="s">
        <v>463</v>
      </c>
      <c r="B2" t="s">
        <v>271</v>
      </c>
      <c r="C2" t="s">
        <v>439</v>
      </c>
      <c r="D2" t="s">
        <v>439</v>
      </c>
      <c r="E2">
        <v>1</v>
      </c>
      <c r="G2" s="6" t="str">
        <f>$C2&amp;"("&amp;$B2&amp;")"</f>
        <v>nominal1(TEXT)</v>
      </c>
      <c r="H2" t="s">
        <v>154</v>
      </c>
    </row>
    <row r="3" spans="1:8" x14ac:dyDescent="0.3">
      <c r="A3" t="s">
        <v>464</v>
      </c>
      <c r="B3" t="s">
        <v>271</v>
      </c>
      <c r="C3" t="s">
        <v>440</v>
      </c>
      <c r="D3" t="s">
        <v>440</v>
      </c>
      <c r="E3">
        <f>E2+1</f>
        <v>2</v>
      </c>
      <c r="G3" s="6" t="str">
        <f t="shared" ref="G3:G21" si="0">$C3&amp;"("&amp;$B3&amp;")"</f>
        <v>nominal2(TEXT)</v>
      </c>
      <c r="H3" t="s">
        <v>154</v>
      </c>
    </row>
    <row r="4" spans="1:8" x14ac:dyDescent="0.3">
      <c r="A4" t="s">
        <v>465</v>
      </c>
      <c r="B4" t="s">
        <v>271</v>
      </c>
      <c r="C4" t="s">
        <v>441</v>
      </c>
      <c r="D4" t="s">
        <v>441</v>
      </c>
      <c r="E4">
        <f t="shared" ref="E4:E21" si="1">E3+1</f>
        <v>3</v>
      </c>
      <c r="G4" s="6" t="str">
        <f t="shared" si="0"/>
        <v>ordinal1(TEXT)</v>
      </c>
      <c r="H4" t="s">
        <v>154</v>
      </c>
    </row>
    <row r="5" spans="1:8" x14ac:dyDescent="0.3">
      <c r="A5" t="s">
        <v>466</v>
      </c>
      <c r="B5" t="s">
        <v>271</v>
      </c>
      <c r="C5" t="s">
        <v>443</v>
      </c>
      <c r="D5" t="s">
        <v>443</v>
      </c>
      <c r="E5">
        <f t="shared" si="1"/>
        <v>4</v>
      </c>
      <c r="G5" s="6" t="str">
        <f t="shared" si="0"/>
        <v>ordinal2(TEXT)</v>
      </c>
      <c r="H5" t="s">
        <v>154</v>
      </c>
    </row>
    <row r="6" spans="1:8" x14ac:dyDescent="0.3">
      <c r="A6" t="s">
        <v>467</v>
      </c>
      <c r="B6" t="s">
        <v>271</v>
      </c>
      <c r="C6" t="s">
        <v>449</v>
      </c>
      <c r="D6" t="s">
        <v>449</v>
      </c>
      <c r="E6">
        <f t="shared" si="1"/>
        <v>5</v>
      </c>
      <c r="G6" s="6" t="str">
        <f t="shared" si="0"/>
        <v>regex1(TEXT)</v>
      </c>
      <c r="H6" t="s">
        <v>154</v>
      </c>
    </row>
    <row r="7" spans="1:8" x14ac:dyDescent="0.3">
      <c r="A7" t="s">
        <v>468</v>
      </c>
      <c r="B7" t="s">
        <v>271</v>
      </c>
      <c r="C7" t="s">
        <v>450</v>
      </c>
      <c r="D7" t="s">
        <v>450</v>
      </c>
      <c r="E7">
        <f t="shared" si="1"/>
        <v>6</v>
      </c>
      <c r="G7" s="6" t="str">
        <f t="shared" si="0"/>
        <v>regex2(TEXT)</v>
      </c>
      <c r="H7" t="s">
        <v>154</v>
      </c>
    </row>
    <row r="8" spans="1:8" x14ac:dyDescent="0.3">
      <c r="A8" t="s">
        <v>469</v>
      </c>
      <c r="B8" t="s">
        <v>271</v>
      </c>
      <c r="C8" t="s">
        <v>457</v>
      </c>
      <c r="D8" t="s">
        <v>457</v>
      </c>
      <c r="E8">
        <f t="shared" si="1"/>
        <v>7</v>
      </c>
      <c r="G8" s="6" t="str">
        <f t="shared" si="0"/>
        <v>text1(TEXT)</v>
      </c>
      <c r="H8" t="s">
        <v>154</v>
      </c>
    </row>
    <row r="9" spans="1:8" x14ac:dyDescent="0.3">
      <c r="A9" t="s">
        <v>470</v>
      </c>
      <c r="B9" t="s">
        <v>271</v>
      </c>
      <c r="C9" t="s">
        <v>453</v>
      </c>
      <c r="D9" t="s">
        <v>453</v>
      </c>
      <c r="E9">
        <f t="shared" si="1"/>
        <v>8</v>
      </c>
      <c r="G9" s="6" t="str">
        <f t="shared" si="0"/>
        <v>text2(TEXT)</v>
      </c>
      <c r="H9" t="s">
        <v>154</v>
      </c>
    </row>
    <row r="10" spans="1:8" x14ac:dyDescent="0.3">
      <c r="A10" t="s">
        <v>471</v>
      </c>
      <c r="B10" t="s">
        <v>444</v>
      </c>
      <c r="C10" t="s">
        <v>208</v>
      </c>
      <c r="D10" t="s">
        <v>208</v>
      </c>
      <c r="E10">
        <f t="shared" si="1"/>
        <v>9</v>
      </c>
      <c r="G10" s="6" t="str">
        <f t="shared" si="0"/>
        <v>org1(ORGANIZATION)</v>
      </c>
      <c r="H10" t="s">
        <v>154</v>
      </c>
    </row>
    <row r="11" spans="1:8" x14ac:dyDescent="0.3">
      <c r="A11" t="s">
        <v>472</v>
      </c>
      <c r="B11" t="s">
        <v>444</v>
      </c>
      <c r="C11" t="s">
        <v>209</v>
      </c>
      <c r="D11" t="s">
        <v>209</v>
      </c>
      <c r="E11">
        <f t="shared" si="1"/>
        <v>10</v>
      </c>
      <c r="G11" s="6" t="str">
        <f t="shared" si="0"/>
        <v>org2(ORGANIZATION)</v>
      </c>
      <c r="H11" t="s">
        <v>154</v>
      </c>
    </row>
    <row r="12" spans="1:8" x14ac:dyDescent="0.3">
      <c r="A12" t="s">
        <v>473</v>
      </c>
      <c r="B12" t="s">
        <v>445</v>
      </c>
      <c r="C12" t="s">
        <v>451</v>
      </c>
      <c r="D12" t="s">
        <v>451</v>
      </c>
      <c r="E12">
        <f t="shared" si="1"/>
        <v>11</v>
      </c>
      <c r="G12" s="6" t="str">
        <f t="shared" si="0"/>
        <v>geo1(GEO)</v>
      </c>
      <c r="H12" t="s">
        <v>154</v>
      </c>
    </row>
    <row r="13" spans="1:8" x14ac:dyDescent="0.3">
      <c r="A13" t="s">
        <v>474</v>
      </c>
      <c r="B13" t="s">
        <v>445</v>
      </c>
      <c r="C13" t="s">
        <v>452</v>
      </c>
      <c r="D13" t="s">
        <v>452</v>
      </c>
      <c r="E13">
        <f t="shared" si="1"/>
        <v>12</v>
      </c>
      <c r="G13" s="6" t="str">
        <f t="shared" si="0"/>
        <v>geo2(GEO)</v>
      </c>
      <c r="H13" t="s">
        <v>154</v>
      </c>
    </row>
    <row r="14" spans="1:8" x14ac:dyDescent="0.3">
      <c r="A14" t="s">
        <v>475</v>
      </c>
      <c r="B14" t="s">
        <v>442</v>
      </c>
      <c r="C14" t="s">
        <v>458</v>
      </c>
      <c r="D14" t="s">
        <v>458</v>
      </c>
      <c r="E14">
        <f t="shared" si="1"/>
        <v>13</v>
      </c>
      <c r="G14" s="6" t="str">
        <f t="shared" si="0"/>
        <v>time1(TIME)</v>
      </c>
      <c r="H14" t="s">
        <v>154</v>
      </c>
    </row>
    <row r="15" spans="1:8" x14ac:dyDescent="0.3">
      <c r="A15" t="s">
        <v>476</v>
      </c>
      <c r="B15" t="s">
        <v>442</v>
      </c>
      <c r="C15" t="s">
        <v>454</v>
      </c>
      <c r="D15" t="s">
        <v>454</v>
      </c>
      <c r="E15">
        <f t="shared" si="1"/>
        <v>14</v>
      </c>
      <c r="G15" s="6" t="str">
        <f t="shared" si="0"/>
        <v>time2(TIME)</v>
      </c>
      <c r="H15" t="s">
        <v>154</v>
      </c>
    </row>
    <row r="16" spans="1:8" x14ac:dyDescent="0.3">
      <c r="A16" t="s">
        <v>477</v>
      </c>
      <c r="B16" t="s">
        <v>446</v>
      </c>
      <c r="C16" t="s">
        <v>461</v>
      </c>
      <c r="D16" t="s">
        <v>461</v>
      </c>
      <c r="E16">
        <f t="shared" si="1"/>
        <v>15</v>
      </c>
      <c r="G16" s="6" t="str">
        <f t="shared" si="0"/>
        <v>id1(IDENTIFIER)</v>
      </c>
      <c r="H16" t="s">
        <v>154</v>
      </c>
    </row>
    <row r="17" spans="1:8" x14ac:dyDescent="0.3">
      <c r="A17" t="s">
        <v>478</v>
      </c>
      <c r="B17" t="s">
        <v>446</v>
      </c>
      <c r="C17" t="s">
        <v>462</v>
      </c>
      <c r="D17" t="s">
        <v>462</v>
      </c>
      <c r="E17">
        <f t="shared" si="1"/>
        <v>16</v>
      </c>
      <c r="G17" s="6" t="str">
        <f t="shared" si="0"/>
        <v>id2(IDENTIFIER)</v>
      </c>
      <c r="H17" t="s">
        <v>154</v>
      </c>
    </row>
    <row r="18" spans="1:8" x14ac:dyDescent="0.3">
      <c r="A18" t="s">
        <v>479</v>
      </c>
      <c r="B18" t="s">
        <v>447</v>
      </c>
      <c r="C18" t="s">
        <v>459</v>
      </c>
      <c r="D18" t="s">
        <v>459</v>
      </c>
      <c r="E18">
        <f t="shared" si="1"/>
        <v>17</v>
      </c>
      <c r="G18" s="6" t="str">
        <f t="shared" si="0"/>
        <v>number1(NUMBER)</v>
      </c>
      <c r="H18" t="s">
        <v>154</v>
      </c>
    </row>
    <row r="19" spans="1:8" x14ac:dyDescent="0.3">
      <c r="A19" t="s">
        <v>480</v>
      </c>
      <c r="B19" t="s">
        <v>447</v>
      </c>
      <c r="C19" t="s">
        <v>455</v>
      </c>
      <c r="D19" t="s">
        <v>455</v>
      </c>
      <c r="E19">
        <f t="shared" si="1"/>
        <v>18</v>
      </c>
      <c r="G19" s="6" t="str">
        <f t="shared" si="0"/>
        <v>number2(NUMBER)</v>
      </c>
      <c r="H19" t="s">
        <v>154</v>
      </c>
    </row>
    <row r="20" spans="1:8" x14ac:dyDescent="0.3">
      <c r="A20" t="s">
        <v>481</v>
      </c>
      <c r="B20" t="s">
        <v>448</v>
      </c>
      <c r="C20" t="s">
        <v>460</v>
      </c>
      <c r="D20" t="s">
        <v>460</v>
      </c>
      <c r="E20">
        <f t="shared" si="1"/>
        <v>19</v>
      </c>
      <c r="G20" s="6" t="str">
        <f t="shared" si="0"/>
        <v>other1(OTHER)</v>
      </c>
      <c r="H20" t="s">
        <v>154</v>
      </c>
    </row>
    <row r="21" spans="1:8" x14ac:dyDescent="0.3">
      <c r="A21" t="s">
        <v>482</v>
      </c>
      <c r="B21" t="s">
        <v>448</v>
      </c>
      <c r="C21" t="s">
        <v>456</v>
      </c>
      <c r="D21" t="s">
        <v>456</v>
      </c>
      <c r="E21">
        <f t="shared" si="1"/>
        <v>20</v>
      </c>
      <c r="G21" s="6" t="str">
        <f t="shared" si="0"/>
        <v>other2(OTHER)</v>
      </c>
      <c r="H21" t="s">
        <v>154</v>
      </c>
    </row>
  </sheetData>
  <phoneticPr fontId="4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39"/>
  <sheetViews>
    <sheetView topLeftCell="A10" workbookViewId="0">
      <selection activeCell="F38" sqref="F38"/>
    </sheetView>
  </sheetViews>
  <sheetFormatPr defaultColWidth="8.77734375" defaultRowHeight="14.4" x14ac:dyDescent="0.3"/>
  <cols>
    <col min="1" max="1" width="36" bestFit="1" customWidth="1"/>
    <col min="2" max="2" width="35.77734375" bestFit="1" customWidth="1"/>
    <col min="3" max="3" width="9" style="6" bestFit="1" customWidth="1"/>
    <col min="4" max="4" width="10.6640625" bestFit="1" customWidth="1"/>
    <col min="5" max="5" width="11.109375" style="6" bestFit="1" customWidth="1"/>
    <col min="6" max="6" width="11.44140625" style="6" bestFit="1" customWidth="1"/>
    <col min="7" max="7" width="11.109375" style="6" bestFit="1" customWidth="1"/>
    <col min="8" max="8" width="19.44140625" bestFit="1" customWidth="1"/>
    <col min="9" max="9" width="36.33203125" bestFit="1" customWidth="1"/>
    <col min="10" max="10" width="35.6640625" style="6" bestFit="1" customWidth="1"/>
    <col min="11" max="11" width="36.5546875" bestFit="1" customWidth="1"/>
    <col min="12" max="12" width="15.6640625" style="6" bestFit="1" customWidth="1"/>
    <col min="13" max="13" width="26.109375" bestFit="1" customWidth="1"/>
    <col min="14" max="14" width="23.44140625" bestFit="1" customWidth="1"/>
    <col min="15" max="15" width="56.33203125" style="6" bestFit="1" customWidth="1"/>
    <col min="16" max="16" width="5.77734375" bestFit="1" customWidth="1"/>
  </cols>
  <sheetData>
    <row r="1" spans="1:16" x14ac:dyDescent="0.3">
      <c r="A1" s="1" t="s">
        <v>0</v>
      </c>
      <c r="B1" s="1" t="s">
        <v>180</v>
      </c>
      <c r="C1" s="10" t="s">
        <v>780</v>
      </c>
      <c r="D1" s="1" t="s">
        <v>181</v>
      </c>
      <c r="E1" s="10" t="s">
        <v>142</v>
      </c>
      <c r="F1" s="10" t="s">
        <v>182</v>
      </c>
      <c r="G1" s="10" t="s">
        <v>143</v>
      </c>
      <c r="H1" s="1" t="s">
        <v>183</v>
      </c>
      <c r="I1" s="1" t="s">
        <v>184</v>
      </c>
      <c r="J1" s="10" t="s">
        <v>781</v>
      </c>
      <c r="K1" s="1" t="s">
        <v>185</v>
      </c>
      <c r="L1" s="10" t="s">
        <v>743</v>
      </c>
      <c r="M1" s="1" t="s">
        <v>186</v>
      </c>
      <c r="N1" s="1" t="s">
        <v>187</v>
      </c>
      <c r="O1" s="10" t="s">
        <v>78</v>
      </c>
      <c r="P1" s="1" t="s">
        <v>153</v>
      </c>
    </row>
    <row r="2" spans="1:16" x14ac:dyDescent="0.3">
      <c r="A2" t="s">
        <v>483</v>
      </c>
      <c r="B2" t="s">
        <v>463</v>
      </c>
      <c r="C2" s="6" t="str">
        <f>INDEX(Dim!$C:$C,MATCH($B2,Dim!$A:$A,0))</f>
        <v>nominal1</v>
      </c>
      <c r="D2" s="11" t="s">
        <v>782</v>
      </c>
      <c r="E2" s="6" t="str">
        <f>$C2&amp;$D2</f>
        <v>nominal1_1</v>
      </c>
      <c r="F2" s="6">
        <f>RIGHT($D2,LEN($D2)-1)+1-1</f>
        <v>1</v>
      </c>
      <c r="G2" s="6" t="str">
        <f>$E2</f>
        <v>nominal1_1</v>
      </c>
      <c r="H2" t="s">
        <v>304</v>
      </c>
      <c r="I2" t="s">
        <v>337</v>
      </c>
      <c r="J2" s="6" t="str">
        <f>IF($I2="","",INDEX(ConceptSet!$C:$C,MATCH($I2,ConceptSet!$A:$A,0)))</f>
        <v>Nominal_1</v>
      </c>
      <c r="L2" s="6" t="str">
        <f>IF($K2="","",INDEX(RegionSet!$B:$B,MATCH($K2,RegionSet!$A:$A,0)))</f>
        <v/>
      </c>
      <c r="O2" s="6" t="str">
        <f>$E2&amp;" ("&amp;$H2&amp;(IF($J2="","",";"&amp;$J2)&amp;(IF($L2="","",";"&amp;$L2)))&amp;")"</f>
        <v>nominal1_1 (NOMINAL;Nominal_1)</v>
      </c>
      <c r="P2" t="s">
        <v>154</v>
      </c>
    </row>
    <row r="3" spans="1:16" x14ac:dyDescent="0.3">
      <c r="A3" t="s">
        <v>484</v>
      </c>
      <c r="B3" t="s">
        <v>464</v>
      </c>
      <c r="C3" s="6" t="str">
        <f>INDEX(Dim!$C:$C,MATCH($B3,Dim!$A:$A,0))</f>
        <v>nominal2</v>
      </c>
      <c r="D3" s="11" t="s">
        <v>782</v>
      </c>
      <c r="E3" s="6" t="str">
        <f t="shared" ref="E3:E39" si="0">$C3&amp;$D3</f>
        <v>nominal2_1</v>
      </c>
      <c r="F3" s="6">
        <f t="shared" ref="F3:F39" si="1">RIGHT($D3,LEN($D3)-1)+1-1</f>
        <v>1</v>
      </c>
      <c r="G3" s="6" t="str">
        <f t="shared" ref="G3:G39" si="2">$E3</f>
        <v>nominal2_1</v>
      </c>
      <c r="H3" t="s">
        <v>304</v>
      </c>
      <c r="I3" t="s">
        <v>338</v>
      </c>
      <c r="J3" s="6" t="str">
        <f>IF($I3="","",INDEX(ConceptSet!$C:$C,MATCH($I3,ConceptSet!$A:$A,0)))</f>
        <v>Nominal_2</v>
      </c>
      <c r="L3" s="6" t="str">
        <f>IF($K3="","",INDEX(RegionSet!$B:$B,MATCH($K3,RegionSet!$A:$A,0)))</f>
        <v/>
      </c>
      <c r="O3" s="6" t="str">
        <f t="shared" ref="O3:O39" si="3">$E3&amp;" ("&amp;$H3&amp;(IF($J3="","",";"&amp;$J3)&amp;(IF($L3="","",";"&amp;$L3)))&amp;")"</f>
        <v>nominal2_1 (NOMINAL;Nominal_2)</v>
      </c>
      <c r="P3" t="s">
        <v>154</v>
      </c>
    </row>
    <row r="4" spans="1:16" x14ac:dyDescent="0.3">
      <c r="A4" t="s">
        <v>485</v>
      </c>
      <c r="B4" t="s">
        <v>465</v>
      </c>
      <c r="C4" s="6" t="str">
        <f>INDEX(Dim!$C:$C,MATCH($B4,Dim!$A:$A,0))</f>
        <v>ordinal1</v>
      </c>
      <c r="D4" s="11" t="s">
        <v>782</v>
      </c>
      <c r="E4" s="6" t="str">
        <f t="shared" si="0"/>
        <v>ordinal1_1</v>
      </c>
      <c r="F4" s="6">
        <f t="shared" si="1"/>
        <v>1</v>
      </c>
      <c r="G4" s="6" t="str">
        <f t="shared" si="2"/>
        <v>ordinal1_1</v>
      </c>
      <c r="H4" t="s">
        <v>303</v>
      </c>
      <c r="I4" t="s">
        <v>339</v>
      </c>
      <c r="J4" s="6" t="str">
        <f>IF($I4="","",INDEX(ConceptSet!$C:$C,MATCH($I4,ConceptSet!$A:$A,0)))</f>
        <v>Ordinal_1</v>
      </c>
      <c r="L4" s="6" t="str">
        <f>IF($K4="","",INDEX(RegionSet!$B:$B,MATCH($K4,RegionSet!$A:$A,0)))</f>
        <v/>
      </c>
      <c r="O4" s="6" t="str">
        <f t="shared" si="3"/>
        <v>ordinal1_1 (ORDINAL;Ordinal_1)</v>
      </c>
      <c r="P4" t="s">
        <v>154</v>
      </c>
    </row>
    <row r="5" spans="1:16" x14ac:dyDescent="0.3">
      <c r="A5" t="s">
        <v>486</v>
      </c>
      <c r="B5" t="s">
        <v>466</v>
      </c>
      <c r="C5" s="6" t="str">
        <f>INDEX(Dim!$C:$C,MATCH($B5,Dim!$A:$A,0))</f>
        <v>ordinal2</v>
      </c>
      <c r="D5" s="11" t="s">
        <v>782</v>
      </c>
      <c r="E5" s="6" t="str">
        <f t="shared" si="0"/>
        <v>ordinal2_1</v>
      </c>
      <c r="F5" s="6">
        <f t="shared" si="1"/>
        <v>1</v>
      </c>
      <c r="G5" s="6" t="str">
        <f t="shared" si="2"/>
        <v>ordinal2_1</v>
      </c>
      <c r="H5" t="s">
        <v>303</v>
      </c>
      <c r="I5" t="s">
        <v>340</v>
      </c>
      <c r="J5" s="6" t="str">
        <f>IF($I5="","",INDEX(ConceptSet!$C:$C,MATCH($I5,ConceptSet!$A:$A,0)))</f>
        <v>Ordinal_2</v>
      </c>
      <c r="L5" s="6" t="str">
        <f>IF($K5="","",INDEX(RegionSet!$B:$B,MATCH($K5,RegionSet!$A:$A,0)))</f>
        <v/>
      </c>
      <c r="O5" s="6" t="str">
        <f t="shared" si="3"/>
        <v>ordinal2_1 (ORDINAL;Ordinal_2)</v>
      </c>
      <c r="P5" t="s">
        <v>154</v>
      </c>
    </row>
    <row r="6" spans="1:16" x14ac:dyDescent="0.3">
      <c r="A6" t="s">
        <v>487</v>
      </c>
      <c r="B6" t="s">
        <v>467</v>
      </c>
      <c r="C6" s="6" t="str">
        <f>INDEX(Dim!$C:$C,MATCH($B6,Dim!$A:$A,0))</f>
        <v>regex1</v>
      </c>
      <c r="D6" s="11" t="s">
        <v>782</v>
      </c>
      <c r="E6" s="6" t="str">
        <f t="shared" si="0"/>
        <v>regex1_1</v>
      </c>
      <c r="F6" s="6">
        <f t="shared" si="1"/>
        <v>1</v>
      </c>
      <c r="G6" s="6" t="str">
        <f t="shared" si="2"/>
        <v>regex1_1</v>
      </c>
      <c r="H6" t="s">
        <v>310</v>
      </c>
      <c r="I6" t="s">
        <v>346</v>
      </c>
      <c r="J6" s="6" t="str">
        <f>IF($I6="","",INDEX(ConceptSet!$C:$C,MATCH($I6,ConceptSet!$A:$A,0)))</f>
        <v>Regex_1</v>
      </c>
      <c r="L6" s="6" t="str">
        <f>IF($K6="","",INDEX(RegionSet!$B:$B,MATCH($K6,RegionSet!$A:$A,0)))</f>
        <v/>
      </c>
      <c r="O6" s="6" t="str">
        <f t="shared" si="3"/>
        <v>regex1_1 (REGULAR_LANGUAGE;Regex_1)</v>
      </c>
      <c r="P6" t="s">
        <v>154</v>
      </c>
    </row>
    <row r="7" spans="1:16" x14ac:dyDescent="0.3">
      <c r="A7" t="s">
        <v>488</v>
      </c>
      <c r="B7" t="s">
        <v>468</v>
      </c>
      <c r="C7" s="6" t="str">
        <f>INDEX(Dim!$C:$C,MATCH($B7,Dim!$A:$A,0))</f>
        <v>regex2</v>
      </c>
      <c r="D7" s="11" t="s">
        <v>782</v>
      </c>
      <c r="E7" s="6" t="str">
        <f t="shared" si="0"/>
        <v>regex2_1</v>
      </c>
      <c r="F7" s="6">
        <f t="shared" si="1"/>
        <v>1</v>
      </c>
      <c r="G7" s="6" t="str">
        <f t="shared" si="2"/>
        <v>regex2_1</v>
      </c>
      <c r="H7" t="s">
        <v>310</v>
      </c>
      <c r="I7" t="s">
        <v>347</v>
      </c>
      <c r="J7" s="6" t="str">
        <f>IF($I7="","",INDEX(ConceptSet!$C:$C,MATCH($I7,ConceptSet!$A:$A,0)))</f>
        <v>Regex_2</v>
      </c>
      <c r="L7" s="6" t="str">
        <f>IF($K7="","",INDEX(RegionSet!$B:$B,MATCH($K7,RegionSet!$A:$A,0)))</f>
        <v/>
      </c>
      <c r="O7" s="6" t="str">
        <f t="shared" si="3"/>
        <v>regex2_1 (REGULAR_LANGUAGE;Regex_2)</v>
      </c>
      <c r="P7" t="s">
        <v>154</v>
      </c>
    </row>
    <row r="8" spans="1:16" x14ac:dyDescent="0.3">
      <c r="A8" t="s">
        <v>489</v>
      </c>
      <c r="B8" t="s">
        <v>469</v>
      </c>
      <c r="C8" s="6" t="str">
        <f>INDEX(Dim!$C:$C,MATCH($B8,Dim!$A:$A,0))</f>
        <v>text1</v>
      </c>
      <c r="D8" s="11" t="s">
        <v>782</v>
      </c>
      <c r="E8" s="6" t="str">
        <f t="shared" si="0"/>
        <v>text1_1</v>
      </c>
      <c r="F8" s="6">
        <f t="shared" si="1"/>
        <v>1</v>
      </c>
      <c r="G8" s="6" t="str">
        <f t="shared" si="2"/>
        <v>text1_1</v>
      </c>
      <c r="H8" t="s">
        <v>271</v>
      </c>
      <c r="J8" s="6" t="str">
        <f>IF($I8="","",INDEX(ConceptSet!$C:$C,MATCH($I8,ConceptSet!$A:$A,0)))</f>
        <v/>
      </c>
      <c r="L8" s="6" t="str">
        <f>IF($K8="","",INDEX(RegionSet!$B:$B,MATCH($K8,RegionSet!$A:$A,0)))</f>
        <v/>
      </c>
      <c r="O8" s="6" t="str">
        <f t="shared" si="3"/>
        <v>text1_1 (TEXT)</v>
      </c>
      <c r="P8" t="s">
        <v>154</v>
      </c>
    </row>
    <row r="9" spans="1:16" x14ac:dyDescent="0.3">
      <c r="A9" t="s">
        <v>490</v>
      </c>
      <c r="B9" t="s">
        <v>470</v>
      </c>
      <c r="C9" s="6" t="str">
        <f>INDEX(Dim!$C:$C,MATCH($B9,Dim!$A:$A,0))</f>
        <v>text2</v>
      </c>
      <c r="D9" s="11" t="s">
        <v>782</v>
      </c>
      <c r="E9" s="6" t="str">
        <f t="shared" si="0"/>
        <v>text2_1</v>
      </c>
      <c r="F9" s="6">
        <f t="shared" si="1"/>
        <v>1</v>
      </c>
      <c r="G9" s="6" t="str">
        <f t="shared" si="2"/>
        <v>text2_1</v>
      </c>
      <c r="H9" t="s">
        <v>271</v>
      </c>
      <c r="J9" s="6" t="str">
        <f>IF($I9="","",INDEX(ConceptSet!$C:$C,MATCH($I9,ConceptSet!$A:$A,0)))</f>
        <v/>
      </c>
      <c r="L9" s="6" t="str">
        <f>IF($K9="","",INDEX(RegionSet!$B:$B,MATCH($K9,RegionSet!$A:$A,0)))</f>
        <v/>
      </c>
      <c r="O9" s="6" t="str">
        <f t="shared" si="3"/>
        <v>text2_1 (TEXT)</v>
      </c>
      <c r="P9" t="s">
        <v>154</v>
      </c>
    </row>
    <row r="10" spans="1:16" x14ac:dyDescent="0.3">
      <c r="A10" t="s">
        <v>491</v>
      </c>
      <c r="B10" t="s">
        <v>471</v>
      </c>
      <c r="C10" s="6" t="str">
        <f>INDEX(Dim!$C:$C,MATCH($B10,Dim!$A:$A,0))</f>
        <v>org1</v>
      </c>
      <c r="D10" s="11" t="s">
        <v>782</v>
      </c>
      <c r="E10" s="6" t="str">
        <f t="shared" si="0"/>
        <v>org1_1</v>
      </c>
      <c r="F10" s="6">
        <f t="shared" si="1"/>
        <v>1</v>
      </c>
      <c r="G10" s="6" t="str">
        <f t="shared" si="2"/>
        <v>org1_1</v>
      </c>
      <c r="H10" t="s">
        <v>444</v>
      </c>
      <c r="J10" s="6" t="str">
        <f>IF($I10="","",INDEX(ConceptSet!$C:$C,MATCH($I10,ConceptSet!$A:$A,0)))</f>
        <v/>
      </c>
      <c r="L10" s="6" t="str">
        <f>IF($K10="","",INDEX(RegionSet!$B:$B,MATCH($K10,RegionSet!$A:$A,0)))</f>
        <v/>
      </c>
      <c r="O10" s="6" t="str">
        <f t="shared" si="3"/>
        <v>org1_1 (ORGANIZATION)</v>
      </c>
      <c r="P10" t="s">
        <v>154</v>
      </c>
    </row>
    <row r="11" spans="1:16" x14ac:dyDescent="0.3">
      <c r="A11" t="s">
        <v>492</v>
      </c>
      <c r="B11" t="s">
        <v>472</v>
      </c>
      <c r="C11" s="6" t="str">
        <f>INDEX(Dim!$C:$C,MATCH($B11,Dim!$A:$A,0))</f>
        <v>org2</v>
      </c>
      <c r="D11" s="11" t="s">
        <v>782</v>
      </c>
      <c r="E11" s="6" t="str">
        <f t="shared" si="0"/>
        <v>org2_1</v>
      </c>
      <c r="F11" s="6">
        <f t="shared" si="1"/>
        <v>1</v>
      </c>
      <c r="G11" s="6" t="str">
        <f t="shared" si="2"/>
        <v>org2_1</v>
      </c>
      <c r="H11" t="s">
        <v>444</v>
      </c>
      <c r="J11" s="6" t="str">
        <f>IF($I11="","",INDEX(ConceptSet!$C:$C,MATCH($I11,ConceptSet!$A:$A,0)))</f>
        <v/>
      </c>
      <c r="L11" s="6" t="str">
        <f>IF($K11="","",INDEX(RegionSet!$B:$B,MATCH($K11,RegionSet!$A:$A,0)))</f>
        <v/>
      </c>
      <c r="O11" s="6" t="str">
        <f t="shared" si="3"/>
        <v>org2_1 (ORGANIZATION)</v>
      </c>
      <c r="P11" t="s">
        <v>154</v>
      </c>
    </row>
    <row r="12" spans="1:16" x14ac:dyDescent="0.3">
      <c r="A12" t="s">
        <v>493</v>
      </c>
      <c r="B12" t="s">
        <v>473</v>
      </c>
      <c r="C12" s="6" t="str">
        <f>INDEX(Dim!$C:$C,MATCH($B12,Dim!$A:$A,0))</f>
        <v>geo1</v>
      </c>
      <c r="D12" s="11" t="s">
        <v>782</v>
      </c>
      <c r="E12" s="6" t="str">
        <f t="shared" si="0"/>
        <v>geo1_1</v>
      </c>
      <c r="F12" s="6">
        <f t="shared" si="1"/>
        <v>1</v>
      </c>
      <c r="G12" s="6" t="str">
        <f t="shared" si="2"/>
        <v>geo1_1</v>
      </c>
      <c r="H12" t="s">
        <v>517</v>
      </c>
      <c r="J12" s="6" t="str">
        <f>IF($I12="","",INDEX(ConceptSet!$C:$C,MATCH($I12,ConceptSet!$A:$A,0)))</f>
        <v/>
      </c>
      <c r="K12" t="s">
        <v>387</v>
      </c>
      <c r="L12" s="6" t="str">
        <f>IF($K12="","",INDEX(RegionSet!$B:$B,MATCH($K12,RegionSet!$A:$A,0)))</f>
        <v>PC_L4</v>
      </c>
      <c r="O12" s="6" t="str">
        <f t="shared" si="3"/>
        <v>geo1_1 (GEO_REGION;PC_L4)</v>
      </c>
      <c r="P12" t="s">
        <v>154</v>
      </c>
    </row>
    <row r="13" spans="1:16" x14ac:dyDescent="0.3">
      <c r="A13" t="s">
        <v>494</v>
      </c>
      <c r="B13" t="s">
        <v>473</v>
      </c>
      <c r="C13" s="6" t="str">
        <f>INDEX(Dim!$C:$C,MATCH($B13,Dim!$A:$A,0))</f>
        <v>geo1</v>
      </c>
      <c r="D13" s="11" t="s">
        <v>783</v>
      </c>
      <c r="E13" s="6" t="str">
        <f t="shared" si="0"/>
        <v>geo1_2</v>
      </c>
      <c r="F13" s="6">
        <f t="shared" si="1"/>
        <v>2</v>
      </c>
      <c r="G13" s="6" t="str">
        <f t="shared" si="2"/>
        <v>geo1_2</v>
      </c>
      <c r="H13" t="s">
        <v>517</v>
      </c>
      <c r="J13" s="6" t="str">
        <f>IF($I13="","",INDEX(ConceptSet!$C:$C,MATCH($I13,ConceptSet!$A:$A,0)))</f>
        <v/>
      </c>
      <c r="K13" t="s">
        <v>388</v>
      </c>
      <c r="L13" s="6" t="str">
        <f>IF($K13="","",INDEX(RegionSet!$B:$B,MATCH($K13,RegionSet!$A:$A,0)))</f>
        <v>PC_L3</v>
      </c>
      <c r="O13" s="6" t="str">
        <f t="shared" si="3"/>
        <v>geo1_2 (GEO_REGION;PC_L3)</v>
      </c>
      <c r="P13" t="s">
        <v>154</v>
      </c>
    </row>
    <row r="14" spans="1:16" x14ac:dyDescent="0.3">
      <c r="A14" t="s">
        <v>495</v>
      </c>
      <c r="B14" t="s">
        <v>473</v>
      </c>
      <c r="C14" s="6" t="str">
        <f>INDEX(Dim!$C:$C,MATCH($B14,Dim!$A:$A,0))</f>
        <v>geo1</v>
      </c>
      <c r="D14" s="11" t="s">
        <v>784</v>
      </c>
      <c r="E14" s="6" t="str">
        <f t="shared" si="0"/>
        <v>geo1_3</v>
      </c>
      <c r="F14" s="6">
        <f t="shared" si="1"/>
        <v>3</v>
      </c>
      <c r="G14" s="6" t="str">
        <f t="shared" si="2"/>
        <v>geo1_3</v>
      </c>
      <c r="H14" t="s">
        <v>517</v>
      </c>
      <c r="J14" s="6" t="str">
        <f>IF($I14="","",INDEX(ConceptSet!$C:$C,MATCH($I14,ConceptSet!$A:$A,0)))</f>
        <v/>
      </c>
      <c r="K14" t="s">
        <v>389</v>
      </c>
      <c r="L14" s="6" t="str">
        <f>IF($K14="","",INDEX(RegionSet!$B:$B,MATCH($K14,RegionSet!$A:$A,0)))</f>
        <v>MUN</v>
      </c>
      <c r="O14" s="6" t="str">
        <f t="shared" si="3"/>
        <v>geo1_3 (GEO_REGION;MUN)</v>
      </c>
      <c r="P14" t="s">
        <v>154</v>
      </c>
    </row>
    <row r="15" spans="1:16" x14ac:dyDescent="0.3">
      <c r="A15" t="s">
        <v>496</v>
      </c>
      <c r="B15" t="s">
        <v>473</v>
      </c>
      <c r="C15" s="6" t="str">
        <f>INDEX(Dim!$C:$C,MATCH($B15,Dim!$A:$A,0))</f>
        <v>geo1</v>
      </c>
      <c r="D15" s="11" t="s">
        <v>785</v>
      </c>
      <c r="E15" s="6" t="str">
        <f t="shared" si="0"/>
        <v>geo1_4</v>
      </c>
      <c r="F15" s="6">
        <f t="shared" si="1"/>
        <v>4</v>
      </c>
      <c r="G15" s="6" t="str">
        <f t="shared" si="2"/>
        <v>geo1_4</v>
      </c>
      <c r="H15" t="s">
        <v>517</v>
      </c>
      <c r="J15" s="6" t="str">
        <f>IF($I15="","",INDEX(ConceptSet!$C:$C,MATCH($I15,ConceptSet!$A:$A,0)))</f>
        <v/>
      </c>
      <c r="K15" t="s">
        <v>390</v>
      </c>
      <c r="L15" s="6" t="str">
        <f>IF($K15="","",INDEX(RegionSet!$B:$B,MATCH($K15,RegionSet!$A:$A,0)))</f>
        <v>PV</v>
      </c>
      <c r="O15" s="6" t="str">
        <f t="shared" si="3"/>
        <v>geo1_4 (GEO_REGION;PV)</v>
      </c>
      <c r="P15" t="s">
        <v>154</v>
      </c>
    </row>
    <row r="16" spans="1:16" x14ac:dyDescent="0.3">
      <c r="A16" t="s">
        <v>497</v>
      </c>
      <c r="B16" t="s">
        <v>474</v>
      </c>
      <c r="C16" s="6" t="str">
        <f>INDEX(Dim!$C:$C,MATCH($B16,Dim!$A:$A,0))</f>
        <v>geo2</v>
      </c>
      <c r="D16" s="11" t="s">
        <v>782</v>
      </c>
      <c r="E16" s="6" t="str">
        <f t="shared" si="0"/>
        <v>geo2_1</v>
      </c>
      <c r="F16" s="6">
        <f t="shared" si="1"/>
        <v>1</v>
      </c>
      <c r="G16" s="6" t="str">
        <f t="shared" si="2"/>
        <v>geo2_1</v>
      </c>
      <c r="H16" t="s">
        <v>517</v>
      </c>
      <c r="J16" s="6" t="str">
        <f>IF($I16="","",INDEX(ConceptSet!$C:$C,MATCH($I16,ConceptSet!$A:$A,0)))</f>
        <v/>
      </c>
      <c r="K16" t="s">
        <v>387</v>
      </c>
      <c r="L16" s="6" t="str">
        <f>IF($K16="","",INDEX(RegionSet!$B:$B,MATCH($K16,RegionSet!$A:$A,0)))</f>
        <v>PC_L4</v>
      </c>
      <c r="O16" s="6" t="str">
        <f t="shared" si="3"/>
        <v>geo2_1 (GEO_REGION;PC_L4)</v>
      </c>
      <c r="P16" t="s">
        <v>154</v>
      </c>
    </row>
    <row r="17" spans="1:16" x14ac:dyDescent="0.3">
      <c r="A17" t="s">
        <v>498</v>
      </c>
      <c r="B17" t="s">
        <v>474</v>
      </c>
      <c r="C17" s="6" t="str">
        <f>INDEX(Dim!$C:$C,MATCH($B17,Dim!$A:$A,0))</f>
        <v>geo2</v>
      </c>
      <c r="D17" s="11" t="s">
        <v>783</v>
      </c>
      <c r="E17" s="6" t="str">
        <f t="shared" si="0"/>
        <v>geo2_2</v>
      </c>
      <c r="F17" s="6">
        <f t="shared" si="1"/>
        <v>2</v>
      </c>
      <c r="G17" s="6" t="str">
        <f t="shared" si="2"/>
        <v>geo2_2</v>
      </c>
      <c r="H17" t="s">
        <v>517</v>
      </c>
      <c r="J17" s="6" t="str">
        <f>IF($I17="","",INDEX(ConceptSet!$C:$C,MATCH($I17,ConceptSet!$A:$A,0)))</f>
        <v/>
      </c>
      <c r="K17" t="s">
        <v>388</v>
      </c>
      <c r="L17" s="6" t="str">
        <f>IF($K17="","",INDEX(RegionSet!$B:$B,MATCH($K17,RegionSet!$A:$A,0)))</f>
        <v>PC_L3</v>
      </c>
      <c r="O17" s="6" t="str">
        <f t="shared" si="3"/>
        <v>geo2_2 (GEO_REGION;PC_L3)</v>
      </c>
      <c r="P17" t="s">
        <v>154</v>
      </c>
    </row>
    <row r="18" spans="1:16" x14ac:dyDescent="0.3">
      <c r="A18" t="s">
        <v>499</v>
      </c>
      <c r="B18" t="s">
        <v>474</v>
      </c>
      <c r="C18" s="6" t="str">
        <f>INDEX(Dim!$C:$C,MATCH($B18,Dim!$A:$A,0))</f>
        <v>geo2</v>
      </c>
      <c r="D18" s="11" t="s">
        <v>784</v>
      </c>
      <c r="E18" s="6" t="str">
        <f t="shared" si="0"/>
        <v>geo2_3</v>
      </c>
      <c r="F18" s="6">
        <f t="shared" si="1"/>
        <v>3</v>
      </c>
      <c r="G18" s="6" t="str">
        <f t="shared" si="2"/>
        <v>geo2_3</v>
      </c>
      <c r="H18" t="s">
        <v>517</v>
      </c>
      <c r="J18" s="6" t="str">
        <f>IF($I18="","",INDEX(ConceptSet!$C:$C,MATCH($I18,ConceptSet!$A:$A,0)))</f>
        <v/>
      </c>
      <c r="K18" t="s">
        <v>389</v>
      </c>
      <c r="L18" s="6" t="str">
        <f>IF($K18="","",INDEX(RegionSet!$B:$B,MATCH($K18,RegionSet!$A:$A,0)))</f>
        <v>MUN</v>
      </c>
      <c r="O18" s="6" t="str">
        <f t="shared" si="3"/>
        <v>geo2_3 (GEO_REGION;MUN)</v>
      </c>
      <c r="P18" t="s">
        <v>154</v>
      </c>
    </row>
    <row r="19" spans="1:16" x14ac:dyDescent="0.3">
      <c r="A19" t="s">
        <v>500</v>
      </c>
      <c r="B19" t="s">
        <v>474</v>
      </c>
      <c r="C19" s="6" t="str">
        <f>INDEX(Dim!$C:$C,MATCH($B19,Dim!$A:$A,0))</f>
        <v>geo2</v>
      </c>
      <c r="D19" s="11" t="s">
        <v>785</v>
      </c>
      <c r="E19" s="6" t="str">
        <f t="shared" si="0"/>
        <v>geo2_4</v>
      </c>
      <c r="F19" s="6">
        <f t="shared" si="1"/>
        <v>4</v>
      </c>
      <c r="G19" s="6" t="str">
        <f t="shared" si="2"/>
        <v>geo2_4</v>
      </c>
      <c r="H19" t="s">
        <v>517</v>
      </c>
      <c r="J19" s="6" t="str">
        <f>IF($I19="","",INDEX(ConceptSet!$C:$C,MATCH($I19,ConceptSet!$A:$A,0)))</f>
        <v/>
      </c>
      <c r="K19" t="s">
        <v>390</v>
      </c>
      <c r="L19" s="6" t="str">
        <f>IF($K19="","",INDEX(RegionSet!$B:$B,MATCH($K19,RegionSet!$A:$A,0)))</f>
        <v>PV</v>
      </c>
      <c r="O19" s="6" t="str">
        <f t="shared" si="3"/>
        <v>geo2_4 (GEO_REGION;PV)</v>
      </c>
      <c r="P19" t="s">
        <v>154</v>
      </c>
    </row>
    <row r="20" spans="1:16" x14ac:dyDescent="0.3">
      <c r="A20" t="s">
        <v>501</v>
      </c>
      <c r="B20" t="s">
        <v>475</v>
      </c>
      <c r="C20" s="6" t="str">
        <f>INDEX(Dim!$C:$C,MATCH($B20,Dim!$A:$A,0))</f>
        <v>time1</v>
      </c>
      <c r="D20" s="11" t="s">
        <v>782</v>
      </c>
      <c r="E20" s="6" t="str">
        <f t="shared" si="0"/>
        <v>time1_1</v>
      </c>
      <c r="F20" s="6">
        <f t="shared" si="1"/>
        <v>1</v>
      </c>
      <c r="G20" s="6" t="str">
        <f t="shared" si="2"/>
        <v>time1_1</v>
      </c>
      <c r="H20" t="s">
        <v>518</v>
      </c>
      <c r="J20" s="6" t="str">
        <f>IF($I20="","",INDEX(ConceptSet!$C:$C,MATCH($I20,ConceptSet!$A:$A,0)))</f>
        <v/>
      </c>
      <c r="L20" s="6" t="str">
        <f>IF($K20="","",INDEX(RegionSet!$B:$B,MATCH($K20,RegionSet!$A:$A,0)))</f>
        <v/>
      </c>
      <c r="O20" s="6" t="str">
        <f t="shared" si="3"/>
        <v>time1_1 (TIME_DAY)</v>
      </c>
      <c r="P20" t="s">
        <v>154</v>
      </c>
    </row>
    <row r="21" spans="1:16" x14ac:dyDescent="0.3">
      <c r="A21" t="s">
        <v>502</v>
      </c>
      <c r="B21" t="s">
        <v>475</v>
      </c>
      <c r="C21" s="6" t="str">
        <f>INDEX(Dim!$C:$C,MATCH($B21,Dim!$A:$A,0))</f>
        <v>time1</v>
      </c>
      <c r="D21" s="11" t="s">
        <v>783</v>
      </c>
      <c r="E21" s="6" t="str">
        <f t="shared" si="0"/>
        <v>time1_2</v>
      </c>
      <c r="F21" s="6">
        <f t="shared" si="1"/>
        <v>2</v>
      </c>
      <c r="G21" s="6" t="str">
        <f t="shared" si="2"/>
        <v>time1_2</v>
      </c>
      <c r="H21" t="s">
        <v>519</v>
      </c>
      <c r="J21" s="6" t="str">
        <f>IF($I21="","",INDEX(ConceptSet!$C:$C,MATCH($I21,ConceptSet!$A:$A,0)))</f>
        <v/>
      </c>
      <c r="L21" s="6" t="str">
        <f>IF($K21="","",INDEX(RegionSet!$B:$B,MATCH($K21,RegionSet!$A:$A,0)))</f>
        <v/>
      </c>
      <c r="O21" s="6" t="str">
        <f t="shared" si="3"/>
        <v>time1_2 (TIME_WEEK)</v>
      </c>
      <c r="P21" t="s">
        <v>154</v>
      </c>
    </row>
    <row r="22" spans="1:16" x14ac:dyDescent="0.3">
      <c r="A22" t="s">
        <v>503</v>
      </c>
      <c r="B22" t="s">
        <v>475</v>
      </c>
      <c r="C22" s="6" t="str">
        <f>INDEX(Dim!$C:$C,MATCH($B22,Dim!$A:$A,0))</f>
        <v>time1</v>
      </c>
      <c r="D22" s="11" t="s">
        <v>784</v>
      </c>
      <c r="E22" s="6" t="str">
        <f t="shared" si="0"/>
        <v>time1_3</v>
      </c>
      <c r="F22" s="6">
        <f t="shared" si="1"/>
        <v>3</v>
      </c>
      <c r="G22" s="6" t="str">
        <f t="shared" si="2"/>
        <v>time1_3</v>
      </c>
      <c r="H22" t="s">
        <v>520</v>
      </c>
      <c r="J22" s="6" t="str">
        <f>IF($I22="","",INDEX(ConceptSet!$C:$C,MATCH($I22,ConceptSet!$A:$A,0)))</f>
        <v/>
      </c>
      <c r="L22" s="6" t="str">
        <f>IF($K22="","",INDEX(RegionSet!$B:$B,MATCH($K22,RegionSet!$A:$A,0)))</f>
        <v/>
      </c>
      <c r="O22" s="6" t="str">
        <f t="shared" si="3"/>
        <v>time1_3 (TIME_MONTH)</v>
      </c>
      <c r="P22" t="s">
        <v>154</v>
      </c>
    </row>
    <row r="23" spans="1:16" x14ac:dyDescent="0.3">
      <c r="A23" t="s">
        <v>504</v>
      </c>
      <c r="B23" t="s">
        <v>475</v>
      </c>
      <c r="C23" s="6" t="str">
        <f>INDEX(Dim!$C:$C,MATCH($B23,Dim!$A:$A,0))</f>
        <v>time1</v>
      </c>
      <c r="D23" s="11" t="s">
        <v>785</v>
      </c>
      <c r="E23" s="6" t="str">
        <f t="shared" si="0"/>
        <v>time1_4</v>
      </c>
      <c r="F23" s="6">
        <f t="shared" si="1"/>
        <v>4</v>
      </c>
      <c r="G23" s="6" t="str">
        <f t="shared" si="2"/>
        <v>time1_4</v>
      </c>
      <c r="H23" t="s">
        <v>521</v>
      </c>
      <c r="J23" s="6" t="str">
        <f>IF($I23="","",INDEX(ConceptSet!$C:$C,MATCH($I23,ConceptSet!$A:$A,0)))</f>
        <v/>
      </c>
      <c r="L23" s="6" t="str">
        <f>IF($K23="","",INDEX(RegionSet!$B:$B,MATCH($K23,RegionSet!$A:$A,0)))</f>
        <v/>
      </c>
      <c r="O23" s="6" t="str">
        <f t="shared" si="3"/>
        <v>time1_4 (TIME_QUARTER)</v>
      </c>
      <c r="P23" t="s">
        <v>154</v>
      </c>
    </row>
    <row r="24" spans="1:16" x14ac:dyDescent="0.3">
      <c r="A24" t="s">
        <v>505</v>
      </c>
      <c r="B24" t="s">
        <v>475</v>
      </c>
      <c r="C24" s="6" t="str">
        <f>INDEX(Dim!$C:$C,MATCH($B24,Dim!$A:$A,0))</f>
        <v>time1</v>
      </c>
      <c r="D24" s="11" t="s">
        <v>786</v>
      </c>
      <c r="E24" s="6" t="str">
        <f t="shared" si="0"/>
        <v>time1_5</v>
      </c>
      <c r="F24" s="6">
        <f t="shared" si="1"/>
        <v>5</v>
      </c>
      <c r="G24" s="6" t="str">
        <f t="shared" si="2"/>
        <v>time1_5</v>
      </c>
      <c r="H24" t="s">
        <v>522</v>
      </c>
      <c r="J24" s="6" t="str">
        <f>IF($I24="","",INDEX(ConceptSet!$C:$C,MATCH($I24,ConceptSet!$A:$A,0)))</f>
        <v/>
      </c>
      <c r="L24" s="6" t="str">
        <f>IF($K24="","",INDEX(RegionSet!$B:$B,MATCH($K24,RegionSet!$A:$A,0)))</f>
        <v/>
      </c>
      <c r="O24" s="6" t="str">
        <f t="shared" si="3"/>
        <v>time1_5 (TIME_YEAR)</v>
      </c>
      <c r="P24" t="s">
        <v>154</v>
      </c>
    </row>
    <row r="25" spans="1:16" x14ac:dyDescent="0.3">
      <c r="A25" t="s">
        <v>506</v>
      </c>
      <c r="B25" t="s">
        <v>476</v>
      </c>
      <c r="C25" s="6" t="str">
        <f>INDEX(Dim!$C:$C,MATCH($B25,Dim!$A:$A,0))</f>
        <v>time2</v>
      </c>
      <c r="D25" s="11" t="s">
        <v>782</v>
      </c>
      <c r="E25" s="6" t="str">
        <f t="shared" si="0"/>
        <v>time2_1</v>
      </c>
      <c r="F25" s="6">
        <f t="shared" si="1"/>
        <v>1</v>
      </c>
      <c r="G25" s="6" t="str">
        <f t="shared" si="2"/>
        <v>time2_1</v>
      </c>
      <c r="H25" t="s">
        <v>518</v>
      </c>
      <c r="J25" s="6" t="str">
        <f>IF($I25="","",INDEX(ConceptSet!$C:$C,MATCH($I25,ConceptSet!$A:$A,0)))</f>
        <v/>
      </c>
      <c r="L25" s="6" t="str">
        <f>IF($K25="","",INDEX(RegionSet!$B:$B,MATCH($K25,RegionSet!$A:$A,0)))</f>
        <v/>
      </c>
      <c r="O25" s="6" t="str">
        <f t="shared" si="3"/>
        <v>time2_1 (TIME_DAY)</v>
      </c>
      <c r="P25" t="s">
        <v>154</v>
      </c>
    </row>
    <row r="26" spans="1:16" x14ac:dyDescent="0.3">
      <c r="A26" t="s">
        <v>507</v>
      </c>
      <c r="B26" t="s">
        <v>476</v>
      </c>
      <c r="C26" s="6" t="str">
        <f>INDEX(Dim!$C:$C,MATCH($B26,Dim!$A:$A,0))</f>
        <v>time2</v>
      </c>
      <c r="D26" s="11" t="s">
        <v>783</v>
      </c>
      <c r="E26" s="6" t="str">
        <f t="shared" si="0"/>
        <v>time2_2</v>
      </c>
      <c r="F26" s="6">
        <f t="shared" si="1"/>
        <v>2</v>
      </c>
      <c r="G26" s="6" t="str">
        <f t="shared" si="2"/>
        <v>time2_2</v>
      </c>
      <c r="H26" t="s">
        <v>519</v>
      </c>
      <c r="J26" s="6" t="str">
        <f>IF($I26="","",INDEX(ConceptSet!$C:$C,MATCH($I26,ConceptSet!$A:$A,0)))</f>
        <v/>
      </c>
      <c r="L26" s="6" t="str">
        <f>IF($K26="","",INDEX(RegionSet!$B:$B,MATCH($K26,RegionSet!$A:$A,0)))</f>
        <v/>
      </c>
      <c r="O26" s="6" t="str">
        <f t="shared" si="3"/>
        <v>time2_2 (TIME_WEEK)</v>
      </c>
      <c r="P26" t="s">
        <v>154</v>
      </c>
    </row>
    <row r="27" spans="1:16" x14ac:dyDescent="0.3">
      <c r="A27" t="s">
        <v>508</v>
      </c>
      <c r="B27" t="s">
        <v>476</v>
      </c>
      <c r="C27" s="6" t="str">
        <f>INDEX(Dim!$C:$C,MATCH($B27,Dim!$A:$A,0))</f>
        <v>time2</v>
      </c>
      <c r="D27" s="11" t="s">
        <v>784</v>
      </c>
      <c r="E27" s="6" t="str">
        <f t="shared" si="0"/>
        <v>time2_3</v>
      </c>
      <c r="F27" s="6">
        <f t="shared" si="1"/>
        <v>3</v>
      </c>
      <c r="G27" s="6" t="str">
        <f t="shared" si="2"/>
        <v>time2_3</v>
      </c>
      <c r="H27" t="s">
        <v>520</v>
      </c>
      <c r="J27" s="6" t="str">
        <f>IF($I27="","",INDEX(ConceptSet!$C:$C,MATCH($I27,ConceptSet!$A:$A,0)))</f>
        <v/>
      </c>
      <c r="L27" s="6" t="str">
        <f>IF($K27="","",INDEX(RegionSet!$B:$B,MATCH($K27,RegionSet!$A:$A,0)))</f>
        <v/>
      </c>
      <c r="O27" s="6" t="str">
        <f t="shared" si="3"/>
        <v>time2_3 (TIME_MONTH)</v>
      </c>
      <c r="P27" t="s">
        <v>154</v>
      </c>
    </row>
    <row r="28" spans="1:16" x14ac:dyDescent="0.3">
      <c r="A28" t="s">
        <v>509</v>
      </c>
      <c r="B28" t="s">
        <v>476</v>
      </c>
      <c r="C28" s="6" t="str">
        <f>INDEX(Dim!$C:$C,MATCH($B28,Dim!$A:$A,0))</f>
        <v>time2</v>
      </c>
      <c r="D28" s="11" t="s">
        <v>785</v>
      </c>
      <c r="E28" s="6" t="str">
        <f t="shared" si="0"/>
        <v>time2_4</v>
      </c>
      <c r="F28" s="6">
        <f t="shared" si="1"/>
        <v>4</v>
      </c>
      <c r="G28" s="6" t="str">
        <f t="shared" si="2"/>
        <v>time2_4</v>
      </c>
      <c r="H28" t="s">
        <v>521</v>
      </c>
      <c r="J28" s="6" t="str">
        <f>IF($I28="","",INDEX(ConceptSet!$C:$C,MATCH($I28,ConceptSet!$A:$A,0)))</f>
        <v/>
      </c>
      <c r="L28" s="6" t="str">
        <f>IF($K28="","",INDEX(RegionSet!$B:$B,MATCH($K28,RegionSet!$A:$A,0)))</f>
        <v/>
      </c>
      <c r="O28" s="6" t="str">
        <f t="shared" si="3"/>
        <v>time2_4 (TIME_QUARTER)</v>
      </c>
      <c r="P28" t="s">
        <v>154</v>
      </c>
    </row>
    <row r="29" spans="1:16" x14ac:dyDescent="0.3">
      <c r="A29" t="s">
        <v>510</v>
      </c>
      <c r="B29" t="s">
        <v>476</v>
      </c>
      <c r="C29" s="6" t="str">
        <f>INDEX(Dim!$C:$C,MATCH($B29,Dim!$A:$A,0))</f>
        <v>time2</v>
      </c>
      <c r="D29" s="11" t="s">
        <v>786</v>
      </c>
      <c r="E29" s="6" t="str">
        <f t="shared" si="0"/>
        <v>time2_5</v>
      </c>
      <c r="F29" s="6">
        <f t="shared" si="1"/>
        <v>5</v>
      </c>
      <c r="G29" s="6" t="str">
        <f t="shared" si="2"/>
        <v>time2_5</v>
      </c>
      <c r="H29" t="s">
        <v>522</v>
      </c>
      <c r="J29" s="6" t="str">
        <f>IF($I29="","",INDEX(ConceptSet!$C:$C,MATCH($I29,ConceptSet!$A:$A,0)))</f>
        <v/>
      </c>
      <c r="L29" s="6" t="str">
        <f>IF($K29="","",INDEX(RegionSet!$B:$B,MATCH($K29,RegionSet!$A:$A,0)))</f>
        <v/>
      </c>
      <c r="O29" s="6" t="str">
        <f t="shared" si="3"/>
        <v>time2_5 (TIME_YEAR)</v>
      </c>
      <c r="P29" t="s">
        <v>154</v>
      </c>
    </row>
    <row r="30" spans="1:16" x14ac:dyDescent="0.3">
      <c r="A30" t="s">
        <v>511</v>
      </c>
      <c r="B30" t="s">
        <v>477</v>
      </c>
      <c r="C30" s="6" t="str">
        <f>INDEX(Dim!$C:$C,MATCH($B30,Dim!$A:$A,0))</f>
        <v>id1</v>
      </c>
      <c r="D30" s="11" t="s">
        <v>782</v>
      </c>
      <c r="E30" s="6" t="str">
        <f t="shared" si="0"/>
        <v>id1_1</v>
      </c>
      <c r="F30" s="6">
        <f t="shared" si="1"/>
        <v>1</v>
      </c>
      <c r="G30" s="6" t="str">
        <f t="shared" si="2"/>
        <v>id1_1</v>
      </c>
      <c r="H30" t="s">
        <v>523</v>
      </c>
      <c r="J30" s="6" t="str">
        <f>IF($I30="","",INDEX(ConceptSet!$C:$C,MATCH($I30,ConceptSet!$A:$A,0)))</f>
        <v/>
      </c>
      <c r="L30" s="6" t="str">
        <f>IF($K30="","",INDEX(RegionSet!$B:$B,MATCH($K30,RegionSet!$A:$A,0)))</f>
        <v/>
      </c>
      <c r="O30" s="6" t="str">
        <f t="shared" si="3"/>
        <v>id1_1 (ID_PSEUDONYMISED)</v>
      </c>
      <c r="P30" t="s">
        <v>154</v>
      </c>
    </row>
    <row r="31" spans="1:16" x14ac:dyDescent="0.3">
      <c r="A31" t="s">
        <v>512</v>
      </c>
      <c r="B31" t="s">
        <v>478</v>
      </c>
      <c r="C31" s="6" t="str">
        <f>INDEX(Dim!$C:$C,MATCH($B31,Dim!$A:$A,0))</f>
        <v>id2</v>
      </c>
      <c r="D31" s="11" t="s">
        <v>782</v>
      </c>
      <c r="E31" s="6" t="str">
        <f t="shared" si="0"/>
        <v>id2_1</v>
      </c>
      <c r="F31" s="6">
        <f t="shared" si="1"/>
        <v>1</v>
      </c>
      <c r="G31" s="6" t="str">
        <f t="shared" si="2"/>
        <v>id2_1</v>
      </c>
      <c r="H31" t="s">
        <v>523</v>
      </c>
      <c r="J31" s="6" t="str">
        <f>IF($I31="","",INDEX(ConceptSet!$C:$C,MATCH($I31,ConceptSet!$A:$A,0)))</f>
        <v/>
      </c>
      <c r="L31" s="6" t="str">
        <f>IF($K31="","",INDEX(RegionSet!$B:$B,MATCH($K31,RegionSet!$A:$A,0)))</f>
        <v/>
      </c>
      <c r="O31" s="6" t="str">
        <f t="shared" si="3"/>
        <v>id2_1 (ID_PSEUDONYMISED)</v>
      </c>
      <c r="P31" t="s">
        <v>154</v>
      </c>
    </row>
    <row r="32" spans="1:16" x14ac:dyDescent="0.3">
      <c r="A32" t="s">
        <v>513</v>
      </c>
      <c r="B32" t="s">
        <v>479</v>
      </c>
      <c r="C32" s="6" t="str">
        <f>INDEX(Dim!$C:$C,MATCH($B32,Dim!$A:$A,0))</f>
        <v>number1</v>
      </c>
      <c r="D32" s="11" t="s">
        <v>782</v>
      </c>
      <c r="E32" s="6" t="str">
        <f t="shared" si="0"/>
        <v>number1_1</v>
      </c>
      <c r="F32" s="6">
        <f t="shared" si="1"/>
        <v>1</v>
      </c>
      <c r="G32" s="6" t="str">
        <f t="shared" si="2"/>
        <v>number1_1</v>
      </c>
      <c r="H32" t="s">
        <v>528</v>
      </c>
      <c r="J32" s="6" t="str">
        <f>IF($I32="","",INDEX(ConceptSet!$C:$C,MATCH($I32,ConceptSet!$A:$A,0)))</f>
        <v/>
      </c>
      <c r="L32" s="6" t="str">
        <f>IF($K32="","",INDEX(RegionSet!$B:$B,MATCH($K32,RegionSet!$A:$A,0)))</f>
        <v/>
      </c>
      <c r="O32" s="6" t="str">
        <f t="shared" si="3"/>
        <v>number1_1 (DECIMAL_0)</v>
      </c>
      <c r="P32" t="s">
        <v>154</v>
      </c>
    </row>
    <row r="33" spans="1:16" x14ac:dyDescent="0.3">
      <c r="A33" t="s">
        <v>524</v>
      </c>
      <c r="B33" t="s">
        <v>479</v>
      </c>
      <c r="C33" s="6" t="str">
        <f>INDEX(Dim!$C:$C,MATCH($B33,Dim!$A:$A,0))</f>
        <v>number1</v>
      </c>
      <c r="D33" s="11" t="s">
        <v>782</v>
      </c>
      <c r="E33" s="6" t="str">
        <f t="shared" si="0"/>
        <v>number1_1</v>
      </c>
      <c r="F33" s="6">
        <f t="shared" si="1"/>
        <v>1</v>
      </c>
      <c r="G33" s="6" t="str">
        <f t="shared" si="2"/>
        <v>number1_1</v>
      </c>
      <c r="H33" t="s">
        <v>348</v>
      </c>
      <c r="I33" t="s">
        <v>341</v>
      </c>
      <c r="J33" s="6" t="str">
        <f>IF($I33="","",INDEX(ConceptSet!$C:$C,MATCH($I33,ConceptSet!$A:$A,0)))</f>
        <v>Age in years, intervals 0, 5, 15, 25, 45, 65</v>
      </c>
      <c r="L33" s="6" t="str">
        <f>IF($K33="","",INDEX(RegionSet!$B:$B,MATCH($K33,RegionSet!$A:$A,0)))</f>
        <v/>
      </c>
      <c r="O33" s="6" t="str">
        <f t="shared" si="3"/>
        <v>number1_1 (INTERVAL;Age in years, intervals 0, 5, 15, 25, 45, 65)</v>
      </c>
      <c r="P33" t="s">
        <v>154</v>
      </c>
    </row>
    <row r="34" spans="1:16" x14ac:dyDescent="0.3">
      <c r="A34" t="s">
        <v>525</v>
      </c>
      <c r="B34" t="s">
        <v>479</v>
      </c>
      <c r="C34" s="6" t="str">
        <f>INDEX(Dim!$C:$C,MATCH($B34,Dim!$A:$A,0))</f>
        <v>number1</v>
      </c>
      <c r="D34" s="11" t="s">
        <v>782</v>
      </c>
      <c r="E34" s="6" t="str">
        <f t="shared" si="0"/>
        <v>number1_1</v>
      </c>
      <c r="F34" s="6">
        <f t="shared" si="1"/>
        <v>1</v>
      </c>
      <c r="G34" s="6" t="str">
        <f t="shared" si="2"/>
        <v>number1_1</v>
      </c>
      <c r="H34" t="s">
        <v>348</v>
      </c>
      <c r="I34" t="s">
        <v>342</v>
      </c>
      <c r="J34" s="6" t="str">
        <f>IF($I34="","",INDEX(ConceptSet!$C:$C,MATCH($I34,ConceptSet!$A:$A,0)))</f>
        <v>Age in years, intervals 0, 5, 19, 65</v>
      </c>
      <c r="L34" s="6" t="str">
        <f>IF($K34="","",INDEX(RegionSet!$B:$B,MATCH($K34,RegionSet!$A:$A,0)))</f>
        <v/>
      </c>
      <c r="O34" s="6" t="str">
        <f t="shared" si="3"/>
        <v>number1_1 (INTERVAL;Age in years, intervals 0, 5, 19, 65)</v>
      </c>
      <c r="P34" t="s">
        <v>154</v>
      </c>
    </row>
    <row r="35" spans="1:16" x14ac:dyDescent="0.3">
      <c r="A35" t="s">
        <v>514</v>
      </c>
      <c r="B35" t="s">
        <v>480</v>
      </c>
      <c r="C35" s="6" t="str">
        <f>INDEX(Dim!$C:$C,MATCH($B35,Dim!$A:$A,0))</f>
        <v>number2</v>
      </c>
      <c r="D35" s="11" t="s">
        <v>782</v>
      </c>
      <c r="E35" s="6" t="str">
        <f t="shared" si="0"/>
        <v>number2_1</v>
      </c>
      <c r="F35" s="6">
        <f t="shared" si="1"/>
        <v>1</v>
      </c>
      <c r="G35" s="6" t="str">
        <f t="shared" si="2"/>
        <v>number2_1</v>
      </c>
      <c r="H35" t="s">
        <v>529</v>
      </c>
      <c r="J35" s="6" t="str">
        <f>IF($I35="","",INDEX(ConceptSet!$C:$C,MATCH($I35,ConceptSet!$A:$A,0)))</f>
        <v/>
      </c>
      <c r="L35" s="6" t="str">
        <f>IF($K35="","",INDEX(RegionSet!$B:$B,MATCH($K35,RegionSet!$A:$A,0)))</f>
        <v/>
      </c>
      <c r="O35" s="6" t="str">
        <f t="shared" si="3"/>
        <v>number2_1 (DECIMAL_2)</v>
      </c>
      <c r="P35" t="s">
        <v>154</v>
      </c>
    </row>
    <row r="36" spans="1:16" x14ac:dyDescent="0.3">
      <c r="A36" t="s">
        <v>526</v>
      </c>
      <c r="B36" t="s">
        <v>480</v>
      </c>
      <c r="C36" s="6" t="str">
        <f>INDEX(Dim!$C:$C,MATCH($B36,Dim!$A:$A,0))</f>
        <v>number2</v>
      </c>
      <c r="D36" s="11" t="s">
        <v>782</v>
      </c>
      <c r="E36" s="6" t="str">
        <f t="shared" si="0"/>
        <v>number2_1</v>
      </c>
      <c r="F36" s="6">
        <f t="shared" si="1"/>
        <v>1</v>
      </c>
      <c r="G36" s="6" t="str">
        <f t="shared" si="2"/>
        <v>number2_1</v>
      </c>
      <c r="H36" t="s">
        <v>348</v>
      </c>
      <c r="I36" t="s">
        <v>345</v>
      </c>
      <c r="J36" s="6" t="str">
        <f>IF($I36="","",INDEX(ConceptSet!$C:$C,MATCH($I36,ConceptSet!$A:$A,0)))</f>
        <v>Age in months, intervals 0, 1, 2, 3</v>
      </c>
      <c r="L36" s="6" t="str">
        <f>IF($K36="","",INDEX(RegionSet!$B:$B,MATCH($K36,RegionSet!$A:$A,0)))</f>
        <v/>
      </c>
      <c r="O36" s="6" t="str">
        <f t="shared" si="3"/>
        <v>number2_1 (INTERVAL;Age in months, intervals 0, 1, 2, 3)</v>
      </c>
      <c r="P36" t="s">
        <v>154</v>
      </c>
    </row>
    <row r="37" spans="1:16" x14ac:dyDescent="0.3">
      <c r="A37" t="s">
        <v>527</v>
      </c>
      <c r="B37" t="s">
        <v>480</v>
      </c>
      <c r="C37" s="6" t="str">
        <f>INDEX(Dim!$C:$C,MATCH($B37,Dim!$A:$A,0))</f>
        <v>number2</v>
      </c>
      <c r="D37" s="11" t="s">
        <v>782</v>
      </c>
      <c r="E37" s="6" t="str">
        <f t="shared" si="0"/>
        <v>number2_1</v>
      </c>
      <c r="F37" s="6">
        <f t="shared" si="1"/>
        <v>1</v>
      </c>
      <c r="G37" s="6" t="str">
        <f t="shared" si="2"/>
        <v>number2_1</v>
      </c>
      <c r="H37" t="s">
        <v>348</v>
      </c>
      <c r="I37" t="s">
        <v>343</v>
      </c>
      <c r="J37" s="6" t="str">
        <f>IF($I37="","",INDEX(ConceptSet!$C:$C,MATCH($I37,ConceptSet!$A:$A,0)))</f>
        <v>Age in years, intervals 0, 15, 25, 35, 45</v>
      </c>
      <c r="L37" s="6" t="str">
        <f>IF($K37="","",INDEX(RegionSet!$B:$B,MATCH($K37,RegionSet!$A:$A,0)))</f>
        <v/>
      </c>
      <c r="O37" s="6" t="str">
        <f t="shared" si="3"/>
        <v>number2_1 (INTERVAL;Age in years, intervals 0, 15, 25, 35, 45)</v>
      </c>
      <c r="P37" t="s">
        <v>154</v>
      </c>
    </row>
    <row r="38" spans="1:16" x14ac:dyDescent="0.3">
      <c r="A38" t="s">
        <v>515</v>
      </c>
      <c r="B38" t="s">
        <v>481</v>
      </c>
      <c r="C38" s="6" t="str">
        <f>INDEX(Dim!$C:$C,MATCH($B38,Dim!$A:$A,0))</f>
        <v>other1</v>
      </c>
      <c r="D38" s="11" t="s">
        <v>782</v>
      </c>
      <c r="E38" s="6" t="str">
        <f t="shared" si="0"/>
        <v>other1_1</v>
      </c>
      <c r="F38" s="6">
        <f t="shared" si="1"/>
        <v>1</v>
      </c>
      <c r="G38" s="6" t="str">
        <f t="shared" si="2"/>
        <v>other1_1</v>
      </c>
      <c r="H38" t="s">
        <v>448</v>
      </c>
      <c r="J38" s="6" t="str">
        <f>IF($I38="","",INDEX(ConceptSet!$C:$C,MATCH($I38,ConceptSet!$A:$A,0)))</f>
        <v/>
      </c>
      <c r="L38" s="6" t="str">
        <f>IF($K38="","",INDEX(RegionSet!$B:$B,MATCH($K38,RegionSet!$A:$A,0)))</f>
        <v/>
      </c>
      <c r="O38" s="6" t="str">
        <f t="shared" si="3"/>
        <v>other1_1 (OTHER)</v>
      </c>
      <c r="P38" t="s">
        <v>154</v>
      </c>
    </row>
    <row r="39" spans="1:16" x14ac:dyDescent="0.3">
      <c r="A39" t="s">
        <v>516</v>
      </c>
      <c r="B39" t="s">
        <v>482</v>
      </c>
      <c r="C39" s="6" t="str">
        <f>INDEX(Dim!$C:$C,MATCH($B39,Dim!$A:$A,0))</f>
        <v>other2</v>
      </c>
      <c r="D39" s="11" t="s">
        <v>782</v>
      </c>
      <c r="E39" s="6" t="str">
        <f t="shared" si="0"/>
        <v>other2_1</v>
      </c>
      <c r="F39" s="6">
        <f t="shared" si="1"/>
        <v>1</v>
      </c>
      <c r="G39" s="6" t="str">
        <f t="shared" si="2"/>
        <v>other2_1</v>
      </c>
      <c r="H39" t="s">
        <v>448</v>
      </c>
      <c r="J39" s="6" t="str">
        <f>IF($I39="","",INDEX(ConceptSet!$C:$C,MATCH($I39,ConceptSet!$A:$A,0)))</f>
        <v/>
      </c>
      <c r="L39" s="6" t="str">
        <f>IF($K39="","",INDEX(RegionSet!$B:$B,MATCH($K39,RegionSet!$A:$A,0)))</f>
        <v/>
      </c>
      <c r="O39" s="6" t="str">
        <f t="shared" si="3"/>
        <v>other2_1 (OTHER)</v>
      </c>
      <c r="P39" t="s">
        <v>154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E9DBA-4D09-4E45-A394-72AC78245E1D}">
  <dimension ref="A1:C6"/>
  <sheetViews>
    <sheetView workbookViewId="0">
      <selection activeCell="C2" sqref="C2"/>
    </sheetView>
  </sheetViews>
  <sheetFormatPr defaultColWidth="8.77734375" defaultRowHeight="14.4" x14ac:dyDescent="0.3"/>
  <cols>
    <col min="1" max="1" width="34.77734375" bestFit="1" customWidth="1"/>
  </cols>
  <sheetData>
    <row r="1" spans="1:3" x14ac:dyDescent="0.3">
      <c r="A1" t="s">
        <v>0</v>
      </c>
      <c r="B1" t="s">
        <v>57</v>
      </c>
      <c r="C1" t="s">
        <v>286</v>
      </c>
    </row>
    <row r="2" spans="1:3" x14ac:dyDescent="0.3">
      <c r="A2" t="s">
        <v>117</v>
      </c>
      <c r="B2" t="s">
        <v>287</v>
      </c>
    </row>
    <row r="3" spans="1:3" x14ac:dyDescent="0.3">
      <c r="A3" t="s">
        <v>121</v>
      </c>
      <c r="B3" t="s">
        <v>288</v>
      </c>
    </row>
    <row r="4" spans="1:3" x14ac:dyDescent="0.3">
      <c r="A4" t="s">
        <v>125</v>
      </c>
      <c r="B4" t="s">
        <v>289</v>
      </c>
    </row>
    <row r="5" spans="1:3" x14ac:dyDescent="0.3">
      <c r="A5" t="s">
        <v>129</v>
      </c>
      <c r="B5" t="s">
        <v>290</v>
      </c>
    </row>
    <row r="6" spans="1:3" x14ac:dyDescent="0.3">
      <c r="A6" t="s">
        <v>133</v>
      </c>
      <c r="B6" t="s">
        <v>291</v>
      </c>
    </row>
  </sheetData>
  <phoneticPr fontId="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F5204-3F7C-438F-A194-7543BC84CF2A}">
  <dimension ref="A1:C6"/>
  <sheetViews>
    <sheetView workbookViewId="0">
      <selection activeCell="B2" sqref="B2"/>
    </sheetView>
  </sheetViews>
  <sheetFormatPr defaultColWidth="8.77734375" defaultRowHeight="14.4" x14ac:dyDescent="0.3"/>
  <cols>
    <col min="1" max="1" width="35.33203125" bestFit="1" customWidth="1"/>
    <col min="2" max="2" width="16" bestFit="1" customWidth="1"/>
    <col min="3" max="3" width="10" bestFit="1" customWidth="1"/>
  </cols>
  <sheetData>
    <row r="1" spans="1:3" x14ac:dyDescent="0.3">
      <c r="A1" t="s">
        <v>0</v>
      </c>
      <c r="B1" t="s">
        <v>57</v>
      </c>
      <c r="C1" t="s">
        <v>292</v>
      </c>
    </row>
    <row r="2" spans="1:3" x14ac:dyDescent="0.3">
      <c r="A2" t="s">
        <v>118</v>
      </c>
      <c r="B2" t="s">
        <v>293</v>
      </c>
      <c r="C2" t="s">
        <v>298</v>
      </c>
    </row>
    <row r="3" spans="1:3" x14ac:dyDescent="0.3">
      <c r="A3" t="s">
        <v>122</v>
      </c>
      <c r="B3" t="s">
        <v>294</v>
      </c>
      <c r="C3" t="s">
        <v>298</v>
      </c>
    </row>
    <row r="4" spans="1:3" x14ac:dyDescent="0.3">
      <c r="A4" t="s">
        <v>126</v>
      </c>
      <c r="B4" t="s">
        <v>295</v>
      </c>
      <c r="C4" t="s">
        <v>298</v>
      </c>
    </row>
    <row r="5" spans="1:3" x14ac:dyDescent="0.3">
      <c r="A5" t="s">
        <v>130</v>
      </c>
      <c r="B5" t="s">
        <v>296</v>
      </c>
      <c r="C5" t="s">
        <v>298</v>
      </c>
    </row>
    <row r="6" spans="1:3" x14ac:dyDescent="0.3">
      <c r="A6" t="s">
        <v>134</v>
      </c>
      <c r="B6" t="s">
        <v>297</v>
      </c>
      <c r="C6" t="s">
        <v>298</v>
      </c>
    </row>
  </sheetData>
  <phoneticPr fontId="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"/>
  <sheetViews>
    <sheetView workbookViewId="0">
      <selection activeCell="A4" sqref="A4:A6"/>
    </sheetView>
  </sheetViews>
  <sheetFormatPr defaultColWidth="8.77734375" defaultRowHeight="14.4" x14ac:dyDescent="0.3"/>
  <cols>
    <col min="1" max="1" width="35.44140625" bestFit="1" customWidth="1"/>
    <col min="2" max="3" width="10" bestFit="1" customWidth="1"/>
    <col min="4" max="4" width="34.77734375" bestFit="1" customWidth="1"/>
    <col min="5" max="5" width="34.77734375" style="13" customWidth="1"/>
    <col min="6" max="6" width="7" bestFit="1" customWidth="1"/>
    <col min="7" max="7" width="35.33203125" bestFit="1" customWidth="1"/>
    <col min="8" max="8" width="35.33203125" style="13" customWidth="1"/>
    <col min="9" max="9" width="15" bestFit="1" customWidth="1"/>
  </cols>
  <sheetData>
    <row r="1" spans="1:9" x14ac:dyDescent="0.3">
      <c r="A1" s="1" t="s">
        <v>0</v>
      </c>
      <c r="B1" s="1" t="s">
        <v>57</v>
      </c>
      <c r="C1" s="1" t="s">
        <v>78</v>
      </c>
      <c r="D1" s="1" t="s">
        <v>111</v>
      </c>
      <c r="E1" s="12" t="s">
        <v>803</v>
      </c>
      <c r="F1" s="1" t="s">
        <v>112</v>
      </c>
      <c r="G1" s="1" t="s">
        <v>113</v>
      </c>
      <c r="H1" s="12" t="s">
        <v>804</v>
      </c>
      <c r="I1" s="1" t="s">
        <v>114</v>
      </c>
    </row>
    <row r="2" spans="1:9" x14ac:dyDescent="0.3">
      <c r="A2" t="s">
        <v>115</v>
      </c>
      <c r="B2" t="s">
        <v>116</v>
      </c>
      <c r="D2" t="s">
        <v>117</v>
      </c>
      <c r="E2" s="13" t="str">
        <f>INDEX(Disease!$B:$B,MATCH($D2,Disease!$A:$A,0))</f>
        <v>disease1</v>
      </c>
      <c r="G2" t="s">
        <v>118</v>
      </c>
      <c r="H2" s="13" t="str">
        <f>INDEX(EtiologicalAgent!$B:$B,MATCH($G2,EtiologicalAgent!$A:$A,0))</f>
        <v>etiological_agent1</v>
      </c>
    </row>
    <row r="3" spans="1:9" x14ac:dyDescent="0.3">
      <c r="A3" t="s">
        <v>119</v>
      </c>
      <c r="B3" t="s">
        <v>120</v>
      </c>
      <c r="D3" t="s">
        <v>121</v>
      </c>
      <c r="E3" s="13" t="str">
        <f>INDEX(Disease!$B:$B,MATCH($D3,Disease!$A:$A,0))</f>
        <v>disease2</v>
      </c>
      <c r="G3" t="s">
        <v>122</v>
      </c>
      <c r="H3" s="13" t="str">
        <f>INDEX(EtiologicalAgent!$B:$B,MATCH($G3,EtiologicalAgent!$A:$A,0))</f>
        <v>etiological_agent2</v>
      </c>
    </row>
    <row r="4" spans="1:9" x14ac:dyDescent="0.3">
      <c r="A4" t="s">
        <v>123</v>
      </c>
      <c r="B4" t="s">
        <v>124</v>
      </c>
      <c r="D4" t="s">
        <v>125</v>
      </c>
      <c r="E4" s="13" t="str">
        <f>INDEX(Disease!$B:$B,MATCH($D4,Disease!$A:$A,0))</f>
        <v>disease3</v>
      </c>
      <c r="G4" t="s">
        <v>126</v>
      </c>
      <c r="H4" s="13" t="str">
        <f>INDEX(EtiologicalAgent!$B:$B,MATCH($G4,EtiologicalAgent!$A:$A,0))</f>
        <v>etiological_agent3</v>
      </c>
    </row>
    <row r="5" spans="1:9" x14ac:dyDescent="0.3">
      <c r="A5" t="s">
        <v>127</v>
      </c>
      <c r="B5" t="s">
        <v>128</v>
      </c>
      <c r="D5" t="s">
        <v>129</v>
      </c>
      <c r="E5" s="13" t="str">
        <f>INDEX(Disease!$B:$B,MATCH($D5,Disease!$A:$A,0))</f>
        <v>disease4</v>
      </c>
      <c r="G5" t="s">
        <v>130</v>
      </c>
      <c r="H5" s="13" t="str">
        <f>INDEX(EtiologicalAgent!$B:$B,MATCH($G5,EtiologicalAgent!$A:$A,0))</f>
        <v>etiological_agent4</v>
      </c>
    </row>
    <row r="6" spans="1:9" x14ac:dyDescent="0.3">
      <c r="A6" t="s">
        <v>131</v>
      </c>
      <c r="B6" t="s">
        <v>132</v>
      </c>
      <c r="D6" t="s">
        <v>133</v>
      </c>
      <c r="E6" s="13" t="str">
        <f>INDEX(Disease!$B:$B,MATCH($D6,Disease!$A:$A,0))</f>
        <v>disease5</v>
      </c>
      <c r="G6" t="s">
        <v>134</v>
      </c>
      <c r="H6" s="13" t="str">
        <f>INDEX(EtiologicalAgent!$B:$B,MATCH($G6,EtiologicalAgent!$A:$A,0))</f>
        <v>etiological_agent5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>
      <selection activeCell="A3" sqref="A3"/>
    </sheetView>
  </sheetViews>
  <sheetFormatPr defaultColWidth="8.77734375" defaultRowHeight="14.4" x14ac:dyDescent="0.3"/>
  <cols>
    <col min="1" max="1" width="34.109375" bestFit="1" customWidth="1"/>
    <col min="2" max="2" width="21.77734375" bestFit="1" customWidth="1"/>
    <col min="3" max="3" width="10" bestFit="1" customWidth="1"/>
    <col min="4" max="4" width="4.44140625" bestFit="1" customWidth="1"/>
    <col min="5" max="5" width="8.77734375" bestFit="1" customWidth="1"/>
  </cols>
  <sheetData>
    <row r="1" spans="1:5" x14ac:dyDescent="0.3">
      <c r="A1" s="1" t="s">
        <v>0</v>
      </c>
      <c r="B1" s="1" t="s">
        <v>57</v>
      </c>
      <c r="C1" s="1" t="s">
        <v>78</v>
      </c>
      <c r="D1" s="1" t="s">
        <v>81</v>
      </c>
      <c r="E1" s="1" t="s">
        <v>108</v>
      </c>
    </row>
    <row r="2" spans="1:5" x14ac:dyDescent="0.3">
      <c r="A2" t="s">
        <v>83</v>
      </c>
      <c r="B2" t="s">
        <v>109</v>
      </c>
      <c r="D2">
        <v>0</v>
      </c>
      <c r="E2" t="s">
        <v>110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"/>
  <sheetViews>
    <sheetView workbookViewId="0">
      <selection activeCell="D2" sqref="D2"/>
    </sheetView>
  </sheetViews>
  <sheetFormatPr defaultColWidth="8.77734375" defaultRowHeight="14.4" x14ac:dyDescent="0.3"/>
  <cols>
    <col min="1" max="1" width="35.77734375" bestFit="1" customWidth="1"/>
    <col min="2" max="2" width="15" bestFit="1" customWidth="1"/>
    <col min="3" max="3" width="10" bestFit="1" customWidth="1"/>
    <col min="4" max="4" width="34.109375" bestFit="1" customWidth="1"/>
    <col min="5" max="5" width="29.6640625" style="6" bestFit="1" customWidth="1"/>
    <col min="6" max="6" width="21" bestFit="1" customWidth="1"/>
    <col min="7" max="7" width="4.44140625" bestFit="1" customWidth="1"/>
  </cols>
  <sheetData>
    <row r="1" spans="1:7" x14ac:dyDescent="0.3">
      <c r="A1" s="1" t="s">
        <v>0</v>
      </c>
      <c r="B1" s="1" t="s">
        <v>57</v>
      </c>
      <c r="C1" s="1" t="s">
        <v>78</v>
      </c>
      <c r="D1" s="1" t="s">
        <v>79</v>
      </c>
      <c r="E1" s="10" t="s">
        <v>805</v>
      </c>
      <c r="F1" s="1" t="s">
        <v>80</v>
      </c>
      <c r="G1" s="1" t="s">
        <v>81</v>
      </c>
    </row>
    <row r="2" spans="1:7" x14ac:dyDescent="0.3">
      <c r="A2" t="s">
        <v>63</v>
      </c>
      <c r="B2" t="s">
        <v>82</v>
      </c>
      <c r="D2" t="s">
        <v>83</v>
      </c>
      <c r="E2" s="6" t="str">
        <f>INDEX(CaseTypeSetCategory!$B:$B,MATCH($D2,CaseTypeSetCategory!$A:$A,0))</f>
        <v>case_type_set_category1</v>
      </c>
      <c r="G2">
        <v>0</v>
      </c>
    </row>
    <row r="3" spans="1:7" x14ac:dyDescent="0.3">
      <c r="A3" t="s">
        <v>65</v>
      </c>
      <c r="B3" t="s">
        <v>84</v>
      </c>
      <c r="D3" t="s">
        <v>83</v>
      </c>
      <c r="E3" s="6" t="str">
        <f>INDEX(CaseTypeSetCategory!$B:$B,MATCH($D3,CaseTypeSetCategory!$A:$A,0))</f>
        <v>case_type_set_category1</v>
      </c>
      <c r="G3">
        <v>0</v>
      </c>
    </row>
    <row r="4" spans="1:7" x14ac:dyDescent="0.3">
      <c r="A4" t="s">
        <v>66</v>
      </c>
      <c r="B4" t="s">
        <v>85</v>
      </c>
      <c r="D4" t="s">
        <v>83</v>
      </c>
      <c r="E4" s="6" t="str">
        <f>INDEX(CaseTypeSetCategory!$B:$B,MATCH($D4,CaseTypeSetCategory!$A:$A,0))</f>
        <v>case_type_set_category1</v>
      </c>
      <c r="G4">
        <v>0</v>
      </c>
    </row>
    <row r="5" spans="1:7" x14ac:dyDescent="0.3">
      <c r="A5" t="s">
        <v>67</v>
      </c>
      <c r="B5" t="s">
        <v>86</v>
      </c>
      <c r="D5" t="s">
        <v>83</v>
      </c>
      <c r="E5" s="6" t="str">
        <f>INDEX(CaseTypeSetCategory!$B:$B,MATCH($D5,CaseTypeSetCategory!$A:$A,0))</f>
        <v>case_type_set_category1</v>
      </c>
      <c r="G5">
        <v>0</v>
      </c>
    </row>
    <row r="6" spans="1:7" x14ac:dyDescent="0.3">
      <c r="A6" t="s">
        <v>68</v>
      </c>
      <c r="B6" t="s">
        <v>87</v>
      </c>
      <c r="D6" t="s">
        <v>83</v>
      </c>
      <c r="E6" s="6" t="str">
        <f>INDEX(CaseTypeSetCategory!$B:$B,MATCH($D6,CaseTypeSetCategory!$A:$A,0))</f>
        <v>case_type_set_category1</v>
      </c>
      <c r="G6">
        <v>0</v>
      </c>
    </row>
    <row r="7" spans="1:7" x14ac:dyDescent="0.3">
      <c r="A7" t="s">
        <v>88</v>
      </c>
      <c r="B7" t="s">
        <v>89</v>
      </c>
      <c r="D7" t="s">
        <v>83</v>
      </c>
      <c r="E7" s="6" t="str">
        <f>INDEX(CaseTypeSetCategory!$B:$B,MATCH($D7,CaseTypeSetCategory!$A:$A,0))</f>
        <v>case_type_set_category1</v>
      </c>
      <c r="G7">
        <v>0</v>
      </c>
    </row>
    <row r="8" spans="1:7" x14ac:dyDescent="0.3">
      <c r="A8" t="s">
        <v>90</v>
      </c>
      <c r="B8" t="s">
        <v>91</v>
      </c>
      <c r="D8" t="s">
        <v>83</v>
      </c>
      <c r="E8" s="6" t="str">
        <f>INDEX(CaseTypeSetCategory!$B:$B,MATCH($D8,CaseTypeSetCategory!$A:$A,0))</f>
        <v>case_type_set_category1</v>
      </c>
      <c r="G8">
        <v>0</v>
      </c>
    </row>
    <row r="9" spans="1:7" x14ac:dyDescent="0.3">
      <c r="A9" t="s">
        <v>92</v>
      </c>
      <c r="B9" t="s">
        <v>93</v>
      </c>
      <c r="D9" t="s">
        <v>83</v>
      </c>
      <c r="E9" s="6" t="str">
        <f>INDEX(CaseTypeSetCategory!$B:$B,MATCH($D9,CaseTypeSetCategory!$A:$A,0))</f>
        <v>case_type_set_category1</v>
      </c>
      <c r="G9">
        <v>0</v>
      </c>
    </row>
    <row r="10" spans="1:7" x14ac:dyDescent="0.3">
      <c r="A10" t="s">
        <v>94</v>
      </c>
      <c r="B10" t="s">
        <v>95</v>
      </c>
      <c r="D10" t="s">
        <v>83</v>
      </c>
      <c r="E10" s="6" t="str">
        <f>INDEX(CaseTypeSetCategory!$B:$B,MATCH($D10,CaseTypeSetCategory!$A:$A,0))</f>
        <v>case_type_set_category1</v>
      </c>
      <c r="G10">
        <v>0</v>
      </c>
    </row>
    <row r="11" spans="1:7" x14ac:dyDescent="0.3">
      <c r="A11" t="s">
        <v>96</v>
      </c>
      <c r="B11" t="s">
        <v>97</v>
      </c>
      <c r="D11" t="s">
        <v>83</v>
      </c>
      <c r="E11" s="6" t="str">
        <f>INDEX(CaseTypeSetCategory!$B:$B,MATCH($D11,CaseTypeSetCategory!$A:$A,0))</f>
        <v>case_type_set_category1</v>
      </c>
      <c r="G11">
        <v>0</v>
      </c>
    </row>
    <row r="12" spans="1:7" x14ac:dyDescent="0.3">
      <c r="A12" t="s">
        <v>98</v>
      </c>
      <c r="B12" t="s">
        <v>99</v>
      </c>
      <c r="D12" t="s">
        <v>83</v>
      </c>
      <c r="E12" s="6" t="str">
        <f>INDEX(CaseTypeSetCategory!$B:$B,MATCH($D12,CaseTypeSetCategory!$A:$A,0))</f>
        <v>case_type_set_category1</v>
      </c>
      <c r="G12">
        <v>0</v>
      </c>
    </row>
    <row r="13" spans="1:7" x14ac:dyDescent="0.3">
      <c r="A13" t="s">
        <v>100</v>
      </c>
      <c r="B13" t="s">
        <v>101</v>
      </c>
      <c r="D13" t="s">
        <v>83</v>
      </c>
      <c r="E13" s="6" t="str">
        <f>INDEX(CaseTypeSetCategory!$B:$B,MATCH($D13,CaseTypeSetCategory!$A:$A,0))</f>
        <v>case_type_set_category1</v>
      </c>
      <c r="G13">
        <v>0</v>
      </c>
    </row>
    <row r="14" spans="1:7" x14ac:dyDescent="0.3">
      <c r="A14" t="s">
        <v>102</v>
      </c>
      <c r="B14" t="s">
        <v>103</v>
      </c>
      <c r="D14" t="s">
        <v>83</v>
      </c>
      <c r="E14" s="6" t="str">
        <f>INDEX(CaseTypeSetCategory!$B:$B,MATCH($D14,CaseTypeSetCategory!$A:$A,0))</f>
        <v>case_type_set_category1</v>
      </c>
      <c r="G14">
        <v>0</v>
      </c>
    </row>
    <row r="15" spans="1:7" x14ac:dyDescent="0.3">
      <c r="A15" t="s">
        <v>104</v>
      </c>
      <c r="B15" t="s">
        <v>105</v>
      </c>
      <c r="D15" t="s">
        <v>83</v>
      </c>
      <c r="E15" s="6" t="str">
        <f>INDEX(CaseTypeSetCategory!$B:$B,MATCH($D15,CaseTypeSetCategory!$A:$A,0))</f>
        <v>case_type_set_category1</v>
      </c>
      <c r="G15">
        <v>0</v>
      </c>
    </row>
    <row r="16" spans="1:7" x14ac:dyDescent="0.3">
      <c r="A16" t="s">
        <v>106</v>
      </c>
      <c r="B16" t="s">
        <v>107</v>
      </c>
      <c r="D16" t="s">
        <v>83</v>
      </c>
      <c r="E16" s="6" t="str">
        <f>INDEX(CaseTypeSetCategory!$B:$B,MATCH($D16,CaseTypeSetCategory!$A:$A,0))</f>
        <v>case_type_set_category1</v>
      </c>
      <c r="G16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/>
  <dimension ref="A1:H26"/>
  <sheetViews>
    <sheetView workbookViewId="0">
      <selection activeCell="H1" sqref="A1:H26"/>
    </sheetView>
  </sheetViews>
  <sheetFormatPr defaultColWidth="8.77734375" defaultRowHeight="14.4" x14ac:dyDescent="0.3"/>
  <cols>
    <col min="1" max="2" width="35.77734375" bestFit="1" customWidth="1"/>
    <col min="3" max="3" width="20.44140625" style="6" bestFit="1" customWidth="1"/>
    <col min="4" max="4" width="12.6640625" bestFit="1" customWidth="1"/>
    <col min="5" max="5" width="35.44140625" bestFit="1" customWidth="1"/>
    <col min="6" max="6" width="17" style="6" bestFit="1" customWidth="1"/>
    <col min="7" max="7" width="9.109375" bestFit="1" customWidth="1"/>
    <col min="8" max="8" width="9.109375" style="6"/>
  </cols>
  <sheetData>
    <row r="1" spans="1:8" x14ac:dyDescent="0.3">
      <c r="A1" s="1" t="s">
        <v>0</v>
      </c>
      <c r="B1" s="1" t="s">
        <v>58</v>
      </c>
      <c r="C1" s="10" t="s">
        <v>806</v>
      </c>
      <c r="D1" s="1" t="s">
        <v>59</v>
      </c>
      <c r="E1" s="1" t="s">
        <v>138</v>
      </c>
      <c r="F1" s="10" t="s">
        <v>807</v>
      </c>
      <c r="G1" s="1" t="s">
        <v>139</v>
      </c>
      <c r="H1" s="16" t="s">
        <v>284</v>
      </c>
    </row>
    <row r="2" spans="1:8" x14ac:dyDescent="0.3">
      <c r="A2" t="s">
        <v>155</v>
      </c>
      <c r="B2" t="s">
        <v>63</v>
      </c>
      <c r="C2" s="6" t="str">
        <f>INDEX(CaseTypeSet!$B:$B,MATCH($B2,CaseTypeSet!$A:$A,0))</f>
        <v>case_type_set1</v>
      </c>
      <c r="E2" t="s">
        <v>115</v>
      </c>
      <c r="F2" s="6" t="str">
        <f>INDEX(CaseType!$B:$B,MATCH($E2,CaseType!$A:$A,0))</f>
        <v>case_type1</v>
      </c>
      <c r="H2" s="6" t="str">
        <f>$B2&amp;"|"&amp;$E2</f>
        <v>0195d18c-1cb8-5af5-9939-74dc8b5d3b5b|0195d18c-1ca6-fd99-9d76-fcfa0c0cf400</v>
      </c>
    </row>
    <row r="3" spans="1:8" hidden="1" x14ac:dyDescent="0.3">
      <c r="A3" t="s">
        <v>156</v>
      </c>
      <c r="B3" t="s">
        <v>65</v>
      </c>
      <c r="C3" s="6" t="str">
        <f>INDEX(CaseTypeSet!$B:$B,MATCH($B3,CaseTypeSet!$A:$A,0))</f>
        <v>case_type_set2</v>
      </c>
      <c r="E3" t="s">
        <v>119</v>
      </c>
      <c r="F3" s="6" t="str">
        <f>INDEX(CaseType!$B:$B,MATCH($E3,CaseType!$A:$A,0))</f>
        <v>case_type2</v>
      </c>
      <c r="H3"/>
    </row>
    <row r="4" spans="1:8" hidden="1" x14ac:dyDescent="0.3">
      <c r="A4" t="s">
        <v>157</v>
      </c>
      <c r="B4" t="s">
        <v>66</v>
      </c>
      <c r="C4" s="6" t="str">
        <f>INDEX(CaseTypeSet!$B:$B,MATCH($B4,CaseTypeSet!$A:$A,0))</f>
        <v>case_type_set3</v>
      </c>
      <c r="E4" t="s">
        <v>123</v>
      </c>
      <c r="F4" s="6" t="str">
        <f>INDEX(CaseType!$B:$B,MATCH($E4,CaseType!$A:$A,0))</f>
        <v>case_type3</v>
      </c>
      <c r="H4"/>
    </row>
    <row r="5" spans="1:8" hidden="1" x14ac:dyDescent="0.3">
      <c r="A5" t="s">
        <v>158</v>
      </c>
      <c r="B5" t="s">
        <v>67</v>
      </c>
      <c r="C5" s="6" t="str">
        <f>INDEX(CaseTypeSet!$B:$B,MATCH($B5,CaseTypeSet!$A:$A,0))</f>
        <v>case_type_set4</v>
      </c>
      <c r="E5" t="s">
        <v>127</v>
      </c>
      <c r="F5" s="6" t="str">
        <f>INDEX(CaseType!$B:$B,MATCH($E5,CaseType!$A:$A,0))</f>
        <v>case_type4</v>
      </c>
      <c r="H5"/>
    </row>
    <row r="6" spans="1:8" hidden="1" x14ac:dyDescent="0.3">
      <c r="A6" t="s">
        <v>159</v>
      </c>
      <c r="B6" t="s">
        <v>68</v>
      </c>
      <c r="C6" s="6" t="str">
        <f>INDEX(CaseTypeSet!$B:$B,MATCH($B6,CaseTypeSet!$A:$A,0))</f>
        <v>case_type_set5</v>
      </c>
      <c r="E6" t="s">
        <v>131</v>
      </c>
      <c r="F6" s="6" t="str">
        <f>INDEX(CaseType!$B:$B,MATCH($E6,CaseType!$A:$A,0))</f>
        <v>case_type5</v>
      </c>
      <c r="H6"/>
    </row>
    <row r="7" spans="1:8" x14ac:dyDescent="0.3">
      <c r="A7" t="s">
        <v>160</v>
      </c>
      <c r="B7" t="s">
        <v>88</v>
      </c>
      <c r="C7" s="6" t="str">
        <f>INDEX(CaseTypeSet!$B:$B,MATCH($B7,CaseTypeSet!$A:$A,0))</f>
        <v>case_type_set1,2</v>
      </c>
      <c r="E7" t="s">
        <v>115</v>
      </c>
      <c r="F7" s="6" t="str">
        <f>INDEX(CaseType!$B:$B,MATCH($E7,CaseType!$A:$A,0))</f>
        <v>case_type1</v>
      </c>
      <c r="H7" s="6" t="str">
        <f>$B7&amp;"|"&amp;$E7</f>
        <v>0195d18c-1cbb-d7b8-d852-987a801e0ad5|0195d18c-1ca6-fd99-9d76-fcfa0c0cf400</v>
      </c>
    </row>
    <row r="8" spans="1:8" hidden="1" x14ac:dyDescent="0.3">
      <c r="A8" t="s">
        <v>161</v>
      </c>
      <c r="B8" t="s">
        <v>88</v>
      </c>
      <c r="C8" s="6" t="str">
        <f>INDEX(CaseTypeSet!$B:$B,MATCH($B8,CaseTypeSet!$A:$A,0))</f>
        <v>case_type_set1,2</v>
      </c>
      <c r="E8" t="s">
        <v>119</v>
      </c>
      <c r="F8" s="6" t="str">
        <f>INDEX(CaseType!$B:$B,MATCH($E8,CaseType!$A:$A,0))</f>
        <v>case_type2</v>
      </c>
      <c r="H8"/>
    </row>
    <row r="9" spans="1:8" hidden="1" x14ac:dyDescent="0.3">
      <c r="A9" t="s">
        <v>162</v>
      </c>
      <c r="B9" t="s">
        <v>90</v>
      </c>
      <c r="C9" s="6" t="str">
        <f>INDEX(CaseTypeSet!$B:$B,MATCH($B9,CaseTypeSet!$A:$A,0))</f>
        <v>case_type_set1,3</v>
      </c>
      <c r="E9" t="s">
        <v>123</v>
      </c>
      <c r="F9" s="6" t="str">
        <f>INDEX(CaseType!$B:$B,MATCH($E9,CaseType!$A:$A,0))</f>
        <v>case_type3</v>
      </c>
      <c r="H9"/>
    </row>
    <row r="10" spans="1:8" x14ac:dyDescent="0.3">
      <c r="A10" t="s">
        <v>163</v>
      </c>
      <c r="B10" t="s">
        <v>90</v>
      </c>
      <c r="C10" s="6" t="str">
        <f>INDEX(CaseTypeSet!$B:$B,MATCH($B10,CaseTypeSet!$A:$A,0))</f>
        <v>case_type_set1,3</v>
      </c>
      <c r="E10" t="s">
        <v>115</v>
      </c>
      <c r="F10" s="6" t="str">
        <f>INDEX(CaseType!$B:$B,MATCH($E10,CaseType!$A:$A,0))</f>
        <v>case_type1</v>
      </c>
      <c r="H10" s="6" t="str">
        <f t="shared" ref="H10:H11" si="0">$B10&amp;"|"&amp;$E10</f>
        <v>0195d18c-1cbb-5047-ab67-71cb2cb84047|0195d18c-1ca6-fd99-9d76-fcfa0c0cf400</v>
      </c>
    </row>
    <row r="11" spans="1:8" x14ac:dyDescent="0.3">
      <c r="A11" t="s">
        <v>164</v>
      </c>
      <c r="B11" t="s">
        <v>92</v>
      </c>
      <c r="C11" s="6" t="str">
        <f>INDEX(CaseTypeSet!$B:$B,MATCH($B11,CaseTypeSet!$A:$A,0))</f>
        <v>case_type_set1,4</v>
      </c>
      <c r="E11" t="s">
        <v>115</v>
      </c>
      <c r="F11" s="6" t="str">
        <f>INDEX(CaseType!$B:$B,MATCH($E11,CaseType!$A:$A,0))</f>
        <v>case_type1</v>
      </c>
      <c r="H11" s="6" t="str">
        <f t="shared" si="0"/>
        <v>0195d18c-1cbc-41fb-3ad7-2eed31140bd6|0195d18c-1ca6-fd99-9d76-fcfa0c0cf400</v>
      </c>
    </row>
    <row r="12" spans="1:8" hidden="1" x14ac:dyDescent="0.3">
      <c r="A12" t="s">
        <v>165</v>
      </c>
      <c r="B12" t="s">
        <v>92</v>
      </c>
      <c r="C12" s="6" t="str">
        <f>INDEX(CaseTypeSet!$B:$B,MATCH($B12,CaseTypeSet!$A:$A,0))</f>
        <v>case_type_set1,4</v>
      </c>
      <c r="E12" t="s">
        <v>127</v>
      </c>
      <c r="F12" s="6" t="str">
        <f>INDEX(CaseType!$B:$B,MATCH($E12,CaseType!$A:$A,0))</f>
        <v>case_type4</v>
      </c>
      <c r="H12"/>
    </row>
    <row r="13" spans="1:8" hidden="1" x14ac:dyDescent="0.3">
      <c r="A13" t="s">
        <v>166</v>
      </c>
      <c r="B13" t="s">
        <v>94</v>
      </c>
      <c r="C13" s="6" t="str">
        <f>INDEX(CaseTypeSet!$B:$B,MATCH($B13,CaseTypeSet!$A:$A,0))</f>
        <v>case_type_set1,5</v>
      </c>
      <c r="E13" t="s">
        <v>131</v>
      </c>
      <c r="F13" s="6" t="str">
        <f>INDEX(CaseType!$B:$B,MATCH($E13,CaseType!$A:$A,0))</f>
        <v>case_type5</v>
      </c>
      <c r="H13"/>
    </row>
    <row r="14" spans="1:8" x14ac:dyDescent="0.3">
      <c r="A14" t="s">
        <v>167</v>
      </c>
      <c r="B14" t="s">
        <v>94</v>
      </c>
      <c r="C14" s="6" t="str">
        <f>INDEX(CaseTypeSet!$B:$B,MATCH($B14,CaseTypeSet!$A:$A,0))</f>
        <v>case_type_set1,5</v>
      </c>
      <c r="E14" t="s">
        <v>115</v>
      </c>
      <c r="F14" s="6" t="str">
        <f>INDEX(CaseType!$B:$B,MATCH($E14,CaseType!$A:$A,0))</f>
        <v>case_type1</v>
      </c>
      <c r="H14" s="6" t="str">
        <f>$B14&amp;"|"&amp;$E14</f>
        <v>0195d18c-1cbc-cf9a-b28d-bd77d3b30365|0195d18c-1ca6-fd99-9d76-fcfa0c0cf400</v>
      </c>
    </row>
    <row r="15" spans="1:8" hidden="1" x14ac:dyDescent="0.3">
      <c r="A15" t="s">
        <v>168</v>
      </c>
      <c r="B15" t="s">
        <v>96</v>
      </c>
      <c r="C15" s="6" t="str">
        <f>INDEX(CaseTypeSet!$B:$B,MATCH($B15,CaseTypeSet!$A:$A,0))</f>
        <v>case_type_set2,3</v>
      </c>
      <c r="E15" t="s">
        <v>123</v>
      </c>
      <c r="F15" s="6" t="str">
        <f>INDEX(CaseType!$B:$B,MATCH($E15,CaseType!$A:$A,0))</f>
        <v>case_type3</v>
      </c>
      <c r="H15"/>
    </row>
    <row r="16" spans="1:8" hidden="1" x14ac:dyDescent="0.3">
      <c r="A16" t="s">
        <v>169</v>
      </c>
      <c r="B16" t="s">
        <v>96</v>
      </c>
      <c r="C16" s="6" t="str">
        <f>INDEX(CaseTypeSet!$B:$B,MATCH($B16,CaseTypeSet!$A:$A,0))</f>
        <v>case_type_set2,3</v>
      </c>
      <c r="E16" t="s">
        <v>119</v>
      </c>
      <c r="F16" s="6" t="str">
        <f>INDEX(CaseType!$B:$B,MATCH($E16,CaseType!$A:$A,0))</f>
        <v>case_type2</v>
      </c>
      <c r="H16"/>
    </row>
    <row r="17" spans="1:6" customFormat="1" hidden="1" x14ac:dyDescent="0.3">
      <c r="A17" t="s">
        <v>170</v>
      </c>
      <c r="B17" t="s">
        <v>98</v>
      </c>
      <c r="C17" s="6" t="str">
        <f>INDEX(CaseTypeSet!$B:$B,MATCH($B17,CaseTypeSet!$A:$A,0))</f>
        <v>case_type_set2,4</v>
      </c>
      <c r="E17" t="s">
        <v>127</v>
      </c>
      <c r="F17" s="6" t="str">
        <f>INDEX(CaseType!$B:$B,MATCH($E17,CaseType!$A:$A,0))</f>
        <v>case_type4</v>
      </c>
    </row>
    <row r="18" spans="1:6" customFormat="1" hidden="1" x14ac:dyDescent="0.3">
      <c r="A18" t="s">
        <v>171</v>
      </c>
      <c r="B18" t="s">
        <v>98</v>
      </c>
      <c r="C18" s="6" t="str">
        <f>INDEX(CaseTypeSet!$B:$B,MATCH($B18,CaseTypeSet!$A:$A,0))</f>
        <v>case_type_set2,4</v>
      </c>
      <c r="E18" t="s">
        <v>119</v>
      </c>
      <c r="F18" s="6" t="str">
        <f>INDEX(CaseType!$B:$B,MATCH($E18,CaseType!$A:$A,0))</f>
        <v>case_type2</v>
      </c>
    </row>
    <row r="19" spans="1:6" customFormat="1" hidden="1" x14ac:dyDescent="0.3">
      <c r="A19" t="s">
        <v>172</v>
      </c>
      <c r="B19" t="s">
        <v>100</v>
      </c>
      <c r="C19" s="6" t="str">
        <f>INDEX(CaseTypeSet!$B:$B,MATCH($B19,CaseTypeSet!$A:$A,0))</f>
        <v>case_type_set2,5</v>
      </c>
      <c r="E19" t="s">
        <v>131</v>
      </c>
      <c r="F19" s="6" t="str">
        <f>INDEX(CaseType!$B:$B,MATCH($E19,CaseType!$A:$A,0))</f>
        <v>case_type5</v>
      </c>
    </row>
    <row r="20" spans="1:6" customFormat="1" hidden="1" x14ac:dyDescent="0.3">
      <c r="A20" t="s">
        <v>173</v>
      </c>
      <c r="B20" t="s">
        <v>100</v>
      </c>
      <c r="C20" s="6" t="str">
        <f>INDEX(CaseTypeSet!$B:$B,MATCH($B20,CaseTypeSet!$A:$A,0))</f>
        <v>case_type_set2,5</v>
      </c>
      <c r="E20" t="s">
        <v>119</v>
      </c>
      <c r="F20" s="6" t="str">
        <f>INDEX(CaseType!$B:$B,MATCH($E20,CaseType!$A:$A,0))</f>
        <v>case_type2</v>
      </c>
    </row>
    <row r="21" spans="1:6" customFormat="1" hidden="1" x14ac:dyDescent="0.3">
      <c r="A21" t="s">
        <v>174</v>
      </c>
      <c r="B21" t="s">
        <v>102</v>
      </c>
      <c r="C21" s="6" t="str">
        <f>INDEX(CaseTypeSet!$B:$B,MATCH($B21,CaseTypeSet!$A:$A,0))</f>
        <v>case_type_set3,4</v>
      </c>
      <c r="E21" t="s">
        <v>123</v>
      </c>
      <c r="F21" s="6" t="str">
        <f>INDEX(CaseType!$B:$B,MATCH($E21,CaseType!$A:$A,0))</f>
        <v>case_type3</v>
      </c>
    </row>
    <row r="22" spans="1:6" customFormat="1" hidden="1" x14ac:dyDescent="0.3">
      <c r="A22" t="s">
        <v>175</v>
      </c>
      <c r="B22" t="s">
        <v>102</v>
      </c>
      <c r="C22" s="6" t="str">
        <f>INDEX(CaseTypeSet!$B:$B,MATCH($B22,CaseTypeSet!$A:$A,0))</f>
        <v>case_type_set3,4</v>
      </c>
      <c r="E22" t="s">
        <v>127</v>
      </c>
      <c r="F22" s="6" t="str">
        <f>INDEX(CaseType!$B:$B,MATCH($E22,CaseType!$A:$A,0))</f>
        <v>case_type4</v>
      </c>
    </row>
    <row r="23" spans="1:6" customFormat="1" hidden="1" x14ac:dyDescent="0.3">
      <c r="A23" t="s">
        <v>176</v>
      </c>
      <c r="B23" t="s">
        <v>104</v>
      </c>
      <c r="C23" s="6" t="str">
        <f>INDEX(CaseTypeSet!$B:$B,MATCH($B23,CaseTypeSet!$A:$A,0))</f>
        <v>case_type_set3,5</v>
      </c>
      <c r="E23" t="s">
        <v>123</v>
      </c>
      <c r="F23" s="6" t="str">
        <f>INDEX(CaseType!$B:$B,MATCH($E23,CaseType!$A:$A,0))</f>
        <v>case_type3</v>
      </c>
    </row>
    <row r="24" spans="1:6" customFormat="1" hidden="1" x14ac:dyDescent="0.3">
      <c r="A24" t="s">
        <v>177</v>
      </c>
      <c r="B24" t="s">
        <v>104</v>
      </c>
      <c r="C24" s="6" t="str">
        <f>INDEX(CaseTypeSet!$B:$B,MATCH($B24,CaseTypeSet!$A:$A,0))</f>
        <v>case_type_set3,5</v>
      </c>
      <c r="E24" t="s">
        <v>131</v>
      </c>
      <c r="F24" s="6" t="str">
        <f>INDEX(CaseType!$B:$B,MATCH($E24,CaseType!$A:$A,0))</f>
        <v>case_type5</v>
      </c>
    </row>
    <row r="25" spans="1:6" customFormat="1" hidden="1" x14ac:dyDescent="0.3">
      <c r="A25" t="s">
        <v>178</v>
      </c>
      <c r="B25" t="s">
        <v>106</v>
      </c>
      <c r="C25" s="6" t="str">
        <f>INDEX(CaseTypeSet!$B:$B,MATCH($B25,CaseTypeSet!$A:$A,0))</f>
        <v>case_type_set4,5</v>
      </c>
      <c r="E25" t="s">
        <v>131</v>
      </c>
      <c r="F25" s="6" t="str">
        <f>INDEX(CaseType!$B:$B,MATCH($E25,CaseType!$A:$A,0))</f>
        <v>case_type5</v>
      </c>
    </row>
    <row r="26" spans="1:6" customFormat="1" hidden="1" x14ac:dyDescent="0.3">
      <c r="A26" t="s">
        <v>179</v>
      </c>
      <c r="B26" t="s">
        <v>106</v>
      </c>
      <c r="C26" s="6" t="str">
        <f>INDEX(CaseTypeSet!$B:$B,MATCH($B26,CaseTypeSet!$A:$A,0))</f>
        <v>case_type_set4,5</v>
      </c>
      <c r="E26" t="s">
        <v>127</v>
      </c>
      <c r="F26" s="6" t="str">
        <f>INDEX(CaseType!$B:$B,MATCH($E26,CaseType!$A:$A,0))</f>
        <v>case_type4</v>
      </c>
    </row>
  </sheetData>
  <autoFilter ref="A1:G26" xr:uid="{00000000-0001-0000-0B00-000000000000}">
    <filterColumn colId="5">
      <filters>
        <filter val="case_type1"/>
      </filters>
    </filterColumn>
  </autoFilter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61"/>
  <sheetViews>
    <sheetView workbookViewId="0">
      <pane ySplit="1" topLeftCell="A2" activePane="bottomLeft" state="frozen"/>
      <selection pane="bottomLeft" activeCell="D10" sqref="D10"/>
    </sheetView>
  </sheetViews>
  <sheetFormatPr defaultColWidth="8.77734375" defaultRowHeight="14.4" x14ac:dyDescent="0.3"/>
  <cols>
    <col min="1" max="1" width="35.6640625" bestFit="1" customWidth="1"/>
    <col min="2" max="2" width="35.44140625" bestFit="1" customWidth="1"/>
    <col min="3" max="3" width="15.109375" bestFit="1" customWidth="1"/>
    <col min="4" max="4" width="35.33203125" bestFit="1" customWidth="1"/>
    <col min="5" max="5" width="56.33203125" style="6" bestFit="1" customWidth="1"/>
    <col min="6" max="6" width="10" bestFit="1" customWidth="1"/>
    <col min="7" max="7" width="66.88671875" style="6" bestFit="1" customWidth="1"/>
    <col min="8" max="8" width="4.77734375" bestFit="1" customWidth="1"/>
    <col min="9" max="9" width="5.21875" bestFit="1" customWidth="1"/>
    <col min="10" max="10" width="10.6640625" bestFit="1" customWidth="1"/>
    <col min="11" max="11" width="10" bestFit="1" customWidth="1"/>
    <col min="12" max="12" width="10.21875" bestFit="1" customWidth="1"/>
    <col min="13" max="13" width="13.33203125" bestFit="1" customWidth="1"/>
    <col min="14" max="14" width="13.5546875" bestFit="1" customWidth="1"/>
    <col min="15" max="15" width="10.77734375" bestFit="1" customWidth="1"/>
    <col min="16" max="16" width="11.109375" bestFit="1" customWidth="1"/>
    <col min="17" max="17" width="7.33203125" bestFit="1" customWidth="1"/>
    <col min="18" max="18" width="33.21875" bestFit="1" customWidth="1"/>
    <col min="19" max="19" width="20.109375" bestFit="1" customWidth="1"/>
    <col min="20" max="20" width="5.44140625" bestFit="1" customWidth="1"/>
  </cols>
  <sheetData>
    <row r="1" spans="1:20" x14ac:dyDescent="0.3">
      <c r="A1" s="1" t="s">
        <v>0</v>
      </c>
      <c r="B1" s="1" t="s">
        <v>138</v>
      </c>
      <c r="C1" s="1" t="s">
        <v>787</v>
      </c>
      <c r="D1" s="1" t="s">
        <v>140</v>
      </c>
      <c r="E1" s="10" t="s">
        <v>788</v>
      </c>
      <c r="F1" s="1" t="s">
        <v>141</v>
      </c>
      <c r="G1" s="10" t="s">
        <v>142</v>
      </c>
      <c r="H1" s="1" t="s">
        <v>81</v>
      </c>
      <c r="I1" s="1" t="s">
        <v>143</v>
      </c>
      <c r="J1" s="1" t="s">
        <v>78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  <c r="Q1" s="1" t="s">
        <v>150</v>
      </c>
      <c r="R1" s="1" t="s">
        <v>151</v>
      </c>
      <c r="S1" s="1" t="s">
        <v>152</v>
      </c>
      <c r="T1" s="1" t="s">
        <v>153</v>
      </c>
    </row>
    <row r="2" spans="1:20" x14ac:dyDescent="0.3">
      <c r="A2" t="s">
        <v>536</v>
      </c>
      <c r="B2" t="s">
        <v>115</v>
      </c>
      <c r="C2" t="str">
        <f>INDEX(CaseType!$B:$B,MATCH($B2,CaseType!$A:$A,0))</f>
        <v>case_type1</v>
      </c>
      <c r="D2" t="s">
        <v>483</v>
      </c>
      <c r="E2" s="6" t="str">
        <f>INDEX(Col!$O:$O,MATCH($D2,Col!$A:$A,0))</f>
        <v>nominal1_1 (NOMINAL;Nominal_1)</v>
      </c>
      <c r="G2" s="6" t="str">
        <f>$C2&amp;"."&amp;$E2</f>
        <v>case_type1.nominal1_1 (NOMINAL;Nominal_1)</v>
      </c>
      <c r="T2" t="s">
        <v>154</v>
      </c>
    </row>
    <row r="3" spans="1:20" x14ac:dyDescent="0.3">
      <c r="A3" t="s">
        <v>537</v>
      </c>
      <c r="B3" t="s">
        <v>115</v>
      </c>
      <c r="C3" t="str">
        <f>INDEX(CaseType!$B:$B,MATCH($B3,CaseType!$A:$A,0))</f>
        <v>case_type1</v>
      </c>
      <c r="D3" t="s">
        <v>484</v>
      </c>
      <c r="E3" s="6" t="str">
        <f>INDEX(Col!$O:$O,MATCH($D3,Col!$A:$A,0))</f>
        <v>nominal2_1 (NOMINAL;Nominal_2)</v>
      </c>
      <c r="G3" s="6" t="str">
        <f t="shared" ref="G3:G58" si="0">$C3&amp;"."&amp;$E3</f>
        <v>case_type1.nominal2_1 (NOMINAL;Nominal_2)</v>
      </c>
      <c r="T3" t="s">
        <v>154</v>
      </c>
    </row>
    <row r="4" spans="1:20" x14ac:dyDescent="0.3">
      <c r="A4" t="s">
        <v>538</v>
      </c>
      <c r="B4" t="s">
        <v>115</v>
      </c>
      <c r="C4" t="str">
        <f>INDEX(CaseType!$B:$B,MATCH($B4,CaseType!$A:$A,0))</f>
        <v>case_type1</v>
      </c>
      <c r="D4" t="s">
        <v>485</v>
      </c>
      <c r="E4" s="6" t="str">
        <f>INDEX(Col!$O:$O,MATCH($D4,Col!$A:$A,0))</f>
        <v>ordinal1_1 (ORDINAL;Ordinal_1)</v>
      </c>
      <c r="G4" s="6" t="str">
        <f t="shared" si="0"/>
        <v>case_type1.ordinal1_1 (ORDINAL;Ordinal_1)</v>
      </c>
      <c r="T4" t="s">
        <v>154</v>
      </c>
    </row>
    <row r="5" spans="1:20" x14ac:dyDescent="0.3">
      <c r="A5" t="s">
        <v>539</v>
      </c>
      <c r="B5" t="s">
        <v>115</v>
      </c>
      <c r="C5" t="str">
        <f>INDEX(CaseType!$B:$B,MATCH($B5,CaseType!$A:$A,0))</f>
        <v>case_type1</v>
      </c>
      <c r="D5" t="s">
        <v>486</v>
      </c>
      <c r="E5" s="6" t="str">
        <f>INDEX(Col!$O:$O,MATCH($D5,Col!$A:$A,0))</f>
        <v>ordinal2_1 (ORDINAL;Ordinal_2)</v>
      </c>
      <c r="G5" s="6" t="str">
        <f t="shared" si="0"/>
        <v>case_type1.ordinal2_1 (ORDINAL;Ordinal_2)</v>
      </c>
      <c r="T5" t="s">
        <v>154</v>
      </c>
    </row>
    <row r="6" spans="1:20" x14ac:dyDescent="0.3">
      <c r="A6" t="s">
        <v>540</v>
      </c>
      <c r="B6" t="s">
        <v>115</v>
      </c>
      <c r="C6" t="str">
        <f>INDEX(CaseType!$B:$B,MATCH($B6,CaseType!$A:$A,0))</f>
        <v>case_type1</v>
      </c>
      <c r="D6" t="s">
        <v>487</v>
      </c>
      <c r="E6" s="6" t="str">
        <f>INDEX(Col!$O:$O,MATCH($D6,Col!$A:$A,0))</f>
        <v>regex1_1 (REGULAR_LANGUAGE;Regex_1)</v>
      </c>
      <c r="G6" s="6" t="str">
        <f t="shared" si="0"/>
        <v>case_type1.regex1_1 (REGULAR_LANGUAGE;Regex_1)</v>
      </c>
      <c r="T6" t="s">
        <v>154</v>
      </c>
    </row>
    <row r="7" spans="1:20" x14ac:dyDescent="0.3">
      <c r="A7" t="s">
        <v>541</v>
      </c>
      <c r="B7" t="s">
        <v>115</v>
      </c>
      <c r="C7" t="str">
        <f>INDEX(CaseType!$B:$B,MATCH($B7,CaseType!$A:$A,0))</f>
        <v>case_type1</v>
      </c>
      <c r="D7" t="s">
        <v>488</v>
      </c>
      <c r="E7" s="6" t="str">
        <f>INDEX(Col!$O:$O,MATCH($D7,Col!$A:$A,0))</f>
        <v>regex2_1 (REGULAR_LANGUAGE;Regex_2)</v>
      </c>
      <c r="G7" s="6" t="str">
        <f t="shared" si="0"/>
        <v>case_type1.regex2_1 (REGULAR_LANGUAGE;Regex_2)</v>
      </c>
      <c r="T7" t="s">
        <v>154</v>
      </c>
    </row>
    <row r="8" spans="1:20" x14ac:dyDescent="0.3">
      <c r="A8" t="s">
        <v>542</v>
      </c>
      <c r="B8" t="s">
        <v>115</v>
      </c>
      <c r="C8" t="str">
        <f>INDEX(CaseType!$B:$B,MATCH($B8,CaseType!$A:$A,0))</f>
        <v>case_type1</v>
      </c>
      <c r="D8" t="s">
        <v>489</v>
      </c>
      <c r="E8" s="6" t="str">
        <f>INDEX(Col!$O:$O,MATCH($D8,Col!$A:$A,0))</f>
        <v>text1_1 (TEXT)</v>
      </c>
      <c r="G8" s="6" t="str">
        <f t="shared" si="0"/>
        <v>case_type1.text1_1 (TEXT)</v>
      </c>
      <c r="T8" t="s">
        <v>154</v>
      </c>
    </row>
    <row r="9" spans="1:20" x14ac:dyDescent="0.3">
      <c r="A9" t="s">
        <v>543</v>
      </c>
      <c r="B9" t="s">
        <v>115</v>
      </c>
      <c r="C9" t="str">
        <f>INDEX(CaseType!$B:$B,MATCH($B9,CaseType!$A:$A,0))</f>
        <v>case_type1</v>
      </c>
      <c r="D9" t="s">
        <v>490</v>
      </c>
      <c r="E9" s="6" t="str">
        <f>INDEX(Col!$O:$O,MATCH($D9,Col!$A:$A,0))</f>
        <v>text2_1 (TEXT)</v>
      </c>
      <c r="G9" s="6" t="str">
        <f t="shared" si="0"/>
        <v>case_type1.text2_1 (TEXT)</v>
      </c>
      <c r="T9" t="s">
        <v>154</v>
      </c>
    </row>
    <row r="10" spans="1:20" x14ac:dyDescent="0.3">
      <c r="A10" t="s">
        <v>544</v>
      </c>
      <c r="B10" t="s">
        <v>115</v>
      </c>
      <c r="C10" t="str">
        <f>INDEX(CaseType!$B:$B,MATCH($B10,CaseType!$A:$A,0))</f>
        <v>case_type1</v>
      </c>
      <c r="D10" t="s">
        <v>491</v>
      </c>
      <c r="E10" s="6" t="str">
        <f>INDEX(Col!$O:$O,MATCH($D10,Col!$A:$A,0))</f>
        <v>org1_1 (ORGANIZATION)</v>
      </c>
      <c r="G10" s="6" t="str">
        <f t="shared" si="0"/>
        <v>case_type1.org1_1 (ORGANIZATION)</v>
      </c>
      <c r="T10" t="s">
        <v>154</v>
      </c>
    </row>
    <row r="11" spans="1:20" x14ac:dyDescent="0.3">
      <c r="A11" t="s">
        <v>545</v>
      </c>
      <c r="B11" t="s">
        <v>115</v>
      </c>
      <c r="C11" t="str">
        <f>INDEX(CaseType!$B:$B,MATCH($B11,CaseType!$A:$A,0))</f>
        <v>case_type1</v>
      </c>
      <c r="D11" t="s">
        <v>492</v>
      </c>
      <c r="E11" s="6" t="str">
        <f>INDEX(Col!$O:$O,MATCH($D11,Col!$A:$A,0))</f>
        <v>org2_1 (ORGANIZATION)</v>
      </c>
      <c r="G11" s="6" t="str">
        <f t="shared" si="0"/>
        <v>case_type1.org2_1 (ORGANIZATION)</v>
      </c>
      <c r="T11" t="s">
        <v>154</v>
      </c>
    </row>
    <row r="12" spans="1:20" x14ac:dyDescent="0.3">
      <c r="A12" t="s">
        <v>546</v>
      </c>
      <c r="B12" t="s">
        <v>115</v>
      </c>
      <c r="C12" t="str">
        <f>INDEX(CaseType!$B:$B,MATCH($B12,CaseType!$A:$A,0))</f>
        <v>case_type1</v>
      </c>
      <c r="D12" t="s">
        <v>493</v>
      </c>
      <c r="E12" s="6" t="str">
        <f>INDEX(Col!$O:$O,MATCH($D12,Col!$A:$A,0))</f>
        <v>geo1_1 (GEO_REGION;PC_L4)</v>
      </c>
      <c r="G12" s="6" t="str">
        <f t="shared" si="0"/>
        <v>case_type1.geo1_1 (GEO_REGION;PC_L4)</v>
      </c>
      <c r="T12" t="s">
        <v>154</v>
      </c>
    </row>
    <row r="13" spans="1:20" x14ac:dyDescent="0.3">
      <c r="A13" t="s">
        <v>547</v>
      </c>
      <c r="B13" t="s">
        <v>115</v>
      </c>
      <c r="C13" t="str">
        <f>INDEX(CaseType!$B:$B,MATCH($B13,CaseType!$A:$A,0))</f>
        <v>case_type1</v>
      </c>
      <c r="D13" t="s">
        <v>494</v>
      </c>
      <c r="E13" s="6" t="str">
        <f>INDEX(Col!$O:$O,MATCH($D13,Col!$A:$A,0))</f>
        <v>geo1_2 (GEO_REGION;PC_L3)</v>
      </c>
      <c r="G13" s="6" t="str">
        <f t="shared" si="0"/>
        <v>case_type1.geo1_2 (GEO_REGION;PC_L3)</v>
      </c>
      <c r="T13" t="s">
        <v>154</v>
      </c>
    </row>
    <row r="14" spans="1:20" x14ac:dyDescent="0.3">
      <c r="A14" t="s">
        <v>548</v>
      </c>
      <c r="B14" t="s">
        <v>115</v>
      </c>
      <c r="C14" t="str">
        <f>INDEX(CaseType!$B:$B,MATCH($B14,CaseType!$A:$A,0))</f>
        <v>case_type1</v>
      </c>
      <c r="D14" t="s">
        <v>495</v>
      </c>
      <c r="E14" s="6" t="str">
        <f>INDEX(Col!$O:$O,MATCH($D14,Col!$A:$A,0))</f>
        <v>geo1_3 (GEO_REGION;MUN)</v>
      </c>
      <c r="G14" s="6" t="str">
        <f t="shared" si="0"/>
        <v>case_type1.geo1_3 (GEO_REGION;MUN)</v>
      </c>
      <c r="T14" t="s">
        <v>154</v>
      </c>
    </row>
    <row r="15" spans="1:20" x14ac:dyDescent="0.3">
      <c r="A15" t="s">
        <v>549</v>
      </c>
      <c r="B15" t="s">
        <v>115</v>
      </c>
      <c r="C15" t="str">
        <f>INDEX(CaseType!$B:$B,MATCH($B15,CaseType!$A:$A,0))</f>
        <v>case_type1</v>
      </c>
      <c r="D15" t="s">
        <v>496</v>
      </c>
      <c r="E15" s="6" t="str">
        <f>INDEX(Col!$O:$O,MATCH($D15,Col!$A:$A,0))</f>
        <v>geo1_4 (GEO_REGION;PV)</v>
      </c>
      <c r="G15" s="6" t="str">
        <f t="shared" si="0"/>
        <v>case_type1.geo1_4 (GEO_REGION;PV)</v>
      </c>
      <c r="T15" t="s">
        <v>154</v>
      </c>
    </row>
    <row r="16" spans="1:20" x14ac:dyDescent="0.3">
      <c r="A16" t="s">
        <v>550</v>
      </c>
      <c r="B16" t="s">
        <v>115</v>
      </c>
      <c r="C16" t="str">
        <f>INDEX(CaseType!$B:$B,MATCH($B16,CaseType!$A:$A,0))</f>
        <v>case_type1</v>
      </c>
      <c r="D16" t="s">
        <v>497</v>
      </c>
      <c r="E16" s="6" t="str">
        <f>INDEX(Col!$O:$O,MATCH($D16,Col!$A:$A,0))</f>
        <v>geo2_1 (GEO_REGION;PC_L4)</v>
      </c>
      <c r="G16" s="6" t="str">
        <f t="shared" si="0"/>
        <v>case_type1.geo2_1 (GEO_REGION;PC_L4)</v>
      </c>
      <c r="T16" t="s">
        <v>154</v>
      </c>
    </row>
    <row r="17" spans="1:20" x14ac:dyDescent="0.3">
      <c r="A17" t="s">
        <v>551</v>
      </c>
      <c r="B17" t="s">
        <v>115</v>
      </c>
      <c r="C17" t="str">
        <f>INDEX(CaseType!$B:$B,MATCH($B17,CaseType!$A:$A,0))</f>
        <v>case_type1</v>
      </c>
      <c r="D17" t="s">
        <v>498</v>
      </c>
      <c r="E17" s="6" t="str">
        <f>INDEX(Col!$O:$O,MATCH($D17,Col!$A:$A,0))</f>
        <v>geo2_2 (GEO_REGION;PC_L3)</v>
      </c>
      <c r="G17" s="6" t="str">
        <f t="shared" si="0"/>
        <v>case_type1.geo2_2 (GEO_REGION;PC_L3)</v>
      </c>
      <c r="T17" t="s">
        <v>154</v>
      </c>
    </row>
    <row r="18" spans="1:20" x14ac:dyDescent="0.3">
      <c r="A18" t="s">
        <v>552</v>
      </c>
      <c r="B18" t="s">
        <v>115</v>
      </c>
      <c r="C18" t="str">
        <f>INDEX(CaseType!$B:$B,MATCH($B18,CaseType!$A:$A,0))</f>
        <v>case_type1</v>
      </c>
      <c r="D18" t="s">
        <v>499</v>
      </c>
      <c r="E18" s="6" t="str">
        <f>INDEX(Col!$O:$O,MATCH($D18,Col!$A:$A,0))</f>
        <v>geo2_3 (GEO_REGION;MUN)</v>
      </c>
      <c r="G18" s="6" t="str">
        <f t="shared" si="0"/>
        <v>case_type1.geo2_3 (GEO_REGION;MUN)</v>
      </c>
      <c r="T18" t="s">
        <v>154</v>
      </c>
    </row>
    <row r="19" spans="1:20" x14ac:dyDescent="0.3">
      <c r="A19" t="s">
        <v>553</v>
      </c>
      <c r="B19" t="s">
        <v>115</v>
      </c>
      <c r="C19" t="str">
        <f>INDEX(CaseType!$B:$B,MATCH($B19,CaseType!$A:$A,0))</f>
        <v>case_type1</v>
      </c>
      <c r="D19" t="s">
        <v>500</v>
      </c>
      <c r="E19" s="6" t="str">
        <f>INDEX(Col!$O:$O,MATCH($D19,Col!$A:$A,0))</f>
        <v>geo2_4 (GEO_REGION;PV)</v>
      </c>
      <c r="G19" s="6" t="str">
        <f t="shared" si="0"/>
        <v>case_type1.geo2_4 (GEO_REGION;PV)</v>
      </c>
      <c r="T19" t="s">
        <v>154</v>
      </c>
    </row>
    <row r="20" spans="1:20" x14ac:dyDescent="0.3">
      <c r="A20" t="s">
        <v>554</v>
      </c>
      <c r="B20" t="s">
        <v>115</v>
      </c>
      <c r="C20" t="str">
        <f>INDEX(CaseType!$B:$B,MATCH($B20,CaseType!$A:$A,0))</f>
        <v>case_type1</v>
      </c>
      <c r="D20" t="s">
        <v>501</v>
      </c>
      <c r="E20" s="6" t="str">
        <f>INDEX(Col!$O:$O,MATCH($D20,Col!$A:$A,0))</f>
        <v>time1_1 (TIME_DAY)</v>
      </c>
      <c r="G20" s="6" t="str">
        <f t="shared" si="0"/>
        <v>case_type1.time1_1 (TIME_DAY)</v>
      </c>
      <c r="T20" t="s">
        <v>154</v>
      </c>
    </row>
    <row r="21" spans="1:20" x14ac:dyDescent="0.3">
      <c r="A21" t="s">
        <v>555</v>
      </c>
      <c r="B21" t="s">
        <v>115</v>
      </c>
      <c r="C21" t="str">
        <f>INDEX(CaseType!$B:$B,MATCH($B21,CaseType!$A:$A,0))</f>
        <v>case_type1</v>
      </c>
      <c r="D21" t="s">
        <v>502</v>
      </c>
      <c r="E21" s="6" t="str">
        <f>INDEX(Col!$O:$O,MATCH($D21,Col!$A:$A,0))</f>
        <v>time1_2 (TIME_WEEK)</v>
      </c>
      <c r="G21" s="6" t="str">
        <f t="shared" si="0"/>
        <v>case_type1.time1_2 (TIME_WEEK)</v>
      </c>
      <c r="T21" t="s">
        <v>154</v>
      </c>
    </row>
    <row r="22" spans="1:20" x14ac:dyDescent="0.3">
      <c r="A22" t="s">
        <v>556</v>
      </c>
      <c r="B22" t="s">
        <v>115</v>
      </c>
      <c r="C22" t="str">
        <f>INDEX(CaseType!$B:$B,MATCH($B22,CaseType!$A:$A,0))</f>
        <v>case_type1</v>
      </c>
      <c r="D22" t="s">
        <v>503</v>
      </c>
      <c r="E22" s="6" t="str">
        <f>INDEX(Col!$O:$O,MATCH($D22,Col!$A:$A,0))</f>
        <v>time1_3 (TIME_MONTH)</v>
      </c>
      <c r="G22" s="6" t="str">
        <f t="shared" si="0"/>
        <v>case_type1.time1_3 (TIME_MONTH)</v>
      </c>
      <c r="T22" t="s">
        <v>154</v>
      </c>
    </row>
    <row r="23" spans="1:20" x14ac:dyDescent="0.3">
      <c r="A23" t="s">
        <v>557</v>
      </c>
      <c r="B23" t="s">
        <v>115</v>
      </c>
      <c r="C23" t="str">
        <f>INDEX(CaseType!$B:$B,MATCH($B23,CaseType!$A:$A,0))</f>
        <v>case_type1</v>
      </c>
      <c r="D23" t="s">
        <v>504</v>
      </c>
      <c r="E23" s="6" t="str">
        <f>INDEX(Col!$O:$O,MATCH($D23,Col!$A:$A,0))</f>
        <v>time1_4 (TIME_QUARTER)</v>
      </c>
      <c r="G23" s="6" t="str">
        <f t="shared" si="0"/>
        <v>case_type1.time1_4 (TIME_QUARTER)</v>
      </c>
      <c r="T23" t="s">
        <v>154</v>
      </c>
    </row>
    <row r="24" spans="1:20" x14ac:dyDescent="0.3">
      <c r="A24" t="s">
        <v>558</v>
      </c>
      <c r="B24" t="s">
        <v>115</v>
      </c>
      <c r="C24" t="str">
        <f>INDEX(CaseType!$B:$B,MATCH($B24,CaseType!$A:$A,0))</f>
        <v>case_type1</v>
      </c>
      <c r="D24" t="s">
        <v>505</v>
      </c>
      <c r="E24" s="6" t="str">
        <f>INDEX(Col!$O:$O,MATCH($D24,Col!$A:$A,0))</f>
        <v>time1_5 (TIME_YEAR)</v>
      </c>
      <c r="G24" s="6" t="str">
        <f t="shared" si="0"/>
        <v>case_type1.time1_5 (TIME_YEAR)</v>
      </c>
      <c r="T24" t="s">
        <v>154</v>
      </c>
    </row>
    <row r="25" spans="1:20" x14ac:dyDescent="0.3">
      <c r="A25" t="s">
        <v>559</v>
      </c>
      <c r="B25" t="s">
        <v>115</v>
      </c>
      <c r="C25" t="str">
        <f>INDEX(CaseType!$B:$B,MATCH($B25,CaseType!$A:$A,0))</f>
        <v>case_type1</v>
      </c>
      <c r="D25" t="s">
        <v>506</v>
      </c>
      <c r="E25" s="6" t="str">
        <f>INDEX(Col!$O:$O,MATCH($D25,Col!$A:$A,0))</f>
        <v>time2_1 (TIME_DAY)</v>
      </c>
      <c r="G25" s="6" t="str">
        <f t="shared" si="0"/>
        <v>case_type1.time2_1 (TIME_DAY)</v>
      </c>
      <c r="T25" t="s">
        <v>154</v>
      </c>
    </row>
    <row r="26" spans="1:20" x14ac:dyDescent="0.3">
      <c r="A26" t="s">
        <v>560</v>
      </c>
      <c r="B26" t="s">
        <v>115</v>
      </c>
      <c r="C26" t="str">
        <f>INDEX(CaseType!$B:$B,MATCH($B26,CaseType!$A:$A,0))</f>
        <v>case_type1</v>
      </c>
      <c r="D26" t="s">
        <v>507</v>
      </c>
      <c r="E26" s="6" t="str">
        <f>INDEX(Col!$O:$O,MATCH($D26,Col!$A:$A,0))</f>
        <v>time2_2 (TIME_WEEK)</v>
      </c>
      <c r="G26" s="6" t="str">
        <f t="shared" si="0"/>
        <v>case_type1.time2_2 (TIME_WEEK)</v>
      </c>
      <c r="T26" t="s">
        <v>154</v>
      </c>
    </row>
    <row r="27" spans="1:20" x14ac:dyDescent="0.3">
      <c r="A27" t="s">
        <v>561</v>
      </c>
      <c r="B27" t="s">
        <v>115</v>
      </c>
      <c r="C27" t="str">
        <f>INDEX(CaseType!$B:$B,MATCH($B27,CaseType!$A:$A,0))</f>
        <v>case_type1</v>
      </c>
      <c r="D27" t="s">
        <v>508</v>
      </c>
      <c r="E27" s="6" t="str">
        <f>INDEX(Col!$O:$O,MATCH($D27,Col!$A:$A,0))</f>
        <v>time2_3 (TIME_MONTH)</v>
      </c>
      <c r="G27" s="6" t="str">
        <f t="shared" si="0"/>
        <v>case_type1.time2_3 (TIME_MONTH)</v>
      </c>
      <c r="T27" t="s">
        <v>154</v>
      </c>
    </row>
    <row r="28" spans="1:20" x14ac:dyDescent="0.3">
      <c r="A28" t="s">
        <v>562</v>
      </c>
      <c r="B28" t="s">
        <v>115</v>
      </c>
      <c r="C28" t="str">
        <f>INDEX(CaseType!$B:$B,MATCH($B28,CaseType!$A:$A,0))</f>
        <v>case_type1</v>
      </c>
      <c r="D28" t="s">
        <v>509</v>
      </c>
      <c r="E28" s="6" t="str">
        <f>INDEX(Col!$O:$O,MATCH($D28,Col!$A:$A,0))</f>
        <v>time2_4 (TIME_QUARTER)</v>
      </c>
      <c r="G28" s="6" t="str">
        <f t="shared" si="0"/>
        <v>case_type1.time2_4 (TIME_QUARTER)</v>
      </c>
      <c r="T28" t="s">
        <v>154</v>
      </c>
    </row>
    <row r="29" spans="1:20" x14ac:dyDescent="0.3">
      <c r="A29" t="s">
        <v>563</v>
      </c>
      <c r="B29" t="s">
        <v>115</v>
      </c>
      <c r="C29" t="str">
        <f>INDEX(CaseType!$B:$B,MATCH($B29,CaseType!$A:$A,0))</f>
        <v>case_type1</v>
      </c>
      <c r="D29" t="s">
        <v>510</v>
      </c>
      <c r="E29" s="6" t="str">
        <f>INDEX(Col!$O:$O,MATCH($D29,Col!$A:$A,0))</f>
        <v>time2_5 (TIME_YEAR)</v>
      </c>
      <c r="G29" s="6" t="str">
        <f t="shared" si="0"/>
        <v>case_type1.time2_5 (TIME_YEAR)</v>
      </c>
      <c r="T29" t="s">
        <v>154</v>
      </c>
    </row>
    <row r="30" spans="1:20" x14ac:dyDescent="0.3">
      <c r="A30" t="s">
        <v>564</v>
      </c>
      <c r="B30" t="s">
        <v>115</v>
      </c>
      <c r="C30" t="str">
        <f>INDEX(CaseType!$B:$B,MATCH($B30,CaseType!$A:$A,0))</f>
        <v>case_type1</v>
      </c>
      <c r="D30" t="s">
        <v>511</v>
      </c>
      <c r="E30" s="6" t="str">
        <f>INDEX(Col!$O:$O,MATCH($D30,Col!$A:$A,0))</f>
        <v>id1_1 (ID_PSEUDONYMISED)</v>
      </c>
      <c r="G30" s="6" t="str">
        <f t="shared" si="0"/>
        <v>case_type1.id1_1 (ID_PSEUDONYMISED)</v>
      </c>
      <c r="T30" t="s">
        <v>154</v>
      </c>
    </row>
    <row r="31" spans="1:20" x14ac:dyDescent="0.3">
      <c r="A31" t="s">
        <v>565</v>
      </c>
      <c r="B31" t="s">
        <v>115</v>
      </c>
      <c r="C31" t="str">
        <f>INDEX(CaseType!$B:$B,MATCH($B31,CaseType!$A:$A,0))</f>
        <v>case_type1</v>
      </c>
      <c r="D31" t="s">
        <v>512</v>
      </c>
      <c r="E31" s="6" t="str">
        <f>INDEX(Col!$O:$O,MATCH($D31,Col!$A:$A,0))</f>
        <v>id2_1 (ID_PSEUDONYMISED)</v>
      </c>
      <c r="G31" s="6" t="str">
        <f t="shared" si="0"/>
        <v>case_type1.id2_1 (ID_PSEUDONYMISED)</v>
      </c>
      <c r="T31" t="s">
        <v>154</v>
      </c>
    </row>
    <row r="32" spans="1:20" x14ac:dyDescent="0.3">
      <c r="A32" t="s">
        <v>566</v>
      </c>
      <c r="B32" t="s">
        <v>115</v>
      </c>
      <c r="C32" t="str">
        <f>INDEX(CaseType!$B:$B,MATCH($B32,CaseType!$A:$A,0))</f>
        <v>case_type1</v>
      </c>
      <c r="D32" t="s">
        <v>513</v>
      </c>
      <c r="E32" s="6" t="str">
        <f>INDEX(Col!$O:$O,MATCH($D32,Col!$A:$A,0))</f>
        <v>number1_1 (DECIMAL_0)</v>
      </c>
      <c r="G32" s="6" t="str">
        <f t="shared" si="0"/>
        <v>case_type1.number1_1 (DECIMAL_0)</v>
      </c>
      <c r="T32" t="s">
        <v>154</v>
      </c>
    </row>
    <row r="33" spans="1:20" x14ac:dyDescent="0.3">
      <c r="A33" t="s">
        <v>567</v>
      </c>
      <c r="B33" t="s">
        <v>115</v>
      </c>
      <c r="C33" t="str">
        <f>INDEX(CaseType!$B:$B,MATCH($B33,CaseType!$A:$A,0))</f>
        <v>case_type1</v>
      </c>
      <c r="D33" t="s">
        <v>524</v>
      </c>
      <c r="E33" s="6" t="str">
        <f>INDEX(Col!$O:$O,MATCH($D33,Col!$A:$A,0))</f>
        <v>number1_1 (INTERVAL;Age in years, intervals 0, 5, 15, 25, 45, 65)</v>
      </c>
      <c r="G33" s="6" t="str">
        <f t="shared" si="0"/>
        <v>case_type1.number1_1 (INTERVAL;Age in years, intervals 0, 5, 15, 25, 45, 65)</v>
      </c>
      <c r="T33" t="s">
        <v>154</v>
      </c>
    </row>
    <row r="34" spans="1:20" x14ac:dyDescent="0.3">
      <c r="A34" t="s">
        <v>568</v>
      </c>
      <c r="B34" t="s">
        <v>115</v>
      </c>
      <c r="C34" t="str">
        <f>INDEX(CaseType!$B:$B,MATCH($B34,CaseType!$A:$A,0))</f>
        <v>case_type1</v>
      </c>
      <c r="D34" t="s">
        <v>525</v>
      </c>
      <c r="E34" s="6" t="str">
        <f>INDEX(Col!$O:$O,MATCH($D34,Col!$A:$A,0))</f>
        <v>number1_1 (INTERVAL;Age in years, intervals 0, 5, 19, 65)</v>
      </c>
      <c r="G34" s="6" t="str">
        <f t="shared" si="0"/>
        <v>case_type1.number1_1 (INTERVAL;Age in years, intervals 0, 5, 19, 65)</v>
      </c>
      <c r="T34" t="s">
        <v>154</v>
      </c>
    </row>
    <row r="35" spans="1:20" x14ac:dyDescent="0.3">
      <c r="A35" t="s">
        <v>569</v>
      </c>
      <c r="B35" t="s">
        <v>115</v>
      </c>
      <c r="C35" t="str">
        <f>INDEX(CaseType!$B:$B,MATCH($B35,CaseType!$A:$A,0))</f>
        <v>case_type1</v>
      </c>
      <c r="D35" t="s">
        <v>514</v>
      </c>
      <c r="E35" s="6" t="str">
        <f>INDEX(Col!$O:$O,MATCH($D35,Col!$A:$A,0))</f>
        <v>number2_1 (DECIMAL_2)</v>
      </c>
      <c r="G35" s="6" t="str">
        <f t="shared" si="0"/>
        <v>case_type1.number2_1 (DECIMAL_2)</v>
      </c>
      <c r="T35" t="s">
        <v>154</v>
      </c>
    </row>
    <row r="36" spans="1:20" x14ac:dyDescent="0.3">
      <c r="A36" t="s">
        <v>570</v>
      </c>
      <c r="B36" t="s">
        <v>115</v>
      </c>
      <c r="C36" t="str">
        <f>INDEX(CaseType!$B:$B,MATCH($B36,CaseType!$A:$A,0))</f>
        <v>case_type1</v>
      </c>
      <c r="D36" t="s">
        <v>526</v>
      </c>
      <c r="E36" s="6" t="str">
        <f>INDEX(Col!$O:$O,MATCH($D36,Col!$A:$A,0))</f>
        <v>number2_1 (INTERVAL;Age in months, intervals 0, 1, 2, 3)</v>
      </c>
      <c r="G36" s="6" t="str">
        <f t="shared" si="0"/>
        <v>case_type1.number2_1 (INTERVAL;Age in months, intervals 0, 1, 2, 3)</v>
      </c>
      <c r="T36" t="s">
        <v>154</v>
      </c>
    </row>
    <row r="37" spans="1:20" x14ac:dyDescent="0.3">
      <c r="A37" t="s">
        <v>571</v>
      </c>
      <c r="B37" t="s">
        <v>115</v>
      </c>
      <c r="C37" t="str">
        <f>INDEX(CaseType!$B:$B,MATCH($B37,CaseType!$A:$A,0))</f>
        <v>case_type1</v>
      </c>
      <c r="D37" t="s">
        <v>527</v>
      </c>
      <c r="E37" s="6" t="str">
        <f>INDEX(Col!$O:$O,MATCH($D37,Col!$A:$A,0))</f>
        <v>number2_1 (INTERVAL;Age in years, intervals 0, 15, 25, 35, 45)</v>
      </c>
      <c r="G37" s="6" t="str">
        <f t="shared" si="0"/>
        <v>case_type1.number2_1 (INTERVAL;Age in years, intervals 0, 15, 25, 35, 45)</v>
      </c>
      <c r="T37" t="s">
        <v>154</v>
      </c>
    </row>
    <row r="38" spans="1:20" x14ac:dyDescent="0.3">
      <c r="A38" t="s">
        <v>572</v>
      </c>
      <c r="B38" t="s">
        <v>115</v>
      </c>
      <c r="C38" t="str">
        <f>INDEX(CaseType!$B:$B,MATCH($B38,CaseType!$A:$A,0))</f>
        <v>case_type1</v>
      </c>
      <c r="D38" t="s">
        <v>515</v>
      </c>
      <c r="E38" s="6" t="str">
        <f>INDEX(Col!$O:$O,MATCH($D38,Col!$A:$A,0))</f>
        <v>other1_1 (OTHER)</v>
      </c>
      <c r="G38" s="6" t="str">
        <f t="shared" si="0"/>
        <v>case_type1.other1_1 (OTHER)</v>
      </c>
      <c r="T38" t="s">
        <v>154</v>
      </c>
    </row>
    <row r="39" spans="1:20" x14ac:dyDescent="0.3">
      <c r="A39" t="s">
        <v>573</v>
      </c>
      <c r="B39" t="s">
        <v>115</v>
      </c>
      <c r="C39" t="str">
        <f>INDEX(CaseType!$B:$B,MATCH($B39,CaseType!$A:$A,0))</f>
        <v>case_type1</v>
      </c>
      <c r="D39" t="s">
        <v>516</v>
      </c>
      <c r="E39" s="6" t="str">
        <f>INDEX(Col!$O:$O,MATCH($D39,Col!$A:$A,0))</f>
        <v>other2_1 (OTHER)</v>
      </c>
      <c r="G39" s="6" t="str">
        <f t="shared" si="0"/>
        <v>case_type1.other2_1 (OTHER)</v>
      </c>
      <c r="T39" t="s">
        <v>154</v>
      </c>
    </row>
    <row r="40" spans="1:20" x14ac:dyDescent="0.3">
      <c r="A40" t="s">
        <v>574</v>
      </c>
      <c r="B40" t="s">
        <v>119</v>
      </c>
      <c r="C40" t="str">
        <f>INDEX(CaseType!$B:$B,MATCH($B40,CaseType!$A:$A,0))</f>
        <v>case_type2</v>
      </c>
      <c r="D40" t="s">
        <v>483</v>
      </c>
      <c r="E40" s="6" t="str">
        <f>INDEX(Col!$O:$O,MATCH($D40,Col!$A:$A,0))</f>
        <v>nominal1_1 (NOMINAL;Nominal_1)</v>
      </c>
      <c r="G40" s="6" t="str">
        <f t="shared" si="0"/>
        <v>case_type2.nominal1_1 (NOMINAL;Nominal_1)</v>
      </c>
      <c r="T40" t="s">
        <v>154</v>
      </c>
    </row>
    <row r="41" spans="1:20" x14ac:dyDescent="0.3">
      <c r="A41" t="s">
        <v>575</v>
      </c>
      <c r="B41" t="s">
        <v>119</v>
      </c>
      <c r="C41" t="str">
        <f>INDEX(CaseType!$B:$B,MATCH($B41,CaseType!$A:$A,0))</f>
        <v>case_type2</v>
      </c>
      <c r="D41" t="s">
        <v>485</v>
      </c>
      <c r="E41" s="6" t="str">
        <f>INDEX(Col!$O:$O,MATCH($D41,Col!$A:$A,0))</f>
        <v>ordinal1_1 (ORDINAL;Ordinal_1)</v>
      </c>
      <c r="G41" s="6" t="str">
        <f t="shared" si="0"/>
        <v>case_type2.ordinal1_1 (ORDINAL;Ordinal_1)</v>
      </c>
      <c r="T41" t="s">
        <v>154</v>
      </c>
    </row>
    <row r="42" spans="1:20" x14ac:dyDescent="0.3">
      <c r="A42" t="s">
        <v>576</v>
      </c>
      <c r="B42" t="s">
        <v>119</v>
      </c>
      <c r="C42" t="str">
        <f>INDEX(CaseType!$B:$B,MATCH($B42,CaseType!$A:$A,0))</f>
        <v>case_type2</v>
      </c>
      <c r="D42" t="s">
        <v>487</v>
      </c>
      <c r="E42" s="6" t="str">
        <f>INDEX(Col!$O:$O,MATCH($D42,Col!$A:$A,0))</f>
        <v>regex1_1 (REGULAR_LANGUAGE;Regex_1)</v>
      </c>
      <c r="G42" s="6" t="str">
        <f t="shared" si="0"/>
        <v>case_type2.regex1_1 (REGULAR_LANGUAGE;Regex_1)</v>
      </c>
      <c r="T42" t="s">
        <v>154</v>
      </c>
    </row>
    <row r="43" spans="1:20" x14ac:dyDescent="0.3">
      <c r="A43" t="s">
        <v>577</v>
      </c>
      <c r="B43" t="s">
        <v>119</v>
      </c>
      <c r="C43" t="str">
        <f>INDEX(CaseType!$B:$B,MATCH($B43,CaseType!$A:$A,0))</f>
        <v>case_type2</v>
      </c>
      <c r="D43" t="s">
        <v>489</v>
      </c>
      <c r="E43" s="6" t="str">
        <f>INDEX(Col!$O:$O,MATCH($D43,Col!$A:$A,0))</f>
        <v>text1_1 (TEXT)</v>
      </c>
      <c r="G43" s="6" t="str">
        <f t="shared" si="0"/>
        <v>case_type2.text1_1 (TEXT)</v>
      </c>
      <c r="T43" t="s">
        <v>154</v>
      </c>
    </row>
    <row r="44" spans="1:20" x14ac:dyDescent="0.3">
      <c r="A44" t="s">
        <v>578</v>
      </c>
      <c r="B44" t="s">
        <v>119</v>
      </c>
      <c r="C44" t="str">
        <f>INDEX(CaseType!$B:$B,MATCH($B44,CaseType!$A:$A,0))</f>
        <v>case_type2</v>
      </c>
      <c r="D44" t="s">
        <v>491</v>
      </c>
      <c r="E44" s="6" t="str">
        <f>INDEX(Col!$O:$O,MATCH($D44,Col!$A:$A,0))</f>
        <v>org1_1 (ORGANIZATION)</v>
      </c>
      <c r="G44" s="6" t="str">
        <f t="shared" si="0"/>
        <v>case_type2.org1_1 (ORGANIZATION)</v>
      </c>
      <c r="T44" t="s">
        <v>154</v>
      </c>
    </row>
    <row r="45" spans="1:20" x14ac:dyDescent="0.3">
      <c r="A45" t="s">
        <v>579</v>
      </c>
      <c r="B45" t="s">
        <v>119</v>
      </c>
      <c r="C45" t="str">
        <f>INDEX(CaseType!$B:$B,MATCH($B45,CaseType!$A:$A,0))</f>
        <v>case_type2</v>
      </c>
      <c r="D45" t="s">
        <v>493</v>
      </c>
      <c r="E45" s="6" t="str">
        <f>INDEX(Col!$O:$O,MATCH($D45,Col!$A:$A,0))</f>
        <v>geo1_1 (GEO_REGION;PC_L4)</v>
      </c>
      <c r="G45" s="6" t="str">
        <f t="shared" si="0"/>
        <v>case_type2.geo1_1 (GEO_REGION;PC_L4)</v>
      </c>
      <c r="T45" t="s">
        <v>154</v>
      </c>
    </row>
    <row r="46" spans="1:20" x14ac:dyDescent="0.3">
      <c r="A46" t="s">
        <v>580</v>
      </c>
      <c r="B46" t="s">
        <v>119</v>
      </c>
      <c r="C46" t="str">
        <f>INDEX(CaseType!$B:$B,MATCH($B46,CaseType!$A:$A,0))</f>
        <v>case_type2</v>
      </c>
      <c r="D46" t="s">
        <v>494</v>
      </c>
      <c r="E46" s="6" t="str">
        <f>INDEX(Col!$O:$O,MATCH($D46,Col!$A:$A,0))</f>
        <v>geo1_2 (GEO_REGION;PC_L3)</v>
      </c>
      <c r="G46" s="6" t="str">
        <f t="shared" si="0"/>
        <v>case_type2.geo1_2 (GEO_REGION;PC_L3)</v>
      </c>
      <c r="T46" t="s">
        <v>154</v>
      </c>
    </row>
    <row r="47" spans="1:20" x14ac:dyDescent="0.3">
      <c r="A47" t="s">
        <v>581</v>
      </c>
      <c r="B47" t="s">
        <v>119</v>
      </c>
      <c r="C47" t="str">
        <f>INDEX(CaseType!$B:$B,MATCH($B47,CaseType!$A:$A,0))</f>
        <v>case_type2</v>
      </c>
      <c r="D47" t="s">
        <v>495</v>
      </c>
      <c r="E47" s="6" t="str">
        <f>INDEX(Col!$O:$O,MATCH($D47,Col!$A:$A,0))</f>
        <v>geo1_3 (GEO_REGION;MUN)</v>
      </c>
      <c r="G47" s="6" t="str">
        <f t="shared" si="0"/>
        <v>case_type2.geo1_3 (GEO_REGION;MUN)</v>
      </c>
      <c r="T47" t="s">
        <v>154</v>
      </c>
    </row>
    <row r="48" spans="1:20" x14ac:dyDescent="0.3">
      <c r="A48" t="s">
        <v>582</v>
      </c>
      <c r="B48" t="s">
        <v>119</v>
      </c>
      <c r="C48" t="str">
        <f>INDEX(CaseType!$B:$B,MATCH($B48,CaseType!$A:$A,0))</f>
        <v>case_type2</v>
      </c>
      <c r="D48" t="s">
        <v>496</v>
      </c>
      <c r="E48" s="6" t="str">
        <f>INDEX(Col!$O:$O,MATCH($D48,Col!$A:$A,0))</f>
        <v>geo1_4 (GEO_REGION;PV)</v>
      </c>
      <c r="G48" s="6" t="str">
        <f t="shared" si="0"/>
        <v>case_type2.geo1_4 (GEO_REGION;PV)</v>
      </c>
      <c r="T48" t="s">
        <v>154</v>
      </c>
    </row>
    <row r="49" spans="1:20" x14ac:dyDescent="0.3">
      <c r="A49" t="s">
        <v>583</v>
      </c>
      <c r="B49" t="s">
        <v>119</v>
      </c>
      <c r="C49" t="str">
        <f>INDEX(CaseType!$B:$B,MATCH($B49,CaseType!$A:$A,0))</f>
        <v>case_type2</v>
      </c>
      <c r="D49" t="s">
        <v>501</v>
      </c>
      <c r="E49" s="6" t="str">
        <f>INDEX(Col!$O:$O,MATCH($D49,Col!$A:$A,0))</f>
        <v>time1_1 (TIME_DAY)</v>
      </c>
      <c r="G49" s="6" t="str">
        <f t="shared" si="0"/>
        <v>case_type2.time1_1 (TIME_DAY)</v>
      </c>
      <c r="T49" t="s">
        <v>154</v>
      </c>
    </row>
    <row r="50" spans="1:20" x14ac:dyDescent="0.3">
      <c r="A50" t="s">
        <v>584</v>
      </c>
      <c r="B50" t="s">
        <v>119</v>
      </c>
      <c r="C50" t="str">
        <f>INDEX(CaseType!$B:$B,MATCH($B50,CaseType!$A:$A,0))</f>
        <v>case_type2</v>
      </c>
      <c r="D50" t="s">
        <v>502</v>
      </c>
      <c r="E50" s="6" t="str">
        <f>INDEX(Col!$O:$O,MATCH($D50,Col!$A:$A,0))</f>
        <v>time1_2 (TIME_WEEK)</v>
      </c>
      <c r="G50" s="6" t="str">
        <f t="shared" si="0"/>
        <v>case_type2.time1_2 (TIME_WEEK)</v>
      </c>
      <c r="T50" t="s">
        <v>154</v>
      </c>
    </row>
    <row r="51" spans="1:20" x14ac:dyDescent="0.3">
      <c r="A51" t="s">
        <v>585</v>
      </c>
      <c r="B51" t="s">
        <v>119</v>
      </c>
      <c r="C51" t="str">
        <f>INDEX(CaseType!$B:$B,MATCH($B51,CaseType!$A:$A,0))</f>
        <v>case_type2</v>
      </c>
      <c r="D51" t="s">
        <v>503</v>
      </c>
      <c r="E51" s="6" t="str">
        <f>INDEX(Col!$O:$O,MATCH($D51,Col!$A:$A,0))</f>
        <v>time1_3 (TIME_MONTH)</v>
      </c>
      <c r="G51" s="6" t="str">
        <f t="shared" si="0"/>
        <v>case_type2.time1_3 (TIME_MONTH)</v>
      </c>
      <c r="T51" t="s">
        <v>154</v>
      </c>
    </row>
    <row r="52" spans="1:20" x14ac:dyDescent="0.3">
      <c r="A52" t="s">
        <v>586</v>
      </c>
      <c r="B52" t="s">
        <v>119</v>
      </c>
      <c r="C52" t="str">
        <f>INDEX(CaseType!$B:$B,MATCH($B52,CaseType!$A:$A,0))</f>
        <v>case_type2</v>
      </c>
      <c r="D52" t="s">
        <v>504</v>
      </c>
      <c r="E52" s="6" t="str">
        <f>INDEX(Col!$O:$O,MATCH($D52,Col!$A:$A,0))</f>
        <v>time1_4 (TIME_QUARTER)</v>
      </c>
      <c r="G52" s="6" t="str">
        <f t="shared" si="0"/>
        <v>case_type2.time1_4 (TIME_QUARTER)</v>
      </c>
      <c r="T52" t="s">
        <v>154</v>
      </c>
    </row>
    <row r="53" spans="1:20" x14ac:dyDescent="0.3">
      <c r="A53" t="s">
        <v>587</v>
      </c>
      <c r="B53" t="s">
        <v>119</v>
      </c>
      <c r="C53" t="str">
        <f>INDEX(CaseType!$B:$B,MATCH($B53,CaseType!$A:$A,0))</f>
        <v>case_type2</v>
      </c>
      <c r="D53" t="s">
        <v>505</v>
      </c>
      <c r="E53" s="6" t="str">
        <f>INDEX(Col!$O:$O,MATCH($D53,Col!$A:$A,0))</f>
        <v>time1_5 (TIME_YEAR)</v>
      </c>
      <c r="G53" s="6" t="str">
        <f t="shared" si="0"/>
        <v>case_type2.time1_5 (TIME_YEAR)</v>
      </c>
      <c r="T53" t="s">
        <v>154</v>
      </c>
    </row>
    <row r="54" spans="1:20" x14ac:dyDescent="0.3">
      <c r="A54" t="s">
        <v>588</v>
      </c>
      <c r="B54" t="s">
        <v>119</v>
      </c>
      <c r="C54" t="str">
        <f>INDEX(CaseType!$B:$B,MATCH($B54,CaseType!$A:$A,0))</f>
        <v>case_type2</v>
      </c>
      <c r="D54" t="s">
        <v>511</v>
      </c>
      <c r="E54" s="6" t="str">
        <f>INDEX(Col!$O:$O,MATCH($D54,Col!$A:$A,0))</f>
        <v>id1_1 (ID_PSEUDONYMISED)</v>
      </c>
      <c r="G54" s="6" t="str">
        <f t="shared" si="0"/>
        <v>case_type2.id1_1 (ID_PSEUDONYMISED)</v>
      </c>
      <c r="T54" t="s">
        <v>154</v>
      </c>
    </row>
    <row r="55" spans="1:20" x14ac:dyDescent="0.3">
      <c r="A55" t="s">
        <v>589</v>
      </c>
      <c r="B55" t="s">
        <v>119</v>
      </c>
      <c r="C55" t="str">
        <f>INDEX(CaseType!$B:$B,MATCH($B55,CaseType!$A:$A,0))</f>
        <v>case_type2</v>
      </c>
      <c r="D55" t="s">
        <v>513</v>
      </c>
      <c r="E55" s="6" t="str">
        <f>INDEX(Col!$O:$O,MATCH($D55,Col!$A:$A,0))</f>
        <v>number1_1 (DECIMAL_0)</v>
      </c>
      <c r="G55" s="6" t="str">
        <f t="shared" si="0"/>
        <v>case_type2.number1_1 (DECIMAL_0)</v>
      </c>
      <c r="T55" t="s">
        <v>154</v>
      </c>
    </row>
    <row r="56" spans="1:20" x14ac:dyDescent="0.3">
      <c r="A56" t="s">
        <v>590</v>
      </c>
      <c r="B56" t="s">
        <v>119</v>
      </c>
      <c r="C56" t="str">
        <f>INDEX(CaseType!$B:$B,MATCH($B56,CaseType!$A:$A,0))</f>
        <v>case_type2</v>
      </c>
      <c r="D56" t="s">
        <v>524</v>
      </c>
      <c r="E56" s="6" t="str">
        <f>INDEX(Col!$O:$O,MATCH($D56,Col!$A:$A,0))</f>
        <v>number1_1 (INTERVAL;Age in years, intervals 0, 5, 15, 25, 45, 65)</v>
      </c>
      <c r="G56" s="6" t="str">
        <f t="shared" si="0"/>
        <v>case_type2.number1_1 (INTERVAL;Age in years, intervals 0, 5, 15, 25, 45, 65)</v>
      </c>
      <c r="T56" t="s">
        <v>154</v>
      </c>
    </row>
    <row r="57" spans="1:20" x14ac:dyDescent="0.3">
      <c r="A57" t="s">
        <v>591</v>
      </c>
      <c r="B57" t="s">
        <v>119</v>
      </c>
      <c r="C57" t="str">
        <f>INDEX(CaseType!$B:$B,MATCH($B57,CaseType!$A:$A,0))</f>
        <v>case_type2</v>
      </c>
      <c r="D57" t="s">
        <v>525</v>
      </c>
      <c r="E57" s="6" t="str">
        <f>INDEX(Col!$O:$O,MATCH($D57,Col!$A:$A,0))</f>
        <v>number1_1 (INTERVAL;Age in years, intervals 0, 5, 19, 65)</v>
      </c>
      <c r="G57" s="6" t="str">
        <f t="shared" si="0"/>
        <v>case_type2.number1_1 (INTERVAL;Age in years, intervals 0, 5, 19, 65)</v>
      </c>
      <c r="T57" t="s">
        <v>154</v>
      </c>
    </row>
    <row r="58" spans="1:20" x14ac:dyDescent="0.3">
      <c r="A58" t="s">
        <v>592</v>
      </c>
      <c r="B58" t="s">
        <v>119</v>
      </c>
      <c r="C58" t="str">
        <f>INDEX(CaseType!$B:$B,MATCH($B58,CaseType!$A:$A,0))</f>
        <v>case_type2</v>
      </c>
      <c r="D58" t="s">
        <v>515</v>
      </c>
      <c r="E58" s="6" t="str">
        <f>INDEX(Col!$O:$O,MATCH($D58,Col!$A:$A,0))</f>
        <v>other1_1 (OTHER)</v>
      </c>
      <c r="G58" s="6" t="str">
        <f t="shared" si="0"/>
        <v>case_type2.other1_1 (OTHER)</v>
      </c>
      <c r="T58" t="s">
        <v>154</v>
      </c>
    </row>
    <row r="59" spans="1:20" x14ac:dyDescent="0.3">
      <c r="A59" t="s">
        <v>856</v>
      </c>
      <c r="B59" t="s">
        <v>123</v>
      </c>
      <c r="C59" t="str">
        <f>INDEX(CaseType!$B:$B,MATCH($B59,CaseType!$A:$A,0))</f>
        <v>case_type3</v>
      </c>
      <c r="D59" t="s">
        <v>483</v>
      </c>
      <c r="E59" s="6" t="str">
        <f>INDEX(Col!$O:$O,MATCH($D59,Col!$A:$A,0))</f>
        <v>nominal1_1 (NOMINAL;Nominal_1)</v>
      </c>
      <c r="G59" s="6" t="str">
        <f>$C59&amp;"."&amp;$E59</f>
        <v>case_type3.nominal1_1 (NOMINAL;Nominal_1)</v>
      </c>
      <c r="T59" t="s">
        <v>154</v>
      </c>
    </row>
    <row r="60" spans="1:20" x14ac:dyDescent="0.3">
      <c r="A60" t="s">
        <v>857</v>
      </c>
      <c r="B60" t="s">
        <v>127</v>
      </c>
      <c r="C60" t="str">
        <f>INDEX(CaseType!$B:$B,MATCH($B60,CaseType!$A:$A,0))</f>
        <v>case_type4</v>
      </c>
      <c r="D60" t="s">
        <v>483</v>
      </c>
      <c r="E60" s="6" t="str">
        <f>INDEX(Col!$O:$O,MATCH($D60,Col!$A:$A,0))</f>
        <v>nominal1_1 (NOMINAL;Nominal_1)</v>
      </c>
      <c r="G60" s="6" t="str">
        <f>$C60&amp;"."&amp;$E60</f>
        <v>case_type4.nominal1_1 (NOMINAL;Nominal_1)</v>
      </c>
      <c r="T60" t="s">
        <v>154</v>
      </c>
    </row>
    <row r="61" spans="1:20" x14ac:dyDescent="0.3">
      <c r="A61" t="s">
        <v>858</v>
      </c>
      <c r="B61" t="s">
        <v>131</v>
      </c>
      <c r="C61" t="str">
        <f>INDEX(CaseType!$B:$B,MATCH($B61,CaseType!$A:$A,0))</f>
        <v>case_type5</v>
      </c>
      <c r="D61" t="s">
        <v>483</v>
      </c>
      <c r="E61" s="6" t="str">
        <f>INDEX(Col!$O:$O,MATCH($D61,Col!$A:$A,0))</f>
        <v>nominal1_1 (NOMINAL;Nominal_1)</v>
      </c>
      <c r="G61" s="6" t="str">
        <f>$C61&amp;"."&amp;$E61</f>
        <v>case_type5.nominal1_1 (NOMINAL;Nominal_1)</v>
      </c>
      <c r="T61" t="s">
        <v>154</v>
      </c>
    </row>
  </sheetData>
  <autoFilter ref="A1:T58" xr:uid="{00000000-0001-0000-0A00-000000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C7C33-6768-4AAE-A57E-F80585DED472}">
  <dimension ref="A1:Y33"/>
  <sheetViews>
    <sheetView zoomScale="110" zoomScaleNormal="110" workbookViewId="0">
      <pane ySplit="1" topLeftCell="A2" activePane="bottomLeft" state="frozen"/>
      <selection pane="bottomLeft" activeCell="A2" sqref="A2"/>
    </sheetView>
  </sheetViews>
  <sheetFormatPr defaultColWidth="5.6640625" defaultRowHeight="14.4" x14ac:dyDescent="0.3"/>
  <cols>
    <col min="1" max="1" width="7.44140625" bestFit="1" customWidth="1"/>
    <col min="2" max="2" width="7.44140625" customWidth="1"/>
    <col min="3" max="3" width="35.6640625" bestFit="1" customWidth="1"/>
    <col min="4" max="4" width="18" style="6" bestFit="1" customWidth="1"/>
    <col min="5" max="5" width="11.77734375" style="19" bestFit="1" customWidth="1"/>
    <col min="6" max="6" width="35.44140625" style="6" bestFit="1" customWidth="1"/>
    <col min="7" max="7" width="29.6640625" style="6" bestFit="1" customWidth="1"/>
    <col min="8" max="8" width="37.109375" style="6" bestFit="1" customWidth="1"/>
    <col min="9" max="9" width="62.77734375" style="6" bestFit="1" customWidth="1"/>
    <col min="10" max="10" width="41.6640625" style="6" bestFit="1" customWidth="1"/>
    <col min="11" max="11" width="45" style="6" bestFit="1" customWidth="1"/>
    <col min="12" max="12" width="30.44140625" style="6" bestFit="1" customWidth="1"/>
    <col min="13" max="13" width="56.109375" style="6" bestFit="1" customWidth="1"/>
    <col min="14" max="14" width="35" style="6" bestFit="1" customWidth="1"/>
    <col min="15" max="15" width="38.109375" style="6" bestFit="1" customWidth="1"/>
    <col min="16" max="16" width="33.44140625" bestFit="1" customWidth="1"/>
    <col min="17" max="17" width="25.21875" style="6" bestFit="1" customWidth="1"/>
    <col min="18" max="18" width="38.109375" customWidth="1"/>
    <col min="19" max="19" width="38.109375" style="6" customWidth="1"/>
    <col min="20" max="20" width="38.109375" customWidth="1"/>
    <col min="21" max="21" width="36.109375" bestFit="1" customWidth="1"/>
    <col min="22" max="22" width="33.44140625" style="6" bestFit="1" customWidth="1"/>
    <col min="23" max="23" width="38.109375" customWidth="1"/>
    <col min="24" max="25" width="42.5546875" style="6" bestFit="1" customWidth="1"/>
  </cols>
  <sheetData>
    <row r="1" spans="1:25" x14ac:dyDescent="0.3">
      <c r="A1" t="s">
        <v>281</v>
      </c>
      <c r="B1" t="s">
        <v>855</v>
      </c>
      <c r="C1" t="s">
        <v>282</v>
      </c>
      <c r="D1" s="6" t="s">
        <v>299</v>
      </c>
      <c r="E1" s="19" t="s">
        <v>283</v>
      </c>
      <c r="F1" s="6" t="s">
        <v>808</v>
      </c>
      <c r="G1" s="6" t="s">
        <v>809</v>
      </c>
      <c r="H1" s="6" t="s">
        <v>810</v>
      </c>
      <c r="I1" s="6" t="s">
        <v>811</v>
      </c>
      <c r="J1" s="6" t="s">
        <v>812</v>
      </c>
      <c r="K1" s="6" t="s">
        <v>813</v>
      </c>
      <c r="L1" s="6" t="s">
        <v>814</v>
      </c>
      <c r="M1" s="6" t="s">
        <v>815</v>
      </c>
      <c r="N1" s="6" t="s">
        <v>816</v>
      </c>
      <c r="O1" s="6" t="s">
        <v>817</v>
      </c>
      <c r="P1" t="s">
        <v>138</v>
      </c>
      <c r="Q1" s="6" t="s">
        <v>795</v>
      </c>
      <c r="R1" t="s">
        <v>717</v>
      </c>
      <c r="S1" s="6" t="s">
        <v>818</v>
      </c>
      <c r="T1" t="s">
        <v>854</v>
      </c>
      <c r="U1" t="s">
        <v>716</v>
      </c>
      <c r="V1" s="6" t="s">
        <v>789</v>
      </c>
      <c r="W1" t="s">
        <v>790</v>
      </c>
      <c r="X1" s="6" t="s">
        <v>819</v>
      </c>
      <c r="Y1" s="6" t="s">
        <v>820</v>
      </c>
    </row>
    <row r="2" spans="1:25" x14ac:dyDescent="0.3">
      <c r="A2">
        <v>1</v>
      </c>
      <c r="B2" t="b">
        <v>1</v>
      </c>
      <c r="C2" t="s">
        <v>868</v>
      </c>
      <c r="D2" s="6" t="str">
        <f>INDEX(User!$D:$D,MATCH($C2,User!$A:$A,0))</f>
        <v>root1_1</v>
      </c>
      <c r="E2" s="19" t="b">
        <f ca="1">OR($G2,AND($I2,$J2,$M2,$N2))</f>
        <v>1</v>
      </c>
      <c r="F2" s="6" t="str">
        <f>INDEX(User!$G:$G,MATCH($C2,User!$A:$A,0))</f>
        <v>018d074d-ea0c-e942-07db-a3cc0ba1d653</v>
      </c>
      <c r="G2" s="6" t="b">
        <f>INDEX(User!$M:$M,MATCH($C2,User!$A:$A,0))</f>
        <v>1</v>
      </c>
      <c r="H2" s="6">
        <f>IF(ISNA(MATCH($F2&amp;"|"&amp;$R2,OrganizationAccessCasePolicy!$V:$V,0)),"",MATCH($F2&amp;"|"&amp;$R2,OrganizationAccessCasePolicy!$V:$V,0))</f>
        <v>2</v>
      </c>
      <c r="I2" s="6" t="b" cm="1">
        <f t="array" aca="1" ref="I2" ca="1">IF($H2="",FALSE,NOT(ISNA(MATCH(INDIRECT("OrganizationAccessCasePolicy!D"&amp;$H2)&amp;"|"&amp;$V2,CaseTypeSetMember!$H:$H,0))))</f>
        <v>1</v>
      </c>
      <c r="J2" s="6" t="b" cm="1">
        <f t="array" aca="1" ref="J2" ca="1">IF($H2="",FALSE,AND(INDIRECT("OrganizationAccessCasePolicy!H"&amp;$H2),NOT(ISNA(MATCH(INDIRECT("OrganizationAccessCasePolicy!D"&amp;$H2)&amp;"|"&amp;$V2,CaseTypeSetMember!$H:$H,0)))))</f>
        <v>1</v>
      </c>
      <c r="K2" s="6" t="b" cm="1">
        <f t="array" aca="1" ref="K2" ca="1">IF($H2="",FALSE,AND(INDIRECT("OrganizationAccessCasePolicy!I"&amp;$H2),NOT(ISNA(MATCH(INDIRECT("OrganizationAccessCasePolicy!D"&amp;$H2)&amp;"|"&amp;$V2,CaseTypeSetMember!$H:$H,0)))))</f>
        <v>1</v>
      </c>
      <c r="L2" s="6" t="str">
        <f>IF(ISNA(MATCH($C2&amp;"|"&amp;$R2,UserAccessCasePolicy!$W:$W,0)),"",MATCH($C2&amp;"|"&amp;$R2,UserAccessCasePolicy!$W:$W,0))</f>
        <v/>
      </c>
      <c r="M2" s="6" t="b" cm="1">
        <f t="array" aca="1" ref="M2" ca="1">IF($L2="",FALSE,NOT(ISNA(MATCH(INDIRECT("UserAccessCasePolicy!D"&amp;$L2)&amp;"|"&amp;$V2,CaseTypeSetMember!$H:$H,0))))</f>
        <v>0</v>
      </c>
      <c r="N2" s="6" t="b" cm="1">
        <f t="array" aca="1" ref="N2" ca="1">IF($L2="",FALSE,AND(INDIRECT("UserAccessCasePolicy!G"&amp;$L2),NOT(ISNA(MATCH(INDIRECT("UserAccessCasePolicy!D"&amp;$L2)&amp;"|"&amp;$V2,CaseTypeSetMember!$H:$H,0)))))</f>
        <v>0</v>
      </c>
      <c r="O2" s="6" t="b" cm="1">
        <f t="array" aca="1" ref="O2" ca="1">IF($L2="",FALSE,AND(INDIRECT("UserAccessCasePolicy!H"&amp;$L2),NOT(ISNA(MATCH(INDIRECT("UserAccessCasePolicy!D"&amp;$L2)&amp;"|"&amp;$V2,CaseTypeSetMember!$H:$H,0)))))</f>
        <v>0</v>
      </c>
      <c r="P2" t="s">
        <v>115</v>
      </c>
      <c r="Q2" s="6" t="str">
        <f>INDEX(CaseType!$B:$B,MATCH($P2,CaseType!$A:$A,0))</f>
        <v>case_type1</v>
      </c>
      <c r="R2" t="s">
        <v>11</v>
      </c>
      <c r="S2" s="6" t="str">
        <f>INDEX(DataCollection!$B:$B,MATCH($R2,DataCollection!$A:$A,0))</f>
        <v>data_collection1</v>
      </c>
      <c r="T2" t="b">
        <v>0</v>
      </c>
      <c r="U2" t="s">
        <v>693</v>
      </c>
      <c r="V2" s="6" t="str">
        <f>INDEX(_CaseData!$B:$B,MATCH($U2,_CaseData!$A:$A,0))</f>
        <v>0195d18c-1ca6-fd99-9d76-fcfa0c0cf400</v>
      </c>
      <c r="W2" t="s">
        <v>11</v>
      </c>
      <c r="X2" s="6" t="b">
        <f>$V2=$P2</f>
        <v>1</v>
      </c>
      <c r="Y2" s="6" t="b">
        <f t="shared" ref="Y2:Y33" si="0">$W2=$R2</f>
        <v>1</v>
      </c>
    </row>
    <row r="3" spans="1:25" x14ac:dyDescent="0.3">
      <c r="A3">
        <v>2</v>
      </c>
      <c r="B3" t="b">
        <v>1</v>
      </c>
      <c r="C3" t="s">
        <v>192</v>
      </c>
      <c r="D3" s="6" t="str">
        <f>INDEX(User!$D:$D,MATCH($C3,User!$A:$A,0))</f>
        <v>app_admin1_1</v>
      </c>
      <c r="E3" s="19" t="b">
        <f t="shared" ref="E3:E33" ca="1" si="1">OR($G3,AND($I3,$J3,$M3,$N3))</f>
        <v>1</v>
      </c>
      <c r="F3" s="6" t="str">
        <f>INDEX(User!$G:$G,MATCH($C3,User!$A:$A,0))</f>
        <v>018d074d-ea0c-e942-07db-a3cc0ba1d653</v>
      </c>
      <c r="G3" s="6" t="b">
        <f>INDEX(User!$M:$M,MATCH($C3,User!$A:$A,0))</f>
        <v>1</v>
      </c>
      <c r="H3" s="6">
        <f>IF(ISNA(MATCH($F3&amp;"|"&amp;$R3,OrganizationAccessCasePolicy!$V:$V,0)),"",MATCH($F3&amp;"|"&amp;$R3,OrganizationAccessCasePolicy!$V:$V,0))</f>
        <v>2</v>
      </c>
      <c r="I3" s="6" t="b" cm="1">
        <f t="array" aca="1" ref="I3" ca="1">IF($H3="",FALSE,NOT(ISNA(MATCH(INDIRECT("OrganizationAccessCasePolicy!D"&amp;$H3)&amp;"|"&amp;$V3,CaseTypeSetMember!$H:$H,0))))</f>
        <v>1</v>
      </c>
      <c r="J3" s="6" t="b" cm="1">
        <f t="array" aca="1" ref="J3" ca="1">IF($H3="",FALSE,AND(INDIRECT("OrganizationAccessCasePolicy!H"&amp;$H3),NOT(ISNA(MATCH(INDIRECT("OrganizationAccessCasePolicy!D"&amp;$H3)&amp;"|"&amp;$V3,CaseTypeSetMember!$H:$H,0)))))</f>
        <v>1</v>
      </c>
      <c r="K3" s="6" t="b" cm="1">
        <f t="array" aca="1" ref="K3" ca="1">IF($H3="",FALSE,AND(INDIRECT("OrganizationAccessCasePolicy!I"&amp;$H3),NOT(ISNA(MATCH(INDIRECT("OrganizationAccessCasePolicy!D"&amp;$H3)&amp;"|"&amp;$V3,CaseTypeSetMember!$H:$H,0)))))</f>
        <v>1</v>
      </c>
      <c r="L3" s="6" t="str">
        <f>IF(ISNA(MATCH($C3&amp;"|"&amp;$R3,UserAccessCasePolicy!$W:$W,0)),"",MATCH($C3&amp;"|"&amp;$R3,UserAccessCasePolicy!$W:$W,0))</f>
        <v/>
      </c>
      <c r="M3" s="6" t="b" cm="1">
        <f t="array" aca="1" ref="M3" ca="1">IF($L3="",FALSE,NOT(ISNA(MATCH(INDIRECT("UserAccessCasePolicy!D"&amp;$L3)&amp;"|"&amp;$V3,CaseTypeSetMember!$H:$H,0))))</f>
        <v>0</v>
      </c>
      <c r="N3" s="6" t="b" cm="1">
        <f t="array" aca="1" ref="N3" ca="1">IF($L3="",FALSE,AND(INDIRECT("UserAccessCasePolicy!G"&amp;$L3),NOT(ISNA(MATCH(INDIRECT("UserAccessCasePolicy!D"&amp;$L3)&amp;"|"&amp;$V3,CaseTypeSetMember!$H:$H,0)))))</f>
        <v>0</v>
      </c>
      <c r="O3" s="6" t="b" cm="1">
        <f t="array" aca="1" ref="O3" ca="1">IF($L3="",FALSE,AND(INDIRECT("UserAccessCasePolicy!H"&amp;$L3),NOT(ISNA(MATCH(INDIRECT("UserAccessCasePolicy!D"&amp;$L3)&amp;"|"&amp;$V3,CaseTypeSetMember!$H:$H,0)))))</f>
        <v>0</v>
      </c>
      <c r="P3" t="s">
        <v>115</v>
      </c>
      <c r="Q3" s="6" t="str">
        <f>INDEX(CaseType!$B:$B,MATCH($P3,CaseType!$A:$A,0))</f>
        <v>case_type1</v>
      </c>
      <c r="R3" t="s">
        <v>11</v>
      </c>
      <c r="S3" s="6" t="str">
        <f>INDEX(DataCollection!$B:$B,MATCH($R3,DataCollection!$A:$A,0))</f>
        <v>data_collection1</v>
      </c>
      <c r="T3" t="b">
        <v>0</v>
      </c>
      <c r="U3" t="s">
        <v>693</v>
      </c>
      <c r="V3" s="6" t="str">
        <f>INDEX(_CaseData!$B:$B,MATCH($U3,_CaseData!$A:$A,0))</f>
        <v>0195d18c-1ca6-fd99-9d76-fcfa0c0cf400</v>
      </c>
      <c r="W3" t="s">
        <v>11</v>
      </c>
      <c r="X3" s="6" t="b">
        <f t="shared" ref="X3:X33" si="2">$V3=$P3</f>
        <v>1</v>
      </c>
      <c r="Y3" s="6" t="b">
        <f t="shared" si="0"/>
        <v>1</v>
      </c>
    </row>
    <row r="4" spans="1:25" x14ac:dyDescent="0.3">
      <c r="A4">
        <v>3</v>
      </c>
      <c r="B4" t="b">
        <v>1</v>
      </c>
      <c r="C4" t="s">
        <v>193</v>
      </c>
      <c r="D4" s="6" t="str">
        <f>INDEX(User!$D:$D,MATCH($C4,User!$A:$A,0))</f>
        <v>refdata_admin1_1</v>
      </c>
      <c r="E4" s="19" t="b">
        <f t="shared" ca="1" si="1"/>
        <v>0</v>
      </c>
      <c r="F4" s="6" t="str">
        <f>INDEX(User!$G:$G,MATCH($C4,User!$A:$A,0))</f>
        <v>018d074d-ea0c-e942-07db-a3cc0ba1d653</v>
      </c>
      <c r="G4" s="6" t="b">
        <f>INDEX(User!$M:$M,MATCH($C4,User!$A:$A,0))</f>
        <v>0</v>
      </c>
      <c r="H4" s="6">
        <f>IF(ISNA(MATCH($F4&amp;"|"&amp;$R4,OrganizationAccessCasePolicy!$V:$V,0)),"",MATCH($F4&amp;"|"&amp;$R4,OrganizationAccessCasePolicy!$V:$V,0))</f>
        <v>2</v>
      </c>
      <c r="I4" s="6" t="b" cm="1">
        <f t="array" aca="1" ref="I4" ca="1">IF($H4="",FALSE,NOT(ISNA(MATCH(INDIRECT("OrganizationAccessCasePolicy!D"&amp;$H4)&amp;"|"&amp;$V4,CaseTypeSetMember!$H:$H,0))))</f>
        <v>1</v>
      </c>
      <c r="J4" s="6" t="b" cm="1">
        <f t="array" aca="1" ref="J4" ca="1">IF($H4="",FALSE,AND(INDIRECT("OrganizationAccessCasePolicy!H"&amp;$H4),NOT(ISNA(MATCH(INDIRECT("OrganizationAccessCasePolicy!D"&amp;$H4)&amp;"|"&amp;$V4,CaseTypeSetMember!$H:$H,0)))))</f>
        <v>1</v>
      </c>
      <c r="K4" s="6" t="b" cm="1">
        <f t="array" aca="1" ref="K4" ca="1">IF($H4="",FALSE,AND(INDIRECT("OrganizationAccessCasePolicy!I"&amp;$H4),NOT(ISNA(MATCH(INDIRECT("OrganizationAccessCasePolicy!D"&amp;$H4)&amp;"|"&amp;$V4,CaseTypeSetMember!$H:$H,0)))))</f>
        <v>1</v>
      </c>
      <c r="L4" s="6" t="str">
        <f>IF(ISNA(MATCH($C4&amp;"|"&amp;$R4,UserAccessCasePolicy!$W:$W,0)),"",MATCH($C4&amp;"|"&amp;$R4,UserAccessCasePolicy!$W:$W,0))</f>
        <v/>
      </c>
      <c r="M4" s="6" t="b" cm="1">
        <f t="array" aca="1" ref="M4" ca="1">IF($L4="",FALSE,NOT(ISNA(MATCH(INDIRECT("UserAccessCasePolicy!D"&amp;$L4)&amp;"|"&amp;$V4,CaseTypeSetMember!$H:$H,0))))</f>
        <v>0</v>
      </c>
      <c r="N4" s="6" t="b" cm="1">
        <f t="array" aca="1" ref="N4" ca="1">IF($L4="",FALSE,AND(INDIRECT("UserAccessCasePolicy!G"&amp;$L4),NOT(ISNA(MATCH(INDIRECT("UserAccessCasePolicy!D"&amp;$L4)&amp;"|"&amp;$V4,CaseTypeSetMember!$H:$H,0)))))</f>
        <v>0</v>
      </c>
      <c r="O4" s="6" t="b" cm="1">
        <f t="array" aca="1" ref="O4" ca="1">IF($L4="",FALSE,AND(INDIRECT("UserAccessCasePolicy!H"&amp;$L4),NOT(ISNA(MATCH(INDIRECT("UserAccessCasePolicy!D"&amp;$L4)&amp;"|"&amp;$V4,CaseTypeSetMember!$H:$H,0)))))</f>
        <v>0</v>
      </c>
      <c r="P4" t="s">
        <v>115</v>
      </c>
      <c r="Q4" s="6" t="str">
        <f>INDEX(CaseType!$B:$B,MATCH($P4,CaseType!$A:$A,0))</f>
        <v>case_type1</v>
      </c>
      <c r="R4" t="s">
        <v>11</v>
      </c>
      <c r="S4" s="6" t="str">
        <f>INDEX(DataCollection!$B:$B,MATCH($R4,DataCollection!$A:$A,0))</f>
        <v>data_collection1</v>
      </c>
      <c r="T4" t="b">
        <v>0</v>
      </c>
      <c r="U4" t="s">
        <v>693</v>
      </c>
      <c r="V4" s="6" t="str">
        <f>INDEX(_CaseData!$B:$B,MATCH($U4,_CaseData!$A:$A,0))</f>
        <v>0195d18c-1ca6-fd99-9d76-fcfa0c0cf400</v>
      </c>
      <c r="W4" t="s">
        <v>11</v>
      </c>
      <c r="X4" s="6" t="b">
        <f t="shared" si="2"/>
        <v>1</v>
      </c>
      <c r="Y4" s="6" t="b">
        <f t="shared" si="0"/>
        <v>1</v>
      </c>
    </row>
    <row r="5" spans="1:25" x14ac:dyDescent="0.3">
      <c r="A5">
        <v>4</v>
      </c>
      <c r="B5" t="b">
        <v>1</v>
      </c>
      <c r="C5" t="s">
        <v>44</v>
      </c>
      <c r="D5" s="6" t="str">
        <f>INDEX(User!$D:$D,MATCH($C5,User!$A:$A,0))</f>
        <v>org_admin1_1</v>
      </c>
      <c r="E5" s="19" t="b">
        <f t="shared" ca="1" si="1"/>
        <v>0</v>
      </c>
      <c r="F5" s="6" t="str">
        <f>INDEX(User!$G:$G,MATCH($C5,User!$A:$A,0))</f>
        <v>018d074d-ea0c-e942-07db-a3cc0ba1d653</v>
      </c>
      <c r="G5" s="6" t="b">
        <f>INDEX(User!$M:$M,MATCH($C5,User!$A:$A,0))</f>
        <v>0</v>
      </c>
      <c r="H5" s="6">
        <f>IF(ISNA(MATCH($F5&amp;"|"&amp;$R5,OrganizationAccessCasePolicy!$V:$V,0)),"",MATCH($F5&amp;"|"&amp;$R5,OrganizationAccessCasePolicy!$V:$V,0))</f>
        <v>2</v>
      </c>
      <c r="I5" s="6" t="b" cm="1">
        <f t="array" aca="1" ref="I5" ca="1">IF($H5="",FALSE,NOT(ISNA(MATCH(INDIRECT("OrganizationAccessCasePolicy!D"&amp;$H5)&amp;"|"&amp;$V5,CaseTypeSetMember!$H:$H,0))))</f>
        <v>1</v>
      </c>
      <c r="J5" s="6" t="b" cm="1">
        <f t="array" aca="1" ref="J5" ca="1">IF($H5="",FALSE,AND(INDIRECT("OrganizationAccessCasePolicy!H"&amp;$H5),NOT(ISNA(MATCH(INDIRECT("OrganizationAccessCasePolicy!D"&amp;$H5)&amp;"|"&amp;$V5,CaseTypeSetMember!$H:$H,0)))))</f>
        <v>1</v>
      </c>
      <c r="K5" s="6" t="b" cm="1">
        <f t="array" aca="1" ref="K5" ca="1">IF($H5="",FALSE,AND(INDIRECT("OrganizationAccessCasePolicy!I"&amp;$H5),NOT(ISNA(MATCH(INDIRECT("OrganizationAccessCasePolicy!D"&amp;$H5)&amp;"|"&amp;$V5,CaseTypeSetMember!$H:$H,0)))))</f>
        <v>1</v>
      </c>
      <c r="L5" s="6" t="str">
        <f>IF(ISNA(MATCH($C5&amp;"|"&amp;$R5,UserAccessCasePolicy!$W:$W,0)),"",MATCH($C5&amp;"|"&amp;$R5,UserAccessCasePolicy!$W:$W,0))</f>
        <v/>
      </c>
      <c r="M5" s="6" t="b" cm="1">
        <f t="array" aca="1" ref="M5" ca="1">IF($L5="",FALSE,NOT(ISNA(MATCH(INDIRECT("UserAccessCasePolicy!D"&amp;$L5)&amp;"|"&amp;$V5,CaseTypeSetMember!$H:$H,0))))</f>
        <v>0</v>
      </c>
      <c r="N5" s="6" t="b" cm="1">
        <f t="array" aca="1" ref="N5" ca="1">IF($L5="",FALSE,AND(INDIRECT("UserAccessCasePolicy!G"&amp;$L5),NOT(ISNA(MATCH(INDIRECT("UserAccessCasePolicy!D"&amp;$L5)&amp;"|"&amp;$V5,CaseTypeSetMember!$H:$H,0)))))</f>
        <v>0</v>
      </c>
      <c r="O5" s="6" t="b" cm="1">
        <f t="array" aca="1" ref="O5" ca="1">IF($L5="",FALSE,AND(INDIRECT("UserAccessCasePolicy!H"&amp;$L5),NOT(ISNA(MATCH(INDIRECT("UserAccessCasePolicy!D"&amp;$L5)&amp;"|"&amp;$V5,CaseTypeSetMember!$H:$H,0)))))</f>
        <v>0</v>
      </c>
      <c r="P5" t="s">
        <v>115</v>
      </c>
      <c r="Q5" s="6" t="str">
        <f>INDEX(CaseType!$B:$B,MATCH($P5,CaseType!$A:$A,0))</f>
        <v>case_type1</v>
      </c>
      <c r="R5" t="s">
        <v>11</v>
      </c>
      <c r="S5" s="6" t="str">
        <f>INDEX(DataCollection!$B:$B,MATCH($R5,DataCollection!$A:$A,0))</f>
        <v>data_collection1</v>
      </c>
      <c r="T5" t="b">
        <v>0</v>
      </c>
      <c r="U5" t="s">
        <v>693</v>
      </c>
      <c r="V5" s="6" t="str">
        <f>INDEX(_CaseData!$B:$B,MATCH($U5,_CaseData!$A:$A,0))</f>
        <v>0195d18c-1ca6-fd99-9d76-fcfa0c0cf400</v>
      </c>
      <c r="W5" t="s">
        <v>11</v>
      </c>
      <c r="X5" s="6" t="b">
        <f t="shared" si="2"/>
        <v>1</v>
      </c>
      <c r="Y5" s="6" t="b">
        <f t="shared" si="0"/>
        <v>1</v>
      </c>
    </row>
    <row r="6" spans="1:25" x14ac:dyDescent="0.3">
      <c r="A6">
        <v>5</v>
      </c>
      <c r="B6" t="b">
        <v>1</v>
      </c>
      <c r="C6" t="s">
        <v>10</v>
      </c>
      <c r="D6" s="6" t="str">
        <f>INDEX(User!$D:$D,MATCH($C6,User!$A:$A,0))</f>
        <v>org_user1_1</v>
      </c>
      <c r="E6" s="19" t="b">
        <f t="shared" ca="1" si="1"/>
        <v>1</v>
      </c>
      <c r="F6" s="6" t="str">
        <f>INDEX(User!$G:$G,MATCH($C6,User!$A:$A,0))</f>
        <v>018d074d-ea0c-e942-07db-a3cc0ba1d653</v>
      </c>
      <c r="G6" s="6" t="b">
        <f>INDEX(User!$M:$M,MATCH($C6,User!$A:$A,0))</f>
        <v>0</v>
      </c>
      <c r="H6" s="6">
        <f>IF(ISNA(MATCH($F6&amp;"|"&amp;$R6,OrganizationAccessCasePolicy!$V:$V,0)),"",MATCH($F6&amp;"|"&amp;$R6,OrganizationAccessCasePolicy!$V:$V,0))</f>
        <v>2</v>
      </c>
      <c r="I6" s="6" t="b" cm="1">
        <f t="array" aca="1" ref="I6" ca="1">IF($H6="",FALSE,NOT(ISNA(MATCH(INDIRECT("OrganizationAccessCasePolicy!D"&amp;$H6)&amp;"|"&amp;$V6,CaseTypeSetMember!$H:$H,0))))</f>
        <v>1</v>
      </c>
      <c r="J6" s="6" t="b" cm="1">
        <f t="array" aca="1" ref="J6" ca="1">IF($H6="",FALSE,AND(INDIRECT("OrganizationAccessCasePolicy!H"&amp;$H6),NOT(ISNA(MATCH(INDIRECT("OrganizationAccessCasePolicy!D"&amp;$H6)&amp;"|"&amp;$V6,CaseTypeSetMember!$H:$H,0)))))</f>
        <v>1</v>
      </c>
      <c r="K6" s="6" t="b" cm="1">
        <f t="array" aca="1" ref="K6" ca="1">IF($H6="",FALSE,AND(INDIRECT("OrganizationAccessCasePolicy!I"&amp;$H6),NOT(ISNA(MATCH(INDIRECT("OrganizationAccessCasePolicy!D"&amp;$H6)&amp;"|"&amp;$V6,CaseTypeSetMember!$H:$H,0)))))</f>
        <v>1</v>
      </c>
      <c r="L6" s="6">
        <f>IF(ISNA(MATCH($C6&amp;"|"&amp;$R6,UserAccessCasePolicy!$W:$W,0)),"",MATCH($C6&amp;"|"&amp;$R6,UserAccessCasePolicy!$W:$W,0))</f>
        <v>2</v>
      </c>
      <c r="M6" s="6" t="b" cm="1">
        <f t="array" aca="1" ref="M6" ca="1">IF($L6="",FALSE,NOT(ISNA(MATCH(INDIRECT("UserAccessCasePolicy!D"&amp;$L6)&amp;"|"&amp;$V6,CaseTypeSetMember!$H:$H,0))))</f>
        <v>1</v>
      </c>
      <c r="N6" s="6" t="b" cm="1">
        <f t="array" aca="1" ref="N6" ca="1">IF($L6="",FALSE,AND(INDIRECT("UserAccessCasePolicy!G"&amp;$L6),NOT(ISNA(MATCH(INDIRECT("UserAccessCasePolicy!D"&amp;$L6)&amp;"|"&amp;$V6,CaseTypeSetMember!$H:$H,0)))))</f>
        <v>1</v>
      </c>
      <c r="O6" s="6" t="b" cm="1">
        <f t="array" aca="1" ref="O6" ca="1">IF($L6="",FALSE,AND(INDIRECT("UserAccessCasePolicy!H"&amp;$L6),NOT(ISNA(MATCH(INDIRECT("UserAccessCasePolicy!D"&amp;$L6)&amp;"|"&amp;$V6,CaseTypeSetMember!$H:$H,0)))))</f>
        <v>1</v>
      </c>
      <c r="P6" t="s">
        <v>115</v>
      </c>
      <c r="Q6" s="6" t="str">
        <f>INDEX(CaseType!$B:$B,MATCH($P6,CaseType!$A:$A,0))</f>
        <v>case_type1</v>
      </c>
      <c r="R6" t="s">
        <v>11</v>
      </c>
      <c r="S6" s="6" t="str">
        <f>INDEX(DataCollection!$B:$B,MATCH($R6,DataCollection!$A:$A,0))</f>
        <v>data_collection1</v>
      </c>
      <c r="T6" t="b">
        <v>0</v>
      </c>
      <c r="U6" t="s">
        <v>693</v>
      </c>
      <c r="V6" s="6" t="str">
        <f>INDEX(_CaseData!$B:$B,MATCH($U6,_CaseData!$A:$A,0))</f>
        <v>0195d18c-1ca6-fd99-9d76-fcfa0c0cf400</v>
      </c>
      <c r="W6" t="s">
        <v>11</v>
      </c>
      <c r="X6" s="6" t="b">
        <f t="shared" si="2"/>
        <v>1</v>
      </c>
      <c r="Y6" s="6" t="b">
        <f t="shared" si="0"/>
        <v>1</v>
      </c>
    </row>
    <row r="7" spans="1:25" x14ac:dyDescent="0.3">
      <c r="A7">
        <v>6</v>
      </c>
      <c r="B7" t="b">
        <v>1</v>
      </c>
      <c r="C7" t="s">
        <v>868</v>
      </c>
      <c r="D7" s="6" t="str">
        <f>INDEX(User!$D:$D,MATCH($C7,User!$A:$A,0))</f>
        <v>root1_1</v>
      </c>
      <c r="E7" s="19" t="b">
        <f t="shared" ca="1" si="1"/>
        <v>1</v>
      </c>
      <c r="F7" s="6" t="str">
        <f>INDEX(User!$G:$G,MATCH($C7,User!$A:$A,0))</f>
        <v>018d074d-ea0c-e942-07db-a3cc0ba1d653</v>
      </c>
      <c r="G7" s="6" t="b">
        <f>INDEX(User!$M:$M,MATCH($C7,User!$A:$A,0))</f>
        <v>1</v>
      </c>
      <c r="H7" s="6">
        <f>IF(ISNA(MATCH($F7&amp;"|"&amp;$R7,OrganizationAccessCasePolicy!$V:$V,0)),"",MATCH($F7&amp;"|"&amp;$R7,OrganizationAccessCasePolicy!$V:$V,0))</f>
        <v>2</v>
      </c>
      <c r="I7" s="6" t="b" cm="1">
        <f t="array" aca="1" ref="I7" ca="1">IF($H7="",FALSE,NOT(ISNA(MATCH(INDIRECT("OrganizationAccessCasePolicy!D"&amp;$H7)&amp;"|"&amp;$V7,CaseTypeSetMember!$H:$H,0))))</f>
        <v>1</v>
      </c>
      <c r="J7" s="6" t="b" cm="1">
        <f t="array" aca="1" ref="J7" ca="1">IF($H7="",FALSE,AND(INDIRECT("OrganizationAccessCasePolicy!H"&amp;$H7),NOT(ISNA(MATCH(INDIRECT("OrganizationAccessCasePolicy!D"&amp;$H7)&amp;"|"&amp;$V7,CaseTypeSetMember!$H:$H,0)))))</f>
        <v>1</v>
      </c>
      <c r="K7" s="6" t="b" cm="1">
        <f t="array" aca="1" ref="K7" ca="1">IF($H7="",FALSE,AND(INDIRECT("OrganizationAccessCasePolicy!I"&amp;$H7),NOT(ISNA(MATCH(INDIRECT("OrganizationAccessCasePolicy!D"&amp;$H7)&amp;"|"&amp;$V7,CaseTypeSetMember!$H:$H,0)))))</f>
        <v>1</v>
      </c>
      <c r="L7" s="6" t="str">
        <f>IF(ISNA(MATCH($C7&amp;"|"&amp;$R7,UserAccessCasePolicy!$W:$W,0)),"",MATCH($C7&amp;"|"&amp;$R7,UserAccessCasePolicy!$W:$W,0))</f>
        <v/>
      </c>
      <c r="M7" s="6" t="b" cm="1">
        <f t="array" aca="1" ref="M7" ca="1">IF($L7="",FALSE,NOT(ISNA(MATCH(INDIRECT("UserAccessCasePolicy!D"&amp;$L7)&amp;"|"&amp;$V7,CaseTypeSetMember!$H:$H,0))))</f>
        <v>0</v>
      </c>
      <c r="N7" s="6" t="b" cm="1">
        <f t="array" aca="1" ref="N7" ca="1">IF($L7="",FALSE,AND(INDIRECT("UserAccessCasePolicy!G"&amp;$L7),NOT(ISNA(MATCH(INDIRECT("UserAccessCasePolicy!D"&amp;$L7)&amp;"|"&amp;$V7,CaseTypeSetMember!$H:$H,0)))))</f>
        <v>0</v>
      </c>
      <c r="O7" s="6" t="b" cm="1">
        <f t="array" aca="1" ref="O7" ca="1">IF($L7="",FALSE,AND(INDIRECT("UserAccessCasePolicy!H"&amp;$L7),NOT(ISNA(MATCH(INDIRECT("UserAccessCasePolicy!D"&amp;$L7)&amp;"|"&amp;$V7,CaseTypeSetMember!$H:$H,0)))))</f>
        <v>0</v>
      </c>
      <c r="P7" t="s">
        <v>115</v>
      </c>
      <c r="Q7" s="6" t="str">
        <f>INDEX(CaseType!$B:$B,MATCH($P7,CaseType!$A:$A,0))</f>
        <v>case_type1</v>
      </c>
      <c r="R7" t="s">
        <v>11</v>
      </c>
      <c r="S7" s="6" t="str">
        <f>INDEX(DataCollection!$B:$B,MATCH($R7,DataCollection!$A:$A,0))</f>
        <v>data_collection1</v>
      </c>
      <c r="T7" t="b">
        <v>0</v>
      </c>
      <c r="U7" t="s">
        <v>693</v>
      </c>
      <c r="V7" s="6" t="str">
        <f>INDEX(_CaseData!$B:$B,MATCH($U7,_CaseData!$A:$A,0))</f>
        <v>0195d18c-1ca6-fd99-9d76-fcfa0c0cf400</v>
      </c>
      <c r="W7" t="s">
        <v>11</v>
      </c>
      <c r="X7" s="6" t="b">
        <f t="shared" si="2"/>
        <v>1</v>
      </c>
      <c r="Y7" s="6" t="b">
        <f t="shared" si="0"/>
        <v>1</v>
      </c>
    </row>
    <row r="8" spans="1:25" x14ac:dyDescent="0.3">
      <c r="A8">
        <v>7</v>
      </c>
      <c r="B8" t="b">
        <v>1</v>
      </c>
      <c r="C8" t="s">
        <v>192</v>
      </c>
      <c r="D8" s="6" t="str">
        <f>INDEX(User!$D:$D,MATCH($C8,User!$A:$A,0))</f>
        <v>app_admin1_1</v>
      </c>
      <c r="E8" s="19" t="b">
        <f t="shared" ca="1" si="1"/>
        <v>1</v>
      </c>
      <c r="F8" s="6" t="str">
        <f>INDEX(User!$G:$G,MATCH($C8,User!$A:$A,0))</f>
        <v>018d074d-ea0c-e942-07db-a3cc0ba1d653</v>
      </c>
      <c r="G8" s="6" t="b">
        <f>INDEX(User!$M:$M,MATCH($C8,User!$A:$A,0))</f>
        <v>1</v>
      </c>
      <c r="H8" s="6">
        <f>IF(ISNA(MATCH($F8&amp;"|"&amp;$R8,OrganizationAccessCasePolicy!$V:$V,0)),"",MATCH($F8&amp;"|"&amp;$R8,OrganizationAccessCasePolicy!$V:$V,0))</f>
        <v>2</v>
      </c>
      <c r="I8" s="6" t="b" cm="1">
        <f t="array" aca="1" ref="I8" ca="1">IF($H8="",FALSE,NOT(ISNA(MATCH(INDIRECT("OrganizationAccessCasePolicy!D"&amp;$H8)&amp;"|"&amp;$V8,CaseTypeSetMember!$H:$H,0))))</f>
        <v>1</v>
      </c>
      <c r="J8" s="6" t="b" cm="1">
        <f t="array" aca="1" ref="J8" ca="1">IF($H8="",FALSE,AND(INDIRECT("OrganizationAccessCasePolicy!H"&amp;$H8),NOT(ISNA(MATCH(INDIRECT("OrganizationAccessCasePolicy!D"&amp;$H8)&amp;"|"&amp;$V8,CaseTypeSetMember!$H:$H,0)))))</f>
        <v>1</v>
      </c>
      <c r="K8" s="6" t="b" cm="1">
        <f t="array" aca="1" ref="K8" ca="1">IF($H8="",FALSE,AND(INDIRECT("OrganizationAccessCasePolicy!I"&amp;$H8),NOT(ISNA(MATCH(INDIRECT("OrganizationAccessCasePolicy!D"&amp;$H8)&amp;"|"&amp;$V8,CaseTypeSetMember!$H:$H,0)))))</f>
        <v>1</v>
      </c>
      <c r="L8" s="6" t="str">
        <f>IF(ISNA(MATCH($C8&amp;"|"&amp;$R8,UserAccessCasePolicy!$W:$W,0)),"",MATCH($C8&amp;"|"&amp;$R8,UserAccessCasePolicy!$W:$W,0))</f>
        <v/>
      </c>
      <c r="M8" s="6" t="b" cm="1">
        <f t="array" aca="1" ref="M8" ca="1">IF($L8="",FALSE,NOT(ISNA(MATCH(INDIRECT("UserAccessCasePolicy!D"&amp;$L8)&amp;"|"&amp;$V8,CaseTypeSetMember!$H:$H,0))))</f>
        <v>0</v>
      </c>
      <c r="N8" s="6" t="b" cm="1">
        <f t="array" aca="1" ref="N8" ca="1">IF($L8="",FALSE,AND(INDIRECT("UserAccessCasePolicy!G"&amp;$L8),NOT(ISNA(MATCH(INDIRECT("UserAccessCasePolicy!D"&amp;$L8)&amp;"|"&amp;$V8,CaseTypeSetMember!$H:$H,0)))))</f>
        <v>0</v>
      </c>
      <c r="O8" s="6" t="b" cm="1">
        <f t="array" aca="1" ref="O8" ca="1">IF($L8="",FALSE,AND(INDIRECT("UserAccessCasePolicy!H"&amp;$L8),NOT(ISNA(MATCH(INDIRECT("UserAccessCasePolicy!D"&amp;$L8)&amp;"|"&amp;$V8,CaseTypeSetMember!$H:$H,0)))))</f>
        <v>0</v>
      </c>
      <c r="P8" t="s">
        <v>115</v>
      </c>
      <c r="Q8" s="6" t="str">
        <f>INDEX(CaseType!$B:$B,MATCH($P8,CaseType!$A:$A,0))</f>
        <v>case_type1</v>
      </c>
      <c r="R8" t="s">
        <v>11</v>
      </c>
      <c r="S8" s="6" t="str">
        <f>INDEX(DataCollection!$B:$B,MATCH($R8,DataCollection!$A:$A,0))</f>
        <v>data_collection1</v>
      </c>
      <c r="T8" t="b">
        <v>0</v>
      </c>
      <c r="U8" t="s">
        <v>693</v>
      </c>
      <c r="V8" s="6" t="str">
        <f>INDEX(_CaseData!$B:$B,MATCH($U8,_CaseData!$A:$A,0))</f>
        <v>0195d18c-1ca6-fd99-9d76-fcfa0c0cf400</v>
      </c>
      <c r="W8" t="s">
        <v>11</v>
      </c>
      <c r="X8" s="6" t="b">
        <f t="shared" si="2"/>
        <v>1</v>
      </c>
      <c r="Y8" s="6" t="b">
        <f t="shared" si="0"/>
        <v>1</v>
      </c>
    </row>
    <row r="9" spans="1:25" x14ac:dyDescent="0.3">
      <c r="A9">
        <v>8</v>
      </c>
      <c r="B9" t="b">
        <v>1</v>
      </c>
      <c r="C9" t="s">
        <v>44</v>
      </c>
      <c r="D9" s="6" t="str">
        <f>INDEX(User!$D:$D,MATCH($C9,User!$A:$A,0))</f>
        <v>org_admin1_1</v>
      </c>
      <c r="E9" s="19" t="b">
        <f t="shared" ca="1" si="1"/>
        <v>0</v>
      </c>
      <c r="F9" s="6" t="str">
        <f>INDEX(User!$G:$G,MATCH($C9,User!$A:$A,0))</f>
        <v>018d074d-ea0c-e942-07db-a3cc0ba1d653</v>
      </c>
      <c r="G9" s="6" t="b">
        <f>INDEX(User!$M:$M,MATCH($C9,User!$A:$A,0))</f>
        <v>0</v>
      </c>
      <c r="H9" s="6">
        <f>IF(ISNA(MATCH($F9&amp;"|"&amp;$R9,OrganizationAccessCasePolicy!$V:$V,0)),"",MATCH($F9&amp;"|"&amp;$R9,OrganizationAccessCasePolicy!$V:$V,0))</f>
        <v>2</v>
      </c>
      <c r="I9" s="6" t="b" cm="1">
        <f t="array" aca="1" ref="I9" ca="1">IF($H9="",FALSE,NOT(ISNA(MATCH(INDIRECT("OrganizationAccessCasePolicy!D"&amp;$H9)&amp;"|"&amp;$V9,CaseTypeSetMember!$H:$H,0))))</f>
        <v>1</v>
      </c>
      <c r="J9" s="6" t="b" cm="1">
        <f t="array" aca="1" ref="J9" ca="1">IF($H9="",FALSE,AND(INDIRECT("OrganizationAccessCasePolicy!H"&amp;$H9),NOT(ISNA(MATCH(INDIRECT("OrganizationAccessCasePolicy!D"&amp;$H9)&amp;"|"&amp;$V9,CaseTypeSetMember!$H:$H,0)))))</f>
        <v>1</v>
      </c>
      <c r="K9" s="6" t="b" cm="1">
        <f t="array" aca="1" ref="K9" ca="1">IF($H9="",FALSE,AND(INDIRECT("OrganizationAccessCasePolicy!I"&amp;$H9),NOT(ISNA(MATCH(INDIRECT("OrganizationAccessCasePolicy!D"&amp;$H9)&amp;"|"&amp;$V9,CaseTypeSetMember!$H:$H,0)))))</f>
        <v>1</v>
      </c>
      <c r="L9" s="6" t="str">
        <f>IF(ISNA(MATCH($C9&amp;"|"&amp;$R9,UserAccessCasePolicy!$W:$W,0)),"",MATCH($C9&amp;"|"&amp;$R9,UserAccessCasePolicy!$W:$W,0))</f>
        <v/>
      </c>
      <c r="M9" s="6" t="b" cm="1">
        <f t="array" aca="1" ref="M9" ca="1">IF($L9="",FALSE,NOT(ISNA(MATCH(INDIRECT("UserAccessCasePolicy!D"&amp;$L9)&amp;"|"&amp;$V9,CaseTypeSetMember!$H:$H,0))))</f>
        <v>0</v>
      </c>
      <c r="N9" s="6" t="b" cm="1">
        <f t="array" aca="1" ref="N9" ca="1">IF($L9="",FALSE,AND(INDIRECT("UserAccessCasePolicy!G"&amp;$L9),NOT(ISNA(MATCH(INDIRECT("UserAccessCasePolicy!D"&amp;$L9)&amp;"|"&amp;$V9,CaseTypeSetMember!$H:$H,0)))))</f>
        <v>0</v>
      </c>
      <c r="O9" s="6" t="b" cm="1">
        <f t="array" aca="1" ref="O9" ca="1">IF($L9="",FALSE,AND(INDIRECT("UserAccessCasePolicy!H"&amp;$L9),NOT(ISNA(MATCH(INDIRECT("UserAccessCasePolicy!D"&amp;$L9)&amp;"|"&amp;$V9,CaseTypeSetMember!$H:$H,0)))))</f>
        <v>0</v>
      </c>
      <c r="P9" t="s">
        <v>115</v>
      </c>
      <c r="Q9" s="6" t="str">
        <f>INDEX(CaseType!$B:$B,MATCH($P9,CaseType!$A:$A,0))</f>
        <v>case_type1</v>
      </c>
      <c r="R9" t="s">
        <v>11</v>
      </c>
      <c r="S9" s="6" t="str">
        <f>INDEX(DataCollection!$B:$B,MATCH($R9,DataCollection!$A:$A,0))</f>
        <v>data_collection1</v>
      </c>
      <c r="T9" t="b">
        <v>0</v>
      </c>
      <c r="U9" t="s">
        <v>693</v>
      </c>
      <c r="V9" s="6" t="str">
        <f>INDEX(_CaseData!$B:$B,MATCH($U9,_CaseData!$A:$A,0))</f>
        <v>0195d18c-1ca6-fd99-9d76-fcfa0c0cf400</v>
      </c>
      <c r="W9" t="s">
        <v>11</v>
      </c>
      <c r="X9" s="6" t="b">
        <f t="shared" si="2"/>
        <v>1</v>
      </c>
      <c r="Y9" s="6" t="b">
        <f t="shared" si="0"/>
        <v>1</v>
      </c>
    </row>
    <row r="10" spans="1:25" x14ac:dyDescent="0.3">
      <c r="A10">
        <v>9</v>
      </c>
      <c r="B10" t="b">
        <v>1</v>
      </c>
      <c r="C10" t="s">
        <v>47</v>
      </c>
      <c r="D10" s="6" t="str">
        <f>INDEX(User!$D:$D,MATCH($C10,User!$A:$A,0))</f>
        <v>org_admin2_1</v>
      </c>
      <c r="E10" s="19" t="b">
        <f t="shared" ca="1" si="1"/>
        <v>0</v>
      </c>
      <c r="F10" s="6" t="str">
        <f>INDEX(User!$G:$G,MATCH($C10,User!$A:$A,0))</f>
        <v>0195d18c-1c92-0ed4-2e94-b4f66d82baf3</v>
      </c>
      <c r="G10" s="6" t="b">
        <f>INDEX(User!$M:$M,MATCH($C10,User!$A:$A,0))</f>
        <v>0</v>
      </c>
      <c r="H10" s="6" t="str">
        <f>IF(ISNA(MATCH($F10&amp;"|"&amp;$R10,OrganizationAccessCasePolicy!$V:$V,0)),"",MATCH($F10&amp;"|"&amp;$R10,OrganizationAccessCasePolicy!$V:$V,0))</f>
        <v/>
      </c>
      <c r="I10" s="6" t="b" cm="1">
        <f t="array" aca="1" ref="I10" ca="1">IF($H10="",FALSE,NOT(ISNA(MATCH(INDIRECT("OrganizationAccessCasePolicy!D"&amp;$H10)&amp;"|"&amp;$V10,CaseTypeSetMember!$H:$H,0))))</f>
        <v>0</v>
      </c>
      <c r="J10" s="6" t="b" cm="1">
        <f t="array" aca="1" ref="J10" ca="1">IF($H10="",FALSE,AND(INDIRECT("OrganizationAccessCasePolicy!H"&amp;$H10),NOT(ISNA(MATCH(INDIRECT("OrganizationAccessCasePolicy!D"&amp;$H10)&amp;"|"&amp;$V10,CaseTypeSetMember!$H:$H,0)))))</f>
        <v>0</v>
      </c>
      <c r="K10" s="6" t="b" cm="1">
        <f t="array" aca="1" ref="K10" ca="1">IF($H10="",FALSE,AND(INDIRECT("OrganizationAccessCasePolicy!I"&amp;$H10),NOT(ISNA(MATCH(INDIRECT("OrganizationAccessCasePolicy!D"&amp;$H10)&amp;"|"&amp;$V10,CaseTypeSetMember!$H:$H,0)))))</f>
        <v>0</v>
      </c>
      <c r="L10" s="6" t="str">
        <f>IF(ISNA(MATCH($C10&amp;"|"&amp;$R10,UserAccessCasePolicy!$W:$W,0)),"",MATCH($C10&amp;"|"&amp;$R10,UserAccessCasePolicy!$W:$W,0))</f>
        <v/>
      </c>
      <c r="M10" s="6" t="b" cm="1">
        <f t="array" aca="1" ref="M10" ca="1">IF($L10="",FALSE,NOT(ISNA(MATCH(INDIRECT("UserAccessCasePolicy!D"&amp;$L10)&amp;"|"&amp;$V10,CaseTypeSetMember!$H:$H,0))))</f>
        <v>0</v>
      </c>
      <c r="N10" s="6" t="b" cm="1">
        <f t="array" aca="1" ref="N10" ca="1">IF($L10="",FALSE,AND(INDIRECT("UserAccessCasePolicy!G"&amp;$L10),NOT(ISNA(MATCH(INDIRECT("UserAccessCasePolicy!D"&amp;$L10)&amp;"|"&amp;$V10,CaseTypeSetMember!$H:$H,0)))))</f>
        <v>0</v>
      </c>
      <c r="O10" s="6" t="b" cm="1">
        <f t="array" aca="1" ref="O10" ca="1">IF($L10="",FALSE,AND(INDIRECT("UserAccessCasePolicy!H"&amp;$L10),NOT(ISNA(MATCH(INDIRECT("UserAccessCasePolicy!D"&amp;$L10)&amp;"|"&amp;$V10,CaseTypeSetMember!$H:$H,0)))))</f>
        <v>0</v>
      </c>
      <c r="P10" t="s">
        <v>115</v>
      </c>
      <c r="Q10" s="6" t="str">
        <f>INDEX(CaseType!$B:$B,MATCH($P10,CaseType!$A:$A,0))</f>
        <v>case_type1</v>
      </c>
      <c r="R10" t="s">
        <v>11</v>
      </c>
      <c r="S10" s="6" t="str">
        <f>INDEX(DataCollection!$B:$B,MATCH($R10,DataCollection!$A:$A,0))</f>
        <v>data_collection1</v>
      </c>
      <c r="T10" t="b">
        <v>0</v>
      </c>
      <c r="U10" t="s">
        <v>693</v>
      </c>
      <c r="V10" s="6" t="str">
        <f>INDEX(_CaseData!$B:$B,MATCH($U10,_CaseData!$A:$A,0))</f>
        <v>0195d18c-1ca6-fd99-9d76-fcfa0c0cf400</v>
      </c>
      <c r="W10" t="s">
        <v>11</v>
      </c>
      <c r="X10" s="6" t="b">
        <f t="shared" si="2"/>
        <v>1</v>
      </c>
      <c r="Y10" s="6" t="b">
        <f t="shared" si="0"/>
        <v>1</v>
      </c>
    </row>
    <row r="11" spans="1:25" x14ac:dyDescent="0.3">
      <c r="A11">
        <v>10</v>
      </c>
      <c r="B11" t="b">
        <v>1</v>
      </c>
      <c r="C11" t="s">
        <v>50</v>
      </c>
      <c r="D11" s="6" t="str">
        <f>INDEX(User!$D:$D,MATCH($C11,User!$A:$A,0))</f>
        <v>org_admin3_1</v>
      </c>
      <c r="E11" s="19" t="b">
        <f t="shared" ca="1" si="1"/>
        <v>0</v>
      </c>
      <c r="F11" s="6" t="str">
        <f>INDEX(User!$G:$G,MATCH($C11,User!$A:$A,0))</f>
        <v>0195d18c-1c92-52b3-93e0-43dc1f2aa037</v>
      </c>
      <c r="G11" s="6" t="b">
        <f>INDEX(User!$M:$M,MATCH($C11,User!$A:$A,0))</f>
        <v>0</v>
      </c>
      <c r="H11" s="6" t="str">
        <f>IF(ISNA(MATCH($F11&amp;"|"&amp;$R11,OrganizationAccessCasePolicy!$V:$V,0)),"",MATCH($F11&amp;"|"&amp;$R11,OrganizationAccessCasePolicy!$V:$V,0))</f>
        <v/>
      </c>
      <c r="I11" s="6" t="b" cm="1">
        <f t="array" aca="1" ref="I11" ca="1">IF($H11="",FALSE,NOT(ISNA(MATCH(INDIRECT("OrganizationAccessCasePolicy!D"&amp;$H11)&amp;"|"&amp;$V11,CaseTypeSetMember!$H:$H,0))))</f>
        <v>0</v>
      </c>
      <c r="J11" s="6" t="b" cm="1">
        <f t="array" aca="1" ref="J11" ca="1">IF($H11="",FALSE,AND(INDIRECT("OrganizationAccessCasePolicy!H"&amp;$H11),NOT(ISNA(MATCH(INDIRECT("OrganizationAccessCasePolicy!D"&amp;$H11)&amp;"|"&amp;$V11,CaseTypeSetMember!$H:$H,0)))))</f>
        <v>0</v>
      </c>
      <c r="K11" s="6" t="b" cm="1">
        <f t="array" aca="1" ref="K11" ca="1">IF($H11="",FALSE,AND(INDIRECT("OrganizationAccessCasePolicy!I"&amp;$H11),NOT(ISNA(MATCH(INDIRECT("OrganizationAccessCasePolicy!D"&amp;$H11)&amp;"|"&amp;$V11,CaseTypeSetMember!$H:$H,0)))))</f>
        <v>0</v>
      </c>
      <c r="L11" s="6" t="str">
        <f>IF(ISNA(MATCH($C11&amp;"|"&amp;$R11,UserAccessCasePolicy!$W:$W,0)),"",MATCH($C11&amp;"|"&amp;$R11,UserAccessCasePolicy!$W:$W,0))</f>
        <v/>
      </c>
      <c r="M11" s="6" t="b" cm="1">
        <f t="array" aca="1" ref="M11" ca="1">IF($L11="",FALSE,NOT(ISNA(MATCH(INDIRECT("UserAccessCasePolicy!D"&amp;$L11)&amp;"|"&amp;$V11,CaseTypeSetMember!$H:$H,0))))</f>
        <v>0</v>
      </c>
      <c r="N11" s="6" t="b" cm="1">
        <f t="array" aca="1" ref="N11" ca="1">IF($L11="",FALSE,AND(INDIRECT("UserAccessCasePolicy!G"&amp;$L11),NOT(ISNA(MATCH(INDIRECT("UserAccessCasePolicy!D"&amp;$L11)&amp;"|"&amp;$V11,CaseTypeSetMember!$H:$H,0)))))</f>
        <v>0</v>
      </c>
      <c r="O11" s="6" t="b" cm="1">
        <f t="array" aca="1" ref="O11" ca="1">IF($L11="",FALSE,AND(INDIRECT("UserAccessCasePolicy!H"&amp;$L11),NOT(ISNA(MATCH(INDIRECT("UserAccessCasePolicy!D"&amp;$L11)&amp;"|"&amp;$V11,CaseTypeSetMember!$H:$H,0)))))</f>
        <v>0</v>
      </c>
      <c r="P11" t="s">
        <v>115</v>
      </c>
      <c r="Q11" s="6" t="str">
        <f>INDEX(CaseType!$B:$B,MATCH($P11,CaseType!$A:$A,0))</f>
        <v>case_type1</v>
      </c>
      <c r="R11" t="s">
        <v>11</v>
      </c>
      <c r="S11" s="6" t="str">
        <f>INDEX(DataCollection!$B:$B,MATCH($R11,DataCollection!$A:$A,0))</f>
        <v>data_collection1</v>
      </c>
      <c r="T11" t="b">
        <v>0</v>
      </c>
      <c r="U11" t="s">
        <v>693</v>
      </c>
      <c r="V11" s="6" t="str">
        <f>INDEX(_CaseData!$B:$B,MATCH($U11,_CaseData!$A:$A,0))</f>
        <v>0195d18c-1ca6-fd99-9d76-fcfa0c0cf400</v>
      </c>
      <c r="W11" t="s">
        <v>11</v>
      </c>
      <c r="X11" s="6" t="b">
        <f t="shared" si="2"/>
        <v>1</v>
      </c>
      <c r="Y11" s="6" t="b">
        <f t="shared" si="0"/>
        <v>1</v>
      </c>
    </row>
    <row r="12" spans="1:25" x14ac:dyDescent="0.3">
      <c r="A12">
        <v>11</v>
      </c>
      <c r="B12" t="b">
        <v>1</v>
      </c>
      <c r="C12" t="s">
        <v>53</v>
      </c>
      <c r="D12" s="6" t="str">
        <f>INDEX(User!$D:$D,MATCH($C12,User!$A:$A,0))</f>
        <v>org_admin4_1</v>
      </c>
      <c r="E12" s="19" t="b">
        <f t="shared" ca="1" si="1"/>
        <v>0</v>
      </c>
      <c r="F12" s="6" t="str">
        <f>INDEX(User!$G:$G,MATCH($C12,User!$A:$A,0))</f>
        <v>0195d18c-1c92-d419-4c71-a570f428499b</v>
      </c>
      <c r="G12" s="6" t="b">
        <f>INDEX(User!$M:$M,MATCH($C12,User!$A:$A,0))</f>
        <v>0</v>
      </c>
      <c r="H12" s="6" t="str">
        <f>IF(ISNA(MATCH($F12&amp;"|"&amp;$R12,OrganizationAccessCasePolicy!$V:$V,0)),"",MATCH($F12&amp;"|"&amp;$R12,OrganizationAccessCasePolicy!$V:$V,0))</f>
        <v/>
      </c>
      <c r="I12" s="6" t="b" cm="1">
        <f t="array" aca="1" ref="I12" ca="1">IF($H12="",FALSE,NOT(ISNA(MATCH(INDIRECT("OrganizationAccessCasePolicy!D"&amp;$H12)&amp;"|"&amp;$V12,CaseTypeSetMember!$H:$H,0))))</f>
        <v>0</v>
      </c>
      <c r="J12" s="6" t="b" cm="1">
        <f t="array" aca="1" ref="J12" ca="1">IF($H12="",FALSE,AND(INDIRECT("OrganizationAccessCasePolicy!H"&amp;$H12),NOT(ISNA(MATCH(INDIRECT("OrganizationAccessCasePolicy!D"&amp;$H12)&amp;"|"&amp;$V12,CaseTypeSetMember!$H:$H,0)))))</f>
        <v>0</v>
      </c>
      <c r="K12" s="6" t="b" cm="1">
        <f t="array" aca="1" ref="K12" ca="1">IF($H12="",FALSE,AND(INDIRECT("OrganizationAccessCasePolicy!I"&amp;$H12),NOT(ISNA(MATCH(INDIRECT("OrganizationAccessCasePolicy!D"&amp;$H12)&amp;"|"&amp;$V12,CaseTypeSetMember!$H:$H,0)))))</f>
        <v>0</v>
      </c>
      <c r="L12" s="6" t="str">
        <f>IF(ISNA(MATCH($C12&amp;"|"&amp;$R12,UserAccessCasePolicy!$W:$W,0)),"",MATCH($C12&amp;"|"&amp;$R12,UserAccessCasePolicy!$W:$W,0))</f>
        <v/>
      </c>
      <c r="M12" s="6" t="b" cm="1">
        <f t="array" aca="1" ref="M12" ca="1">IF($L12="",FALSE,NOT(ISNA(MATCH(INDIRECT("UserAccessCasePolicy!D"&amp;$L12)&amp;"|"&amp;$V12,CaseTypeSetMember!$H:$H,0))))</f>
        <v>0</v>
      </c>
      <c r="N12" s="6" t="b" cm="1">
        <f t="array" aca="1" ref="N12" ca="1">IF($L12="",FALSE,AND(INDIRECT("UserAccessCasePolicy!G"&amp;$L12),NOT(ISNA(MATCH(INDIRECT("UserAccessCasePolicy!D"&amp;$L12)&amp;"|"&amp;$V12,CaseTypeSetMember!$H:$H,0)))))</f>
        <v>0</v>
      </c>
      <c r="O12" s="6" t="b" cm="1">
        <f t="array" aca="1" ref="O12" ca="1">IF($L12="",FALSE,AND(INDIRECT("UserAccessCasePolicy!H"&amp;$L12),NOT(ISNA(MATCH(INDIRECT("UserAccessCasePolicy!D"&amp;$L12)&amp;"|"&amp;$V12,CaseTypeSetMember!$H:$H,0)))))</f>
        <v>0</v>
      </c>
      <c r="P12" t="s">
        <v>115</v>
      </c>
      <c r="Q12" s="6" t="str">
        <f>INDEX(CaseType!$B:$B,MATCH($P12,CaseType!$A:$A,0))</f>
        <v>case_type1</v>
      </c>
      <c r="R12" t="s">
        <v>11</v>
      </c>
      <c r="S12" s="6" t="str">
        <f>INDEX(DataCollection!$B:$B,MATCH($R12,DataCollection!$A:$A,0))</f>
        <v>data_collection1</v>
      </c>
      <c r="T12" t="b">
        <v>0</v>
      </c>
      <c r="U12" t="s">
        <v>693</v>
      </c>
      <c r="V12" s="6" t="str">
        <f>INDEX(_CaseData!$B:$B,MATCH($U12,_CaseData!$A:$A,0))</f>
        <v>0195d18c-1ca6-fd99-9d76-fcfa0c0cf400</v>
      </c>
      <c r="W12" t="s">
        <v>11</v>
      </c>
      <c r="X12" s="6" t="b">
        <f t="shared" si="2"/>
        <v>1</v>
      </c>
      <c r="Y12" s="6" t="b">
        <f t="shared" si="0"/>
        <v>1</v>
      </c>
    </row>
    <row r="13" spans="1:25" x14ac:dyDescent="0.3">
      <c r="A13">
        <v>12</v>
      </c>
      <c r="B13" t="b">
        <v>1</v>
      </c>
      <c r="C13" t="s">
        <v>56</v>
      </c>
      <c r="D13" s="6" t="str">
        <f>INDEX(User!$D:$D,MATCH($C13,User!$A:$A,0))</f>
        <v>org_admin5_1</v>
      </c>
      <c r="E13" s="19" t="b">
        <f t="shared" ca="1" si="1"/>
        <v>0</v>
      </c>
      <c r="F13" s="6" t="str">
        <f>INDEX(User!$G:$G,MATCH($C13,User!$A:$A,0))</f>
        <v>0195d18c-1c93-02a2-6920-7e4dbfb73ce0</v>
      </c>
      <c r="G13" s="6" t="b">
        <f>INDEX(User!$M:$M,MATCH($C13,User!$A:$A,0))</f>
        <v>0</v>
      </c>
      <c r="H13" s="6" t="str">
        <f>IF(ISNA(MATCH($F13&amp;"|"&amp;$R13,OrganizationAccessCasePolicy!$V:$V,0)),"",MATCH($F13&amp;"|"&amp;$R13,OrganizationAccessCasePolicy!$V:$V,0))</f>
        <v/>
      </c>
      <c r="I13" s="6" t="b" cm="1">
        <f t="array" aca="1" ref="I13" ca="1">IF($H13="",FALSE,NOT(ISNA(MATCH(INDIRECT("OrganizationAccessCasePolicy!D"&amp;$H13)&amp;"|"&amp;$V13,CaseTypeSetMember!$H:$H,0))))</f>
        <v>0</v>
      </c>
      <c r="J13" s="6" t="b" cm="1">
        <f t="array" aca="1" ref="J13" ca="1">IF($H13="",FALSE,AND(INDIRECT("OrganizationAccessCasePolicy!H"&amp;$H13),NOT(ISNA(MATCH(INDIRECT("OrganizationAccessCasePolicy!D"&amp;$H13)&amp;"|"&amp;$V13,CaseTypeSetMember!$H:$H,0)))))</f>
        <v>0</v>
      </c>
      <c r="K13" s="6" t="b" cm="1">
        <f t="array" aca="1" ref="K13" ca="1">IF($H13="",FALSE,AND(INDIRECT("OrganizationAccessCasePolicy!I"&amp;$H13),NOT(ISNA(MATCH(INDIRECT("OrganizationAccessCasePolicy!D"&amp;$H13)&amp;"|"&amp;$V13,CaseTypeSetMember!$H:$H,0)))))</f>
        <v>0</v>
      </c>
      <c r="L13" s="6" t="str">
        <f>IF(ISNA(MATCH($C13&amp;"|"&amp;$R13,UserAccessCasePolicy!$W:$W,0)),"",MATCH($C13&amp;"|"&amp;$R13,UserAccessCasePolicy!$W:$W,0))</f>
        <v/>
      </c>
      <c r="M13" s="6" t="b" cm="1">
        <f t="array" aca="1" ref="M13" ca="1">IF($L13="",FALSE,NOT(ISNA(MATCH(INDIRECT("UserAccessCasePolicy!D"&amp;$L13)&amp;"|"&amp;$V13,CaseTypeSetMember!$H:$H,0))))</f>
        <v>0</v>
      </c>
      <c r="N13" s="6" t="b" cm="1">
        <f t="array" aca="1" ref="N13" ca="1">IF($L13="",FALSE,AND(INDIRECT("UserAccessCasePolicy!G"&amp;$L13),NOT(ISNA(MATCH(INDIRECT("UserAccessCasePolicy!D"&amp;$L13)&amp;"|"&amp;$V13,CaseTypeSetMember!$H:$H,0)))))</f>
        <v>0</v>
      </c>
      <c r="O13" s="6" t="b" cm="1">
        <f t="array" aca="1" ref="O13" ca="1">IF($L13="",FALSE,AND(INDIRECT("UserAccessCasePolicy!H"&amp;$L13),NOT(ISNA(MATCH(INDIRECT("UserAccessCasePolicy!D"&amp;$L13)&amp;"|"&amp;$V13,CaseTypeSetMember!$H:$H,0)))))</f>
        <v>0</v>
      </c>
      <c r="P13" t="s">
        <v>115</v>
      </c>
      <c r="Q13" s="6" t="str">
        <f>INDEX(CaseType!$B:$B,MATCH($P13,CaseType!$A:$A,0))</f>
        <v>case_type1</v>
      </c>
      <c r="R13" t="s">
        <v>11</v>
      </c>
      <c r="S13" s="6" t="str">
        <f>INDEX(DataCollection!$B:$B,MATCH($R13,DataCollection!$A:$A,0))</f>
        <v>data_collection1</v>
      </c>
      <c r="T13" t="b">
        <v>0</v>
      </c>
      <c r="U13" t="s">
        <v>693</v>
      </c>
      <c r="V13" s="6" t="str">
        <f>INDEX(_CaseData!$B:$B,MATCH($U13,_CaseData!$A:$A,0))</f>
        <v>0195d18c-1ca6-fd99-9d76-fcfa0c0cf400</v>
      </c>
      <c r="W13" t="s">
        <v>11</v>
      </c>
      <c r="X13" s="6" t="b">
        <f t="shared" si="2"/>
        <v>1</v>
      </c>
      <c r="Y13" s="6" t="b">
        <f t="shared" si="0"/>
        <v>1</v>
      </c>
    </row>
    <row r="14" spans="1:25" x14ac:dyDescent="0.3">
      <c r="A14">
        <v>13</v>
      </c>
      <c r="B14" t="b">
        <v>1</v>
      </c>
      <c r="C14" t="s">
        <v>10</v>
      </c>
      <c r="D14" s="6" t="str">
        <f>INDEX(User!$D:$D,MATCH($C14,User!$A:$A,0))</f>
        <v>org_user1_1</v>
      </c>
      <c r="E14" s="19" t="b">
        <f t="shared" ca="1" si="1"/>
        <v>1</v>
      </c>
      <c r="F14" s="6" t="str">
        <f>INDEX(User!$G:$G,MATCH($C14,User!$A:$A,0))</f>
        <v>018d074d-ea0c-e942-07db-a3cc0ba1d653</v>
      </c>
      <c r="G14" s="6" t="b">
        <f>INDEX(User!$M:$M,MATCH($C14,User!$A:$A,0))</f>
        <v>0</v>
      </c>
      <c r="H14" s="6">
        <f>IF(ISNA(MATCH($F14&amp;"|"&amp;$R14,OrganizationAccessCasePolicy!$V:$V,0)),"",MATCH($F14&amp;"|"&amp;$R14,OrganizationAccessCasePolicy!$V:$V,0))</f>
        <v>2</v>
      </c>
      <c r="I14" s="6" t="b" cm="1">
        <f t="array" aca="1" ref="I14" ca="1">IF($H14="",FALSE,NOT(ISNA(MATCH(INDIRECT("OrganizationAccessCasePolicy!D"&amp;$H14)&amp;"|"&amp;$V14,CaseTypeSetMember!$H:$H,0))))</f>
        <v>1</v>
      </c>
      <c r="J14" s="6" t="b" cm="1">
        <f t="array" aca="1" ref="J14" ca="1">IF($H14="",FALSE,AND(INDIRECT("OrganizationAccessCasePolicy!H"&amp;$H14),NOT(ISNA(MATCH(INDIRECT("OrganizationAccessCasePolicy!D"&amp;$H14)&amp;"|"&amp;$V14,CaseTypeSetMember!$H:$H,0)))))</f>
        <v>1</v>
      </c>
      <c r="K14" s="6" t="b" cm="1">
        <f t="array" aca="1" ref="K14" ca="1">IF($H14="",FALSE,AND(INDIRECT("OrganizationAccessCasePolicy!I"&amp;$H14),NOT(ISNA(MATCH(INDIRECT("OrganizationAccessCasePolicy!D"&amp;$H14)&amp;"|"&amp;$V14,CaseTypeSetMember!$H:$H,0)))))</f>
        <v>1</v>
      </c>
      <c r="L14" s="6">
        <f>IF(ISNA(MATCH($C14&amp;"|"&amp;$R14,UserAccessCasePolicy!$W:$W,0)),"",MATCH($C14&amp;"|"&amp;$R14,UserAccessCasePolicy!$W:$W,0))</f>
        <v>2</v>
      </c>
      <c r="M14" s="6" t="b" cm="1">
        <f t="array" aca="1" ref="M14" ca="1">IF($L14="",FALSE,NOT(ISNA(MATCH(INDIRECT("UserAccessCasePolicy!D"&amp;$L14)&amp;"|"&amp;$V14,CaseTypeSetMember!$H:$H,0))))</f>
        <v>1</v>
      </c>
      <c r="N14" s="6" t="b" cm="1">
        <f t="array" aca="1" ref="N14" ca="1">IF($L14="",FALSE,AND(INDIRECT("UserAccessCasePolicy!G"&amp;$L14),NOT(ISNA(MATCH(INDIRECT("UserAccessCasePolicy!D"&amp;$L14)&amp;"|"&amp;$V14,CaseTypeSetMember!$H:$H,0)))))</f>
        <v>1</v>
      </c>
      <c r="O14" s="6" t="b" cm="1">
        <f t="array" aca="1" ref="O14" ca="1">IF($L14="",FALSE,AND(INDIRECT("UserAccessCasePolicy!H"&amp;$L14),NOT(ISNA(MATCH(INDIRECT("UserAccessCasePolicy!D"&amp;$L14)&amp;"|"&amp;$V14,CaseTypeSetMember!$H:$H,0)))))</f>
        <v>1</v>
      </c>
      <c r="P14" t="s">
        <v>115</v>
      </c>
      <c r="Q14" s="6" t="str">
        <f>INDEX(CaseType!$B:$B,MATCH($P14,CaseType!$A:$A,0))</f>
        <v>case_type1</v>
      </c>
      <c r="R14" t="s">
        <v>11</v>
      </c>
      <c r="S14" s="6" t="str">
        <f>INDEX(DataCollection!$B:$B,MATCH($R14,DataCollection!$A:$A,0))</f>
        <v>data_collection1</v>
      </c>
      <c r="T14" t="b">
        <v>0</v>
      </c>
      <c r="U14" t="s">
        <v>693</v>
      </c>
      <c r="V14" s="6" t="str">
        <f>INDEX(_CaseData!$B:$B,MATCH($U14,_CaseData!$A:$A,0))</f>
        <v>0195d18c-1ca6-fd99-9d76-fcfa0c0cf400</v>
      </c>
      <c r="W14" t="s">
        <v>11</v>
      </c>
      <c r="X14" s="6" t="b">
        <f t="shared" si="2"/>
        <v>1</v>
      </c>
      <c r="Y14" s="6" t="b">
        <f t="shared" si="0"/>
        <v>1</v>
      </c>
    </row>
    <row r="15" spans="1:25" x14ac:dyDescent="0.3">
      <c r="A15">
        <v>14</v>
      </c>
      <c r="B15" t="b">
        <v>1</v>
      </c>
      <c r="C15" t="s">
        <v>12</v>
      </c>
      <c r="D15" s="6" t="str">
        <f>INDEX(User!$D:$D,MATCH($C15,User!$A:$A,0))</f>
        <v>org_user1_2</v>
      </c>
      <c r="E15" s="19" t="b">
        <f t="shared" ca="1" si="1"/>
        <v>0</v>
      </c>
      <c r="F15" s="6" t="str">
        <f>INDEX(User!$G:$G,MATCH($C15,User!$A:$A,0))</f>
        <v>018d074d-ea0c-e942-07db-a3cc0ba1d653</v>
      </c>
      <c r="G15" s="6" t="b">
        <f>INDEX(User!$M:$M,MATCH($C15,User!$A:$A,0))</f>
        <v>0</v>
      </c>
      <c r="H15" s="6">
        <f>IF(ISNA(MATCH($F15&amp;"|"&amp;$R15,OrganizationAccessCasePolicy!$V:$V,0)),"",MATCH($F15&amp;"|"&amp;$R15,OrganizationAccessCasePolicy!$V:$V,0))</f>
        <v>2</v>
      </c>
      <c r="I15" s="6" t="b" cm="1">
        <f t="array" aca="1" ref="I15" ca="1">IF($H15="",FALSE,NOT(ISNA(MATCH(INDIRECT("OrganizationAccessCasePolicy!D"&amp;$H15)&amp;"|"&amp;$V15,CaseTypeSetMember!$H:$H,0))))</f>
        <v>1</v>
      </c>
      <c r="J15" s="6" t="b" cm="1">
        <f t="array" aca="1" ref="J15" ca="1">IF($H15="",FALSE,AND(INDIRECT("OrganizationAccessCasePolicy!H"&amp;$H15),NOT(ISNA(MATCH(INDIRECT("OrganizationAccessCasePolicy!D"&amp;$H15)&amp;"|"&amp;$V15,CaseTypeSetMember!$H:$H,0)))))</f>
        <v>1</v>
      </c>
      <c r="K15" s="6" t="b" cm="1">
        <f t="array" aca="1" ref="K15" ca="1">IF($H15="",FALSE,AND(INDIRECT("OrganizationAccessCasePolicy!I"&amp;$H15),NOT(ISNA(MATCH(INDIRECT("OrganizationAccessCasePolicy!D"&amp;$H15)&amp;"|"&amp;$V15,CaseTypeSetMember!$H:$H,0)))))</f>
        <v>1</v>
      </c>
      <c r="L15" s="6" t="str">
        <f>IF(ISNA(MATCH($C15&amp;"|"&amp;$R15,UserAccessCasePolicy!$W:$W,0)),"",MATCH($C15&amp;"|"&amp;$R15,UserAccessCasePolicy!$W:$W,0))</f>
        <v/>
      </c>
      <c r="M15" s="6" t="b" cm="1">
        <f t="array" aca="1" ref="M15" ca="1">IF($L15="",FALSE,NOT(ISNA(MATCH(INDIRECT("UserAccessCasePolicy!D"&amp;$L15)&amp;"|"&amp;$V15,CaseTypeSetMember!$H:$H,0))))</f>
        <v>0</v>
      </c>
      <c r="N15" s="6" t="b" cm="1">
        <f t="array" aca="1" ref="N15" ca="1">IF($L15="",FALSE,AND(INDIRECT("UserAccessCasePolicy!G"&amp;$L15),NOT(ISNA(MATCH(INDIRECT("UserAccessCasePolicy!D"&amp;$L15)&amp;"|"&amp;$V15,CaseTypeSetMember!$H:$H,0)))))</f>
        <v>0</v>
      </c>
      <c r="O15" s="6" t="b" cm="1">
        <f t="array" aca="1" ref="O15" ca="1">IF($L15="",FALSE,AND(INDIRECT("UserAccessCasePolicy!H"&amp;$L15),NOT(ISNA(MATCH(INDIRECT("UserAccessCasePolicy!D"&amp;$L15)&amp;"|"&amp;$V15,CaseTypeSetMember!$H:$H,0)))))</f>
        <v>0</v>
      </c>
      <c r="P15" t="s">
        <v>115</v>
      </c>
      <c r="Q15" s="6" t="str">
        <f>INDEX(CaseType!$B:$B,MATCH($P15,CaseType!$A:$A,0))</f>
        <v>case_type1</v>
      </c>
      <c r="R15" t="s">
        <v>11</v>
      </c>
      <c r="S15" s="6" t="str">
        <f>INDEX(DataCollection!$B:$B,MATCH($R15,DataCollection!$A:$A,0))</f>
        <v>data_collection1</v>
      </c>
      <c r="T15" t="b">
        <v>0</v>
      </c>
      <c r="U15" t="s">
        <v>693</v>
      </c>
      <c r="V15" s="6" t="str">
        <f>INDEX(_CaseData!$B:$B,MATCH($U15,_CaseData!$A:$A,0))</f>
        <v>0195d18c-1ca6-fd99-9d76-fcfa0c0cf400</v>
      </c>
      <c r="W15" t="s">
        <v>11</v>
      </c>
      <c r="X15" s="6" t="b">
        <f t="shared" si="2"/>
        <v>1</v>
      </c>
      <c r="Y15" s="6" t="b">
        <f t="shared" si="0"/>
        <v>1</v>
      </c>
    </row>
    <row r="16" spans="1:25" x14ac:dyDescent="0.3">
      <c r="A16">
        <v>15</v>
      </c>
      <c r="B16" t="b">
        <v>1</v>
      </c>
      <c r="C16" t="s">
        <v>13</v>
      </c>
      <c r="D16" s="6" t="str">
        <f>INDEX(User!$D:$D,MATCH($C16,User!$A:$A,0))</f>
        <v>org_user1_3</v>
      </c>
      <c r="E16" s="19" t="b">
        <f t="shared" ca="1" si="1"/>
        <v>0</v>
      </c>
      <c r="F16" s="6" t="str">
        <f>INDEX(User!$G:$G,MATCH($C16,User!$A:$A,0))</f>
        <v>018d074d-ea0c-e942-07db-a3cc0ba1d653</v>
      </c>
      <c r="G16" s="6" t="b">
        <f>INDEX(User!$M:$M,MATCH($C16,User!$A:$A,0))</f>
        <v>0</v>
      </c>
      <c r="H16" s="6">
        <f>IF(ISNA(MATCH($F16&amp;"|"&amp;$R16,OrganizationAccessCasePolicy!$V:$V,0)),"",MATCH($F16&amp;"|"&amp;$R16,OrganizationAccessCasePolicy!$V:$V,0))</f>
        <v>2</v>
      </c>
      <c r="I16" s="6" t="b" cm="1">
        <f t="array" aca="1" ref="I16" ca="1">IF($H16="",FALSE,NOT(ISNA(MATCH(INDIRECT("OrganizationAccessCasePolicy!D"&amp;$H16)&amp;"|"&amp;$V16,CaseTypeSetMember!$H:$H,0))))</f>
        <v>1</v>
      </c>
      <c r="J16" s="6" t="b" cm="1">
        <f t="array" aca="1" ref="J16" ca="1">IF($H16="",FALSE,AND(INDIRECT("OrganizationAccessCasePolicy!H"&amp;$H16),NOT(ISNA(MATCH(INDIRECT("OrganizationAccessCasePolicy!D"&amp;$H16)&amp;"|"&amp;$V16,CaseTypeSetMember!$H:$H,0)))))</f>
        <v>1</v>
      </c>
      <c r="K16" s="6" t="b" cm="1">
        <f t="array" aca="1" ref="K16" ca="1">IF($H16="",FALSE,AND(INDIRECT("OrganizationAccessCasePolicy!I"&amp;$H16),NOT(ISNA(MATCH(INDIRECT("OrganizationAccessCasePolicy!D"&amp;$H16)&amp;"|"&amp;$V16,CaseTypeSetMember!$H:$H,0)))))</f>
        <v>1</v>
      </c>
      <c r="L16" s="6" t="str">
        <f>IF(ISNA(MATCH($C16&amp;"|"&amp;$R16,UserAccessCasePolicy!$W:$W,0)),"",MATCH($C16&amp;"|"&amp;$R16,UserAccessCasePolicy!$W:$W,0))</f>
        <v/>
      </c>
      <c r="M16" s="6" t="b" cm="1">
        <f t="array" aca="1" ref="M16" ca="1">IF($L16="",FALSE,NOT(ISNA(MATCH(INDIRECT("UserAccessCasePolicy!D"&amp;$L16)&amp;"|"&amp;$V16,CaseTypeSetMember!$H:$H,0))))</f>
        <v>0</v>
      </c>
      <c r="N16" s="6" t="b" cm="1">
        <f t="array" aca="1" ref="N16" ca="1">IF($L16="",FALSE,AND(INDIRECT("UserAccessCasePolicy!G"&amp;$L16),NOT(ISNA(MATCH(INDIRECT("UserAccessCasePolicy!D"&amp;$L16)&amp;"|"&amp;$V16,CaseTypeSetMember!$H:$H,0)))))</f>
        <v>0</v>
      </c>
      <c r="O16" s="6" t="b" cm="1">
        <f t="array" aca="1" ref="O16" ca="1">IF($L16="",FALSE,AND(INDIRECT("UserAccessCasePolicy!H"&amp;$L16),NOT(ISNA(MATCH(INDIRECT("UserAccessCasePolicy!D"&amp;$L16)&amp;"|"&amp;$V16,CaseTypeSetMember!$H:$H,0)))))</f>
        <v>0</v>
      </c>
      <c r="P16" t="s">
        <v>115</v>
      </c>
      <c r="Q16" s="6" t="str">
        <f>INDEX(CaseType!$B:$B,MATCH($P16,CaseType!$A:$A,0))</f>
        <v>case_type1</v>
      </c>
      <c r="R16" t="s">
        <v>11</v>
      </c>
      <c r="S16" s="6" t="str">
        <f>INDEX(DataCollection!$B:$B,MATCH($R16,DataCollection!$A:$A,0))</f>
        <v>data_collection1</v>
      </c>
      <c r="T16" t="b">
        <v>0</v>
      </c>
      <c r="U16" t="s">
        <v>693</v>
      </c>
      <c r="V16" s="6" t="str">
        <f>INDEX(_CaseData!$B:$B,MATCH($U16,_CaseData!$A:$A,0))</f>
        <v>0195d18c-1ca6-fd99-9d76-fcfa0c0cf400</v>
      </c>
      <c r="W16" t="s">
        <v>11</v>
      </c>
      <c r="X16" s="6" t="b">
        <f t="shared" si="2"/>
        <v>1</v>
      </c>
      <c r="Y16" s="6" t="b">
        <f t="shared" si="0"/>
        <v>1</v>
      </c>
    </row>
    <row r="17" spans="1:25" x14ac:dyDescent="0.3">
      <c r="A17">
        <v>16</v>
      </c>
      <c r="B17" t="b">
        <v>1</v>
      </c>
      <c r="C17" t="s">
        <v>14</v>
      </c>
      <c r="D17" s="6" t="str">
        <f>INDEX(User!$D:$D,MATCH($C17,User!$A:$A,0))</f>
        <v>org_user1_4</v>
      </c>
      <c r="E17" s="19" t="b">
        <f t="shared" ca="1" si="1"/>
        <v>0</v>
      </c>
      <c r="F17" s="6" t="str">
        <f>INDEX(User!$G:$G,MATCH($C17,User!$A:$A,0))</f>
        <v>018d074d-ea0c-e942-07db-a3cc0ba1d653</v>
      </c>
      <c r="G17" s="6" t="b">
        <f>INDEX(User!$M:$M,MATCH($C17,User!$A:$A,0))</f>
        <v>0</v>
      </c>
      <c r="H17" s="6">
        <f>IF(ISNA(MATCH($F17&amp;"|"&amp;$R17,OrganizationAccessCasePolicy!$V:$V,0)),"",MATCH($F17&amp;"|"&amp;$R17,OrganizationAccessCasePolicy!$V:$V,0))</f>
        <v>2</v>
      </c>
      <c r="I17" s="6" t="b" cm="1">
        <f t="array" aca="1" ref="I17" ca="1">IF($H17="",FALSE,NOT(ISNA(MATCH(INDIRECT("OrganizationAccessCasePolicy!D"&amp;$H17)&amp;"|"&amp;$V17,CaseTypeSetMember!$H:$H,0))))</f>
        <v>1</v>
      </c>
      <c r="J17" s="6" t="b" cm="1">
        <f t="array" aca="1" ref="J17" ca="1">IF($H17="",FALSE,AND(INDIRECT("OrganizationAccessCasePolicy!H"&amp;$H17),NOT(ISNA(MATCH(INDIRECT("OrganizationAccessCasePolicy!D"&amp;$H17)&amp;"|"&amp;$V17,CaseTypeSetMember!$H:$H,0)))))</f>
        <v>1</v>
      </c>
      <c r="K17" s="6" t="b" cm="1">
        <f t="array" aca="1" ref="K17" ca="1">IF($H17="",FALSE,AND(INDIRECT("OrganizationAccessCasePolicy!I"&amp;$H17),NOT(ISNA(MATCH(INDIRECT("OrganizationAccessCasePolicy!D"&amp;$H17)&amp;"|"&amp;$V17,CaseTypeSetMember!$H:$H,0)))))</f>
        <v>1</v>
      </c>
      <c r="L17" s="6" t="str">
        <f>IF(ISNA(MATCH($C17&amp;"|"&amp;$R17,UserAccessCasePolicy!$W:$W,0)),"",MATCH($C17&amp;"|"&amp;$R17,UserAccessCasePolicy!$W:$W,0))</f>
        <v/>
      </c>
      <c r="M17" s="6" t="b" cm="1">
        <f t="array" aca="1" ref="M17" ca="1">IF($L17="",FALSE,NOT(ISNA(MATCH(INDIRECT("UserAccessCasePolicy!D"&amp;$L17)&amp;"|"&amp;$V17,CaseTypeSetMember!$H:$H,0))))</f>
        <v>0</v>
      </c>
      <c r="N17" s="6" t="b" cm="1">
        <f t="array" aca="1" ref="N17" ca="1">IF($L17="",FALSE,AND(INDIRECT("UserAccessCasePolicy!G"&amp;$L17),NOT(ISNA(MATCH(INDIRECT("UserAccessCasePolicy!D"&amp;$L17)&amp;"|"&amp;$V17,CaseTypeSetMember!$H:$H,0)))))</f>
        <v>0</v>
      </c>
      <c r="O17" s="6" t="b" cm="1">
        <f t="array" aca="1" ref="O17" ca="1">IF($L17="",FALSE,AND(INDIRECT("UserAccessCasePolicy!H"&amp;$L17),NOT(ISNA(MATCH(INDIRECT("UserAccessCasePolicy!D"&amp;$L17)&amp;"|"&amp;$V17,CaseTypeSetMember!$H:$H,0)))))</f>
        <v>0</v>
      </c>
      <c r="P17" t="s">
        <v>115</v>
      </c>
      <c r="Q17" s="6" t="str">
        <f>INDEX(CaseType!$B:$B,MATCH($P17,CaseType!$A:$A,0))</f>
        <v>case_type1</v>
      </c>
      <c r="R17" t="s">
        <v>11</v>
      </c>
      <c r="S17" s="6" t="str">
        <f>INDEX(DataCollection!$B:$B,MATCH($R17,DataCollection!$A:$A,0))</f>
        <v>data_collection1</v>
      </c>
      <c r="T17" t="b">
        <v>0</v>
      </c>
      <c r="U17" t="s">
        <v>693</v>
      </c>
      <c r="V17" s="6" t="str">
        <f>INDEX(_CaseData!$B:$B,MATCH($U17,_CaseData!$A:$A,0))</f>
        <v>0195d18c-1ca6-fd99-9d76-fcfa0c0cf400</v>
      </c>
      <c r="W17" t="s">
        <v>11</v>
      </c>
      <c r="X17" s="6" t="b">
        <f t="shared" si="2"/>
        <v>1</v>
      </c>
      <c r="Y17" s="6" t="b">
        <f t="shared" si="0"/>
        <v>1</v>
      </c>
    </row>
    <row r="18" spans="1:25" x14ac:dyDescent="0.3">
      <c r="A18">
        <v>17</v>
      </c>
      <c r="B18" t="b">
        <v>1</v>
      </c>
      <c r="C18" t="s">
        <v>16</v>
      </c>
      <c r="D18" s="6" t="str">
        <f>INDEX(User!$D:$D,MATCH($C18,User!$A:$A,0))</f>
        <v>org_user2_1</v>
      </c>
      <c r="E18" s="19" t="b">
        <f t="shared" ca="1" si="1"/>
        <v>0</v>
      </c>
      <c r="F18" s="6" t="str">
        <f>INDEX(User!$G:$G,MATCH($C18,User!$A:$A,0))</f>
        <v>0195d18c-1c92-0ed4-2e94-b4f66d82baf3</v>
      </c>
      <c r="G18" s="6" t="b">
        <f>INDEX(User!$M:$M,MATCH($C18,User!$A:$A,0))</f>
        <v>0</v>
      </c>
      <c r="H18" s="6" t="str">
        <f>IF(ISNA(MATCH($F18&amp;"|"&amp;$R18,OrganizationAccessCasePolicy!$V:$V,0)),"",MATCH($F18&amp;"|"&amp;$R18,OrganizationAccessCasePolicy!$V:$V,0))</f>
        <v/>
      </c>
      <c r="I18" s="6" t="b" cm="1">
        <f t="array" aca="1" ref="I18" ca="1">IF($H18="",FALSE,NOT(ISNA(MATCH(INDIRECT("OrganizationAccessCasePolicy!D"&amp;$H18)&amp;"|"&amp;$V18,CaseTypeSetMember!$H:$H,0))))</f>
        <v>0</v>
      </c>
      <c r="J18" s="6" t="b" cm="1">
        <f t="array" aca="1" ref="J18" ca="1">IF($H18="",FALSE,AND(INDIRECT("OrganizationAccessCasePolicy!H"&amp;$H18),NOT(ISNA(MATCH(INDIRECT("OrganizationAccessCasePolicy!D"&amp;$H18)&amp;"|"&amp;$V18,CaseTypeSetMember!$H:$H,0)))))</f>
        <v>0</v>
      </c>
      <c r="K18" s="6" t="b" cm="1">
        <f t="array" aca="1" ref="K18" ca="1">IF($H18="",FALSE,AND(INDIRECT("OrganizationAccessCasePolicy!I"&amp;$H18),NOT(ISNA(MATCH(INDIRECT("OrganizationAccessCasePolicy!D"&amp;$H18)&amp;"|"&amp;$V18,CaseTypeSetMember!$H:$H,0)))))</f>
        <v>0</v>
      </c>
      <c r="L18" s="6" t="str">
        <f>IF(ISNA(MATCH($C18&amp;"|"&amp;$R18,UserAccessCasePolicy!$W:$W,0)),"",MATCH($C18&amp;"|"&amp;$R18,UserAccessCasePolicy!$W:$W,0))</f>
        <v/>
      </c>
      <c r="M18" s="6" t="b" cm="1">
        <f t="array" aca="1" ref="M18" ca="1">IF($L18="",FALSE,NOT(ISNA(MATCH(INDIRECT("UserAccessCasePolicy!D"&amp;$L18)&amp;"|"&amp;$V18,CaseTypeSetMember!$H:$H,0))))</f>
        <v>0</v>
      </c>
      <c r="N18" s="6" t="b" cm="1">
        <f t="array" aca="1" ref="N18" ca="1">IF($L18="",FALSE,AND(INDIRECT("UserAccessCasePolicy!G"&amp;$L18),NOT(ISNA(MATCH(INDIRECT("UserAccessCasePolicy!D"&amp;$L18)&amp;"|"&amp;$V18,CaseTypeSetMember!$H:$H,0)))))</f>
        <v>0</v>
      </c>
      <c r="O18" s="6" t="b" cm="1">
        <f t="array" aca="1" ref="O18" ca="1">IF($L18="",FALSE,AND(INDIRECT("UserAccessCasePolicy!H"&amp;$L18),NOT(ISNA(MATCH(INDIRECT("UserAccessCasePolicy!D"&amp;$L18)&amp;"|"&amp;$V18,CaseTypeSetMember!$H:$H,0)))))</f>
        <v>0</v>
      </c>
      <c r="P18" t="s">
        <v>115</v>
      </c>
      <c r="Q18" s="6" t="str">
        <f>INDEX(CaseType!$B:$B,MATCH($P18,CaseType!$A:$A,0))</f>
        <v>case_type1</v>
      </c>
      <c r="R18" t="s">
        <v>11</v>
      </c>
      <c r="S18" s="6" t="str">
        <f>INDEX(DataCollection!$B:$B,MATCH($R18,DataCollection!$A:$A,0))</f>
        <v>data_collection1</v>
      </c>
      <c r="T18" t="b">
        <v>0</v>
      </c>
      <c r="U18" t="s">
        <v>693</v>
      </c>
      <c r="V18" s="6" t="str">
        <f>INDEX(_CaseData!$B:$B,MATCH($U18,_CaseData!$A:$A,0))</f>
        <v>0195d18c-1ca6-fd99-9d76-fcfa0c0cf400</v>
      </c>
      <c r="W18" t="s">
        <v>11</v>
      </c>
      <c r="X18" s="6" t="b">
        <f t="shared" si="2"/>
        <v>1</v>
      </c>
      <c r="Y18" s="6" t="b">
        <f t="shared" si="0"/>
        <v>1</v>
      </c>
    </row>
    <row r="19" spans="1:25" x14ac:dyDescent="0.3">
      <c r="A19">
        <v>18</v>
      </c>
      <c r="B19" t="b">
        <v>1</v>
      </c>
      <c r="C19" t="s">
        <v>18</v>
      </c>
      <c r="D19" s="6" t="str">
        <f>INDEX(User!$D:$D,MATCH($C19,User!$A:$A,0))</f>
        <v>org_user2_2</v>
      </c>
      <c r="E19" s="19" t="b">
        <f t="shared" ca="1" si="1"/>
        <v>0</v>
      </c>
      <c r="F19" s="6" t="str">
        <f>INDEX(User!$G:$G,MATCH($C19,User!$A:$A,0))</f>
        <v>0195d18c-1c92-0ed4-2e94-b4f66d82baf3</v>
      </c>
      <c r="G19" s="6" t="b">
        <f>INDEX(User!$M:$M,MATCH($C19,User!$A:$A,0))</f>
        <v>0</v>
      </c>
      <c r="H19" s="6" t="str">
        <f>IF(ISNA(MATCH($F19&amp;"|"&amp;$R19,OrganizationAccessCasePolicy!$V:$V,0)),"",MATCH($F19&amp;"|"&amp;$R19,OrganizationAccessCasePolicy!$V:$V,0))</f>
        <v/>
      </c>
      <c r="I19" s="6" t="b" cm="1">
        <f t="array" aca="1" ref="I19" ca="1">IF($H19="",FALSE,NOT(ISNA(MATCH(INDIRECT("OrganizationAccessCasePolicy!D"&amp;$H19)&amp;"|"&amp;$V19,CaseTypeSetMember!$H:$H,0))))</f>
        <v>0</v>
      </c>
      <c r="J19" s="6" t="b" cm="1">
        <f t="array" aca="1" ref="J19" ca="1">IF($H19="",FALSE,AND(INDIRECT("OrganizationAccessCasePolicy!H"&amp;$H19),NOT(ISNA(MATCH(INDIRECT("OrganizationAccessCasePolicy!D"&amp;$H19)&amp;"|"&amp;$V19,CaseTypeSetMember!$H:$H,0)))))</f>
        <v>0</v>
      </c>
      <c r="K19" s="6" t="b" cm="1">
        <f t="array" aca="1" ref="K19" ca="1">IF($H19="",FALSE,AND(INDIRECT("OrganizationAccessCasePolicy!I"&amp;$H19),NOT(ISNA(MATCH(INDIRECT("OrganizationAccessCasePolicy!D"&amp;$H19)&amp;"|"&amp;$V19,CaseTypeSetMember!$H:$H,0)))))</f>
        <v>0</v>
      </c>
      <c r="L19" s="6" t="str">
        <f>IF(ISNA(MATCH($C19&amp;"|"&amp;$R19,UserAccessCasePolicy!$W:$W,0)),"",MATCH($C19&amp;"|"&amp;$R19,UserAccessCasePolicy!$W:$W,0))</f>
        <v/>
      </c>
      <c r="M19" s="6" t="b" cm="1">
        <f t="array" aca="1" ref="M19" ca="1">IF($L19="",FALSE,NOT(ISNA(MATCH(INDIRECT("UserAccessCasePolicy!D"&amp;$L19)&amp;"|"&amp;$V19,CaseTypeSetMember!$H:$H,0))))</f>
        <v>0</v>
      </c>
      <c r="N19" s="6" t="b" cm="1">
        <f t="array" aca="1" ref="N19" ca="1">IF($L19="",FALSE,AND(INDIRECT("UserAccessCasePolicy!G"&amp;$L19),NOT(ISNA(MATCH(INDIRECT("UserAccessCasePolicy!D"&amp;$L19)&amp;"|"&amp;$V19,CaseTypeSetMember!$H:$H,0)))))</f>
        <v>0</v>
      </c>
      <c r="O19" s="6" t="b" cm="1">
        <f t="array" aca="1" ref="O19" ca="1">IF($L19="",FALSE,AND(INDIRECT("UserAccessCasePolicy!H"&amp;$L19),NOT(ISNA(MATCH(INDIRECT("UserAccessCasePolicy!D"&amp;$L19)&amp;"|"&amp;$V19,CaseTypeSetMember!$H:$H,0)))))</f>
        <v>0</v>
      </c>
      <c r="P19" t="s">
        <v>115</v>
      </c>
      <c r="Q19" s="6" t="str">
        <f>INDEX(CaseType!$B:$B,MATCH($P19,CaseType!$A:$A,0))</f>
        <v>case_type1</v>
      </c>
      <c r="R19" t="s">
        <v>11</v>
      </c>
      <c r="S19" s="6" t="str">
        <f>INDEX(DataCollection!$B:$B,MATCH($R19,DataCollection!$A:$A,0))</f>
        <v>data_collection1</v>
      </c>
      <c r="T19" t="b">
        <v>0</v>
      </c>
      <c r="U19" t="s">
        <v>693</v>
      </c>
      <c r="V19" s="6" t="str">
        <f>INDEX(_CaseData!$B:$B,MATCH($U19,_CaseData!$A:$A,0))</f>
        <v>0195d18c-1ca6-fd99-9d76-fcfa0c0cf400</v>
      </c>
      <c r="W19" t="s">
        <v>11</v>
      </c>
      <c r="X19" s="6" t="b">
        <f t="shared" si="2"/>
        <v>1</v>
      </c>
      <c r="Y19" s="6" t="b">
        <f t="shared" si="0"/>
        <v>1</v>
      </c>
    </row>
    <row r="20" spans="1:25" x14ac:dyDescent="0.3">
      <c r="A20">
        <v>19</v>
      </c>
      <c r="B20" t="b">
        <v>1</v>
      </c>
      <c r="C20" t="s">
        <v>19</v>
      </c>
      <c r="D20" s="6" t="str">
        <f>INDEX(User!$D:$D,MATCH($C20,User!$A:$A,0))</f>
        <v>org_user2_3</v>
      </c>
      <c r="E20" s="19" t="b">
        <f t="shared" ca="1" si="1"/>
        <v>0</v>
      </c>
      <c r="F20" s="6" t="str">
        <f>INDEX(User!$G:$G,MATCH($C20,User!$A:$A,0))</f>
        <v>0195d18c-1c92-0ed4-2e94-b4f66d82baf3</v>
      </c>
      <c r="G20" s="6" t="b">
        <f>INDEX(User!$M:$M,MATCH($C20,User!$A:$A,0))</f>
        <v>0</v>
      </c>
      <c r="H20" s="6" t="str">
        <f>IF(ISNA(MATCH($F20&amp;"|"&amp;$R20,OrganizationAccessCasePolicy!$V:$V,0)),"",MATCH($F20&amp;"|"&amp;$R20,OrganizationAccessCasePolicy!$V:$V,0))</f>
        <v/>
      </c>
      <c r="I20" s="6" t="b" cm="1">
        <f t="array" aca="1" ref="I20" ca="1">IF($H20="",FALSE,NOT(ISNA(MATCH(INDIRECT("OrganizationAccessCasePolicy!D"&amp;$H20)&amp;"|"&amp;$V20,CaseTypeSetMember!$H:$H,0))))</f>
        <v>0</v>
      </c>
      <c r="J20" s="6" t="b" cm="1">
        <f t="array" aca="1" ref="J20" ca="1">IF($H20="",FALSE,AND(INDIRECT("OrganizationAccessCasePolicy!H"&amp;$H20),NOT(ISNA(MATCH(INDIRECT("OrganizationAccessCasePolicy!D"&amp;$H20)&amp;"|"&amp;$V20,CaseTypeSetMember!$H:$H,0)))))</f>
        <v>0</v>
      </c>
      <c r="K20" s="6" t="b" cm="1">
        <f t="array" aca="1" ref="K20" ca="1">IF($H20="",FALSE,AND(INDIRECT("OrganizationAccessCasePolicy!I"&amp;$H20),NOT(ISNA(MATCH(INDIRECT("OrganizationAccessCasePolicy!D"&amp;$H20)&amp;"|"&amp;$V20,CaseTypeSetMember!$H:$H,0)))))</f>
        <v>0</v>
      </c>
      <c r="L20" s="6" t="str">
        <f>IF(ISNA(MATCH($C20&amp;"|"&amp;$R20,UserAccessCasePolicy!$W:$W,0)),"",MATCH($C20&amp;"|"&amp;$R20,UserAccessCasePolicy!$W:$W,0))</f>
        <v/>
      </c>
      <c r="M20" s="6" t="b" cm="1">
        <f t="array" aca="1" ref="M20" ca="1">IF($L20="",FALSE,NOT(ISNA(MATCH(INDIRECT("UserAccessCasePolicy!D"&amp;$L20)&amp;"|"&amp;$V20,CaseTypeSetMember!$H:$H,0))))</f>
        <v>0</v>
      </c>
      <c r="N20" s="6" t="b" cm="1">
        <f t="array" aca="1" ref="N20" ca="1">IF($L20="",FALSE,AND(INDIRECT("UserAccessCasePolicy!G"&amp;$L20),NOT(ISNA(MATCH(INDIRECT("UserAccessCasePolicy!D"&amp;$L20)&amp;"|"&amp;$V20,CaseTypeSetMember!$H:$H,0)))))</f>
        <v>0</v>
      </c>
      <c r="O20" s="6" t="b" cm="1">
        <f t="array" aca="1" ref="O20" ca="1">IF($L20="",FALSE,AND(INDIRECT("UserAccessCasePolicy!H"&amp;$L20),NOT(ISNA(MATCH(INDIRECT("UserAccessCasePolicy!D"&amp;$L20)&amp;"|"&amp;$V20,CaseTypeSetMember!$H:$H,0)))))</f>
        <v>0</v>
      </c>
      <c r="P20" t="s">
        <v>115</v>
      </c>
      <c r="Q20" s="6" t="str">
        <f>INDEX(CaseType!$B:$B,MATCH($P20,CaseType!$A:$A,0))</f>
        <v>case_type1</v>
      </c>
      <c r="R20" t="s">
        <v>11</v>
      </c>
      <c r="S20" s="6" t="str">
        <f>INDEX(DataCollection!$B:$B,MATCH($R20,DataCollection!$A:$A,0))</f>
        <v>data_collection1</v>
      </c>
      <c r="T20" t="b">
        <v>0</v>
      </c>
      <c r="U20" t="s">
        <v>693</v>
      </c>
      <c r="V20" s="6" t="str">
        <f>INDEX(_CaseData!$B:$B,MATCH($U20,_CaseData!$A:$A,0))</f>
        <v>0195d18c-1ca6-fd99-9d76-fcfa0c0cf400</v>
      </c>
      <c r="W20" t="s">
        <v>11</v>
      </c>
      <c r="X20" s="6" t="b">
        <f t="shared" si="2"/>
        <v>1</v>
      </c>
      <c r="Y20" s="6" t="b">
        <f t="shared" si="0"/>
        <v>1</v>
      </c>
    </row>
    <row r="21" spans="1:25" x14ac:dyDescent="0.3">
      <c r="A21">
        <v>20</v>
      </c>
      <c r="B21" t="b">
        <v>1</v>
      </c>
      <c r="C21" t="s">
        <v>20</v>
      </c>
      <c r="D21" s="6" t="str">
        <f>INDEX(User!$D:$D,MATCH($C21,User!$A:$A,0))</f>
        <v>org_user2_4</v>
      </c>
      <c r="E21" s="19" t="b">
        <f t="shared" ca="1" si="1"/>
        <v>0</v>
      </c>
      <c r="F21" s="6" t="str">
        <f>INDEX(User!$G:$G,MATCH($C21,User!$A:$A,0))</f>
        <v>0195d18c-1c92-0ed4-2e94-b4f66d82baf3</v>
      </c>
      <c r="G21" s="6" t="b">
        <f>INDEX(User!$M:$M,MATCH($C21,User!$A:$A,0))</f>
        <v>0</v>
      </c>
      <c r="H21" s="6" t="str">
        <f>IF(ISNA(MATCH($F21&amp;"|"&amp;$R21,OrganizationAccessCasePolicy!$V:$V,0)),"",MATCH($F21&amp;"|"&amp;$R21,OrganizationAccessCasePolicy!$V:$V,0))</f>
        <v/>
      </c>
      <c r="I21" s="6" t="b" cm="1">
        <f t="array" aca="1" ref="I21" ca="1">IF($H21="",FALSE,NOT(ISNA(MATCH(INDIRECT("OrganizationAccessCasePolicy!D"&amp;$H21)&amp;"|"&amp;$V21,CaseTypeSetMember!$H:$H,0))))</f>
        <v>0</v>
      </c>
      <c r="J21" s="6" t="b" cm="1">
        <f t="array" aca="1" ref="J21" ca="1">IF($H21="",FALSE,AND(INDIRECT("OrganizationAccessCasePolicy!H"&amp;$H21),NOT(ISNA(MATCH(INDIRECT("OrganizationAccessCasePolicy!D"&amp;$H21)&amp;"|"&amp;$V21,CaseTypeSetMember!$H:$H,0)))))</f>
        <v>0</v>
      </c>
      <c r="K21" s="6" t="b" cm="1">
        <f t="array" aca="1" ref="K21" ca="1">IF($H21="",FALSE,AND(INDIRECT("OrganizationAccessCasePolicy!I"&amp;$H21),NOT(ISNA(MATCH(INDIRECT("OrganizationAccessCasePolicy!D"&amp;$H21)&amp;"|"&amp;$V21,CaseTypeSetMember!$H:$H,0)))))</f>
        <v>0</v>
      </c>
      <c r="L21" s="6" t="str">
        <f>IF(ISNA(MATCH($C21&amp;"|"&amp;$R21,UserAccessCasePolicy!$W:$W,0)),"",MATCH($C21&amp;"|"&amp;$R21,UserAccessCasePolicy!$W:$W,0))</f>
        <v/>
      </c>
      <c r="M21" s="6" t="b" cm="1">
        <f t="array" aca="1" ref="M21" ca="1">IF($L21="",FALSE,NOT(ISNA(MATCH(INDIRECT("UserAccessCasePolicy!D"&amp;$L21)&amp;"|"&amp;$V21,CaseTypeSetMember!$H:$H,0))))</f>
        <v>0</v>
      </c>
      <c r="N21" s="6" t="b" cm="1">
        <f t="array" aca="1" ref="N21" ca="1">IF($L21="",FALSE,AND(INDIRECT("UserAccessCasePolicy!G"&amp;$L21),NOT(ISNA(MATCH(INDIRECT("UserAccessCasePolicy!D"&amp;$L21)&amp;"|"&amp;$V21,CaseTypeSetMember!$H:$H,0)))))</f>
        <v>0</v>
      </c>
      <c r="O21" s="6" t="b" cm="1">
        <f t="array" aca="1" ref="O21" ca="1">IF($L21="",FALSE,AND(INDIRECT("UserAccessCasePolicy!H"&amp;$L21),NOT(ISNA(MATCH(INDIRECT("UserAccessCasePolicy!D"&amp;$L21)&amp;"|"&amp;$V21,CaseTypeSetMember!$H:$H,0)))))</f>
        <v>0</v>
      </c>
      <c r="P21" t="s">
        <v>115</v>
      </c>
      <c r="Q21" s="6" t="str">
        <f>INDEX(CaseType!$B:$B,MATCH($P21,CaseType!$A:$A,0))</f>
        <v>case_type1</v>
      </c>
      <c r="R21" t="s">
        <v>11</v>
      </c>
      <c r="S21" s="6" t="str">
        <f>INDEX(DataCollection!$B:$B,MATCH($R21,DataCollection!$A:$A,0))</f>
        <v>data_collection1</v>
      </c>
      <c r="T21" t="b">
        <v>0</v>
      </c>
      <c r="U21" t="s">
        <v>693</v>
      </c>
      <c r="V21" s="6" t="str">
        <f>INDEX(_CaseData!$B:$B,MATCH($U21,_CaseData!$A:$A,0))</f>
        <v>0195d18c-1ca6-fd99-9d76-fcfa0c0cf400</v>
      </c>
      <c r="W21" t="s">
        <v>11</v>
      </c>
      <c r="X21" s="6" t="b">
        <f t="shared" si="2"/>
        <v>1</v>
      </c>
      <c r="Y21" s="6" t="b">
        <f t="shared" si="0"/>
        <v>1</v>
      </c>
    </row>
    <row r="22" spans="1:25" x14ac:dyDescent="0.3">
      <c r="A22">
        <v>21</v>
      </c>
      <c r="B22" t="b">
        <v>1</v>
      </c>
      <c r="C22" t="s">
        <v>22</v>
      </c>
      <c r="D22" s="6" t="str">
        <f>INDEX(User!$D:$D,MATCH($C22,User!$A:$A,0))</f>
        <v>org_user3_1</v>
      </c>
      <c r="E22" s="19" t="b">
        <f t="shared" ca="1" si="1"/>
        <v>0</v>
      </c>
      <c r="F22" s="6" t="str">
        <f>INDEX(User!$G:$G,MATCH($C22,User!$A:$A,0))</f>
        <v>0195d18c-1c92-52b3-93e0-43dc1f2aa037</v>
      </c>
      <c r="G22" s="6" t="b">
        <f>INDEX(User!$M:$M,MATCH($C22,User!$A:$A,0))</f>
        <v>0</v>
      </c>
      <c r="H22" s="6" t="str">
        <f>IF(ISNA(MATCH($F22&amp;"|"&amp;$R22,OrganizationAccessCasePolicy!$V:$V,0)),"",MATCH($F22&amp;"|"&amp;$R22,OrganizationAccessCasePolicy!$V:$V,0))</f>
        <v/>
      </c>
      <c r="I22" s="6" t="b" cm="1">
        <f t="array" aca="1" ref="I22" ca="1">IF($H22="",FALSE,NOT(ISNA(MATCH(INDIRECT("OrganizationAccessCasePolicy!D"&amp;$H22)&amp;"|"&amp;$V22,CaseTypeSetMember!$H:$H,0))))</f>
        <v>0</v>
      </c>
      <c r="J22" s="6" t="b" cm="1">
        <f t="array" aca="1" ref="J22" ca="1">IF($H22="",FALSE,AND(INDIRECT("OrganizationAccessCasePolicy!H"&amp;$H22),NOT(ISNA(MATCH(INDIRECT("OrganizationAccessCasePolicy!D"&amp;$H22)&amp;"|"&amp;$V22,CaseTypeSetMember!$H:$H,0)))))</f>
        <v>0</v>
      </c>
      <c r="K22" s="6" t="b" cm="1">
        <f t="array" aca="1" ref="K22" ca="1">IF($H22="",FALSE,AND(INDIRECT("OrganizationAccessCasePolicy!I"&amp;$H22),NOT(ISNA(MATCH(INDIRECT("OrganizationAccessCasePolicy!D"&amp;$H22)&amp;"|"&amp;$V22,CaseTypeSetMember!$H:$H,0)))))</f>
        <v>0</v>
      </c>
      <c r="L22" s="6" t="str">
        <f>IF(ISNA(MATCH($C22&amp;"|"&amp;$R22,UserAccessCasePolicy!$W:$W,0)),"",MATCH($C22&amp;"|"&amp;$R22,UserAccessCasePolicy!$W:$W,0))</f>
        <v/>
      </c>
      <c r="M22" s="6" t="b" cm="1">
        <f t="array" aca="1" ref="M22" ca="1">IF($L22="",FALSE,NOT(ISNA(MATCH(INDIRECT("UserAccessCasePolicy!D"&amp;$L22)&amp;"|"&amp;$V22,CaseTypeSetMember!$H:$H,0))))</f>
        <v>0</v>
      </c>
      <c r="N22" s="6" t="b" cm="1">
        <f t="array" aca="1" ref="N22" ca="1">IF($L22="",FALSE,AND(INDIRECT("UserAccessCasePolicy!G"&amp;$L22),NOT(ISNA(MATCH(INDIRECT("UserAccessCasePolicy!D"&amp;$L22)&amp;"|"&amp;$V22,CaseTypeSetMember!$H:$H,0)))))</f>
        <v>0</v>
      </c>
      <c r="O22" s="6" t="b" cm="1">
        <f t="array" aca="1" ref="O22" ca="1">IF($L22="",FALSE,AND(INDIRECT("UserAccessCasePolicy!H"&amp;$L22),NOT(ISNA(MATCH(INDIRECT("UserAccessCasePolicy!D"&amp;$L22)&amp;"|"&amp;$V22,CaseTypeSetMember!$H:$H,0)))))</f>
        <v>0</v>
      </c>
      <c r="P22" t="s">
        <v>115</v>
      </c>
      <c r="Q22" s="6" t="str">
        <f>INDEX(CaseType!$B:$B,MATCH($P22,CaseType!$A:$A,0))</f>
        <v>case_type1</v>
      </c>
      <c r="R22" t="s">
        <v>11</v>
      </c>
      <c r="S22" s="6" t="str">
        <f>INDEX(DataCollection!$B:$B,MATCH($R22,DataCollection!$A:$A,0))</f>
        <v>data_collection1</v>
      </c>
      <c r="T22" t="b">
        <v>0</v>
      </c>
      <c r="U22" t="s">
        <v>693</v>
      </c>
      <c r="V22" s="6" t="str">
        <f>INDEX(_CaseData!$B:$B,MATCH($U22,_CaseData!$A:$A,0))</f>
        <v>0195d18c-1ca6-fd99-9d76-fcfa0c0cf400</v>
      </c>
      <c r="W22" t="s">
        <v>11</v>
      </c>
      <c r="X22" s="6" t="b">
        <f t="shared" si="2"/>
        <v>1</v>
      </c>
      <c r="Y22" s="6" t="b">
        <f t="shared" si="0"/>
        <v>1</v>
      </c>
    </row>
    <row r="23" spans="1:25" x14ac:dyDescent="0.3">
      <c r="A23">
        <v>22</v>
      </c>
      <c r="B23" t="b">
        <v>1</v>
      </c>
      <c r="C23" t="s">
        <v>24</v>
      </c>
      <c r="D23" s="6" t="str">
        <f>INDEX(User!$D:$D,MATCH($C23,User!$A:$A,0))</f>
        <v>org_user3_2</v>
      </c>
      <c r="E23" s="19" t="b">
        <f t="shared" ca="1" si="1"/>
        <v>0</v>
      </c>
      <c r="F23" s="6" t="str">
        <f>INDEX(User!$G:$G,MATCH($C23,User!$A:$A,0))</f>
        <v>0195d18c-1c92-52b3-93e0-43dc1f2aa037</v>
      </c>
      <c r="G23" s="6" t="b">
        <f>INDEX(User!$M:$M,MATCH($C23,User!$A:$A,0))</f>
        <v>0</v>
      </c>
      <c r="H23" s="6" t="str">
        <f>IF(ISNA(MATCH($F23&amp;"|"&amp;$R23,OrganizationAccessCasePolicy!$V:$V,0)),"",MATCH($F23&amp;"|"&amp;$R23,OrganizationAccessCasePolicy!$V:$V,0))</f>
        <v/>
      </c>
      <c r="I23" s="6" t="b" cm="1">
        <f t="array" aca="1" ref="I23" ca="1">IF($H23="",FALSE,NOT(ISNA(MATCH(INDIRECT("OrganizationAccessCasePolicy!D"&amp;$H23)&amp;"|"&amp;$V23,CaseTypeSetMember!$H:$H,0))))</f>
        <v>0</v>
      </c>
      <c r="J23" s="6" t="b" cm="1">
        <f t="array" aca="1" ref="J23" ca="1">IF($H23="",FALSE,AND(INDIRECT("OrganizationAccessCasePolicy!H"&amp;$H23),NOT(ISNA(MATCH(INDIRECT("OrganizationAccessCasePolicy!D"&amp;$H23)&amp;"|"&amp;$V23,CaseTypeSetMember!$H:$H,0)))))</f>
        <v>0</v>
      </c>
      <c r="K23" s="6" t="b" cm="1">
        <f t="array" aca="1" ref="K23" ca="1">IF($H23="",FALSE,AND(INDIRECT("OrganizationAccessCasePolicy!I"&amp;$H23),NOT(ISNA(MATCH(INDIRECT("OrganizationAccessCasePolicy!D"&amp;$H23)&amp;"|"&amp;$V23,CaseTypeSetMember!$H:$H,0)))))</f>
        <v>0</v>
      </c>
      <c r="L23" s="6" t="str">
        <f>IF(ISNA(MATCH($C23&amp;"|"&amp;$R23,UserAccessCasePolicy!$W:$W,0)),"",MATCH($C23&amp;"|"&amp;$R23,UserAccessCasePolicy!$W:$W,0))</f>
        <v/>
      </c>
      <c r="M23" s="6" t="b" cm="1">
        <f t="array" aca="1" ref="M23" ca="1">IF($L23="",FALSE,NOT(ISNA(MATCH(INDIRECT("UserAccessCasePolicy!D"&amp;$L23)&amp;"|"&amp;$V23,CaseTypeSetMember!$H:$H,0))))</f>
        <v>0</v>
      </c>
      <c r="N23" s="6" t="b" cm="1">
        <f t="array" aca="1" ref="N23" ca="1">IF($L23="",FALSE,AND(INDIRECT("UserAccessCasePolicy!G"&amp;$L23),NOT(ISNA(MATCH(INDIRECT("UserAccessCasePolicy!D"&amp;$L23)&amp;"|"&amp;$V23,CaseTypeSetMember!$H:$H,0)))))</f>
        <v>0</v>
      </c>
      <c r="O23" s="6" t="b" cm="1">
        <f t="array" aca="1" ref="O23" ca="1">IF($L23="",FALSE,AND(INDIRECT("UserAccessCasePolicy!H"&amp;$L23),NOT(ISNA(MATCH(INDIRECT("UserAccessCasePolicy!D"&amp;$L23)&amp;"|"&amp;$V23,CaseTypeSetMember!$H:$H,0)))))</f>
        <v>0</v>
      </c>
      <c r="P23" t="s">
        <v>115</v>
      </c>
      <c r="Q23" s="6" t="str">
        <f>INDEX(CaseType!$B:$B,MATCH($P23,CaseType!$A:$A,0))</f>
        <v>case_type1</v>
      </c>
      <c r="R23" t="s">
        <v>11</v>
      </c>
      <c r="S23" s="6" t="str">
        <f>INDEX(DataCollection!$B:$B,MATCH($R23,DataCollection!$A:$A,0))</f>
        <v>data_collection1</v>
      </c>
      <c r="T23" t="b">
        <v>0</v>
      </c>
      <c r="U23" t="s">
        <v>693</v>
      </c>
      <c r="V23" s="6" t="str">
        <f>INDEX(_CaseData!$B:$B,MATCH($U23,_CaseData!$A:$A,0))</f>
        <v>0195d18c-1ca6-fd99-9d76-fcfa0c0cf400</v>
      </c>
      <c r="W23" t="s">
        <v>11</v>
      </c>
      <c r="X23" s="6" t="b">
        <f t="shared" si="2"/>
        <v>1</v>
      </c>
      <c r="Y23" s="6" t="b">
        <f t="shared" si="0"/>
        <v>1</v>
      </c>
    </row>
    <row r="24" spans="1:25" x14ac:dyDescent="0.3">
      <c r="A24">
        <v>23</v>
      </c>
      <c r="B24" t="b">
        <v>1</v>
      </c>
      <c r="C24" t="s">
        <v>25</v>
      </c>
      <c r="D24" s="6" t="str">
        <f>INDEX(User!$D:$D,MATCH($C24,User!$A:$A,0))</f>
        <v>org_user3_3</v>
      </c>
      <c r="E24" s="19" t="b">
        <f t="shared" ca="1" si="1"/>
        <v>0</v>
      </c>
      <c r="F24" s="6" t="str">
        <f>INDEX(User!$G:$G,MATCH($C24,User!$A:$A,0))</f>
        <v>0195d18c-1c92-52b3-93e0-43dc1f2aa037</v>
      </c>
      <c r="G24" s="6" t="b">
        <f>INDEX(User!$M:$M,MATCH($C24,User!$A:$A,0))</f>
        <v>0</v>
      </c>
      <c r="H24" s="6" t="str">
        <f>IF(ISNA(MATCH($F24&amp;"|"&amp;$R24,OrganizationAccessCasePolicy!$V:$V,0)),"",MATCH($F24&amp;"|"&amp;$R24,OrganizationAccessCasePolicy!$V:$V,0))</f>
        <v/>
      </c>
      <c r="I24" s="6" t="b" cm="1">
        <f t="array" aca="1" ref="I24" ca="1">IF($H24="",FALSE,NOT(ISNA(MATCH(INDIRECT("OrganizationAccessCasePolicy!D"&amp;$H24)&amp;"|"&amp;$V24,CaseTypeSetMember!$H:$H,0))))</f>
        <v>0</v>
      </c>
      <c r="J24" s="6" t="b" cm="1">
        <f t="array" aca="1" ref="J24" ca="1">IF($H24="",FALSE,AND(INDIRECT("OrganizationAccessCasePolicy!H"&amp;$H24),NOT(ISNA(MATCH(INDIRECT("OrganizationAccessCasePolicy!D"&amp;$H24)&amp;"|"&amp;$V24,CaseTypeSetMember!$H:$H,0)))))</f>
        <v>0</v>
      </c>
      <c r="K24" s="6" t="b" cm="1">
        <f t="array" aca="1" ref="K24" ca="1">IF($H24="",FALSE,AND(INDIRECT("OrganizationAccessCasePolicy!I"&amp;$H24),NOT(ISNA(MATCH(INDIRECT("OrganizationAccessCasePolicy!D"&amp;$H24)&amp;"|"&amp;$V24,CaseTypeSetMember!$H:$H,0)))))</f>
        <v>0</v>
      </c>
      <c r="L24" s="6" t="str">
        <f>IF(ISNA(MATCH($C24&amp;"|"&amp;$R24,UserAccessCasePolicy!$W:$W,0)),"",MATCH($C24&amp;"|"&amp;$R24,UserAccessCasePolicy!$W:$W,0))</f>
        <v/>
      </c>
      <c r="M24" s="6" t="b" cm="1">
        <f t="array" aca="1" ref="M24" ca="1">IF($L24="",FALSE,NOT(ISNA(MATCH(INDIRECT("UserAccessCasePolicy!D"&amp;$L24)&amp;"|"&amp;$V24,CaseTypeSetMember!$H:$H,0))))</f>
        <v>0</v>
      </c>
      <c r="N24" s="6" t="b" cm="1">
        <f t="array" aca="1" ref="N24" ca="1">IF($L24="",FALSE,AND(INDIRECT("UserAccessCasePolicy!G"&amp;$L24),NOT(ISNA(MATCH(INDIRECT("UserAccessCasePolicy!D"&amp;$L24)&amp;"|"&amp;$V24,CaseTypeSetMember!$H:$H,0)))))</f>
        <v>0</v>
      </c>
      <c r="O24" s="6" t="b" cm="1">
        <f t="array" aca="1" ref="O24" ca="1">IF($L24="",FALSE,AND(INDIRECT("UserAccessCasePolicy!H"&amp;$L24),NOT(ISNA(MATCH(INDIRECT("UserAccessCasePolicy!D"&amp;$L24)&amp;"|"&amp;$V24,CaseTypeSetMember!$H:$H,0)))))</f>
        <v>0</v>
      </c>
      <c r="P24" t="s">
        <v>115</v>
      </c>
      <c r="Q24" s="6" t="str">
        <f>INDEX(CaseType!$B:$B,MATCH($P24,CaseType!$A:$A,0))</f>
        <v>case_type1</v>
      </c>
      <c r="R24" t="s">
        <v>11</v>
      </c>
      <c r="S24" s="6" t="str">
        <f>INDEX(DataCollection!$B:$B,MATCH($R24,DataCollection!$A:$A,0))</f>
        <v>data_collection1</v>
      </c>
      <c r="T24" t="b">
        <v>0</v>
      </c>
      <c r="U24" t="s">
        <v>693</v>
      </c>
      <c r="V24" s="6" t="str">
        <f>INDEX(_CaseData!$B:$B,MATCH($U24,_CaseData!$A:$A,0))</f>
        <v>0195d18c-1ca6-fd99-9d76-fcfa0c0cf400</v>
      </c>
      <c r="W24" t="s">
        <v>11</v>
      </c>
      <c r="X24" s="6" t="b">
        <f t="shared" si="2"/>
        <v>1</v>
      </c>
      <c r="Y24" s="6" t="b">
        <f t="shared" si="0"/>
        <v>1</v>
      </c>
    </row>
    <row r="25" spans="1:25" x14ac:dyDescent="0.3">
      <c r="A25">
        <v>24</v>
      </c>
      <c r="B25" t="b">
        <v>1</v>
      </c>
      <c r="C25" t="s">
        <v>26</v>
      </c>
      <c r="D25" s="6" t="str">
        <f>INDEX(User!$D:$D,MATCH($C25,User!$A:$A,0))</f>
        <v>org_user3_4</v>
      </c>
      <c r="E25" s="19" t="b">
        <f t="shared" ca="1" si="1"/>
        <v>0</v>
      </c>
      <c r="F25" s="6" t="str">
        <f>INDEX(User!$G:$G,MATCH($C25,User!$A:$A,0))</f>
        <v>0195d18c-1c92-52b3-93e0-43dc1f2aa037</v>
      </c>
      <c r="G25" s="6" t="b">
        <f>INDEX(User!$M:$M,MATCH($C25,User!$A:$A,0))</f>
        <v>0</v>
      </c>
      <c r="H25" s="6" t="str">
        <f>IF(ISNA(MATCH($F25&amp;"|"&amp;$R25,OrganizationAccessCasePolicy!$V:$V,0)),"",MATCH($F25&amp;"|"&amp;$R25,OrganizationAccessCasePolicy!$V:$V,0))</f>
        <v/>
      </c>
      <c r="I25" s="6" t="b" cm="1">
        <f t="array" aca="1" ref="I25" ca="1">IF($H25="",FALSE,NOT(ISNA(MATCH(INDIRECT("OrganizationAccessCasePolicy!D"&amp;$H25)&amp;"|"&amp;$V25,CaseTypeSetMember!$H:$H,0))))</f>
        <v>0</v>
      </c>
      <c r="J25" s="6" t="b" cm="1">
        <f t="array" aca="1" ref="J25" ca="1">IF($H25="",FALSE,AND(INDIRECT("OrganizationAccessCasePolicy!H"&amp;$H25),NOT(ISNA(MATCH(INDIRECT("OrganizationAccessCasePolicy!D"&amp;$H25)&amp;"|"&amp;$V25,CaseTypeSetMember!$H:$H,0)))))</f>
        <v>0</v>
      </c>
      <c r="K25" s="6" t="b" cm="1">
        <f t="array" aca="1" ref="K25" ca="1">IF($H25="",FALSE,AND(INDIRECT("OrganizationAccessCasePolicy!I"&amp;$H25),NOT(ISNA(MATCH(INDIRECT("OrganizationAccessCasePolicy!D"&amp;$H25)&amp;"|"&amp;$V25,CaseTypeSetMember!$H:$H,0)))))</f>
        <v>0</v>
      </c>
      <c r="L25" s="6" t="str">
        <f>IF(ISNA(MATCH($C25&amp;"|"&amp;$R25,UserAccessCasePolicy!$W:$W,0)),"",MATCH($C25&amp;"|"&amp;$R25,UserAccessCasePolicy!$W:$W,0))</f>
        <v/>
      </c>
      <c r="M25" s="6" t="b" cm="1">
        <f t="array" aca="1" ref="M25" ca="1">IF($L25="",FALSE,NOT(ISNA(MATCH(INDIRECT("UserAccessCasePolicy!D"&amp;$L25)&amp;"|"&amp;$V25,CaseTypeSetMember!$H:$H,0))))</f>
        <v>0</v>
      </c>
      <c r="N25" s="6" t="b" cm="1">
        <f t="array" aca="1" ref="N25" ca="1">IF($L25="",FALSE,AND(INDIRECT("UserAccessCasePolicy!G"&amp;$L25),NOT(ISNA(MATCH(INDIRECT("UserAccessCasePolicy!D"&amp;$L25)&amp;"|"&amp;$V25,CaseTypeSetMember!$H:$H,0)))))</f>
        <v>0</v>
      </c>
      <c r="O25" s="6" t="b" cm="1">
        <f t="array" aca="1" ref="O25" ca="1">IF($L25="",FALSE,AND(INDIRECT("UserAccessCasePolicy!H"&amp;$L25),NOT(ISNA(MATCH(INDIRECT("UserAccessCasePolicy!D"&amp;$L25)&amp;"|"&amp;$V25,CaseTypeSetMember!$H:$H,0)))))</f>
        <v>0</v>
      </c>
      <c r="P25" t="s">
        <v>115</v>
      </c>
      <c r="Q25" s="6" t="str">
        <f>INDEX(CaseType!$B:$B,MATCH($P25,CaseType!$A:$A,0))</f>
        <v>case_type1</v>
      </c>
      <c r="R25" t="s">
        <v>11</v>
      </c>
      <c r="S25" s="6" t="str">
        <f>INDEX(DataCollection!$B:$B,MATCH($R25,DataCollection!$A:$A,0))</f>
        <v>data_collection1</v>
      </c>
      <c r="T25" t="b">
        <v>0</v>
      </c>
      <c r="U25" t="s">
        <v>693</v>
      </c>
      <c r="V25" s="6" t="str">
        <f>INDEX(_CaseData!$B:$B,MATCH($U25,_CaseData!$A:$A,0))</f>
        <v>0195d18c-1ca6-fd99-9d76-fcfa0c0cf400</v>
      </c>
      <c r="W25" t="s">
        <v>11</v>
      </c>
      <c r="X25" s="6" t="b">
        <f t="shared" si="2"/>
        <v>1</v>
      </c>
      <c r="Y25" s="6" t="b">
        <f t="shared" si="0"/>
        <v>1</v>
      </c>
    </row>
    <row r="26" spans="1:25" x14ac:dyDescent="0.3">
      <c r="A26">
        <v>25</v>
      </c>
      <c r="B26" t="b">
        <v>1</v>
      </c>
      <c r="C26" t="s">
        <v>28</v>
      </c>
      <c r="D26" s="6" t="str">
        <f>INDEX(User!$D:$D,MATCH($C26,User!$A:$A,0))</f>
        <v>org_user4_1</v>
      </c>
      <c r="E26" s="19" t="b">
        <f t="shared" ca="1" si="1"/>
        <v>0</v>
      </c>
      <c r="F26" s="6" t="str">
        <f>INDEX(User!$G:$G,MATCH($C26,User!$A:$A,0))</f>
        <v>0195d18c-1c92-d419-4c71-a570f428499b</v>
      </c>
      <c r="G26" s="6" t="b">
        <f>INDEX(User!$M:$M,MATCH($C26,User!$A:$A,0))</f>
        <v>0</v>
      </c>
      <c r="H26" s="6" t="str">
        <f>IF(ISNA(MATCH($F26&amp;"|"&amp;$R26,OrganizationAccessCasePolicy!$V:$V,0)),"",MATCH($F26&amp;"|"&amp;$R26,OrganizationAccessCasePolicy!$V:$V,0))</f>
        <v/>
      </c>
      <c r="I26" s="6" t="b" cm="1">
        <f t="array" aca="1" ref="I26" ca="1">IF($H26="",FALSE,NOT(ISNA(MATCH(INDIRECT("OrganizationAccessCasePolicy!D"&amp;$H26)&amp;"|"&amp;$V26,CaseTypeSetMember!$H:$H,0))))</f>
        <v>0</v>
      </c>
      <c r="J26" s="6" t="b" cm="1">
        <f t="array" aca="1" ref="J26" ca="1">IF($H26="",FALSE,AND(INDIRECT("OrganizationAccessCasePolicy!H"&amp;$H26),NOT(ISNA(MATCH(INDIRECT("OrganizationAccessCasePolicy!D"&amp;$H26)&amp;"|"&amp;$V26,CaseTypeSetMember!$H:$H,0)))))</f>
        <v>0</v>
      </c>
      <c r="K26" s="6" t="b" cm="1">
        <f t="array" aca="1" ref="K26" ca="1">IF($H26="",FALSE,AND(INDIRECT("OrganizationAccessCasePolicy!I"&amp;$H26),NOT(ISNA(MATCH(INDIRECT("OrganizationAccessCasePolicy!D"&amp;$H26)&amp;"|"&amp;$V26,CaseTypeSetMember!$H:$H,0)))))</f>
        <v>0</v>
      </c>
      <c r="L26" s="6" t="str">
        <f>IF(ISNA(MATCH($C26&amp;"|"&amp;$R26,UserAccessCasePolicy!$W:$W,0)),"",MATCH($C26&amp;"|"&amp;$R26,UserAccessCasePolicy!$W:$W,0))</f>
        <v/>
      </c>
      <c r="M26" s="6" t="b" cm="1">
        <f t="array" aca="1" ref="M26" ca="1">IF($L26="",FALSE,NOT(ISNA(MATCH(INDIRECT("UserAccessCasePolicy!D"&amp;$L26)&amp;"|"&amp;$V26,CaseTypeSetMember!$H:$H,0))))</f>
        <v>0</v>
      </c>
      <c r="N26" s="6" t="b" cm="1">
        <f t="array" aca="1" ref="N26" ca="1">IF($L26="",FALSE,AND(INDIRECT("UserAccessCasePolicy!G"&amp;$L26),NOT(ISNA(MATCH(INDIRECT("UserAccessCasePolicy!D"&amp;$L26)&amp;"|"&amp;$V26,CaseTypeSetMember!$H:$H,0)))))</f>
        <v>0</v>
      </c>
      <c r="O26" s="6" t="b" cm="1">
        <f t="array" aca="1" ref="O26" ca="1">IF($L26="",FALSE,AND(INDIRECT("UserAccessCasePolicy!H"&amp;$L26),NOT(ISNA(MATCH(INDIRECT("UserAccessCasePolicy!D"&amp;$L26)&amp;"|"&amp;$V26,CaseTypeSetMember!$H:$H,0)))))</f>
        <v>0</v>
      </c>
      <c r="P26" t="s">
        <v>115</v>
      </c>
      <c r="Q26" s="6" t="str">
        <f>INDEX(CaseType!$B:$B,MATCH($P26,CaseType!$A:$A,0))</f>
        <v>case_type1</v>
      </c>
      <c r="R26" t="s">
        <v>11</v>
      </c>
      <c r="S26" s="6" t="str">
        <f>INDEX(DataCollection!$B:$B,MATCH($R26,DataCollection!$A:$A,0))</f>
        <v>data_collection1</v>
      </c>
      <c r="T26" t="b">
        <v>0</v>
      </c>
      <c r="U26" t="s">
        <v>693</v>
      </c>
      <c r="V26" s="6" t="str">
        <f>INDEX(_CaseData!$B:$B,MATCH($U26,_CaseData!$A:$A,0))</f>
        <v>0195d18c-1ca6-fd99-9d76-fcfa0c0cf400</v>
      </c>
      <c r="W26" t="s">
        <v>11</v>
      </c>
      <c r="X26" s="6" t="b">
        <f t="shared" si="2"/>
        <v>1</v>
      </c>
      <c r="Y26" s="6" t="b">
        <f t="shared" si="0"/>
        <v>1</v>
      </c>
    </row>
    <row r="27" spans="1:25" x14ac:dyDescent="0.3">
      <c r="A27">
        <v>26</v>
      </c>
      <c r="B27" t="b">
        <v>1</v>
      </c>
      <c r="C27" t="s">
        <v>30</v>
      </c>
      <c r="D27" s="6" t="str">
        <f>INDEX(User!$D:$D,MATCH($C27,User!$A:$A,0))</f>
        <v>org_user4_2</v>
      </c>
      <c r="E27" s="19" t="b">
        <f t="shared" ca="1" si="1"/>
        <v>0</v>
      </c>
      <c r="F27" s="6" t="str">
        <f>INDEX(User!$G:$G,MATCH($C27,User!$A:$A,0))</f>
        <v>0195d18c-1c92-d419-4c71-a570f428499b</v>
      </c>
      <c r="G27" s="6" t="b">
        <f>INDEX(User!$M:$M,MATCH($C27,User!$A:$A,0))</f>
        <v>0</v>
      </c>
      <c r="H27" s="6" t="str">
        <f>IF(ISNA(MATCH($F27&amp;"|"&amp;$R27,OrganizationAccessCasePolicy!$V:$V,0)),"",MATCH($F27&amp;"|"&amp;$R27,OrganizationAccessCasePolicy!$V:$V,0))</f>
        <v/>
      </c>
      <c r="I27" s="6" t="b" cm="1">
        <f t="array" aca="1" ref="I27" ca="1">IF($H27="",FALSE,NOT(ISNA(MATCH(INDIRECT("OrganizationAccessCasePolicy!D"&amp;$H27)&amp;"|"&amp;$V27,CaseTypeSetMember!$H:$H,0))))</f>
        <v>0</v>
      </c>
      <c r="J27" s="6" t="b" cm="1">
        <f t="array" aca="1" ref="J27" ca="1">IF($H27="",FALSE,AND(INDIRECT("OrganizationAccessCasePolicy!H"&amp;$H27),NOT(ISNA(MATCH(INDIRECT("OrganizationAccessCasePolicy!D"&amp;$H27)&amp;"|"&amp;$V27,CaseTypeSetMember!$H:$H,0)))))</f>
        <v>0</v>
      </c>
      <c r="K27" s="6" t="b" cm="1">
        <f t="array" aca="1" ref="K27" ca="1">IF($H27="",FALSE,AND(INDIRECT("OrganizationAccessCasePolicy!I"&amp;$H27),NOT(ISNA(MATCH(INDIRECT("OrganizationAccessCasePolicy!D"&amp;$H27)&amp;"|"&amp;$V27,CaseTypeSetMember!$H:$H,0)))))</f>
        <v>0</v>
      </c>
      <c r="L27" s="6" t="str">
        <f>IF(ISNA(MATCH($C27&amp;"|"&amp;$R27,UserAccessCasePolicy!$W:$W,0)),"",MATCH($C27&amp;"|"&amp;$R27,UserAccessCasePolicy!$W:$W,0))</f>
        <v/>
      </c>
      <c r="M27" s="6" t="b" cm="1">
        <f t="array" aca="1" ref="M27" ca="1">IF($L27="",FALSE,NOT(ISNA(MATCH(INDIRECT("UserAccessCasePolicy!D"&amp;$L27)&amp;"|"&amp;$V27,CaseTypeSetMember!$H:$H,0))))</f>
        <v>0</v>
      </c>
      <c r="N27" s="6" t="b" cm="1">
        <f t="array" aca="1" ref="N27" ca="1">IF($L27="",FALSE,AND(INDIRECT("UserAccessCasePolicy!G"&amp;$L27),NOT(ISNA(MATCH(INDIRECT("UserAccessCasePolicy!D"&amp;$L27)&amp;"|"&amp;$V27,CaseTypeSetMember!$H:$H,0)))))</f>
        <v>0</v>
      </c>
      <c r="O27" s="6" t="b" cm="1">
        <f t="array" aca="1" ref="O27" ca="1">IF($L27="",FALSE,AND(INDIRECT("UserAccessCasePolicy!H"&amp;$L27),NOT(ISNA(MATCH(INDIRECT("UserAccessCasePolicy!D"&amp;$L27)&amp;"|"&amp;$V27,CaseTypeSetMember!$H:$H,0)))))</f>
        <v>0</v>
      </c>
      <c r="P27" t="s">
        <v>115</v>
      </c>
      <c r="Q27" s="6" t="str">
        <f>INDEX(CaseType!$B:$B,MATCH($P27,CaseType!$A:$A,0))</f>
        <v>case_type1</v>
      </c>
      <c r="R27" t="s">
        <v>11</v>
      </c>
      <c r="S27" s="6" t="str">
        <f>INDEX(DataCollection!$B:$B,MATCH($R27,DataCollection!$A:$A,0))</f>
        <v>data_collection1</v>
      </c>
      <c r="T27" t="b">
        <v>0</v>
      </c>
      <c r="U27" t="s">
        <v>693</v>
      </c>
      <c r="V27" s="6" t="str">
        <f>INDEX(_CaseData!$B:$B,MATCH($U27,_CaseData!$A:$A,0))</f>
        <v>0195d18c-1ca6-fd99-9d76-fcfa0c0cf400</v>
      </c>
      <c r="W27" t="s">
        <v>11</v>
      </c>
      <c r="X27" s="6" t="b">
        <f t="shared" si="2"/>
        <v>1</v>
      </c>
      <c r="Y27" s="6" t="b">
        <f t="shared" si="0"/>
        <v>1</v>
      </c>
    </row>
    <row r="28" spans="1:25" x14ac:dyDescent="0.3">
      <c r="A28">
        <v>27</v>
      </c>
      <c r="B28" t="b">
        <v>1</v>
      </c>
      <c r="C28" t="s">
        <v>31</v>
      </c>
      <c r="D28" s="6" t="str">
        <f>INDEX(User!$D:$D,MATCH($C28,User!$A:$A,0))</f>
        <v>org_user4_3</v>
      </c>
      <c r="E28" s="19" t="b">
        <f t="shared" ca="1" si="1"/>
        <v>0</v>
      </c>
      <c r="F28" s="6" t="str">
        <f>INDEX(User!$G:$G,MATCH($C28,User!$A:$A,0))</f>
        <v>0195d18c-1c92-d419-4c71-a570f428499b</v>
      </c>
      <c r="G28" s="6" t="b">
        <f>INDEX(User!$M:$M,MATCH($C28,User!$A:$A,0))</f>
        <v>0</v>
      </c>
      <c r="H28" s="6" t="str">
        <f>IF(ISNA(MATCH($F28&amp;"|"&amp;$R28,OrganizationAccessCasePolicy!$V:$V,0)),"",MATCH($F28&amp;"|"&amp;$R28,OrganizationAccessCasePolicy!$V:$V,0))</f>
        <v/>
      </c>
      <c r="I28" s="6" t="b" cm="1">
        <f t="array" aca="1" ref="I28" ca="1">IF($H28="",FALSE,NOT(ISNA(MATCH(INDIRECT("OrganizationAccessCasePolicy!D"&amp;$H28)&amp;"|"&amp;$V28,CaseTypeSetMember!$H:$H,0))))</f>
        <v>0</v>
      </c>
      <c r="J28" s="6" t="b" cm="1">
        <f t="array" aca="1" ref="J28" ca="1">IF($H28="",FALSE,AND(INDIRECT("OrganizationAccessCasePolicy!H"&amp;$H28),NOT(ISNA(MATCH(INDIRECT("OrganizationAccessCasePolicy!D"&amp;$H28)&amp;"|"&amp;$V28,CaseTypeSetMember!$H:$H,0)))))</f>
        <v>0</v>
      </c>
      <c r="K28" s="6" t="b" cm="1">
        <f t="array" aca="1" ref="K28" ca="1">IF($H28="",FALSE,AND(INDIRECT("OrganizationAccessCasePolicy!I"&amp;$H28),NOT(ISNA(MATCH(INDIRECT("OrganizationAccessCasePolicy!D"&amp;$H28)&amp;"|"&amp;$V28,CaseTypeSetMember!$H:$H,0)))))</f>
        <v>0</v>
      </c>
      <c r="L28" s="6" t="str">
        <f>IF(ISNA(MATCH($C28&amp;"|"&amp;$R28,UserAccessCasePolicy!$W:$W,0)),"",MATCH($C28&amp;"|"&amp;$R28,UserAccessCasePolicy!$W:$W,0))</f>
        <v/>
      </c>
      <c r="M28" s="6" t="b" cm="1">
        <f t="array" aca="1" ref="M28" ca="1">IF($L28="",FALSE,NOT(ISNA(MATCH(INDIRECT("UserAccessCasePolicy!D"&amp;$L28)&amp;"|"&amp;$V28,CaseTypeSetMember!$H:$H,0))))</f>
        <v>0</v>
      </c>
      <c r="N28" s="6" t="b" cm="1">
        <f t="array" aca="1" ref="N28" ca="1">IF($L28="",FALSE,AND(INDIRECT("UserAccessCasePolicy!G"&amp;$L28),NOT(ISNA(MATCH(INDIRECT("UserAccessCasePolicy!D"&amp;$L28)&amp;"|"&amp;$V28,CaseTypeSetMember!$H:$H,0)))))</f>
        <v>0</v>
      </c>
      <c r="O28" s="6" t="b" cm="1">
        <f t="array" aca="1" ref="O28" ca="1">IF($L28="",FALSE,AND(INDIRECT("UserAccessCasePolicy!H"&amp;$L28),NOT(ISNA(MATCH(INDIRECT("UserAccessCasePolicy!D"&amp;$L28)&amp;"|"&amp;$V28,CaseTypeSetMember!$H:$H,0)))))</f>
        <v>0</v>
      </c>
      <c r="P28" t="s">
        <v>115</v>
      </c>
      <c r="Q28" s="6" t="str">
        <f>INDEX(CaseType!$B:$B,MATCH($P28,CaseType!$A:$A,0))</f>
        <v>case_type1</v>
      </c>
      <c r="R28" t="s">
        <v>11</v>
      </c>
      <c r="S28" s="6" t="str">
        <f>INDEX(DataCollection!$B:$B,MATCH($R28,DataCollection!$A:$A,0))</f>
        <v>data_collection1</v>
      </c>
      <c r="T28" t="b">
        <v>0</v>
      </c>
      <c r="U28" t="s">
        <v>693</v>
      </c>
      <c r="V28" s="6" t="str">
        <f>INDEX(_CaseData!$B:$B,MATCH($U28,_CaseData!$A:$A,0))</f>
        <v>0195d18c-1ca6-fd99-9d76-fcfa0c0cf400</v>
      </c>
      <c r="W28" t="s">
        <v>11</v>
      </c>
      <c r="X28" s="6" t="b">
        <f t="shared" si="2"/>
        <v>1</v>
      </c>
      <c r="Y28" s="6" t="b">
        <f t="shared" si="0"/>
        <v>1</v>
      </c>
    </row>
    <row r="29" spans="1:25" x14ac:dyDescent="0.3">
      <c r="A29">
        <v>28</v>
      </c>
      <c r="B29" t="b">
        <v>1</v>
      </c>
      <c r="C29" t="s">
        <v>32</v>
      </c>
      <c r="D29" s="6" t="str">
        <f>INDEX(User!$D:$D,MATCH($C29,User!$A:$A,0))</f>
        <v>org_user4_4</v>
      </c>
      <c r="E29" s="19" t="b">
        <f t="shared" ca="1" si="1"/>
        <v>0</v>
      </c>
      <c r="F29" s="6" t="str">
        <f>INDEX(User!$G:$G,MATCH($C29,User!$A:$A,0))</f>
        <v>0195d18c-1c92-d419-4c71-a570f428499b</v>
      </c>
      <c r="G29" s="6" t="b">
        <f>INDEX(User!$M:$M,MATCH($C29,User!$A:$A,0))</f>
        <v>0</v>
      </c>
      <c r="H29" s="6" t="str">
        <f>IF(ISNA(MATCH($F29&amp;"|"&amp;$R29,OrganizationAccessCasePolicy!$V:$V,0)),"",MATCH($F29&amp;"|"&amp;$R29,OrganizationAccessCasePolicy!$V:$V,0))</f>
        <v/>
      </c>
      <c r="I29" s="6" t="b" cm="1">
        <f t="array" aca="1" ref="I29" ca="1">IF($H29="",FALSE,NOT(ISNA(MATCH(INDIRECT("OrganizationAccessCasePolicy!D"&amp;$H29)&amp;"|"&amp;$V29,CaseTypeSetMember!$H:$H,0))))</f>
        <v>0</v>
      </c>
      <c r="J29" s="6" t="b" cm="1">
        <f t="array" aca="1" ref="J29" ca="1">IF($H29="",FALSE,AND(INDIRECT("OrganizationAccessCasePolicy!H"&amp;$H29),NOT(ISNA(MATCH(INDIRECT("OrganizationAccessCasePolicy!D"&amp;$H29)&amp;"|"&amp;$V29,CaseTypeSetMember!$H:$H,0)))))</f>
        <v>0</v>
      </c>
      <c r="K29" s="6" t="b" cm="1">
        <f t="array" aca="1" ref="K29" ca="1">IF($H29="",FALSE,AND(INDIRECT("OrganizationAccessCasePolicy!I"&amp;$H29),NOT(ISNA(MATCH(INDIRECT("OrganizationAccessCasePolicy!D"&amp;$H29)&amp;"|"&amp;$V29,CaseTypeSetMember!$H:$H,0)))))</f>
        <v>0</v>
      </c>
      <c r="L29" s="6" t="str">
        <f>IF(ISNA(MATCH($C29&amp;"|"&amp;$R29,UserAccessCasePolicy!$W:$W,0)),"",MATCH($C29&amp;"|"&amp;$R29,UserAccessCasePolicy!$W:$W,0))</f>
        <v/>
      </c>
      <c r="M29" s="6" t="b" cm="1">
        <f t="array" aca="1" ref="M29" ca="1">IF($L29="",FALSE,NOT(ISNA(MATCH(INDIRECT("UserAccessCasePolicy!D"&amp;$L29)&amp;"|"&amp;$V29,CaseTypeSetMember!$H:$H,0))))</f>
        <v>0</v>
      </c>
      <c r="N29" s="6" t="b" cm="1">
        <f t="array" aca="1" ref="N29" ca="1">IF($L29="",FALSE,AND(INDIRECT("UserAccessCasePolicy!G"&amp;$L29),NOT(ISNA(MATCH(INDIRECT("UserAccessCasePolicy!D"&amp;$L29)&amp;"|"&amp;$V29,CaseTypeSetMember!$H:$H,0)))))</f>
        <v>0</v>
      </c>
      <c r="O29" s="6" t="b" cm="1">
        <f t="array" aca="1" ref="O29" ca="1">IF($L29="",FALSE,AND(INDIRECT("UserAccessCasePolicy!H"&amp;$L29),NOT(ISNA(MATCH(INDIRECT("UserAccessCasePolicy!D"&amp;$L29)&amp;"|"&amp;$V29,CaseTypeSetMember!$H:$H,0)))))</f>
        <v>0</v>
      </c>
      <c r="P29" t="s">
        <v>115</v>
      </c>
      <c r="Q29" s="6" t="str">
        <f>INDEX(CaseType!$B:$B,MATCH($P29,CaseType!$A:$A,0))</f>
        <v>case_type1</v>
      </c>
      <c r="R29" t="s">
        <v>11</v>
      </c>
      <c r="S29" s="6" t="str">
        <f>INDEX(DataCollection!$B:$B,MATCH($R29,DataCollection!$A:$A,0))</f>
        <v>data_collection1</v>
      </c>
      <c r="T29" t="b">
        <v>0</v>
      </c>
      <c r="U29" t="s">
        <v>693</v>
      </c>
      <c r="V29" s="6" t="str">
        <f>INDEX(_CaseData!$B:$B,MATCH($U29,_CaseData!$A:$A,0))</f>
        <v>0195d18c-1ca6-fd99-9d76-fcfa0c0cf400</v>
      </c>
      <c r="W29" t="s">
        <v>11</v>
      </c>
      <c r="X29" s="6" t="b">
        <f t="shared" si="2"/>
        <v>1</v>
      </c>
      <c r="Y29" s="6" t="b">
        <f t="shared" si="0"/>
        <v>1</v>
      </c>
    </row>
    <row r="30" spans="1:25" x14ac:dyDescent="0.3">
      <c r="A30">
        <v>29</v>
      </c>
      <c r="B30" t="b">
        <v>1</v>
      </c>
      <c r="C30" t="s">
        <v>34</v>
      </c>
      <c r="D30" s="6" t="str">
        <f>INDEX(User!$D:$D,MATCH($C30,User!$A:$A,0))</f>
        <v>org_user5_1</v>
      </c>
      <c r="E30" s="19" t="b">
        <f t="shared" ca="1" si="1"/>
        <v>0</v>
      </c>
      <c r="F30" s="6" t="str">
        <f>INDEX(User!$G:$G,MATCH($C30,User!$A:$A,0))</f>
        <v>0195d18c-1c93-02a2-6920-7e4dbfb73ce0</v>
      </c>
      <c r="G30" s="6" t="b">
        <f>INDEX(User!$M:$M,MATCH($C30,User!$A:$A,0))</f>
        <v>0</v>
      </c>
      <c r="H30" s="6" t="str">
        <f>IF(ISNA(MATCH($F30&amp;"|"&amp;$R30,OrganizationAccessCasePolicy!$V:$V,0)),"",MATCH($F30&amp;"|"&amp;$R30,OrganizationAccessCasePolicy!$V:$V,0))</f>
        <v/>
      </c>
      <c r="I30" s="6" t="b" cm="1">
        <f t="array" aca="1" ref="I30" ca="1">IF($H30="",FALSE,NOT(ISNA(MATCH(INDIRECT("OrganizationAccessCasePolicy!D"&amp;$H30)&amp;"|"&amp;$V30,CaseTypeSetMember!$H:$H,0))))</f>
        <v>0</v>
      </c>
      <c r="J30" s="6" t="b" cm="1">
        <f t="array" aca="1" ref="J30" ca="1">IF($H30="",FALSE,AND(INDIRECT("OrganizationAccessCasePolicy!H"&amp;$H30),NOT(ISNA(MATCH(INDIRECT("OrganizationAccessCasePolicy!D"&amp;$H30)&amp;"|"&amp;$V30,CaseTypeSetMember!$H:$H,0)))))</f>
        <v>0</v>
      </c>
      <c r="K30" s="6" t="b" cm="1">
        <f t="array" aca="1" ref="K30" ca="1">IF($H30="",FALSE,AND(INDIRECT("OrganizationAccessCasePolicy!I"&amp;$H30),NOT(ISNA(MATCH(INDIRECT("OrganizationAccessCasePolicy!D"&amp;$H30)&amp;"|"&amp;$V30,CaseTypeSetMember!$H:$H,0)))))</f>
        <v>0</v>
      </c>
      <c r="L30" s="6" t="str">
        <f>IF(ISNA(MATCH($C30&amp;"|"&amp;$R30,UserAccessCasePolicy!$W:$W,0)),"",MATCH($C30&amp;"|"&amp;$R30,UserAccessCasePolicy!$W:$W,0))</f>
        <v/>
      </c>
      <c r="M30" s="6" t="b" cm="1">
        <f t="array" aca="1" ref="M30" ca="1">IF($L30="",FALSE,NOT(ISNA(MATCH(INDIRECT("UserAccessCasePolicy!D"&amp;$L30)&amp;"|"&amp;$V30,CaseTypeSetMember!$H:$H,0))))</f>
        <v>0</v>
      </c>
      <c r="N30" s="6" t="b" cm="1">
        <f t="array" aca="1" ref="N30" ca="1">IF($L30="",FALSE,AND(INDIRECT("UserAccessCasePolicy!G"&amp;$L30),NOT(ISNA(MATCH(INDIRECT("UserAccessCasePolicy!D"&amp;$L30)&amp;"|"&amp;$V30,CaseTypeSetMember!$H:$H,0)))))</f>
        <v>0</v>
      </c>
      <c r="O30" s="6" t="b" cm="1">
        <f t="array" aca="1" ref="O30" ca="1">IF($L30="",FALSE,AND(INDIRECT("UserAccessCasePolicy!H"&amp;$L30),NOT(ISNA(MATCH(INDIRECT("UserAccessCasePolicy!D"&amp;$L30)&amp;"|"&amp;$V30,CaseTypeSetMember!$H:$H,0)))))</f>
        <v>0</v>
      </c>
      <c r="P30" t="s">
        <v>115</v>
      </c>
      <c r="Q30" s="6" t="str">
        <f>INDEX(CaseType!$B:$B,MATCH($P30,CaseType!$A:$A,0))</f>
        <v>case_type1</v>
      </c>
      <c r="R30" t="s">
        <v>11</v>
      </c>
      <c r="S30" s="6" t="str">
        <f>INDEX(DataCollection!$B:$B,MATCH($R30,DataCollection!$A:$A,0))</f>
        <v>data_collection1</v>
      </c>
      <c r="T30" t="b">
        <v>0</v>
      </c>
      <c r="U30" t="s">
        <v>693</v>
      </c>
      <c r="V30" s="6" t="str">
        <f>INDEX(_CaseData!$B:$B,MATCH($U30,_CaseData!$A:$A,0))</f>
        <v>0195d18c-1ca6-fd99-9d76-fcfa0c0cf400</v>
      </c>
      <c r="W30" t="s">
        <v>11</v>
      </c>
      <c r="X30" s="6" t="b">
        <f t="shared" si="2"/>
        <v>1</v>
      </c>
      <c r="Y30" s="6" t="b">
        <f t="shared" si="0"/>
        <v>1</v>
      </c>
    </row>
    <row r="31" spans="1:25" x14ac:dyDescent="0.3">
      <c r="A31">
        <v>30</v>
      </c>
      <c r="B31" t="b">
        <v>1</v>
      </c>
      <c r="C31" t="s">
        <v>36</v>
      </c>
      <c r="D31" s="6" t="str">
        <f>INDEX(User!$D:$D,MATCH($C31,User!$A:$A,0))</f>
        <v>org_user5_2</v>
      </c>
      <c r="E31" s="19" t="b">
        <f t="shared" ca="1" si="1"/>
        <v>0</v>
      </c>
      <c r="F31" s="6" t="str">
        <f>INDEX(User!$G:$G,MATCH($C31,User!$A:$A,0))</f>
        <v>0195d18c-1c93-02a2-6920-7e4dbfb73ce0</v>
      </c>
      <c r="G31" s="6" t="b">
        <f>INDEX(User!$M:$M,MATCH($C31,User!$A:$A,0))</f>
        <v>0</v>
      </c>
      <c r="H31" s="6" t="str">
        <f>IF(ISNA(MATCH($F31&amp;"|"&amp;$R31,OrganizationAccessCasePolicy!$V:$V,0)),"",MATCH($F31&amp;"|"&amp;$R31,OrganizationAccessCasePolicy!$V:$V,0))</f>
        <v/>
      </c>
      <c r="I31" s="6" t="b" cm="1">
        <f t="array" aca="1" ref="I31" ca="1">IF($H31="",FALSE,NOT(ISNA(MATCH(INDIRECT("OrganizationAccessCasePolicy!D"&amp;$H31)&amp;"|"&amp;$V31,CaseTypeSetMember!$H:$H,0))))</f>
        <v>0</v>
      </c>
      <c r="J31" s="6" t="b" cm="1">
        <f t="array" aca="1" ref="J31" ca="1">IF($H31="",FALSE,AND(INDIRECT("OrganizationAccessCasePolicy!H"&amp;$H31),NOT(ISNA(MATCH(INDIRECT("OrganizationAccessCasePolicy!D"&amp;$H31)&amp;"|"&amp;$V31,CaseTypeSetMember!$H:$H,0)))))</f>
        <v>0</v>
      </c>
      <c r="K31" s="6" t="b" cm="1">
        <f t="array" aca="1" ref="K31" ca="1">IF($H31="",FALSE,AND(INDIRECT("OrganizationAccessCasePolicy!I"&amp;$H31),NOT(ISNA(MATCH(INDIRECT("OrganizationAccessCasePolicy!D"&amp;$H31)&amp;"|"&amp;$V31,CaseTypeSetMember!$H:$H,0)))))</f>
        <v>0</v>
      </c>
      <c r="L31" s="6" t="str">
        <f>IF(ISNA(MATCH($C31&amp;"|"&amp;$R31,UserAccessCasePolicy!$W:$W,0)),"",MATCH($C31&amp;"|"&amp;$R31,UserAccessCasePolicy!$W:$W,0))</f>
        <v/>
      </c>
      <c r="M31" s="6" t="b" cm="1">
        <f t="array" aca="1" ref="M31" ca="1">IF($L31="",FALSE,NOT(ISNA(MATCH(INDIRECT("UserAccessCasePolicy!D"&amp;$L31)&amp;"|"&amp;$V31,CaseTypeSetMember!$H:$H,0))))</f>
        <v>0</v>
      </c>
      <c r="N31" s="6" t="b" cm="1">
        <f t="array" aca="1" ref="N31" ca="1">IF($L31="",FALSE,AND(INDIRECT("UserAccessCasePolicy!G"&amp;$L31),NOT(ISNA(MATCH(INDIRECT("UserAccessCasePolicy!D"&amp;$L31)&amp;"|"&amp;$V31,CaseTypeSetMember!$H:$H,0)))))</f>
        <v>0</v>
      </c>
      <c r="O31" s="6" t="b" cm="1">
        <f t="array" aca="1" ref="O31" ca="1">IF($L31="",FALSE,AND(INDIRECT("UserAccessCasePolicy!H"&amp;$L31),NOT(ISNA(MATCH(INDIRECT("UserAccessCasePolicy!D"&amp;$L31)&amp;"|"&amp;$V31,CaseTypeSetMember!$H:$H,0)))))</f>
        <v>0</v>
      </c>
      <c r="P31" t="s">
        <v>115</v>
      </c>
      <c r="Q31" s="6" t="str">
        <f>INDEX(CaseType!$B:$B,MATCH($P31,CaseType!$A:$A,0))</f>
        <v>case_type1</v>
      </c>
      <c r="R31" t="s">
        <v>11</v>
      </c>
      <c r="S31" s="6" t="str">
        <f>INDEX(DataCollection!$B:$B,MATCH($R31,DataCollection!$A:$A,0))</f>
        <v>data_collection1</v>
      </c>
      <c r="T31" t="b">
        <v>0</v>
      </c>
      <c r="U31" t="s">
        <v>693</v>
      </c>
      <c r="V31" s="6" t="str">
        <f>INDEX(_CaseData!$B:$B,MATCH($U31,_CaseData!$A:$A,0))</f>
        <v>0195d18c-1ca6-fd99-9d76-fcfa0c0cf400</v>
      </c>
      <c r="W31" t="s">
        <v>11</v>
      </c>
      <c r="X31" s="6" t="b">
        <f t="shared" si="2"/>
        <v>1</v>
      </c>
      <c r="Y31" s="6" t="b">
        <f t="shared" si="0"/>
        <v>1</v>
      </c>
    </row>
    <row r="32" spans="1:25" x14ac:dyDescent="0.3">
      <c r="A32">
        <v>31</v>
      </c>
      <c r="B32" t="b">
        <v>1</v>
      </c>
      <c r="C32" t="s">
        <v>37</v>
      </c>
      <c r="D32" s="6" t="str">
        <f>INDEX(User!$D:$D,MATCH($C32,User!$A:$A,0))</f>
        <v>org_user5_3</v>
      </c>
      <c r="E32" s="19" t="b">
        <f t="shared" ca="1" si="1"/>
        <v>0</v>
      </c>
      <c r="F32" s="6" t="str">
        <f>INDEX(User!$G:$G,MATCH($C32,User!$A:$A,0))</f>
        <v>0195d18c-1c93-02a2-6920-7e4dbfb73ce0</v>
      </c>
      <c r="G32" s="6" t="b">
        <f>INDEX(User!$M:$M,MATCH($C32,User!$A:$A,0))</f>
        <v>0</v>
      </c>
      <c r="H32" s="6" t="str">
        <f>IF(ISNA(MATCH($F32&amp;"|"&amp;$R32,OrganizationAccessCasePolicy!$V:$V,0)),"",MATCH($F32&amp;"|"&amp;$R32,OrganizationAccessCasePolicy!$V:$V,0))</f>
        <v/>
      </c>
      <c r="I32" s="6" t="b" cm="1">
        <f t="array" aca="1" ref="I32" ca="1">IF($H32="",FALSE,NOT(ISNA(MATCH(INDIRECT("OrganizationAccessCasePolicy!D"&amp;$H32)&amp;"|"&amp;$V32,CaseTypeSetMember!$H:$H,0))))</f>
        <v>0</v>
      </c>
      <c r="J32" s="6" t="b" cm="1">
        <f t="array" aca="1" ref="J32" ca="1">IF($H32="",FALSE,AND(INDIRECT("OrganizationAccessCasePolicy!H"&amp;$H32),NOT(ISNA(MATCH(INDIRECT("OrganizationAccessCasePolicy!D"&amp;$H32)&amp;"|"&amp;$V32,CaseTypeSetMember!$H:$H,0)))))</f>
        <v>0</v>
      </c>
      <c r="K32" s="6" t="b" cm="1">
        <f t="array" aca="1" ref="K32" ca="1">IF($H32="",FALSE,AND(INDIRECT("OrganizationAccessCasePolicy!I"&amp;$H32),NOT(ISNA(MATCH(INDIRECT("OrganizationAccessCasePolicy!D"&amp;$H32)&amp;"|"&amp;$V32,CaseTypeSetMember!$H:$H,0)))))</f>
        <v>0</v>
      </c>
      <c r="L32" s="6" t="str">
        <f>IF(ISNA(MATCH($C32&amp;"|"&amp;$R32,UserAccessCasePolicy!$W:$W,0)),"",MATCH($C32&amp;"|"&amp;$R32,UserAccessCasePolicy!$W:$W,0))</f>
        <v/>
      </c>
      <c r="M32" s="6" t="b" cm="1">
        <f t="array" aca="1" ref="M32" ca="1">IF($L32="",FALSE,NOT(ISNA(MATCH(INDIRECT("UserAccessCasePolicy!D"&amp;$L32)&amp;"|"&amp;$V32,CaseTypeSetMember!$H:$H,0))))</f>
        <v>0</v>
      </c>
      <c r="N32" s="6" t="b" cm="1">
        <f t="array" aca="1" ref="N32" ca="1">IF($L32="",FALSE,AND(INDIRECT("UserAccessCasePolicy!G"&amp;$L32),NOT(ISNA(MATCH(INDIRECT("UserAccessCasePolicy!D"&amp;$L32)&amp;"|"&amp;$V32,CaseTypeSetMember!$H:$H,0)))))</f>
        <v>0</v>
      </c>
      <c r="O32" s="6" t="b" cm="1">
        <f t="array" aca="1" ref="O32" ca="1">IF($L32="",FALSE,AND(INDIRECT("UserAccessCasePolicy!H"&amp;$L32),NOT(ISNA(MATCH(INDIRECT("UserAccessCasePolicy!D"&amp;$L32)&amp;"|"&amp;$V32,CaseTypeSetMember!$H:$H,0)))))</f>
        <v>0</v>
      </c>
      <c r="P32" t="s">
        <v>115</v>
      </c>
      <c r="Q32" s="6" t="str">
        <f>INDEX(CaseType!$B:$B,MATCH($P32,CaseType!$A:$A,0))</f>
        <v>case_type1</v>
      </c>
      <c r="R32" t="s">
        <v>11</v>
      </c>
      <c r="S32" s="6" t="str">
        <f>INDEX(DataCollection!$B:$B,MATCH($R32,DataCollection!$A:$A,0))</f>
        <v>data_collection1</v>
      </c>
      <c r="T32" t="b">
        <v>0</v>
      </c>
      <c r="U32" t="s">
        <v>693</v>
      </c>
      <c r="V32" s="6" t="str">
        <f>INDEX(_CaseData!$B:$B,MATCH($U32,_CaseData!$A:$A,0))</f>
        <v>0195d18c-1ca6-fd99-9d76-fcfa0c0cf400</v>
      </c>
      <c r="W32" t="s">
        <v>11</v>
      </c>
      <c r="X32" s="6" t="b">
        <f t="shared" si="2"/>
        <v>1</v>
      </c>
      <c r="Y32" s="6" t="b">
        <f t="shared" si="0"/>
        <v>1</v>
      </c>
    </row>
    <row r="33" spans="1:25" x14ac:dyDescent="0.3">
      <c r="A33">
        <v>32</v>
      </c>
      <c r="B33" t="b">
        <v>1</v>
      </c>
      <c r="C33" t="s">
        <v>38</v>
      </c>
      <c r="D33" s="6" t="str">
        <f>INDEX(User!$D:$D,MATCH($C33,User!$A:$A,0))</f>
        <v>org_user5_4</v>
      </c>
      <c r="E33" s="19" t="b">
        <f t="shared" ca="1" si="1"/>
        <v>0</v>
      </c>
      <c r="F33" s="6" t="str">
        <f>INDEX(User!$G:$G,MATCH($C33,User!$A:$A,0))</f>
        <v>0195d18c-1c93-02a2-6920-7e4dbfb73ce0</v>
      </c>
      <c r="G33" s="6" t="b">
        <f>INDEX(User!$M:$M,MATCH($C33,User!$A:$A,0))</f>
        <v>0</v>
      </c>
      <c r="H33" s="6" t="str">
        <f>IF(ISNA(MATCH($F33&amp;"|"&amp;$R33,OrganizationAccessCasePolicy!$V:$V,0)),"",MATCH($F33&amp;"|"&amp;$R33,OrganizationAccessCasePolicy!$V:$V,0))</f>
        <v/>
      </c>
      <c r="I33" s="6" t="b" cm="1">
        <f t="array" aca="1" ref="I33" ca="1">IF($H33="",FALSE,NOT(ISNA(MATCH(INDIRECT("OrganizationAccessCasePolicy!D"&amp;$H33)&amp;"|"&amp;$V33,CaseTypeSetMember!$H:$H,0))))</f>
        <v>0</v>
      </c>
      <c r="J33" s="6" t="b" cm="1">
        <f t="array" aca="1" ref="J33" ca="1">IF($H33="",FALSE,AND(INDIRECT("OrganizationAccessCasePolicy!H"&amp;$H33),NOT(ISNA(MATCH(INDIRECT("OrganizationAccessCasePolicy!D"&amp;$H33)&amp;"|"&amp;$V33,CaseTypeSetMember!$H:$H,0)))))</f>
        <v>0</v>
      </c>
      <c r="K33" s="6" t="b" cm="1">
        <f t="array" aca="1" ref="K33" ca="1">IF($H33="",FALSE,AND(INDIRECT("OrganizationAccessCasePolicy!I"&amp;$H33),NOT(ISNA(MATCH(INDIRECT("OrganizationAccessCasePolicy!D"&amp;$H33)&amp;"|"&amp;$V33,CaseTypeSetMember!$H:$H,0)))))</f>
        <v>0</v>
      </c>
      <c r="L33" s="6" t="str">
        <f>IF(ISNA(MATCH($C33&amp;"|"&amp;$R33,UserAccessCasePolicy!$W:$W,0)),"",MATCH($C33&amp;"|"&amp;$R33,UserAccessCasePolicy!$W:$W,0))</f>
        <v/>
      </c>
      <c r="M33" s="6" t="b" cm="1">
        <f t="array" aca="1" ref="M33" ca="1">IF($L33="",FALSE,NOT(ISNA(MATCH(INDIRECT("UserAccessCasePolicy!D"&amp;$L33)&amp;"|"&amp;$V33,CaseTypeSetMember!$H:$H,0))))</f>
        <v>0</v>
      </c>
      <c r="N33" s="6" t="b" cm="1">
        <f t="array" aca="1" ref="N33" ca="1">IF($L33="",FALSE,AND(INDIRECT("UserAccessCasePolicy!G"&amp;$L33),NOT(ISNA(MATCH(INDIRECT("UserAccessCasePolicy!D"&amp;$L33)&amp;"|"&amp;$V33,CaseTypeSetMember!$H:$H,0)))))</f>
        <v>0</v>
      </c>
      <c r="O33" s="6" t="b" cm="1">
        <f t="array" aca="1" ref="O33" ca="1">IF($L33="",FALSE,AND(INDIRECT("UserAccessCasePolicy!H"&amp;$L33),NOT(ISNA(MATCH(INDIRECT("UserAccessCasePolicy!D"&amp;$L33)&amp;"|"&amp;$V33,CaseTypeSetMember!$H:$H,0)))))</f>
        <v>0</v>
      </c>
      <c r="P33" t="s">
        <v>115</v>
      </c>
      <c r="Q33" s="6" t="str">
        <f>INDEX(CaseType!$B:$B,MATCH($P33,CaseType!$A:$A,0))</f>
        <v>case_type1</v>
      </c>
      <c r="R33" t="s">
        <v>11</v>
      </c>
      <c r="S33" s="6" t="str">
        <f>INDEX(DataCollection!$B:$B,MATCH($R33,DataCollection!$A:$A,0))</f>
        <v>data_collection1</v>
      </c>
      <c r="T33" t="b">
        <v>0</v>
      </c>
      <c r="U33" t="s">
        <v>693</v>
      </c>
      <c r="V33" s="6" t="str">
        <f>INDEX(_CaseData!$B:$B,MATCH($U33,_CaseData!$A:$A,0))</f>
        <v>0195d18c-1ca6-fd99-9d76-fcfa0c0cf400</v>
      </c>
      <c r="W33" t="s">
        <v>11</v>
      </c>
      <c r="X33" s="6" t="b">
        <f t="shared" si="2"/>
        <v>1</v>
      </c>
      <c r="Y33" s="6" t="b">
        <f t="shared" si="0"/>
        <v>1</v>
      </c>
    </row>
  </sheetData>
  <autoFilter ref="A1:Y33" xr:uid="{8E0C7C33-6768-4AAE-A57E-F80585DED472}"/>
  <phoneticPr fontId="4" type="noConversion"/>
  <conditionalFormatting sqref="X2:Y33">
    <cfRule type="expression" dxfId="0" priority="1">
      <formula>X2=FALSE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8125C-81FE-4138-8EC4-E1383D9E02A9}">
  <dimension ref="A1:I3"/>
  <sheetViews>
    <sheetView zoomScale="110" zoomScaleNormal="110" workbookViewId="0">
      <pane ySplit="1" topLeftCell="A2" activePane="bottomLeft" state="frozen"/>
      <selection pane="bottomLeft" activeCell="A2" sqref="A2"/>
    </sheetView>
  </sheetViews>
  <sheetFormatPr defaultColWidth="8.77734375" defaultRowHeight="14.4" x14ac:dyDescent="0.3"/>
  <cols>
    <col min="1" max="1" width="35.6640625" bestFit="1" customWidth="1"/>
    <col min="2" max="3" width="35.6640625" customWidth="1"/>
    <col min="4" max="4" width="35.6640625" style="6" customWidth="1"/>
    <col min="5" max="6" width="35.6640625" customWidth="1"/>
    <col min="7" max="7" width="35.6640625" style="6" customWidth="1"/>
    <col min="8" max="8" width="10" style="6" bestFit="1" customWidth="1"/>
    <col min="9" max="9" width="20.77734375" style="6" bestFit="1" customWidth="1"/>
  </cols>
  <sheetData>
    <row r="1" spans="1:9" s="22" customFormat="1" x14ac:dyDescent="0.3">
      <c r="A1" s="22" t="s">
        <v>0</v>
      </c>
      <c r="B1" s="22" t="s">
        <v>138</v>
      </c>
      <c r="C1" s="22" t="s">
        <v>717</v>
      </c>
      <c r="D1" s="24" t="s">
        <v>718</v>
      </c>
      <c r="E1" s="22" t="s">
        <v>721</v>
      </c>
      <c r="F1" s="22" t="s">
        <v>722</v>
      </c>
      <c r="G1" s="24" t="s">
        <v>795</v>
      </c>
      <c r="H1" s="24" t="s">
        <v>283</v>
      </c>
      <c r="I1" s="24" t="s">
        <v>796</v>
      </c>
    </row>
    <row r="2" spans="1:9" x14ac:dyDescent="0.3">
      <c r="A2" t="s">
        <v>693</v>
      </c>
      <c r="B2" t="s">
        <v>115</v>
      </c>
      <c r="C2" t="s">
        <v>11</v>
      </c>
      <c r="D2" s="6" t="str">
        <f>INDEX(DataCollection!$B:$B,MATCH($C2,DataCollection!$A:$A,0))</f>
        <v>data_collection1</v>
      </c>
      <c r="F2" s="14">
        <v>36526</v>
      </c>
      <c r="G2" s="6" t="str">
        <f>INDEX(CaseType!$B:$B,MATCH($B2,CaseType!$A:$A,0))</f>
        <v>case_type1</v>
      </c>
      <c r="H2" s="6" t="b">
        <f>AND($I2)</f>
        <v>1</v>
      </c>
      <c r="I2" s="6" t="b">
        <f>COUNTIFS(_CaseContentData!$A:$A,$A2,_CaseContentData!$H:$H,FALSE)=0</f>
        <v>1</v>
      </c>
    </row>
    <row r="3" spans="1:9" x14ac:dyDescent="0.3">
      <c r="A3" t="s">
        <v>715</v>
      </c>
      <c r="B3" t="s">
        <v>119</v>
      </c>
      <c r="C3" t="s">
        <v>11</v>
      </c>
      <c r="D3" s="6" t="str">
        <f>INDEX(DataCollection!$B:$B,MATCH($C3,DataCollection!$A:$A,0))</f>
        <v>data_collection1</v>
      </c>
      <c r="F3" s="14">
        <v>36526</v>
      </c>
      <c r="G3" s="6" t="str">
        <f>INDEX(CaseType!$B:$B,MATCH($B3,CaseType!$A:$A,0))</f>
        <v>case_type2</v>
      </c>
      <c r="H3" s="6" t="b">
        <f>AND($I3)</f>
        <v>1</v>
      </c>
      <c r="I3" s="6" t="b">
        <f>COUNTIFS(_CaseContentData!$A:$A,$A3,_CaseContentData!$H:$H,FALSE)=0</f>
        <v>1</v>
      </c>
    </row>
  </sheetData>
  <autoFilter ref="A1:A33" xr:uid="{8E0C7C33-6768-4AAE-A57E-F80585DED472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CD083-FC70-48A6-9216-CB6293E1F295}">
  <dimension ref="A1:X58"/>
  <sheetViews>
    <sheetView topLeftCell="C1" zoomScale="110" zoomScaleNormal="110" workbookViewId="0">
      <pane ySplit="1" topLeftCell="A2" activePane="bottomLeft" state="frozen"/>
      <selection pane="bottomLeft" activeCell="G2" sqref="G2"/>
    </sheetView>
  </sheetViews>
  <sheetFormatPr defaultColWidth="8.77734375" defaultRowHeight="14.4" x14ac:dyDescent="0.3"/>
  <cols>
    <col min="1" max="1" width="35.6640625" bestFit="1" customWidth="1"/>
    <col min="2" max="2" width="25.109375" style="6" bestFit="1" customWidth="1"/>
    <col min="3" max="3" width="36.109375" bestFit="1" customWidth="1"/>
    <col min="4" max="4" width="65.21875" style="6" bestFit="1" customWidth="1"/>
    <col min="5" max="5" width="36.109375" bestFit="1" customWidth="1"/>
    <col min="6" max="6" width="19.21875" customWidth="1"/>
    <col min="7" max="7" width="36.109375" style="6" bestFit="1" customWidth="1"/>
    <col min="8" max="8" width="19.21875" style="6" customWidth="1"/>
    <col min="9" max="9" width="20.5546875" bestFit="1" customWidth="1"/>
    <col min="10" max="10" width="19.21875" style="6" customWidth="1"/>
    <col min="11" max="11" width="36" style="6" bestFit="1" customWidth="1"/>
    <col min="12" max="12" width="34.44140625" style="6" bestFit="1" customWidth="1"/>
    <col min="13" max="13" width="36.109375" style="6" bestFit="1" customWidth="1"/>
    <col min="14" max="14" width="29" style="6" bestFit="1" customWidth="1"/>
    <col min="15" max="16" width="36.109375" style="6" bestFit="1" customWidth="1"/>
    <col min="17" max="18" width="36" style="6" bestFit="1" customWidth="1"/>
    <col min="19" max="20" width="36" style="6" customWidth="1"/>
    <col min="21" max="22" width="27.88671875" style="6" bestFit="1" customWidth="1"/>
    <col min="23" max="23" width="29" bestFit="1" customWidth="1"/>
    <col min="24" max="24" width="25" bestFit="1" customWidth="1"/>
  </cols>
  <sheetData>
    <row r="1" spans="1:24" x14ac:dyDescent="0.3">
      <c r="A1" t="s">
        <v>791</v>
      </c>
      <c r="B1" s="6" t="s">
        <v>794</v>
      </c>
      <c r="C1" t="s">
        <v>135</v>
      </c>
      <c r="D1" s="6" t="s">
        <v>793</v>
      </c>
      <c r="E1" t="s">
        <v>692</v>
      </c>
      <c r="F1" t="s">
        <v>714</v>
      </c>
      <c r="G1" s="6" t="s">
        <v>845</v>
      </c>
      <c r="H1" s="6" t="s">
        <v>283</v>
      </c>
      <c r="I1" t="s">
        <v>792</v>
      </c>
      <c r="J1" s="6" t="s">
        <v>723</v>
      </c>
      <c r="K1" s="6" t="s">
        <v>719</v>
      </c>
      <c r="L1" s="6" t="s">
        <v>720</v>
      </c>
      <c r="M1" s="6" t="s">
        <v>829</v>
      </c>
      <c r="N1" s="6" t="s">
        <v>844</v>
      </c>
      <c r="O1" s="6" t="s">
        <v>830</v>
      </c>
      <c r="P1" s="6" t="s">
        <v>831</v>
      </c>
      <c r="Q1" s="6" t="s">
        <v>841</v>
      </c>
      <c r="R1" s="6" t="s">
        <v>842</v>
      </c>
      <c r="S1" s="6" t="s">
        <v>808</v>
      </c>
      <c r="T1" s="6" t="s">
        <v>851</v>
      </c>
      <c r="U1" s="6" t="s">
        <v>852</v>
      </c>
      <c r="V1" s="6" t="s">
        <v>853</v>
      </c>
      <c r="W1" t="s">
        <v>846</v>
      </c>
      <c r="X1" t="s">
        <v>847</v>
      </c>
    </row>
    <row r="2" spans="1:24" x14ac:dyDescent="0.3">
      <c r="A2" t="s">
        <v>693</v>
      </c>
      <c r="B2" s="6" t="str">
        <f>INDEX(_CaseData!$G:$G,MATCH($A2,_CaseData!$A:$A,0))</f>
        <v>case_type1</v>
      </c>
      <c r="C2" t="s">
        <v>536</v>
      </c>
      <c r="D2" s="6" t="str">
        <f>INDEX(CaseTypeCol!$G:$G,MATCH($C2,CaseTypeCol!$A:$A,0))</f>
        <v>case_type1.nominal1_1 (NOMINAL;Nominal_1)</v>
      </c>
      <c r="E2" t="s">
        <v>349</v>
      </c>
      <c r="G2" s="6" t="str">
        <f>IF($W2,$X2,IF($E2="","",IF($N2="REGULAR_LANGUAGE",$E2,IF(OR($N2="NOMINAL",$N2="ORDINAL",$N2="INTERVAL"),$Q2,IF($N2="GEO_REGION",$R2,IF($N2="ORGANIZATION",$S2,$E2))))))</f>
        <v>0198ef6d-8543-1558-187c-47880d4b485e</v>
      </c>
      <c r="H2" s="6" t="b">
        <f>AND($I2:$J2)</f>
        <v>1</v>
      </c>
      <c r="I2" t="b">
        <v>1</v>
      </c>
      <c r="J2" s="6" t="b">
        <f>K2=L2</f>
        <v>1</v>
      </c>
      <c r="K2" s="6" t="str">
        <f>INDEX(_CaseData!$B:$B,MATCH($A2,_CaseData!$A:$A,0))</f>
        <v>0195d18c-1ca6-fd99-9d76-fcfa0c0cf400</v>
      </c>
      <c r="L2" s="6" t="str">
        <f>INDEX(CaseTypeCol!$B:$B,MATCH($C2,CaseTypeCol!$A:$A,0))</f>
        <v>0195d18c-1ca6-fd99-9d76-fcfa0c0cf400</v>
      </c>
      <c r="M2" s="6" t="str">
        <f>INDEX(CaseTypeCol!$D:$D,MATCH($C2,CaseTypeCol!$A:$A,0))</f>
        <v>0198ef6d-8543-eb2b-e8cd-6ad2e7ad4523</v>
      </c>
      <c r="N2" s="6" t="str">
        <f>INDEX(Col!$H:$H,MATCH($M2,Col!$A:$A,0))</f>
        <v>NOMINAL</v>
      </c>
      <c r="O2" s="6" t="str">
        <f>IF(INDEX(Col!$I:$I,MATCH($M2,Col!$A:$A,0))="","",INDEX(Col!$I:$I,MATCH($M2,Col!$A:$A,0)))</f>
        <v>0198ef6d-8543-90a8-a647-ae05912c77ba</v>
      </c>
      <c r="P2" s="6" t="str">
        <f>IF(INDEX(Col!$K:$K,MATCH($M2,Col!$A:$A,0))="","",INDEX(Col!$K:$K,MATCH($M2,Col!$A:$A,0)))</f>
        <v/>
      </c>
      <c r="Q2" s="6" t="str">
        <f>IF($O2="","",IF(NOT(ISNA(MATCH(LOWER($O2&amp;"|"&amp;$E2),Concept!$K:$K,0))),INDEX(Concept!$A:$A,MATCH(LOWER($O2&amp;"|"&amp;$E2),Concept!$K:$K,0)),IF(NOT(ISNA(MATCH(LOWER($O2&amp;"|"&amp;$E2),Concept!$L:$L,0))),INDEX(Concept!$A:$A,MATCH(LOWER($O2&amp;"|"&amp;$E2),Concept!$L:$L,0)),IF(NOT(ISNA(MATCH(LOWER($O2&amp;"|"&amp;$E2),Concept!$M:$M,0))),INDEX(Concept!$A:$A,MATCH(LOWER($O2&amp;"|"&amp;$E2),Concept!$M:$M,0)),""))))</f>
        <v>0198ef6d-8543-1558-187c-47880d4b485e</v>
      </c>
      <c r="R2" s="6" t="str">
        <f>IF($P2="","",IF(NOT(ISNA(MATCH(LOWER($P2&amp;"|"&amp;$E2),Region!$J:$J,0))),INDEX(Region!$A:$A,MATCH(LOWER($P2&amp;"|"&amp;$E2),Region!$J:$J,0)),IF(NOT(ISNA(MATCH(LOWER($P2&amp;"|"&amp;$E2),Region!$K:$K,0))),INDEX(Region!$A:$A,MATCH(LOWER($P2&amp;"|"&amp;$E2),Region!$K:$K,0)),"")))</f>
        <v/>
      </c>
      <c r="S2" s="6" t="str">
        <f>IF($N2&lt;&gt;"ORGANIZATION","",IF(NOT(ISNA(MATCH($E2,Organization!$A:$A,0))),INDEX(Organization!$A:$A,MATCH($E2,Organization!$A:$A,0)),IF(NOT(ISNA(MATCH($E2,Organization!$B:$B,0))),INDEX(Organization!$A:$A,MATCH($E2,Organization!$B:$B,0)),IF(NOT(ISNA(MATCH($E2,Organization!$A:$A,0))),INDEX(Organization!$C:$C,MATCH($E2,Organization!$C:$C,0)),""))))</f>
        <v/>
      </c>
      <c r="T2" s="6" t="str">
        <f>INDEX(Col!$B:$B,MATCH($M2,Col!$A:$A,0))</f>
        <v>0198ef6d-8543-8d7e-a786-a78961958b68</v>
      </c>
      <c r="U2" s="6" t="str">
        <f>INDEX(Dim!$C:$C,MATCH($T2,Dim!$A:$A,0))</f>
        <v>nominal1</v>
      </c>
      <c r="V2" s="6" t="str">
        <f>INDEX(Dim!$B:$B,MATCH($T2,Dim!$A:$A,0))</f>
        <v>TEXT</v>
      </c>
      <c r="W2" t="b">
        <v>0</v>
      </c>
    </row>
    <row r="3" spans="1:24" x14ac:dyDescent="0.3">
      <c r="A3" t="s">
        <v>693</v>
      </c>
      <c r="B3" s="6" t="str">
        <f>INDEX(_CaseData!$G:$G,MATCH($A3,_CaseData!$A:$A,0))</f>
        <v>case_type1</v>
      </c>
      <c r="C3" t="s">
        <v>537</v>
      </c>
      <c r="D3" s="6" t="str">
        <f>INDEX(CaseTypeCol!$G:$G,MATCH($C3,CaseTypeCol!$A:$A,0))</f>
        <v>case_type1.nominal2_1 (NOMINAL;Nominal_2)</v>
      </c>
      <c r="E3" t="s">
        <v>694</v>
      </c>
      <c r="G3" s="6" t="str">
        <f t="shared" ref="G3:G58" si="0">IF($W3,$X3,IF($E3="","",IF($N3="REGULAR_LANGUAGE",$E3,IF(OR($N3="NOMINAL",$N3="ORDINAL",$N3="INTERVAL"),$Q3,IF($N3="GEO_REGION",$R3,IF($N3="ORGANIZATION",$S3,$E3))))))</f>
        <v>0198ef6d-8543-6ac9-4915-b0f74393baa3</v>
      </c>
      <c r="H3" s="6" t="b">
        <f t="shared" ref="H3:H58" si="1">AND($I3:$J3)</f>
        <v>1</v>
      </c>
      <c r="I3" t="b">
        <v>1</v>
      </c>
      <c r="J3" s="6" t="b">
        <f t="shared" ref="J3:J58" si="2">K3=L3</f>
        <v>1</v>
      </c>
      <c r="K3" s="6" t="str">
        <f>INDEX(_CaseData!$B:$B,MATCH($A3,_CaseData!$A:$A,0))</f>
        <v>0195d18c-1ca6-fd99-9d76-fcfa0c0cf400</v>
      </c>
      <c r="L3" s="6" t="str">
        <f>INDEX(CaseTypeCol!$B:$B,MATCH($C3,CaseTypeCol!$A:$A,0))</f>
        <v>0195d18c-1ca6-fd99-9d76-fcfa0c0cf400</v>
      </c>
      <c r="M3" s="6" t="str">
        <f>INDEX(CaseTypeCol!$D:$D,MATCH($C3,CaseTypeCol!$A:$A,0))</f>
        <v>0198ef6d-8543-1234-cbf1-9947a51d56ff</v>
      </c>
      <c r="N3" s="6" t="str">
        <f>INDEX(Col!$H:$H,MATCH($M3,Col!$A:$A,0))</f>
        <v>NOMINAL</v>
      </c>
      <c r="O3" s="6" t="str">
        <f>IF(INDEX(Col!$I:$I,MATCH($M3,Col!$A:$A,0))="","",INDEX(Col!$I:$I,MATCH($M3,Col!$A:$A,0)))</f>
        <v>0198ef6d-8543-2a99-b3be-b0d2583cb604</v>
      </c>
      <c r="P3" s="6" t="str">
        <f>IF(INDEX(Col!$K:$K,MATCH($M3,Col!$A:$A,0))="","",INDEX(Col!$K:$K,MATCH($M3,Col!$A:$A,0)))</f>
        <v/>
      </c>
      <c r="Q3" s="6" t="str">
        <f>IF($O3="","",IF(NOT(ISNA(MATCH(LOWER($O3&amp;"|"&amp;$E3),Concept!$K:$K,0))),INDEX(Concept!$A:$A,MATCH(LOWER($O3&amp;"|"&amp;$E3),Concept!$K:$K,0)),IF(NOT(ISNA(MATCH(LOWER($O3&amp;"|"&amp;$E3),Concept!$L:$L,0))),INDEX(Concept!$A:$A,MATCH(LOWER($O3&amp;"|"&amp;$E3),Concept!$L:$L,0)),IF(NOT(ISNA(MATCH(LOWER($O3&amp;"|"&amp;$E3),Concept!$M:$M,0))),INDEX(Concept!$A:$A,MATCH(LOWER($O3&amp;"|"&amp;$E3),Concept!$M:$M,0)),""))))</f>
        <v>0198ef6d-8543-6ac9-4915-b0f74393baa3</v>
      </c>
      <c r="R3" s="6" t="str">
        <f>IF($P3="","",IF(NOT(ISNA(MATCH(LOWER($P3&amp;"|"&amp;$E3),Region!$J:$J,0))),INDEX(Region!$A:$A,MATCH(LOWER($P3&amp;"|"&amp;$E3),Region!$J:$J,0)),IF(NOT(ISNA(MATCH(LOWER($P3&amp;"|"&amp;$E3),Region!$K:$K,0))),INDEX(Region!$A:$A,MATCH(LOWER($P3&amp;"|"&amp;$E3),Region!$K:$K,0)),"")))</f>
        <v/>
      </c>
      <c r="S3" s="6" t="str">
        <f>IF($N3&lt;&gt;"ORGANIZATION","",IF(NOT(ISNA(MATCH($E3,Organization!$A:$A,0))),INDEX(Organization!$A:$A,MATCH($E3,Organization!$A:$A,0)),IF(NOT(ISNA(MATCH($E3,Organization!$B:$B,0))),INDEX(Organization!$A:$A,MATCH($E3,Organization!$B:$B,0)),IF(NOT(ISNA(MATCH($E3,Organization!$A:$A,0))),INDEX(Organization!$C:$C,MATCH($E3,Organization!$C:$C,0)),""))))</f>
        <v/>
      </c>
      <c r="T3" s="6" t="str">
        <f>INDEX(Col!$B:$B,MATCH($M3,Col!$A:$A,0))</f>
        <v>0198ef6d-8543-4e10-dadc-606a590cbf81</v>
      </c>
      <c r="U3" s="6" t="str">
        <f>INDEX(Dim!$C:$C,MATCH($T3,Dim!$A:$A,0))</f>
        <v>nominal2</v>
      </c>
      <c r="V3" s="6" t="str">
        <f>INDEX(Dim!$B:$B,MATCH($T3,Dim!$A:$A,0))</f>
        <v>TEXT</v>
      </c>
      <c r="W3" t="b">
        <v>0</v>
      </c>
    </row>
    <row r="4" spans="1:24" x14ac:dyDescent="0.3">
      <c r="A4" t="s">
        <v>693</v>
      </c>
      <c r="B4" s="6" t="str">
        <f>INDEX(_CaseData!$G:$G,MATCH($A4,_CaseData!$A:$A,0))</f>
        <v>case_type1</v>
      </c>
      <c r="C4" t="s">
        <v>538</v>
      </c>
      <c r="D4" s="6" t="str">
        <f>INDEX(CaseTypeCol!$G:$G,MATCH($C4,CaseTypeCol!$A:$A,0))</f>
        <v>case_type1.ordinal1_1 (ORDINAL;Ordinal_1)</v>
      </c>
      <c r="E4" t="s">
        <v>695</v>
      </c>
      <c r="G4" s="6" t="str">
        <f t="shared" si="0"/>
        <v>0198ef6d-8543-73c8-d3af-92aa66e44b8c</v>
      </c>
      <c r="H4" s="6" t="b">
        <f t="shared" si="1"/>
        <v>1</v>
      </c>
      <c r="I4" t="b">
        <v>1</v>
      </c>
      <c r="J4" s="6" t="b">
        <f t="shared" si="2"/>
        <v>1</v>
      </c>
      <c r="K4" s="6" t="str">
        <f>INDEX(_CaseData!$B:$B,MATCH($A4,_CaseData!$A:$A,0))</f>
        <v>0195d18c-1ca6-fd99-9d76-fcfa0c0cf400</v>
      </c>
      <c r="L4" s="6" t="str">
        <f>INDEX(CaseTypeCol!$B:$B,MATCH($C4,CaseTypeCol!$A:$A,0))</f>
        <v>0195d18c-1ca6-fd99-9d76-fcfa0c0cf400</v>
      </c>
      <c r="M4" s="6" t="str">
        <f>INDEX(CaseTypeCol!$D:$D,MATCH($C4,CaseTypeCol!$A:$A,0))</f>
        <v>0198ef6d-8543-50ea-8c7a-9f5c1a8041c4</v>
      </c>
      <c r="N4" s="6" t="str">
        <f>INDEX(Col!$H:$H,MATCH($M4,Col!$A:$A,0))</f>
        <v>ORDINAL</v>
      </c>
      <c r="O4" s="6" t="str">
        <f>IF(INDEX(Col!$I:$I,MATCH($M4,Col!$A:$A,0))="","",INDEX(Col!$I:$I,MATCH($M4,Col!$A:$A,0)))</f>
        <v>0198ef6d-8543-b279-03a6-da9684b42b08</v>
      </c>
      <c r="P4" s="6" t="str">
        <f>IF(INDEX(Col!$K:$K,MATCH($M4,Col!$A:$A,0))="","",INDEX(Col!$K:$K,MATCH($M4,Col!$A:$A,0)))</f>
        <v/>
      </c>
      <c r="Q4" s="6" t="str">
        <f>IF($O4="","",IF(NOT(ISNA(MATCH(LOWER($O4&amp;"|"&amp;$E4),Concept!$K:$K,0))),INDEX(Concept!$A:$A,MATCH(LOWER($O4&amp;"|"&amp;$E4),Concept!$K:$K,0)),IF(NOT(ISNA(MATCH(LOWER($O4&amp;"|"&amp;$E4),Concept!$L:$L,0))),INDEX(Concept!$A:$A,MATCH(LOWER($O4&amp;"|"&amp;$E4),Concept!$L:$L,0)),IF(NOT(ISNA(MATCH(LOWER($O4&amp;"|"&amp;$E4),Concept!$M:$M,0))),INDEX(Concept!$A:$A,MATCH(LOWER($O4&amp;"|"&amp;$E4),Concept!$M:$M,0)),""))))</f>
        <v>0198ef6d-8543-73c8-d3af-92aa66e44b8c</v>
      </c>
      <c r="R4" s="6" t="str">
        <f>IF($P4="","",IF(NOT(ISNA(MATCH(LOWER($P4&amp;"|"&amp;$E4),Region!$J:$J,0))),INDEX(Region!$A:$A,MATCH(LOWER($P4&amp;"|"&amp;$E4),Region!$J:$J,0)),IF(NOT(ISNA(MATCH(LOWER($P4&amp;"|"&amp;$E4),Region!$K:$K,0))),INDEX(Region!$A:$A,MATCH(LOWER($P4&amp;"|"&amp;$E4),Region!$K:$K,0)),"")))</f>
        <v/>
      </c>
      <c r="S4" s="6" t="str">
        <f>IF($N4&lt;&gt;"ORGANIZATION","",IF(NOT(ISNA(MATCH($E4,Organization!$A:$A,0))),INDEX(Organization!$A:$A,MATCH($E4,Organization!$A:$A,0)),IF(NOT(ISNA(MATCH($E4,Organization!$B:$B,0))),INDEX(Organization!$A:$A,MATCH($E4,Organization!$B:$B,0)),IF(NOT(ISNA(MATCH($E4,Organization!$A:$A,0))),INDEX(Organization!$C:$C,MATCH($E4,Organization!$C:$C,0)),""))))</f>
        <v/>
      </c>
      <c r="T4" s="6" t="str">
        <f>INDEX(Col!$B:$B,MATCH($M4,Col!$A:$A,0))</f>
        <v>0198ef6d-8543-4b57-ccc7-1e34bcca2de1</v>
      </c>
      <c r="U4" s="6" t="str">
        <f>INDEX(Dim!$C:$C,MATCH($T4,Dim!$A:$A,0))</f>
        <v>ordinal1</v>
      </c>
      <c r="V4" s="6" t="str">
        <f>INDEX(Dim!$B:$B,MATCH($T4,Dim!$A:$A,0))</f>
        <v>TEXT</v>
      </c>
      <c r="W4" t="b">
        <v>0</v>
      </c>
    </row>
    <row r="5" spans="1:24" x14ac:dyDescent="0.3">
      <c r="A5" t="s">
        <v>693</v>
      </c>
      <c r="B5" s="6" t="str">
        <f>INDEX(_CaseData!$G:$G,MATCH($A5,_CaseData!$A:$A,0))</f>
        <v>case_type1</v>
      </c>
      <c r="C5" t="s">
        <v>539</v>
      </c>
      <c r="D5" s="6" t="str">
        <f>INDEX(CaseTypeCol!$G:$G,MATCH($C5,CaseTypeCol!$A:$A,0))</f>
        <v>case_type1.ordinal2_1 (ORDINAL;Ordinal_2)</v>
      </c>
      <c r="E5" t="s">
        <v>843</v>
      </c>
      <c r="G5" s="6" t="str">
        <f t="shared" si="0"/>
        <v>0198ef6d-8543-1842-1575-0be542168d82</v>
      </c>
      <c r="H5" s="6" t="b">
        <f t="shared" si="1"/>
        <v>1</v>
      </c>
      <c r="I5" t="b">
        <v>1</v>
      </c>
      <c r="J5" s="6" t="b">
        <f t="shared" si="2"/>
        <v>1</v>
      </c>
      <c r="K5" s="6" t="str">
        <f>INDEX(_CaseData!$B:$B,MATCH($A5,_CaseData!$A:$A,0))</f>
        <v>0195d18c-1ca6-fd99-9d76-fcfa0c0cf400</v>
      </c>
      <c r="L5" s="6" t="str">
        <f>INDEX(CaseTypeCol!$B:$B,MATCH($C5,CaseTypeCol!$A:$A,0))</f>
        <v>0195d18c-1ca6-fd99-9d76-fcfa0c0cf400</v>
      </c>
      <c r="M5" s="6" t="str">
        <f>INDEX(CaseTypeCol!$D:$D,MATCH($C5,CaseTypeCol!$A:$A,0))</f>
        <v>0198ef6d-8543-76c4-4fb4-25f7403d7972</v>
      </c>
      <c r="N5" s="6" t="str">
        <f>INDEX(Col!$H:$H,MATCH($M5,Col!$A:$A,0))</f>
        <v>ORDINAL</v>
      </c>
      <c r="O5" s="6" t="str">
        <f>IF(INDEX(Col!$I:$I,MATCH($M5,Col!$A:$A,0))="","",INDEX(Col!$I:$I,MATCH($M5,Col!$A:$A,0)))</f>
        <v>0198ef6d-8543-d076-3da0-dd48921087f9</v>
      </c>
      <c r="P5" s="6" t="str">
        <f>IF(INDEX(Col!$K:$K,MATCH($M5,Col!$A:$A,0))="","",INDEX(Col!$K:$K,MATCH($M5,Col!$A:$A,0)))</f>
        <v/>
      </c>
      <c r="Q5" s="6" t="str">
        <f>IF($O5="","",IF(NOT(ISNA(MATCH(LOWER($O5&amp;"|"&amp;$E5),Concept!$K:$K,0))),INDEX(Concept!$A:$A,MATCH(LOWER($O5&amp;"|"&amp;$E5),Concept!$K:$K,0)),IF(NOT(ISNA(MATCH(LOWER($O5&amp;"|"&amp;$E5),Concept!$L:$L,0))),INDEX(Concept!$A:$A,MATCH(LOWER($O5&amp;"|"&amp;$E5),Concept!$L:$L,0)),IF(NOT(ISNA(MATCH(LOWER($O5&amp;"|"&amp;$E5),Concept!$M:$M,0))),INDEX(Concept!$A:$A,MATCH(LOWER($O5&amp;"|"&amp;$E5),Concept!$M:$M,0)),""))))</f>
        <v>0198ef6d-8543-1842-1575-0be542168d82</v>
      </c>
      <c r="R5" s="6" t="str">
        <f>IF($P5="","",IF(NOT(ISNA(MATCH(LOWER($P5&amp;"|"&amp;$E5),Region!$J:$J,0))),INDEX(Region!$A:$A,MATCH(LOWER($P5&amp;"|"&amp;$E5),Region!$J:$J,0)),IF(NOT(ISNA(MATCH(LOWER($P5&amp;"|"&amp;$E5),Region!$K:$K,0))),INDEX(Region!$A:$A,MATCH(LOWER($P5&amp;"|"&amp;$E5),Region!$K:$K,0)),"")))</f>
        <v/>
      </c>
      <c r="S5" s="6" t="str">
        <f>IF($N5&lt;&gt;"ORGANIZATION","",IF(NOT(ISNA(MATCH($E5,Organization!$A:$A,0))),INDEX(Organization!$A:$A,MATCH($E5,Organization!$A:$A,0)),IF(NOT(ISNA(MATCH($E5,Organization!$B:$B,0))),INDEX(Organization!$A:$A,MATCH($E5,Organization!$B:$B,0)),IF(NOT(ISNA(MATCH($E5,Organization!$A:$A,0))),INDEX(Organization!$C:$C,MATCH($E5,Organization!$C:$C,0)),""))))</f>
        <v/>
      </c>
      <c r="T5" s="6" t="str">
        <f>INDEX(Col!$B:$B,MATCH($M5,Col!$A:$A,0))</f>
        <v>0198ef6d-8543-9c78-54a7-6b4c2ca6ce88</v>
      </c>
      <c r="U5" s="6" t="str">
        <f>INDEX(Dim!$C:$C,MATCH($T5,Dim!$A:$A,0))</f>
        <v>ordinal2</v>
      </c>
      <c r="V5" s="6" t="str">
        <f>INDEX(Dim!$B:$B,MATCH($T5,Dim!$A:$A,0))</f>
        <v>TEXT</v>
      </c>
      <c r="W5" t="b">
        <v>0</v>
      </c>
    </row>
    <row r="6" spans="1:24" x14ac:dyDescent="0.3">
      <c r="A6" t="s">
        <v>693</v>
      </c>
      <c r="B6" s="6" t="str">
        <f>INDEX(_CaseData!$G:$G,MATCH($A6,_CaseData!$A:$A,0))</f>
        <v>case_type1</v>
      </c>
      <c r="C6" t="s">
        <v>540</v>
      </c>
      <c r="D6" s="6" t="str">
        <f>INDEX(CaseTypeCol!$G:$G,MATCH($C6,CaseTypeCol!$A:$A,0))</f>
        <v>case_type1.regex1_1 (REGULAR_LANGUAGE;Regex_1)</v>
      </c>
      <c r="E6" t="s">
        <v>696</v>
      </c>
      <c r="G6" s="6" t="str">
        <f t="shared" si="0"/>
        <v>A1</v>
      </c>
      <c r="H6" s="6" t="b">
        <f t="shared" si="1"/>
        <v>1</v>
      </c>
      <c r="I6" t="b">
        <v>1</v>
      </c>
      <c r="J6" s="6" t="b">
        <f t="shared" si="2"/>
        <v>1</v>
      </c>
      <c r="K6" s="6" t="str">
        <f>INDEX(_CaseData!$B:$B,MATCH($A6,_CaseData!$A:$A,0))</f>
        <v>0195d18c-1ca6-fd99-9d76-fcfa0c0cf400</v>
      </c>
      <c r="L6" s="6" t="str">
        <f>INDEX(CaseTypeCol!$B:$B,MATCH($C6,CaseTypeCol!$A:$A,0))</f>
        <v>0195d18c-1ca6-fd99-9d76-fcfa0c0cf400</v>
      </c>
      <c r="M6" s="6" t="str">
        <f>INDEX(CaseTypeCol!$D:$D,MATCH($C6,CaseTypeCol!$A:$A,0))</f>
        <v>0198ef6d-8543-479e-1e7a-3428fa97ebc7</v>
      </c>
      <c r="N6" s="6" t="str">
        <f>INDEX(Col!$H:$H,MATCH($M6,Col!$A:$A,0))</f>
        <v>REGULAR_LANGUAGE</v>
      </c>
      <c r="O6" s="6" t="str">
        <f>IF(INDEX(Col!$I:$I,MATCH($M6,Col!$A:$A,0))="","",INDEX(Col!$I:$I,MATCH($M6,Col!$A:$A,0)))</f>
        <v>0198ef6d-8543-a151-ab47-0394a80e2a05</v>
      </c>
      <c r="P6" s="6" t="str">
        <f>IF(INDEX(Col!$K:$K,MATCH($M6,Col!$A:$A,0))="","",INDEX(Col!$K:$K,MATCH($M6,Col!$A:$A,0)))</f>
        <v/>
      </c>
      <c r="Q6" s="6" t="str">
        <f>IF($O6="","",IF(NOT(ISNA(MATCH(LOWER($O6&amp;"|"&amp;$E6),Concept!$K:$K,0))),INDEX(Concept!$A:$A,MATCH(LOWER($O6&amp;"|"&amp;$E6),Concept!$K:$K,0)),IF(NOT(ISNA(MATCH(LOWER($O6&amp;"|"&amp;$E6),Concept!$L:$L,0))),INDEX(Concept!$A:$A,MATCH(LOWER($O6&amp;"|"&amp;$E6),Concept!$L:$L,0)),IF(NOT(ISNA(MATCH(LOWER($O6&amp;"|"&amp;$E6),Concept!$M:$M,0))),INDEX(Concept!$A:$A,MATCH(LOWER($O6&amp;"|"&amp;$E6),Concept!$M:$M,0)),""))))</f>
        <v/>
      </c>
      <c r="R6" s="6" t="str">
        <f>IF($P6="","",IF(NOT(ISNA(MATCH(LOWER($P6&amp;"|"&amp;$E6),Region!$J:$J,0))),INDEX(Region!$A:$A,MATCH(LOWER($P6&amp;"|"&amp;$E6),Region!$J:$J,0)),IF(NOT(ISNA(MATCH(LOWER($P6&amp;"|"&amp;$E6),Region!$K:$K,0))),INDEX(Region!$A:$A,MATCH(LOWER($P6&amp;"|"&amp;$E6),Region!$K:$K,0)),"")))</f>
        <v/>
      </c>
      <c r="S6" s="6" t="str">
        <f>IF($N6&lt;&gt;"ORGANIZATION","",IF(NOT(ISNA(MATCH($E6,Organization!$A:$A,0))),INDEX(Organization!$A:$A,MATCH($E6,Organization!$A:$A,0)),IF(NOT(ISNA(MATCH($E6,Organization!$B:$B,0))),INDEX(Organization!$A:$A,MATCH($E6,Organization!$B:$B,0)),IF(NOT(ISNA(MATCH($E6,Organization!$A:$A,0))),INDEX(Organization!$C:$C,MATCH($E6,Organization!$C:$C,0)),""))))</f>
        <v/>
      </c>
      <c r="T6" s="6" t="str">
        <f>INDEX(Col!$B:$B,MATCH($M6,Col!$A:$A,0))</f>
        <v>0198ef6d-8543-6a7f-4553-b7280cc2ab9b</v>
      </c>
      <c r="U6" s="6" t="str">
        <f>INDEX(Dim!$C:$C,MATCH($T6,Dim!$A:$A,0))</f>
        <v>regex1</v>
      </c>
      <c r="V6" s="6" t="str">
        <f>INDEX(Dim!$B:$B,MATCH($T6,Dim!$A:$A,0))</f>
        <v>TEXT</v>
      </c>
      <c r="W6" t="b">
        <v>0</v>
      </c>
    </row>
    <row r="7" spans="1:24" x14ac:dyDescent="0.3">
      <c r="A7" t="s">
        <v>693</v>
      </c>
      <c r="B7" s="6" t="str">
        <f>INDEX(_CaseData!$G:$G,MATCH($A7,_CaseData!$A:$A,0))</f>
        <v>case_type1</v>
      </c>
      <c r="C7" t="s">
        <v>541</v>
      </c>
      <c r="D7" s="6" t="str">
        <f>INDEX(CaseTypeCol!$G:$G,MATCH($C7,CaseTypeCol!$A:$A,0))</f>
        <v>case_type1.regex2_1 (REGULAR_LANGUAGE;Regex_2)</v>
      </c>
      <c r="E7" t="s">
        <v>697</v>
      </c>
      <c r="G7" s="6" t="str">
        <f t="shared" si="0"/>
        <v>B1</v>
      </c>
      <c r="H7" s="6" t="b">
        <f t="shared" si="1"/>
        <v>1</v>
      </c>
      <c r="I7" t="b">
        <v>1</v>
      </c>
      <c r="J7" s="6" t="b">
        <f t="shared" si="2"/>
        <v>1</v>
      </c>
      <c r="K7" s="6" t="str">
        <f>INDEX(_CaseData!$B:$B,MATCH($A7,_CaseData!$A:$A,0))</f>
        <v>0195d18c-1ca6-fd99-9d76-fcfa0c0cf400</v>
      </c>
      <c r="L7" s="6" t="str">
        <f>INDEX(CaseTypeCol!$B:$B,MATCH($C7,CaseTypeCol!$A:$A,0))</f>
        <v>0195d18c-1ca6-fd99-9d76-fcfa0c0cf400</v>
      </c>
      <c r="M7" s="6" t="str">
        <f>INDEX(CaseTypeCol!$D:$D,MATCH($C7,CaseTypeCol!$A:$A,0))</f>
        <v>0198ef6d-8543-0924-3aca-6065227cd9ef</v>
      </c>
      <c r="N7" s="6" t="str">
        <f>INDEX(Col!$H:$H,MATCH($M7,Col!$A:$A,0))</f>
        <v>REGULAR_LANGUAGE</v>
      </c>
      <c r="O7" s="6" t="str">
        <f>IF(INDEX(Col!$I:$I,MATCH($M7,Col!$A:$A,0))="","",INDEX(Col!$I:$I,MATCH($M7,Col!$A:$A,0)))</f>
        <v>0198ef6d-8543-6df8-9098-78280604c758</v>
      </c>
      <c r="P7" s="6" t="str">
        <f>IF(INDEX(Col!$K:$K,MATCH($M7,Col!$A:$A,0))="","",INDEX(Col!$K:$K,MATCH($M7,Col!$A:$A,0)))</f>
        <v/>
      </c>
      <c r="Q7" s="6" t="str">
        <f>IF($O7="","",IF(NOT(ISNA(MATCH(LOWER($O7&amp;"|"&amp;$E7),Concept!$K:$K,0))),INDEX(Concept!$A:$A,MATCH(LOWER($O7&amp;"|"&amp;$E7),Concept!$K:$K,0)),IF(NOT(ISNA(MATCH(LOWER($O7&amp;"|"&amp;$E7),Concept!$L:$L,0))),INDEX(Concept!$A:$A,MATCH(LOWER($O7&amp;"|"&amp;$E7),Concept!$L:$L,0)),IF(NOT(ISNA(MATCH(LOWER($O7&amp;"|"&amp;$E7),Concept!$M:$M,0))),INDEX(Concept!$A:$A,MATCH(LOWER($O7&amp;"|"&amp;$E7),Concept!$M:$M,0)),""))))</f>
        <v/>
      </c>
      <c r="R7" s="6" t="str">
        <f>IF($P7="","",IF(NOT(ISNA(MATCH(LOWER($P7&amp;"|"&amp;$E7),Region!$J:$J,0))),INDEX(Region!$A:$A,MATCH(LOWER($P7&amp;"|"&amp;$E7),Region!$J:$J,0)),IF(NOT(ISNA(MATCH(LOWER($P7&amp;"|"&amp;$E7),Region!$K:$K,0))),INDEX(Region!$A:$A,MATCH(LOWER($P7&amp;"|"&amp;$E7),Region!$K:$K,0)),"")))</f>
        <v/>
      </c>
      <c r="S7" s="6" t="str">
        <f>IF($N7&lt;&gt;"ORGANIZATION","",IF(NOT(ISNA(MATCH($E7,Organization!$A:$A,0))),INDEX(Organization!$A:$A,MATCH($E7,Organization!$A:$A,0)),IF(NOT(ISNA(MATCH($E7,Organization!$B:$B,0))),INDEX(Organization!$A:$A,MATCH($E7,Organization!$B:$B,0)),IF(NOT(ISNA(MATCH($E7,Organization!$A:$A,0))),INDEX(Organization!$C:$C,MATCH($E7,Organization!$C:$C,0)),""))))</f>
        <v/>
      </c>
      <c r="T7" s="6" t="str">
        <f>INDEX(Col!$B:$B,MATCH($M7,Col!$A:$A,0))</f>
        <v>0198ef6d-8543-5e3c-cec3-8db0ccbd38fa</v>
      </c>
      <c r="U7" s="6" t="str">
        <f>INDEX(Dim!$C:$C,MATCH($T7,Dim!$A:$A,0))</f>
        <v>regex2</v>
      </c>
      <c r="V7" s="6" t="str">
        <f>INDEX(Dim!$B:$B,MATCH($T7,Dim!$A:$A,0))</f>
        <v>TEXT</v>
      </c>
      <c r="W7" t="b">
        <v>0</v>
      </c>
    </row>
    <row r="8" spans="1:24" x14ac:dyDescent="0.3">
      <c r="A8" t="s">
        <v>693</v>
      </c>
      <c r="B8" s="6" t="str">
        <f>INDEX(_CaseData!$G:$G,MATCH($A8,_CaseData!$A:$A,0))</f>
        <v>case_type1</v>
      </c>
      <c r="C8" t="s">
        <v>542</v>
      </c>
      <c r="D8" s="6" t="str">
        <f>INDEX(CaseTypeCol!$G:$G,MATCH($C8,CaseTypeCol!$A:$A,0))</f>
        <v>case_type1.text1_1 (TEXT)</v>
      </c>
      <c r="E8" t="s">
        <v>698</v>
      </c>
      <c r="G8" s="6" t="str">
        <f t="shared" si="0"/>
        <v>X</v>
      </c>
      <c r="H8" s="6" t="b">
        <f t="shared" si="1"/>
        <v>1</v>
      </c>
      <c r="I8" t="b">
        <v>1</v>
      </c>
      <c r="J8" s="6" t="b">
        <f t="shared" si="2"/>
        <v>1</v>
      </c>
      <c r="K8" s="6" t="str">
        <f>INDEX(_CaseData!$B:$B,MATCH($A8,_CaseData!$A:$A,0))</f>
        <v>0195d18c-1ca6-fd99-9d76-fcfa0c0cf400</v>
      </c>
      <c r="L8" s="6" t="str">
        <f>INDEX(CaseTypeCol!$B:$B,MATCH($C8,CaseTypeCol!$A:$A,0))</f>
        <v>0195d18c-1ca6-fd99-9d76-fcfa0c0cf400</v>
      </c>
      <c r="M8" s="6" t="str">
        <f>INDEX(CaseTypeCol!$D:$D,MATCH($C8,CaseTypeCol!$A:$A,0))</f>
        <v>0198ef6d-8543-78ba-e607-ac65487d273b</v>
      </c>
      <c r="N8" s="6" t="str">
        <f>INDEX(Col!$H:$H,MATCH($M8,Col!$A:$A,0))</f>
        <v>TEXT</v>
      </c>
      <c r="O8" s="6" t="str">
        <f>IF(INDEX(Col!$I:$I,MATCH($M8,Col!$A:$A,0))="","",INDEX(Col!$I:$I,MATCH($M8,Col!$A:$A,0)))</f>
        <v/>
      </c>
      <c r="P8" s="6" t="str">
        <f>IF(INDEX(Col!$K:$K,MATCH($M8,Col!$A:$A,0))="","",INDEX(Col!$K:$K,MATCH($M8,Col!$A:$A,0)))</f>
        <v/>
      </c>
      <c r="Q8" s="6" t="str">
        <f>IF($O8="","",IF(NOT(ISNA(MATCH(LOWER($O8&amp;"|"&amp;$E8),Concept!$K:$K,0))),INDEX(Concept!$A:$A,MATCH(LOWER($O8&amp;"|"&amp;$E8),Concept!$K:$K,0)),IF(NOT(ISNA(MATCH(LOWER($O8&amp;"|"&amp;$E8),Concept!$L:$L,0))),INDEX(Concept!$A:$A,MATCH(LOWER($O8&amp;"|"&amp;$E8),Concept!$L:$L,0)),IF(NOT(ISNA(MATCH(LOWER($O8&amp;"|"&amp;$E8),Concept!$M:$M,0))),INDEX(Concept!$A:$A,MATCH(LOWER($O8&amp;"|"&amp;$E8),Concept!$M:$M,0)),""))))</f>
        <v/>
      </c>
      <c r="R8" s="6" t="str">
        <f>IF($P8="","",IF(NOT(ISNA(MATCH(LOWER($P8&amp;"|"&amp;$E8),Region!$J:$J,0))),INDEX(Region!$A:$A,MATCH(LOWER($P8&amp;"|"&amp;$E8),Region!$J:$J,0)),IF(NOT(ISNA(MATCH(LOWER($P8&amp;"|"&amp;$E8),Region!$K:$K,0))),INDEX(Region!$A:$A,MATCH(LOWER($P8&amp;"|"&amp;$E8),Region!$K:$K,0)),"")))</f>
        <v/>
      </c>
      <c r="S8" s="6" t="str">
        <f>IF($N8&lt;&gt;"ORGANIZATION","",IF(NOT(ISNA(MATCH($E8,Organization!$A:$A,0))),INDEX(Organization!$A:$A,MATCH($E8,Organization!$A:$A,0)),IF(NOT(ISNA(MATCH($E8,Organization!$B:$B,0))),INDEX(Organization!$A:$A,MATCH($E8,Organization!$B:$B,0)),IF(NOT(ISNA(MATCH($E8,Organization!$A:$A,0))),INDEX(Organization!$C:$C,MATCH($E8,Organization!$C:$C,0)),""))))</f>
        <v/>
      </c>
      <c r="T8" s="6" t="str">
        <f>INDEX(Col!$B:$B,MATCH($M8,Col!$A:$A,0))</f>
        <v>0198ef6d-8543-0b52-87e5-431792f951a2</v>
      </c>
      <c r="U8" s="6" t="str">
        <f>INDEX(Dim!$C:$C,MATCH($T8,Dim!$A:$A,0))</f>
        <v>text1</v>
      </c>
      <c r="V8" s="6" t="str">
        <f>INDEX(Dim!$B:$B,MATCH($T8,Dim!$A:$A,0))</f>
        <v>TEXT</v>
      </c>
      <c r="W8" t="b">
        <v>0</v>
      </c>
    </row>
    <row r="9" spans="1:24" x14ac:dyDescent="0.3">
      <c r="A9" t="s">
        <v>693</v>
      </c>
      <c r="B9" s="6" t="str">
        <f>INDEX(_CaseData!$G:$G,MATCH($A9,_CaseData!$A:$A,0))</f>
        <v>case_type1</v>
      </c>
      <c r="C9" t="s">
        <v>543</v>
      </c>
      <c r="D9" s="6" t="str">
        <f>INDEX(CaseTypeCol!$G:$G,MATCH($C9,CaseTypeCol!$A:$A,0))</f>
        <v>case_type1.text2_1 (TEXT)</v>
      </c>
      <c r="E9" t="s">
        <v>313</v>
      </c>
      <c r="G9" s="6" t="str">
        <f t="shared" si="0"/>
        <v>Y</v>
      </c>
      <c r="H9" s="6" t="b">
        <f t="shared" si="1"/>
        <v>1</v>
      </c>
      <c r="I9" t="b">
        <v>1</v>
      </c>
      <c r="J9" s="6" t="b">
        <f t="shared" si="2"/>
        <v>1</v>
      </c>
      <c r="K9" s="6" t="str">
        <f>INDEX(_CaseData!$B:$B,MATCH($A9,_CaseData!$A:$A,0))</f>
        <v>0195d18c-1ca6-fd99-9d76-fcfa0c0cf400</v>
      </c>
      <c r="L9" s="6" t="str">
        <f>INDEX(CaseTypeCol!$B:$B,MATCH($C9,CaseTypeCol!$A:$A,0))</f>
        <v>0195d18c-1ca6-fd99-9d76-fcfa0c0cf400</v>
      </c>
      <c r="M9" s="6" t="str">
        <f>INDEX(CaseTypeCol!$D:$D,MATCH($C9,CaseTypeCol!$A:$A,0))</f>
        <v>0198ef6d-8543-2d1c-8ae5-fde6579f02e4</v>
      </c>
      <c r="N9" s="6" t="str">
        <f>INDEX(Col!$H:$H,MATCH($M9,Col!$A:$A,0))</f>
        <v>TEXT</v>
      </c>
      <c r="O9" s="6" t="str">
        <f>IF(INDEX(Col!$I:$I,MATCH($M9,Col!$A:$A,0))="","",INDEX(Col!$I:$I,MATCH($M9,Col!$A:$A,0)))</f>
        <v/>
      </c>
      <c r="P9" s="6" t="str">
        <f>IF(INDEX(Col!$K:$K,MATCH($M9,Col!$A:$A,0))="","",INDEX(Col!$K:$K,MATCH($M9,Col!$A:$A,0)))</f>
        <v/>
      </c>
      <c r="Q9" s="6" t="str">
        <f>IF($O9="","",IF(NOT(ISNA(MATCH(LOWER($O9&amp;"|"&amp;$E9),Concept!$K:$K,0))),INDEX(Concept!$A:$A,MATCH(LOWER($O9&amp;"|"&amp;$E9),Concept!$K:$K,0)),IF(NOT(ISNA(MATCH(LOWER($O9&amp;"|"&amp;$E9),Concept!$L:$L,0))),INDEX(Concept!$A:$A,MATCH(LOWER($O9&amp;"|"&amp;$E9),Concept!$L:$L,0)),IF(NOT(ISNA(MATCH(LOWER($O9&amp;"|"&amp;$E9),Concept!$M:$M,0))),INDEX(Concept!$A:$A,MATCH(LOWER($O9&amp;"|"&amp;$E9),Concept!$M:$M,0)),""))))</f>
        <v/>
      </c>
      <c r="R9" s="6" t="str">
        <f>IF($P9="","",IF(NOT(ISNA(MATCH(LOWER($P9&amp;"|"&amp;$E9),Region!$J:$J,0))),INDEX(Region!$A:$A,MATCH(LOWER($P9&amp;"|"&amp;$E9),Region!$J:$J,0)),IF(NOT(ISNA(MATCH(LOWER($P9&amp;"|"&amp;$E9),Region!$K:$K,0))),INDEX(Region!$A:$A,MATCH(LOWER($P9&amp;"|"&amp;$E9),Region!$K:$K,0)),"")))</f>
        <v/>
      </c>
      <c r="S9" s="6" t="str">
        <f>IF($N9&lt;&gt;"ORGANIZATION","",IF(NOT(ISNA(MATCH($E9,Organization!$A:$A,0))),INDEX(Organization!$A:$A,MATCH($E9,Organization!$A:$A,0)),IF(NOT(ISNA(MATCH($E9,Organization!$B:$B,0))),INDEX(Organization!$A:$A,MATCH($E9,Organization!$B:$B,0)),IF(NOT(ISNA(MATCH($E9,Organization!$A:$A,0))),INDEX(Organization!$C:$C,MATCH($E9,Organization!$C:$C,0)),""))))</f>
        <v/>
      </c>
      <c r="T9" s="6" t="str">
        <f>INDEX(Col!$B:$B,MATCH($M9,Col!$A:$A,0))</f>
        <v>0198ef6d-8543-e0a4-1718-6ae19c4f6090</v>
      </c>
      <c r="U9" s="6" t="str">
        <f>INDEX(Dim!$C:$C,MATCH($T9,Dim!$A:$A,0))</f>
        <v>text2</v>
      </c>
      <c r="V9" s="6" t="str">
        <f>INDEX(Dim!$B:$B,MATCH($T9,Dim!$A:$A,0))</f>
        <v>TEXT</v>
      </c>
      <c r="W9" t="b">
        <v>0</v>
      </c>
    </row>
    <row r="10" spans="1:24" x14ac:dyDescent="0.3">
      <c r="A10" t="s">
        <v>693</v>
      </c>
      <c r="B10" s="6" t="str">
        <f>INDEX(_CaseData!$G:$G,MATCH($A10,_CaseData!$A:$A,0))</f>
        <v>case_type1</v>
      </c>
      <c r="C10" t="s">
        <v>544</v>
      </c>
      <c r="D10" s="6" t="str">
        <f>INDEX(CaseTypeCol!$G:$G,MATCH($C10,CaseTypeCol!$A:$A,0))</f>
        <v>case_type1.org1_1 (ORGANIZATION)</v>
      </c>
      <c r="E10" t="s">
        <v>43</v>
      </c>
      <c r="G10" s="6" t="str">
        <f t="shared" si="0"/>
        <v>018d074d-ea0c-e942-07db-a3cc0ba1d653</v>
      </c>
      <c r="H10" s="6" t="b">
        <f t="shared" si="1"/>
        <v>1</v>
      </c>
      <c r="I10" t="b">
        <v>1</v>
      </c>
      <c r="J10" s="6" t="b">
        <f t="shared" si="2"/>
        <v>1</v>
      </c>
      <c r="K10" s="6" t="str">
        <f>INDEX(_CaseData!$B:$B,MATCH($A10,_CaseData!$A:$A,0))</f>
        <v>0195d18c-1ca6-fd99-9d76-fcfa0c0cf400</v>
      </c>
      <c r="L10" s="6" t="str">
        <f>INDEX(CaseTypeCol!$B:$B,MATCH($C10,CaseTypeCol!$A:$A,0))</f>
        <v>0195d18c-1ca6-fd99-9d76-fcfa0c0cf400</v>
      </c>
      <c r="M10" s="6" t="str">
        <f>INDEX(CaseTypeCol!$D:$D,MATCH($C10,CaseTypeCol!$A:$A,0))</f>
        <v>0198ef6d-8543-9c02-f715-88d1935aca9a</v>
      </c>
      <c r="N10" s="6" t="str">
        <f>INDEX(Col!$H:$H,MATCH($M10,Col!$A:$A,0))</f>
        <v>ORGANIZATION</v>
      </c>
      <c r="O10" s="6" t="str">
        <f>IF(INDEX(Col!$I:$I,MATCH($M10,Col!$A:$A,0))="","",INDEX(Col!$I:$I,MATCH($M10,Col!$A:$A,0)))</f>
        <v/>
      </c>
      <c r="P10" s="6" t="str">
        <f>IF(INDEX(Col!$K:$K,MATCH($M10,Col!$A:$A,0))="","",INDEX(Col!$K:$K,MATCH($M10,Col!$A:$A,0)))</f>
        <v/>
      </c>
      <c r="Q10" s="6" t="str">
        <f>IF($O10="","",IF(NOT(ISNA(MATCH(LOWER($O10&amp;"|"&amp;$E10),Concept!$K:$K,0))),INDEX(Concept!$A:$A,MATCH(LOWER($O10&amp;"|"&amp;$E10),Concept!$K:$K,0)),IF(NOT(ISNA(MATCH(LOWER($O10&amp;"|"&amp;$E10),Concept!$L:$L,0))),INDEX(Concept!$A:$A,MATCH(LOWER($O10&amp;"|"&amp;$E10),Concept!$L:$L,0)),IF(NOT(ISNA(MATCH(LOWER($O10&amp;"|"&amp;$E10),Concept!$M:$M,0))),INDEX(Concept!$A:$A,MATCH(LOWER($O10&amp;"|"&amp;$E10),Concept!$M:$M,0)),""))))</f>
        <v/>
      </c>
      <c r="R10" s="6" t="str">
        <f>IF($P10="","",IF(NOT(ISNA(MATCH(LOWER($P10&amp;"|"&amp;$E10),Region!$J:$J,0))),INDEX(Region!$A:$A,MATCH(LOWER($P10&amp;"|"&amp;$E10),Region!$J:$J,0)),IF(NOT(ISNA(MATCH(LOWER($P10&amp;"|"&amp;$E10),Region!$K:$K,0))),INDEX(Region!$A:$A,MATCH(LOWER($P10&amp;"|"&amp;$E10),Region!$K:$K,0)),"")))</f>
        <v/>
      </c>
      <c r="S10" s="6" t="str">
        <f>IF($N10&lt;&gt;"ORGANIZATION","",IF(NOT(ISNA(MATCH($E10,Organization!$A:$A,0))),INDEX(Organization!$A:$A,MATCH($E10,Organization!$A:$A,0)),IF(NOT(ISNA(MATCH($E10,Organization!$B:$B,0))),INDEX(Organization!$A:$A,MATCH($E10,Organization!$B:$B,0)),IF(NOT(ISNA(MATCH($E10,Organization!$A:$A,0))),INDEX(Organization!$C:$C,MATCH($E10,Organization!$C:$C,0)),""))))</f>
        <v>018d074d-ea0c-e942-07db-a3cc0ba1d653</v>
      </c>
      <c r="T10" s="6" t="str">
        <f>INDEX(Col!$B:$B,MATCH($M10,Col!$A:$A,0))</f>
        <v>0198ef6d-8543-b0f3-f8b0-c502bee720e9</v>
      </c>
      <c r="U10" s="6" t="str">
        <f>INDEX(Dim!$C:$C,MATCH($T10,Dim!$A:$A,0))</f>
        <v>org1</v>
      </c>
      <c r="V10" s="6" t="str">
        <f>INDEX(Dim!$B:$B,MATCH($T10,Dim!$A:$A,0))</f>
        <v>ORGANIZATION</v>
      </c>
      <c r="W10" t="b">
        <v>0</v>
      </c>
    </row>
    <row r="11" spans="1:24" x14ac:dyDescent="0.3">
      <c r="A11" t="s">
        <v>693</v>
      </c>
      <c r="B11" s="6" t="str">
        <f>INDEX(_CaseData!$G:$G,MATCH($A11,_CaseData!$A:$A,0))</f>
        <v>case_type1</v>
      </c>
      <c r="C11" t="s">
        <v>545</v>
      </c>
      <c r="D11" s="6" t="str">
        <f>INDEX(CaseTypeCol!$G:$G,MATCH($C11,CaseTypeCol!$A:$A,0))</f>
        <v>case_type1.org2_1 (ORGANIZATION)</v>
      </c>
      <c r="E11" t="s">
        <v>209</v>
      </c>
      <c r="G11" s="6" t="str">
        <f t="shared" si="0"/>
        <v>0195d18c-1c92-0ed4-2e94-b4f66d82baf3</v>
      </c>
      <c r="H11" s="6" t="b">
        <f t="shared" si="1"/>
        <v>1</v>
      </c>
      <c r="I11" t="b">
        <v>1</v>
      </c>
      <c r="J11" s="6" t="b">
        <f t="shared" si="2"/>
        <v>1</v>
      </c>
      <c r="K11" s="6" t="str">
        <f>INDEX(_CaseData!$B:$B,MATCH($A11,_CaseData!$A:$A,0))</f>
        <v>0195d18c-1ca6-fd99-9d76-fcfa0c0cf400</v>
      </c>
      <c r="L11" s="6" t="str">
        <f>INDEX(CaseTypeCol!$B:$B,MATCH($C11,CaseTypeCol!$A:$A,0))</f>
        <v>0195d18c-1ca6-fd99-9d76-fcfa0c0cf400</v>
      </c>
      <c r="M11" s="6" t="str">
        <f>INDEX(CaseTypeCol!$D:$D,MATCH($C11,CaseTypeCol!$A:$A,0))</f>
        <v>0198ef6d-8543-5be8-beb1-cbc53a476302</v>
      </c>
      <c r="N11" s="6" t="str">
        <f>INDEX(Col!$H:$H,MATCH($M11,Col!$A:$A,0))</f>
        <v>ORGANIZATION</v>
      </c>
      <c r="O11" s="6" t="str">
        <f>IF(INDEX(Col!$I:$I,MATCH($M11,Col!$A:$A,0))="","",INDEX(Col!$I:$I,MATCH($M11,Col!$A:$A,0)))</f>
        <v/>
      </c>
      <c r="P11" s="6" t="str">
        <f>IF(INDEX(Col!$K:$K,MATCH($M11,Col!$A:$A,0))="","",INDEX(Col!$K:$K,MATCH($M11,Col!$A:$A,0)))</f>
        <v/>
      </c>
      <c r="Q11" s="6" t="str">
        <f>IF($O11="","",IF(NOT(ISNA(MATCH(LOWER($O11&amp;"|"&amp;$E11),Concept!$K:$K,0))),INDEX(Concept!$A:$A,MATCH(LOWER($O11&amp;"|"&amp;$E11),Concept!$K:$K,0)),IF(NOT(ISNA(MATCH(LOWER($O11&amp;"|"&amp;$E11),Concept!$L:$L,0))),INDEX(Concept!$A:$A,MATCH(LOWER($O11&amp;"|"&amp;$E11),Concept!$L:$L,0)),IF(NOT(ISNA(MATCH(LOWER($O11&amp;"|"&amp;$E11),Concept!$M:$M,0))),INDEX(Concept!$A:$A,MATCH(LOWER($O11&amp;"|"&amp;$E11),Concept!$M:$M,0)),""))))</f>
        <v/>
      </c>
      <c r="R11" s="6" t="str">
        <f>IF($P11="","",IF(NOT(ISNA(MATCH(LOWER($P11&amp;"|"&amp;$E11),Region!$J:$J,0))),INDEX(Region!$A:$A,MATCH(LOWER($P11&amp;"|"&amp;$E11),Region!$J:$J,0)),IF(NOT(ISNA(MATCH(LOWER($P11&amp;"|"&amp;$E11),Region!$K:$K,0))),INDEX(Region!$A:$A,MATCH(LOWER($P11&amp;"|"&amp;$E11),Region!$K:$K,0)),"")))</f>
        <v/>
      </c>
      <c r="S11" s="6" t="str">
        <f>IF($N11&lt;&gt;"ORGANIZATION","",IF(NOT(ISNA(MATCH($E11,Organization!$A:$A,0))),INDEX(Organization!$A:$A,MATCH($E11,Organization!$A:$A,0)),IF(NOT(ISNA(MATCH($E11,Organization!$B:$B,0))),INDEX(Organization!$A:$A,MATCH($E11,Organization!$B:$B,0)),IF(NOT(ISNA(MATCH($E11,Organization!$A:$A,0))),INDEX(Organization!$C:$C,MATCH($E11,Organization!$C:$C,0)),""))))</f>
        <v>0195d18c-1c92-0ed4-2e94-b4f66d82baf3</v>
      </c>
      <c r="T11" s="6" t="str">
        <f>INDEX(Col!$B:$B,MATCH($M11,Col!$A:$A,0))</f>
        <v>0198ef6d-8543-5ea8-9f20-a8177b2d28d2</v>
      </c>
      <c r="U11" s="6" t="str">
        <f>INDEX(Dim!$C:$C,MATCH($T11,Dim!$A:$A,0))</f>
        <v>org2</v>
      </c>
      <c r="V11" s="6" t="str">
        <f>INDEX(Dim!$B:$B,MATCH($T11,Dim!$A:$A,0))</f>
        <v>ORGANIZATION</v>
      </c>
      <c r="W11" t="b">
        <v>0</v>
      </c>
    </row>
    <row r="12" spans="1:24" x14ac:dyDescent="0.3">
      <c r="A12" t="s">
        <v>693</v>
      </c>
      <c r="B12" s="6" t="str">
        <f>INDEX(_CaseData!$G:$G,MATCH($A12,_CaseData!$A:$A,0))</f>
        <v>case_type1</v>
      </c>
      <c r="C12" t="s">
        <v>546</v>
      </c>
      <c r="D12" s="6" t="str">
        <f>INDEX(CaseTypeCol!$G:$G,MATCH($C12,CaseTypeCol!$A:$A,0))</f>
        <v>case_type1.geo1_1 (GEO_REGION;PC_L4)</v>
      </c>
      <c r="E12" s="11" t="s">
        <v>392</v>
      </c>
      <c r="G12" s="6" t="str">
        <f t="shared" si="0"/>
        <v>0198ef6d-8543-98d5-9df4-4ac64d603502</v>
      </c>
      <c r="H12" s="6" t="b">
        <f t="shared" si="1"/>
        <v>1</v>
      </c>
      <c r="I12" t="b">
        <v>1</v>
      </c>
      <c r="J12" s="6" t="b">
        <f t="shared" si="2"/>
        <v>1</v>
      </c>
      <c r="K12" s="6" t="str">
        <f>INDEX(_CaseData!$B:$B,MATCH($A12,_CaseData!$A:$A,0))</f>
        <v>0195d18c-1ca6-fd99-9d76-fcfa0c0cf400</v>
      </c>
      <c r="L12" s="6" t="str">
        <f>INDEX(CaseTypeCol!$B:$B,MATCH($C12,CaseTypeCol!$A:$A,0))</f>
        <v>0195d18c-1ca6-fd99-9d76-fcfa0c0cf400</v>
      </c>
      <c r="M12" s="6" t="str">
        <f>INDEX(CaseTypeCol!$D:$D,MATCH($C12,CaseTypeCol!$A:$A,0))</f>
        <v>0198ef6d-8543-13b8-702c-f36c6968d08f</v>
      </c>
      <c r="N12" s="6" t="str">
        <f>INDEX(Col!$H:$H,MATCH($M12,Col!$A:$A,0))</f>
        <v>GEO_REGION</v>
      </c>
      <c r="O12" s="6" t="str">
        <f>IF(INDEX(Col!$I:$I,MATCH($M12,Col!$A:$A,0))="","",INDEX(Col!$I:$I,MATCH($M12,Col!$A:$A,0)))</f>
        <v/>
      </c>
      <c r="P12" s="6" t="str">
        <f>IF(INDEX(Col!$K:$K,MATCH($M12,Col!$A:$A,0))="","",INDEX(Col!$K:$K,MATCH($M12,Col!$A:$A,0)))</f>
        <v>0198ef6d-8543-92bb-3d7b-9a6b17e52c7d</v>
      </c>
      <c r="Q12" s="6" t="str">
        <f>IF($O12="","",IF(NOT(ISNA(MATCH(LOWER($O12&amp;"|"&amp;$E12),Concept!$K:$K,0))),INDEX(Concept!$A:$A,MATCH(LOWER($O12&amp;"|"&amp;$E12),Concept!$K:$K,0)),IF(NOT(ISNA(MATCH(LOWER($O12&amp;"|"&amp;$E12),Concept!$L:$L,0))),INDEX(Concept!$A:$A,MATCH(LOWER($O12&amp;"|"&amp;$E12),Concept!$L:$L,0)),IF(NOT(ISNA(MATCH(LOWER($O12&amp;"|"&amp;$E12),Concept!$M:$M,0))),INDEX(Concept!$A:$A,MATCH(LOWER($O12&amp;"|"&amp;$E12),Concept!$M:$M,0)),""))))</f>
        <v/>
      </c>
      <c r="R12" s="6" t="str">
        <f>IF($P12="","",IF(NOT(ISNA(MATCH(LOWER($P12&amp;"|"&amp;$E12),Region!$J:$J,0))),INDEX(Region!$A:$A,MATCH(LOWER($P12&amp;"|"&amp;$E12),Region!$J:$J,0)),IF(NOT(ISNA(MATCH(LOWER($P12&amp;"|"&amp;$E12),Region!$K:$K,0))),INDEX(Region!$A:$A,MATCH(LOWER($P12&amp;"|"&amp;$E12),Region!$K:$K,0)),"")))</f>
        <v>0198ef6d-8543-98d5-9df4-4ac64d603502</v>
      </c>
      <c r="S12" s="6" t="str">
        <f>IF($N12&lt;&gt;"ORGANIZATION","",IF(NOT(ISNA(MATCH($E12,Organization!$A:$A,0))),INDEX(Organization!$A:$A,MATCH($E12,Organization!$A:$A,0)),IF(NOT(ISNA(MATCH($E12,Organization!$B:$B,0))),INDEX(Organization!$A:$A,MATCH($E12,Organization!$B:$B,0)),IF(NOT(ISNA(MATCH($E12,Organization!$A:$A,0))),INDEX(Organization!$C:$C,MATCH($E12,Organization!$C:$C,0)),""))))</f>
        <v/>
      </c>
      <c r="T12" s="6" t="str">
        <f>INDEX(Col!$B:$B,MATCH($M12,Col!$A:$A,0))</f>
        <v>0198ef6d-8543-d4cb-e9cb-2c352f1baa30</v>
      </c>
      <c r="U12" s="6" t="str">
        <f>INDEX(Dim!$C:$C,MATCH($T12,Dim!$A:$A,0))</f>
        <v>geo1</v>
      </c>
      <c r="V12" s="6" t="str">
        <f>INDEX(Dim!$B:$B,MATCH($T12,Dim!$A:$A,0))</f>
        <v>GEO</v>
      </c>
      <c r="W12" t="b">
        <v>0</v>
      </c>
    </row>
    <row r="13" spans="1:24" x14ac:dyDescent="0.3">
      <c r="A13" t="s">
        <v>693</v>
      </c>
      <c r="B13" s="6" t="str">
        <f>INDEX(_CaseData!$G:$G,MATCH($A13,_CaseData!$A:$A,0))</f>
        <v>case_type1</v>
      </c>
      <c r="C13" t="s">
        <v>547</v>
      </c>
      <c r="D13" s="6" t="str">
        <f>INDEX(CaseTypeCol!$G:$G,MATCH($C13,CaseTypeCol!$A:$A,0))</f>
        <v>case_type1.geo1_2 (GEO_REGION;PC_L3)</v>
      </c>
      <c r="E13" s="11" t="s">
        <v>398</v>
      </c>
      <c r="G13" s="6" t="str">
        <f t="shared" si="0"/>
        <v>0198ef6d-8543-dcdc-9496-52bc01e1c56d</v>
      </c>
      <c r="H13" s="6" t="b">
        <f t="shared" si="1"/>
        <v>1</v>
      </c>
      <c r="I13" t="b">
        <v>1</v>
      </c>
      <c r="J13" s="6" t="b">
        <f t="shared" si="2"/>
        <v>1</v>
      </c>
      <c r="K13" s="6" t="str">
        <f>INDEX(_CaseData!$B:$B,MATCH($A13,_CaseData!$A:$A,0))</f>
        <v>0195d18c-1ca6-fd99-9d76-fcfa0c0cf400</v>
      </c>
      <c r="L13" s="6" t="str">
        <f>INDEX(CaseTypeCol!$B:$B,MATCH($C13,CaseTypeCol!$A:$A,0))</f>
        <v>0195d18c-1ca6-fd99-9d76-fcfa0c0cf400</v>
      </c>
      <c r="M13" s="6" t="str">
        <f>INDEX(CaseTypeCol!$D:$D,MATCH($C13,CaseTypeCol!$A:$A,0))</f>
        <v>0198ef6d-8543-74d1-8cf2-4f5da375834f</v>
      </c>
      <c r="N13" s="6" t="str">
        <f>INDEX(Col!$H:$H,MATCH($M13,Col!$A:$A,0))</f>
        <v>GEO_REGION</v>
      </c>
      <c r="O13" s="6" t="str">
        <f>IF(INDEX(Col!$I:$I,MATCH($M13,Col!$A:$A,0))="","",INDEX(Col!$I:$I,MATCH($M13,Col!$A:$A,0)))</f>
        <v/>
      </c>
      <c r="P13" s="6" t="str">
        <f>IF(INDEX(Col!$K:$K,MATCH($M13,Col!$A:$A,0))="","",INDEX(Col!$K:$K,MATCH($M13,Col!$A:$A,0)))</f>
        <v>0198ef6d-8543-0ad2-6a86-701cc690b0a4</v>
      </c>
      <c r="Q13" s="6" t="str">
        <f>IF($O13="","",IF(NOT(ISNA(MATCH(LOWER($O13&amp;"|"&amp;$E13),Concept!$K:$K,0))),INDEX(Concept!$A:$A,MATCH(LOWER($O13&amp;"|"&amp;$E13),Concept!$K:$K,0)),IF(NOT(ISNA(MATCH(LOWER($O13&amp;"|"&amp;$E13),Concept!$L:$L,0))),INDEX(Concept!$A:$A,MATCH(LOWER($O13&amp;"|"&amp;$E13),Concept!$L:$L,0)),IF(NOT(ISNA(MATCH(LOWER($O13&amp;"|"&amp;$E13),Concept!$M:$M,0))),INDEX(Concept!$A:$A,MATCH(LOWER($O13&amp;"|"&amp;$E13),Concept!$M:$M,0)),""))))</f>
        <v/>
      </c>
      <c r="R13" s="6" t="str">
        <f>IF($P13="","",IF(NOT(ISNA(MATCH(LOWER($P13&amp;"|"&amp;$E13),Region!$J:$J,0))),INDEX(Region!$A:$A,MATCH(LOWER($P13&amp;"|"&amp;$E13),Region!$J:$J,0)),IF(NOT(ISNA(MATCH(LOWER($P13&amp;"|"&amp;$E13),Region!$K:$K,0))),INDEX(Region!$A:$A,MATCH(LOWER($P13&amp;"|"&amp;$E13),Region!$K:$K,0)),"")))</f>
        <v>0198ef6d-8543-dcdc-9496-52bc01e1c56d</v>
      </c>
      <c r="S13" s="6" t="str">
        <f>IF($N13&lt;&gt;"ORGANIZATION","",IF(NOT(ISNA(MATCH($E13,Organization!$A:$A,0))),INDEX(Organization!$A:$A,MATCH($E13,Organization!$A:$A,0)),IF(NOT(ISNA(MATCH($E13,Organization!$B:$B,0))),INDEX(Organization!$A:$A,MATCH($E13,Organization!$B:$B,0)),IF(NOT(ISNA(MATCH($E13,Organization!$A:$A,0))),INDEX(Organization!$C:$C,MATCH($E13,Organization!$C:$C,0)),""))))</f>
        <v/>
      </c>
      <c r="T13" s="6" t="str">
        <f>INDEX(Col!$B:$B,MATCH($M13,Col!$A:$A,0))</f>
        <v>0198ef6d-8543-d4cb-e9cb-2c352f1baa30</v>
      </c>
      <c r="U13" s="6" t="str">
        <f>INDEX(Dim!$C:$C,MATCH($T13,Dim!$A:$A,0))</f>
        <v>geo1</v>
      </c>
      <c r="V13" s="6" t="str">
        <f>INDEX(Dim!$B:$B,MATCH($T13,Dim!$A:$A,0))</f>
        <v>GEO</v>
      </c>
      <c r="W13" t="b">
        <v>0</v>
      </c>
    </row>
    <row r="14" spans="1:24" x14ac:dyDescent="0.3">
      <c r="A14" t="s">
        <v>693</v>
      </c>
      <c r="B14" s="6" t="str">
        <f>INDEX(_CaseData!$G:$G,MATCH($A14,_CaseData!$A:$A,0))</f>
        <v>case_type1</v>
      </c>
      <c r="C14" t="s">
        <v>548</v>
      </c>
      <c r="D14" s="6" t="str">
        <f>INDEX(CaseTypeCol!$G:$G,MATCH($C14,CaseTypeCol!$A:$A,0))</f>
        <v>case_type1.geo1_3 (GEO_REGION;MUN)</v>
      </c>
      <c r="E14" t="s">
        <v>744</v>
      </c>
      <c r="G14" s="6" t="str">
        <f t="shared" si="0"/>
        <v>0198ef6d-8543-83bf-6a77-33c7baa8eca4</v>
      </c>
      <c r="H14" s="6" t="b">
        <f t="shared" si="1"/>
        <v>1</v>
      </c>
      <c r="I14" t="b">
        <v>1</v>
      </c>
      <c r="J14" s="6" t="b">
        <f t="shared" si="2"/>
        <v>1</v>
      </c>
      <c r="K14" s="6" t="str">
        <f>INDEX(_CaseData!$B:$B,MATCH($A14,_CaseData!$A:$A,0))</f>
        <v>0195d18c-1ca6-fd99-9d76-fcfa0c0cf400</v>
      </c>
      <c r="L14" s="6" t="str">
        <f>INDEX(CaseTypeCol!$B:$B,MATCH($C14,CaseTypeCol!$A:$A,0))</f>
        <v>0195d18c-1ca6-fd99-9d76-fcfa0c0cf400</v>
      </c>
      <c r="M14" s="6" t="str">
        <f>INDEX(CaseTypeCol!$D:$D,MATCH($C14,CaseTypeCol!$A:$A,0))</f>
        <v>0198ef6d-8543-b7d9-c034-47ae7fb11c50</v>
      </c>
      <c r="N14" s="6" t="str">
        <f>INDEX(Col!$H:$H,MATCH($M14,Col!$A:$A,0))</f>
        <v>GEO_REGION</v>
      </c>
      <c r="O14" s="6" t="str">
        <f>IF(INDEX(Col!$I:$I,MATCH($M14,Col!$A:$A,0))="","",INDEX(Col!$I:$I,MATCH($M14,Col!$A:$A,0)))</f>
        <v/>
      </c>
      <c r="P14" s="6" t="str">
        <f>IF(INDEX(Col!$K:$K,MATCH($M14,Col!$A:$A,0))="","",INDEX(Col!$K:$K,MATCH($M14,Col!$A:$A,0)))</f>
        <v>0198ef6d-8543-5e3f-5ed0-dd932e32c2aa</v>
      </c>
      <c r="Q14" s="6" t="str">
        <f>IF($O14="","",IF(NOT(ISNA(MATCH(LOWER($O14&amp;"|"&amp;$E14),Concept!$K:$K,0))),INDEX(Concept!$A:$A,MATCH(LOWER($O14&amp;"|"&amp;$E14),Concept!$K:$K,0)),IF(NOT(ISNA(MATCH(LOWER($O14&amp;"|"&amp;$E14),Concept!$L:$L,0))),INDEX(Concept!$A:$A,MATCH(LOWER($O14&amp;"|"&amp;$E14),Concept!$L:$L,0)),IF(NOT(ISNA(MATCH(LOWER($O14&amp;"|"&amp;$E14),Concept!$M:$M,0))),INDEX(Concept!$A:$A,MATCH(LOWER($O14&amp;"|"&amp;$E14),Concept!$M:$M,0)),""))))</f>
        <v/>
      </c>
      <c r="R14" s="6" t="str">
        <f>IF($P14="","",IF(NOT(ISNA(MATCH(LOWER($P14&amp;"|"&amp;$E14),Region!$J:$J,0))),INDEX(Region!$A:$A,MATCH(LOWER($P14&amp;"|"&amp;$E14),Region!$J:$J,0)),IF(NOT(ISNA(MATCH(LOWER($P14&amp;"|"&amp;$E14),Region!$K:$K,0))),INDEX(Region!$A:$A,MATCH(LOWER($P14&amp;"|"&amp;$E14),Region!$K:$K,0)),"")))</f>
        <v>0198ef6d-8543-83bf-6a77-33c7baa8eca4</v>
      </c>
      <c r="S14" s="6" t="str">
        <f>IF($N14&lt;&gt;"ORGANIZATION","",IF(NOT(ISNA(MATCH($E14,Organization!$A:$A,0))),INDEX(Organization!$A:$A,MATCH($E14,Organization!$A:$A,0)),IF(NOT(ISNA(MATCH($E14,Organization!$B:$B,0))),INDEX(Organization!$A:$A,MATCH($E14,Organization!$B:$B,0)),IF(NOT(ISNA(MATCH($E14,Organization!$A:$A,0))),INDEX(Organization!$C:$C,MATCH($E14,Organization!$C:$C,0)),""))))</f>
        <v/>
      </c>
      <c r="T14" s="6" t="str">
        <f>INDEX(Col!$B:$B,MATCH($M14,Col!$A:$A,0))</f>
        <v>0198ef6d-8543-d4cb-e9cb-2c352f1baa30</v>
      </c>
      <c r="U14" s="6" t="str">
        <f>INDEX(Dim!$C:$C,MATCH($T14,Dim!$A:$A,0))</f>
        <v>geo1</v>
      </c>
      <c r="V14" s="6" t="str">
        <f>INDEX(Dim!$B:$B,MATCH($T14,Dim!$A:$A,0))</f>
        <v>GEO</v>
      </c>
      <c r="W14" t="b">
        <v>0</v>
      </c>
    </row>
    <row r="15" spans="1:24" x14ac:dyDescent="0.3">
      <c r="A15" t="s">
        <v>693</v>
      </c>
      <c r="B15" s="6" t="str">
        <f>INDEX(_CaseData!$G:$G,MATCH($A15,_CaseData!$A:$A,0))</f>
        <v>case_type1</v>
      </c>
      <c r="C15" t="s">
        <v>549</v>
      </c>
      <c r="D15" s="6" t="str">
        <f>INDEX(CaseTypeCol!$G:$G,MATCH($C15,CaseTypeCol!$A:$A,0))</f>
        <v>case_type1.geo1_4 (GEO_REGION;PV)</v>
      </c>
      <c r="E15" t="s">
        <v>747</v>
      </c>
      <c r="G15" s="6" t="str">
        <f t="shared" si="0"/>
        <v>0198ef6d-8543-2881-ac87-bb85405cfd45</v>
      </c>
      <c r="H15" s="6" t="b">
        <f t="shared" si="1"/>
        <v>1</v>
      </c>
      <c r="I15" t="b">
        <v>1</v>
      </c>
      <c r="J15" s="6" t="b">
        <f t="shared" si="2"/>
        <v>1</v>
      </c>
      <c r="K15" s="6" t="str">
        <f>INDEX(_CaseData!$B:$B,MATCH($A15,_CaseData!$A:$A,0))</f>
        <v>0195d18c-1ca6-fd99-9d76-fcfa0c0cf400</v>
      </c>
      <c r="L15" s="6" t="str">
        <f>INDEX(CaseTypeCol!$B:$B,MATCH($C15,CaseTypeCol!$A:$A,0))</f>
        <v>0195d18c-1ca6-fd99-9d76-fcfa0c0cf400</v>
      </c>
      <c r="M15" s="6" t="str">
        <f>INDEX(CaseTypeCol!$D:$D,MATCH($C15,CaseTypeCol!$A:$A,0))</f>
        <v>0198ef6d-8543-61aa-6bef-ab847c75d5f6</v>
      </c>
      <c r="N15" s="6" t="str">
        <f>INDEX(Col!$H:$H,MATCH($M15,Col!$A:$A,0))</f>
        <v>GEO_REGION</v>
      </c>
      <c r="O15" s="6" t="str">
        <f>IF(INDEX(Col!$I:$I,MATCH($M15,Col!$A:$A,0))="","",INDEX(Col!$I:$I,MATCH($M15,Col!$A:$A,0)))</f>
        <v/>
      </c>
      <c r="P15" s="6" t="str">
        <f>IF(INDEX(Col!$K:$K,MATCH($M15,Col!$A:$A,0))="","",INDEX(Col!$K:$K,MATCH($M15,Col!$A:$A,0)))</f>
        <v>0198ef6d-8543-ca21-8fc9-aac9c10fe055</v>
      </c>
      <c r="Q15" s="6" t="str">
        <f>IF($O15="","",IF(NOT(ISNA(MATCH(LOWER($O15&amp;"|"&amp;$E15),Concept!$K:$K,0))),INDEX(Concept!$A:$A,MATCH(LOWER($O15&amp;"|"&amp;$E15),Concept!$K:$K,0)),IF(NOT(ISNA(MATCH(LOWER($O15&amp;"|"&amp;$E15),Concept!$L:$L,0))),INDEX(Concept!$A:$A,MATCH(LOWER($O15&amp;"|"&amp;$E15),Concept!$L:$L,0)),IF(NOT(ISNA(MATCH(LOWER($O15&amp;"|"&amp;$E15),Concept!$M:$M,0))),INDEX(Concept!$A:$A,MATCH(LOWER($O15&amp;"|"&amp;$E15),Concept!$M:$M,0)),""))))</f>
        <v/>
      </c>
      <c r="R15" s="6" t="str">
        <f>IF($P15="","",IF(NOT(ISNA(MATCH(LOWER($P15&amp;"|"&amp;$E15),Region!$J:$J,0))),INDEX(Region!$A:$A,MATCH(LOWER($P15&amp;"|"&amp;$E15),Region!$J:$J,0)),IF(NOT(ISNA(MATCH(LOWER($P15&amp;"|"&amp;$E15),Region!$K:$K,0))),INDEX(Region!$A:$A,MATCH(LOWER($P15&amp;"|"&amp;$E15),Region!$K:$K,0)),"")))</f>
        <v>0198ef6d-8543-2881-ac87-bb85405cfd45</v>
      </c>
      <c r="S15" s="6" t="str">
        <f>IF($N15&lt;&gt;"ORGANIZATION","",IF(NOT(ISNA(MATCH($E15,Organization!$A:$A,0))),INDEX(Organization!$A:$A,MATCH($E15,Organization!$A:$A,0)),IF(NOT(ISNA(MATCH($E15,Organization!$B:$B,0))),INDEX(Organization!$A:$A,MATCH($E15,Organization!$B:$B,0)),IF(NOT(ISNA(MATCH($E15,Organization!$A:$A,0))),INDEX(Organization!$C:$C,MATCH($E15,Organization!$C:$C,0)),""))))</f>
        <v/>
      </c>
      <c r="T15" s="6" t="str">
        <f>INDEX(Col!$B:$B,MATCH($M15,Col!$A:$A,0))</f>
        <v>0198ef6d-8543-d4cb-e9cb-2c352f1baa30</v>
      </c>
      <c r="U15" s="6" t="str">
        <f>INDEX(Dim!$C:$C,MATCH($T15,Dim!$A:$A,0))</f>
        <v>geo1</v>
      </c>
      <c r="V15" s="6" t="str">
        <f>INDEX(Dim!$B:$B,MATCH($T15,Dim!$A:$A,0))</f>
        <v>GEO</v>
      </c>
      <c r="W15" t="b">
        <v>0</v>
      </c>
    </row>
    <row r="16" spans="1:24" x14ac:dyDescent="0.3">
      <c r="A16" t="s">
        <v>693</v>
      </c>
      <c r="B16" s="6" t="str">
        <f>INDEX(_CaseData!$G:$G,MATCH($A16,_CaseData!$A:$A,0))</f>
        <v>case_type1</v>
      </c>
      <c r="C16" t="s">
        <v>550</v>
      </c>
      <c r="D16" s="6" t="str">
        <f>INDEX(CaseTypeCol!$G:$G,MATCH($C16,CaseTypeCol!$A:$A,0))</f>
        <v>case_type1.geo2_1 (GEO_REGION;PC_L4)</v>
      </c>
      <c r="E16" s="11" t="s">
        <v>394</v>
      </c>
      <c r="G16" s="6" t="str">
        <f t="shared" si="0"/>
        <v>0198ef6d-8543-a364-ca72-6ec6f635451c</v>
      </c>
      <c r="H16" s="6" t="b">
        <f t="shared" si="1"/>
        <v>1</v>
      </c>
      <c r="I16" t="b">
        <v>1</v>
      </c>
      <c r="J16" s="6" t="b">
        <f t="shared" si="2"/>
        <v>1</v>
      </c>
      <c r="K16" s="6" t="str">
        <f>INDEX(_CaseData!$B:$B,MATCH($A16,_CaseData!$A:$A,0))</f>
        <v>0195d18c-1ca6-fd99-9d76-fcfa0c0cf400</v>
      </c>
      <c r="L16" s="6" t="str">
        <f>INDEX(CaseTypeCol!$B:$B,MATCH($C16,CaseTypeCol!$A:$A,0))</f>
        <v>0195d18c-1ca6-fd99-9d76-fcfa0c0cf400</v>
      </c>
      <c r="M16" s="6" t="str">
        <f>INDEX(CaseTypeCol!$D:$D,MATCH($C16,CaseTypeCol!$A:$A,0))</f>
        <v>0198ef6d-8543-c6b8-13b1-618c88c659c4</v>
      </c>
      <c r="N16" s="6" t="str">
        <f>INDEX(Col!$H:$H,MATCH($M16,Col!$A:$A,0))</f>
        <v>GEO_REGION</v>
      </c>
      <c r="O16" s="6" t="str">
        <f>IF(INDEX(Col!$I:$I,MATCH($M16,Col!$A:$A,0))="","",INDEX(Col!$I:$I,MATCH($M16,Col!$A:$A,0)))</f>
        <v/>
      </c>
      <c r="P16" s="6" t="str">
        <f>IF(INDEX(Col!$K:$K,MATCH($M16,Col!$A:$A,0))="","",INDEX(Col!$K:$K,MATCH($M16,Col!$A:$A,0)))</f>
        <v>0198ef6d-8543-92bb-3d7b-9a6b17e52c7d</v>
      </c>
      <c r="Q16" s="6" t="str">
        <f>IF($O16="","",IF(NOT(ISNA(MATCH(LOWER($O16&amp;"|"&amp;$E16),Concept!$K:$K,0))),INDEX(Concept!$A:$A,MATCH(LOWER($O16&amp;"|"&amp;$E16),Concept!$K:$K,0)),IF(NOT(ISNA(MATCH(LOWER($O16&amp;"|"&amp;$E16),Concept!$L:$L,0))),INDEX(Concept!$A:$A,MATCH(LOWER($O16&amp;"|"&amp;$E16),Concept!$L:$L,0)),IF(NOT(ISNA(MATCH(LOWER($O16&amp;"|"&amp;$E16),Concept!$M:$M,0))),INDEX(Concept!$A:$A,MATCH(LOWER($O16&amp;"|"&amp;$E16),Concept!$M:$M,0)),""))))</f>
        <v/>
      </c>
      <c r="R16" s="6" t="str">
        <f>IF($P16="","",IF(NOT(ISNA(MATCH(LOWER($P16&amp;"|"&amp;$E16),Region!$J:$J,0))),INDEX(Region!$A:$A,MATCH(LOWER($P16&amp;"|"&amp;$E16),Region!$J:$J,0)),IF(NOT(ISNA(MATCH(LOWER($P16&amp;"|"&amp;$E16),Region!$K:$K,0))),INDEX(Region!$A:$A,MATCH(LOWER($P16&amp;"|"&amp;$E16),Region!$K:$K,0)),"")))</f>
        <v>0198ef6d-8543-a364-ca72-6ec6f635451c</v>
      </c>
      <c r="S16" s="6" t="str">
        <f>IF($N16&lt;&gt;"ORGANIZATION","",IF(NOT(ISNA(MATCH($E16,Organization!$A:$A,0))),INDEX(Organization!$A:$A,MATCH($E16,Organization!$A:$A,0)),IF(NOT(ISNA(MATCH($E16,Organization!$B:$B,0))),INDEX(Organization!$A:$A,MATCH($E16,Organization!$B:$B,0)),IF(NOT(ISNA(MATCH($E16,Organization!$A:$A,0))),INDEX(Organization!$C:$C,MATCH($E16,Organization!$C:$C,0)),""))))</f>
        <v/>
      </c>
      <c r="T16" s="6" t="str">
        <f>INDEX(Col!$B:$B,MATCH($M16,Col!$A:$A,0))</f>
        <v>0198ef6d-8543-08a5-b8d2-bad85d28ce19</v>
      </c>
      <c r="U16" s="6" t="str">
        <f>INDEX(Dim!$C:$C,MATCH($T16,Dim!$A:$A,0))</f>
        <v>geo2</v>
      </c>
      <c r="V16" s="6" t="str">
        <f>INDEX(Dim!$B:$B,MATCH($T16,Dim!$A:$A,0))</f>
        <v>GEO</v>
      </c>
      <c r="W16" t="b">
        <v>0</v>
      </c>
    </row>
    <row r="17" spans="1:23" x14ac:dyDescent="0.3">
      <c r="A17" t="s">
        <v>693</v>
      </c>
      <c r="B17" s="6" t="str">
        <f>INDEX(_CaseData!$G:$G,MATCH($A17,_CaseData!$A:$A,0))</f>
        <v>case_type1</v>
      </c>
      <c r="C17" t="s">
        <v>551</v>
      </c>
      <c r="D17" s="6" t="str">
        <f>INDEX(CaseTypeCol!$G:$G,MATCH($C17,CaseTypeCol!$A:$A,0))</f>
        <v>case_type1.geo2_2 (GEO_REGION;PC_L3)</v>
      </c>
      <c r="E17" s="11" t="s">
        <v>399</v>
      </c>
      <c r="G17" s="6" t="str">
        <f t="shared" si="0"/>
        <v>0198ef6d-8543-633c-9a80-b3ee43366dab</v>
      </c>
      <c r="H17" s="6" t="b">
        <f t="shared" si="1"/>
        <v>1</v>
      </c>
      <c r="I17" t="b">
        <v>1</v>
      </c>
      <c r="J17" s="6" t="b">
        <f t="shared" si="2"/>
        <v>1</v>
      </c>
      <c r="K17" s="6" t="str">
        <f>INDEX(_CaseData!$B:$B,MATCH($A17,_CaseData!$A:$A,0))</f>
        <v>0195d18c-1ca6-fd99-9d76-fcfa0c0cf400</v>
      </c>
      <c r="L17" s="6" t="str">
        <f>INDEX(CaseTypeCol!$B:$B,MATCH($C17,CaseTypeCol!$A:$A,0))</f>
        <v>0195d18c-1ca6-fd99-9d76-fcfa0c0cf400</v>
      </c>
      <c r="M17" s="6" t="str">
        <f>INDEX(CaseTypeCol!$D:$D,MATCH($C17,CaseTypeCol!$A:$A,0))</f>
        <v>0198ef6d-8543-1f4e-e4ff-26b349afa1da</v>
      </c>
      <c r="N17" s="6" t="str">
        <f>INDEX(Col!$H:$H,MATCH($M17,Col!$A:$A,0))</f>
        <v>GEO_REGION</v>
      </c>
      <c r="O17" s="6" t="str">
        <f>IF(INDEX(Col!$I:$I,MATCH($M17,Col!$A:$A,0))="","",INDEX(Col!$I:$I,MATCH($M17,Col!$A:$A,0)))</f>
        <v/>
      </c>
      <c r="P17" s="6" t="str">
        <f>IF(INDEX(Col!$K:$K,MATCH($M17,Col!$A:$A,0))="","",INDEX(Col!$K:$K,MATCH($M17,Col!$A:$A,0)))</f>
        <v>0198ef6d-8543-0ad2-6a86-701cc690b0a4</v>
      </c>
      <c r="Q17" s="6" t="str">
        <f>IF($O17="","",IF(NOT(ISNA(MATCH(LOWER($O17&amp;"|"&amp;$E17),Concept!$K:$K,0))),INDEX(Concept!$A:$A,MATCH(LOWER($O17&amp;"|"&amp;$E17),Concept!$K:$K,0)),IF(NOT(ISNA(MATCH(LOWER($O17&amp;"|"&amp;$E17),Concept!$L:$L,0))),INDEX(Concept!$A:$A,MATCH(LOWER($O17&amp;"|"&amp;$E17),Concept!$L:$L,0)),IF(NOT(ISNA(MATCH(LOWER($O17&amp;"|"&amp;$E17),Concept!$M:$M,0))),INDEX(Concept!$A:$A,MATCH(LOWER($O17&amp;"|"&amp;$E17),Concept!$M:$M,0)),""))))</f>
        <v/>
      </c>
      <c r="R17" s="6" t="str">
        <f>IF($P17="","",IF(NOT(ISNA(MATCH(LOWER($P17&amp;"|"&amp;$E17),Region!$J:$J,0))),INDEX(Region!$A:$A,MATCH(LOWER($P17&amp;"|"&amp;$E17),Region!$J:$J,0)),IF(NOT(ISNA(MATCH(LOWER($P17&amp;"|"&amp;$E17),Region!$K:$K,0))),INDEX(Region!$A:$A,MATCH(LOWER($P17&amp;"|"&amp;$E17),Region!$K:$K,0)),"")))</f>
        <v>0198ef6d-8543-633c-9a80-b3ee43366dab</v>
      </c>
      <c r="S17" s="6" t="str">
        <f>IF($N17&lt;&gt;"ORGANIZATION","",IF(NOT(ISNA(MATCH($E17,Organization!$A:$A,0))),INDEX(Organization!$A:$A,MATCH($E17,Organization!$A:$A,0)),IF(NOT(ISNA(MATCH($E17,Organization!$B:$B,0))),INDEX(Organization!$A:$A,MATCH($E17,Organization!$B:$B,0)),IF(NOT(ISNA(MATCH($E17,Organization!$A:$A,0))),INDEX(Organization!$C:$C,MATCH($E17,Organization!$C:$C,0)),""))))</f>
        <v/>
      </c>
      <c r="T17" s="6" t="str">
        <f>INDEX(Col!$B:$B,MATCH($M17,Col!$A:$A,0))</f>
        <v>0198ef6d-8543-08a5-b8d2-bad85d28ce19</v>
      </c>
      <c r="U17" s="6" t="str">
        <f>INDEX(Dim!$C:$C,MATCH($T17,Dim!$A:$A,0))</f>
        <v>geo2</v>
      </c>
      <c r="V17" s="6" t="str">
        <f>INDEX(Dim!$B:$B,MATCH($T17,Dim!$A:$A,0))</f>
        <v>GEO</v>
      </c>
      <c r="W17" t="b">
        <v>0</v>
      </c>
    </row>
    <row r="18" spans="1:23" x14ac:dyDescent="0.3">
      <c r="A18" t="s">
        <v>693</v>
      </c>
      <c r="B18" s="6" t="str">
        <f>INDEX(_CaseData!$G:$G,MATCH($A18,_CaseData!$A:$A,0))</f>
        <v>case_type1</v>
      </c>
      <c r="C18" t="s">
        <v>552</v>
      </c>
      <c r="D18" s="6" t="str">
        <f>INDEX(CaseTypeCol!$G:$G,MATCH($C18,CaseTypeCol!$A:$A,0))</f>
        <v>case_type1.geo2_3 (GEO_REGION;MUN)</v>
      </c>
      <c r="E18" t="s">
        <v>745</v>
      </c>
      <c r="G18" s="6" t="str">
        <f t="shared" si="0"/>
        <v>0198ef6d-8543-5e67-2557-0e2746373e1d</v>
      </c>
      <c r="H18" s="6" t="b">
        <f t="shared" si="1"/>
        <v>1</v>
      </c>
      <c r="I18" t="b">
        <v>1</v>
      </c>
      <c r="J18" s="6" t="b">
        <f t="shared" si="2"/>
        <v>1</v>
      </c>
      <c r="K18" s="6" t="str">
        <f>INDEX(_CaseData!$B:$B,MATCH($A18,_CaseData!$A:$A,0))</f>
        <v>0195d18c-1ca6-fd99-9d76-fcfa0c0cf400</v>
      </c>
      <c r="L18" s="6" t="str">
        <f>INDEX(CaseTypeCol!$B:$B,MATCH($C18,CaseTypeCol!$A:$A,0))</f>
        <v>0195d18c-1ca6-fd99-9d76-fcfa0c0cf400</v>
      </c>
      <c r="M18" s="6" t="str">
        <f>INDEX(CaseTypeCol!$D:$D,MATCH($C18,CaseTypeCol!$A:$A,0))</f>
        <v>0198ef6d-8543-1d52-5bac-f77d1900a8dd</v>
      </c>
      <c r="N18" s="6" t="str">
        <f>INDEX(Col!$H:$H,MATCH($M18,Col!$A:$A,0))</f>
        <v>GEO_REGION</v>
      </c>
      <c r="O18" s="6" t="str">
        <f>IF(INDEX(Col!$I:$I,MATCH($M18,Col!$A:$A,0))="","",INDEX(Col!$I:$I,MATCH($M18,Col!$A:$A,0)))</f>
        <v/>
      </c>
      <c r="P18" s="6" t="str">
        <f>IF(INDEX(Col!$K:$K,MATCH($M18,Col!$A:$A,0))="","",INDEX(Col!$K:$K,MATCH($M18,Col!$A:$A,0)))</f>
        <v>0198ef6d-8543-5e3f-5ed0-dd932e32c2aa</v>
      </c>
      <c r="Q18" s="6" t="str">
        <f>IF($O18="","",IF(NOT(ISNA(MATCH(LOWER($O18&amp;"|"&amp;$E18),Concept!$K:$K,0))),INDEX(Concept!$A:$A,MATCH(LOWER($O18&amp;"|"&amp;$E18),Concept!$K:$K,0)),IF(NOT(ISNA(MATCH(LOWER($O18&amp;"|"&amp;$E18),Concept!$L:$L,0))),INDEX(Concept!$A:$A,MATCH(LOWER($O18&amp;"|"&amp;$E18),Concept!$L:$L,0)),IF(NOT(ISNA(MATCH(LOWER($O18&amp;"|"&amp;$E18),Concept!$M:$M,0))),INDEX(Concept!$A:$A,MATCH(LOWER($O18&amp;"|"&amp;$E18),Concept!$M:$M,0)),""))))</f>
        <v/>
      </c>
      <c r="R18" s="6" t="str">
        <f>IF($P18="","",IF(NOT(ISNA(MATCH(LOWER($P18&amp;"|"&amp;$E18),Region!$J:$J,0))),INDEX(Region!$A:$A,MATCH(LOWER($P18&amp;"|"&amp;$E18),Region!$J:$J,0)),IF(NOT(ISNA(MATCH(LOWER($P18&amp;"|"&amp;$E18),Region!$K:$K,0))),INDEX(Region!$A:$A,MATCH(LOWER($P18&amp;"|"&amp;$E18),Region!$K:$K,0)),"")))</f>
        <v>0198ef6d-8543-5e67-2557-0e2746373e1d</v>
      </c>
      <c r="S18" s="6" t="str">
        <f>IF($N18&lt;&gt;"ORGANIZATION","",IF(NOT(ISNA(MATCH($E18,Organization!$A:$A,0))),INDEX(Organization!$A:$A,MATCH($E18,Organization!$A:$A,0)),IF(NOT(ISNA(MATCH($E18,Organization!$B:$B,0))),INDEX(Organization!$A:$A,MATCH($E18,Organization!$B:$B,0)),IF(NOT(ISNA(MATCH($E18,Organization!$A:$A,0))),INDEX(Organization!$C:$C,MATCH($E18,Organization!$C:$C,0)),""))))</f>
        <v/>
      </c>
      <c r="T18" s="6" t="str">
        <f>INDEX(Col!$B:$B,MATCH($M18,Col!$A:$A,0))</f>
        <v>0198ef6d-8543-08a5-b8d2-bad85d28ce19</v>
      </c>
      <c r="U18" s="6" t="str">
        <f>INDEX(Dim!$C:$C,MATCH($T18,Dim!$A:$A,0))</f>
        <v>geo2</v>
      </c>
      <c r="V18" s="6" t="str">
        <f>INDEX(Dim!$B:$B,MATCH($T18,Dim!$A:$A,0))</f>
        <v>GEO</v>
      </c>
      <c r="W18" t="b">
        <v>0</v>
      </c>
    </row>
    <row r="19" spans="1:23" x14ac:dyDescent="0.3">
      <c r="A19" t="s">
        <v>693</v>
      </c>
      <c r="B19" s="6" t="str">
        <f>INDEX(_CaseData!$G:$G,MATCH($A19,_CaseData!$A:$A,0))</f>
        <v>case_type1</v>
      </c>
      <c r="C19" t="s">
        <v>553</v>
      </c>
      <c r="D19" s="6" t="str">
        <f>INDEX(CaseTypeCol!$G:$G,MATCH($C19,CaseTypeCol!$A:$A,0))</f>
        <v>case_type1.geo2_4 (GEO_REGION;PV)</v>
      </c>
      <c r="E19" t="s">
        <v>747</v>
      </c>
      <c r="G19" s="6" t="str">
        <f t="shared" si="0"/>
        <v>0198ef6d-8543-2881-ac87-bb85405cfd45</v>
      </c>
      <c r="H19" s="6" t="b">
        <f t="shared" si="1"/>
        <v>1</v>
      </c>
      <c r="I19" t="b">
        <v>1</v>
      </c>
      <c r="J19" s="6" t="b">
        <f t="shared" si="2"/>
        <v>1</v>
      </c>
      <c r="K19" s="6" t="str">
        <f>INDEX(_CaseData!$B:$B,MATCH($A19,_CaseData!$A:$A,0))</f>
        <v>0195d18c-1ca6-fd99-9d76-fcfa0c0cf400</v>
      </c>
      <c r="L19" s="6" t="str">
        <f>INDEX(CaseTypeCol!$B:$B,MATCH($C19,CaseTypeCol!$A:$A,0))</f>
        <v>0195d18c-1ca6-fd99-9d76-fcfa0c0cf400</v>
      </c>
      <c r="M19" s="6" t="str">
        <f>INDEX(CaseTypeCol!$D:$D,MATCH($C19,CaseTypeCol!$A:$A,0))</f>
        <v>0198ef6d-8543-d807-f0b2-816adb66b0e2</v>
      </c>
      <c r="N19" s="6" t="str">
        <f>INDEX(Col!$H:$H,MATCH($M19,Col!$A:$A,0))</f>
        <v>GEO_REGION</v>
      </c>
      <c r="O19" s="6" t="str">
        <f>IF(INDEX(Col!$I:$I,MATCH($M19,Col!$A:$A,0))="","",INDEX(Col!$I:$I,MATCH($M19,Col!$A:$A,0)))</f>
        <v/>
      </c>
      <c r="P19" s="6" t="str">
        <f>IF(INDEX(Col!$K:$K,MATCH($M19,Col!$A:$A,0))="","",INDEX(Col!$K:$K,MATCH($M19,Col!$A:$A,0)))</f>
        <v>0198ef6d-8543-ca21-8fc9-aac9c10fe055</v>
      </c>
      <c r="Q19" s="6" t="str">
        <f>IF($O19="","",IF(NOT(ISNA(MATCH(LOWER($O19&amp;"|"&amp;$E19),Concept!$K:$K,0))),INDEX(Concept!$A:$A,MATCH(LOWER($O19&amp;"|"&amp;$E19),Concept!$K:$K,0)),IF(NOT(ISNA(MATCH(LOWER($O19&amp;"|"&amp;$E19),Concept!$L:$L,0))),INDEX(Concept!$A:$A,MATCH(LOWER($O19&amp;"|"&amp;$E19),Concept!$L:$L,0)),IF(NOT(ISNA(MATCH(LOWER($O19&amp;"|"&amp;$E19),Concept!$M:$M,0))),INDEX(Concept!$A:$A,MATCH(LOWER($O19&amp;"|"&amp;$E19),Concept!$M:$M,0)),""))))</f>
        <v/>
      </c>
      <c r="R19" s="6" t="str">
        <f>IF($P19="","",IF(NOT(ISNA(MATCH(LOWER($P19&amp;"|"&amp;$E19),Region!$J:$J,0))),INDEX(Region!$A:$A,MATCH(LOWER($P19&amp;"|"&amp;$E19),Region!$J:$J,0)),IF(NOT(ISNA(MATCH(LOWER($P19&amp;"|"&amp;$E19),Region!$K:$K,0))),INDEX(Region!$A:$A,MATCH(LOWER($P19&amp;"|"&amp;$E19),Region!$K:$K,0)),"")))</f>
        <v>0198ef6d-8543-2881-ac87-bb85405cfd45</v>
      </c>
      <c r="S19" s="6" t="str">
        <f>IF($N19&lt;&gt;"ORGANIZATION","",IF(NOT(ISNA(MATCH($E19,Organization!$A:$A,0))),INDEX(Organization!$A:$A,MATCH($E19,Organization!$A:$A,0)),IF(NOT(ISNA(MATCH($E19,Organization!$B:$B,0))),INDEX(Organization!$A:$A,MATCH($E19,Organization!$B:$B,0)),IF(NOT(ISNA(MATCH($E19,Organization!$A:$A,0))),INDEX(Organization!$C:$C,MATCH($E19,Organization!$C:$C,0)),""))))</f>
        <v/>
      </c>
      <c r="T19" s="6" t="str">
        <f>INDEX(Col!$B:$B,MATCH($M19,Col!$A:$A,0))</f>
        <v>0198ef6d-8543-08a5-b8d2-bad85d28ce19</v>
      </c>
      <c r="U19" s="6" t="str">
        <f>INDEX(Dim!$C:$C,MATCH($T19,Dim!$A:$A,0))</f>
        <v>geo2</v>
      </c>
      <c r="V19" s="6" t="str">
        <f>INDEX(Dim!$B:$B,MATCH($T19,Dim!$A:$A,0))</f>
        <v>GEO</v>
      </c>
      <c r="W19" t="b">
        <v>0</v>
      </c>
    </row>
    <row r="20" spans="1:23" x14ac:dyDescent="0.3">
      <c r="A20" t="s">
        <v>693</v>
      </c>
      <c r="B20" s="6" t="str">
        <f>INDEX(_CaseData!$G:$G,MATCH($A20,_CaseData!$A:$A,0))</f>
        <v>case_type1</v>
      </c>
      <c r="C20" t="s">
        <v>554</v>
      </c>
      <c r="D20" s="6" t="str">
        <f>INDEX(CaseTypeCol!$G:$G,MATCH($C20,CaseTypeCol!$A:$A,0))</f>
        <v>case_type1.time1_1 (TIME_DAY)</v>
      </c>
      <c r="E20" s="11" t="s">
        <v>699</v>
      </c>
      <c r="G20" s="6" t="str">
        <f t="shared" si="0"/>
        <v>2024-01-01</v>
      </c>
      <c r="H20" s="6" t="b">
        <f t="shared" si="1"/>
        <v>1</v>
      </c>
      <c r="I20" t="b">
        <v>1</v>
      </c>
      <c r="J20" s="6" t="b">
        <f t="shared" si="2"/>
        <v>1</v>
      </c>
      <c r="K20" s="6" t="str">
        <f>INDEX(_CaseData!$B:$B,MATCH($A20,_CaseData!$A:$A,0))</f>
        <v>0195d18c-1ca6-fd99-9d76-fcfa0c0cf400</v>
      </c>
      <c r="L20" s="6" t="str">
        <f>INDEX(CaseTypeCol!$B:$B,MATCH($C20,CaseTypeCol!$A:$A,0))</f>
        <v>0195d18c-1ca6-fd99-9d76-fcfa0c0cf400</v>
      </c>
      <c r="M20" s="6" t="str">
        <f>INDEX(CaseTypeCol!$D:$D,MATCH($C20,CaseTypeCol!$A:$A,0))</f>
        <v>0198ef6d-8543-1ccc-3ca5-8e5804b351d7</v>
      </c>
      <c r="N20" s="6" t="str">
        <f>INDEX(Col!$H:$H,MATCH($M20,Col!$A:$A,0))</f>
        <v>TIME_DAY</v>
      </c>
      <c r="O20" s="6" t="str">
        <f>IF(INDEX(Col!$I:$I,MATCH($M20,Col!$A:$A,0))="","",INDEX(Col!$I:$I,MATCH($M20,Col!$A:$A,0)))</f>
        <v/>
      </c>
      <c r="P20" s="6" t="str">
        <f>IF(INDEX(Col!$K:$K,MATCH($M20,Col!$A:$A,0))="","",INDEX(Col!$K:$K,MATCH($M20,Col!$A:$A,0)))</f>
        <v/>
      </c>
      <c r="Q20" s="6" t="str">
        <f>IF($O20="","",IF(NOT(ISNA(MATCH(LOWER($O20&amp;"|"&amp;$E20),Concept!$K:$K,0))),INDEX(Concept!$A:$A,MATCH(LOWER($O20&amp;"|"&amp;$E20),Concept!$K:$K,0)),IF(NOT(ISNA(MATCH(LOWER($O20&amp;"|"&amp;$E20),Concept!$L:$L,0))),INDEX(Concept!$A:$A,MATCH(LOWER($O20&amp;"|"&amp;$E20),Concept!$L:$L,0)),IF(NOT(ISNA(MATCH(LOWER($O20&amp;"|"&amp;$E20),Concept!$M:$M,0))),INDEX(Concept!$A:$A,MATCH(LOWER($O20&amp;"|"&amp;$E20),Concept!$M:$M,0)),""))))</f>
        <v/>
      </c>
      <c r="R20" s="6" t="str">
        <f>IF($P20="","",IF(NOT(ISNA(MATCH(LOWER($P20&amp;"|"&amp;$E20),Region!$J:$J,0))),INDEX(Region!$A:$A,MATCH(LOWER($P20&amp;"|"&amp;$E20),Region!$J:$J,0)),IF(NOT(ISNA(MATCH(LOWER($P20&amp;"|"&amp;$E20),Region!$K:$K,0))),INDEX(Region!$A:$A,MATCH(LOWER($P20&amp;"|"&amp;$E20),Region!$K:$K,0)),"")))</f>
        <v/>
      </c>
      <c r="S20" s="6" t="str">
        <f>IF($N20&lt;&gt;"ORGANIZATION","",IF(NOT(ISNA(MATCH($E20,Organization!$A:$A,0))),INDEX(Organization!$A:$A,MATCH($E20,Organization!$A:$A,0)),IF(NOT(ISNA(MATCH($E20,Organization!$B:$B,0))),INDEX(Organization!$A:$A,MATCH($E20,Organization!$B:$B,0)),IF(NOT(ISNA(MATCH($E20,Organization!$A:$A,0))),INDEX(Organization!$C:$C,MATCH($E20,Organization!$C:$C,0)),""))))</f>
        <v/>
      </c>
      <c r="T20" s="6" t="str">
        <f>INDEX(Col!$B:$B,MATCH($M20,Col!$A:$A,0))</f>
        <v>0198ef6d-8543-090b-38ba-3d20aff20301</v>
      </c>
      <c r="U20" s="6" t="str">
        <f>INDEX(Dim!$C:$C,MATCH($T20,Dim!$A:$A,0))</f>
        <v>time1</v>
      </c>
      <c r="V20" s="6" t="str">
        <f>INDEX(Dim!$B:$B,MATCH($T20,Dim!$A:$A,0))</f>
        <v>TIME</v>
      </c>
      <c r="W20" t="b">
        <v>0</v>
      </c>
    </row>
    <row r="21" spans="1:23" x14ac:dyDescent="0.3">
      <c r="A21" t="s">
        <v>693</v>
      </c>
      <c r="B21" s="6" t="str">
        <f>INDEX(_CaseData!$G:$G,MATCH($A21,_CaseData!$A:$A,0))</f>
        <v>case_type1</v>
      </c>
      <c r="C21" t="s">
        <v>555</v>
      </c>
      <c r="D21" s="6" t="str">
        <f>INDEX(CaseTypeCol!$G:$G,MATCH($C21,CaseTypeCol!$A:$A,0))</f>
        <v>case_type1.time1_2 (TIME_WEEK)</v>
      </c>
      <c r="E21" s="11" t="s">
        <v>701</v>
      </c>
      <c r="G21" s="6" t="str">
        <f t="shared" si="0"/>
        <v>2024-W01</v>
      </c>
      <c r="H21" s="6" t="b">
        <f t="shared" si="1"/>
        <v>1</v>
      </c>
      <c r="I21" t="b">
        <v>1</v>
      </c>
      <c r="J21" s="6" t="b">
        <f t="shared" si="2"/>
        <v>1</v>
      </c>
      <c r="K21" s="6" t="str">
        <f>INDEX(_CaseData!$B:$B,MATCH($A21,_CaseData!$A:$A,0))</f>
        <v>0195d18c-1ca6-fd99-9d76-fcfa0c0cf400</v>
      </c>
      <c r="L21" s="6" t="str">
        <f>INDEX(CaseTypeCol!$B:$B,MATCH($C21,CaseTypeCol!$A:$A,0))</f>
        <v>0195d18c-1ca6-fd99-9d76-fcfa0c0cf400</v>
      </c>
      <c r="M21" s="6" t="str">
        <f>INDEX(CaseTypeCol!$D:$D,MATCH($C21,CaseTypeCol!$A:$A,0))</f>
        <v>0198ef6d-8543-a1f2-8fe1-01a845acbff0</v>
      </c>
      <c r="N21" s="6" t="str">
        <f>INDEX(Col!$H:$H,MATCH($M21,Col!$A:$A,0))</f>
        <v>TIME_WEEK</v>
      </c>
      <c r="O21" s="6" t="str">
        <f>IF(INDEX(Col!$I:$I,MATCH($M21,Col!$A:$A,0))="","",INDEX(Col!$I:$I,MATCH($M21,Col!$A:$A,0)))</f>
        <v/>
      </c>
      <c r="P21" s="6" t="str">
        <f>IF(INDEX(Col!$K:$K,MATCH($M21,Col!$A:$A,0))="","",INDEX(Col!$K:$K,MATCH($M21,Col!$A:$A,0)))</f>
        <v/>
      </c>
      <c r="Q21" s="6" t="str">
        <f>IF($O21="","",IF(NOT(ISNA(MATCH(LOWER($O21&amp;"|"&amp;$E21),Concept!$K:$K,0))),INDEX(Concept!$A:$A,MATCH(LOWER($O21&amp;"|"&amp;$E21),Concept!$K:$K,0)),IF(NOT(ISNA(MATCH(LOWER($O21&amp;"|"&amp;$E21),Concept!$L:$L,0))),INDEX(Concept!$A:$A,MATCH(LOWER($O21&amp;"|"&amp;$E21),Concept!$L:$L,0)),IF(NOT(ISNA(MATCH(LOWER($O21&amp;"|"&amp;$E21),Concept!$M:$M,0))),INDEX(Concept!$A:$A,MATCH(LOWER($O21&amp;"|"&amp;$E21),Concept!$M:$M,0)),""))))</f>
        <v/>
      </c>
      <c r="R21" s="6" t="str">
        <f>IF($P21="","",IF(NOT(ISNA(MATCH(LOWER($P21&amp;"|"&amp;$E21),Region!$J:$J,0))),INDEX(Region!$A:$A,MATCH(LOWER($P21&amp;"|"&amp;$E21),Region!$J:$J,0)),IF(NOT(ISNA(MATCH(LOWER($P21&amp;"|"&amp;$E21),Region!$K:$K,0))),INDEX(Region!$A:$A,MATCH(LOWER($P21&amp;"|"&amp;$E21),Region!$K:$K,0)),"")))</f>
        <v/>
      </c>
      <c r="S21" s="6" t="str">
        <f>IF($N21&lt;&gt;"ORGANIZATION","",IF(NOT(ISNA(MATCH($E21,Organization!$A:$A,0))),INDEX(Organization!$A:$A,MATCH($E21,Organization!$A:$A,0)),IF(NOT(ISNA(MATCH($E21,Organization!$B:$B,0))),INDEX(Organization!$A:$A,MATCH($E21,Organization!$B:$B,0)),IF(NOT(ISNA(MATCH($E21,Organization!$A:$A,0))),INDEX(Organization!$C:$C,MATCH($E21,Organization!$C:$C,0)),""))))</f>
        <v/>
      </c>
      <c r="T21" s="6" t="str">
        <f>INDEX(Col!$B:$B,MATCH($M21,Col!$A:$A,0))</f>
        <v>0198ef6d-8543-090b-38ba-3d20aff20301</v>
      </c>
      <c r="U21" s="6" t="str">
        <f>INDEX(Dim!$C:$C,MATCH($T21,Dim!$A:$A,0))</f>
        <v>time1</v>
      </c>
      <c r="V21" s="6" t="str">
        <f>INDEX(Dim!$B:$B,MATCH($T21,Dim!$A:$A,0))</f>
        <v>TIME</v>
      </c>
      <c r="W21" t="b">
        <v>0</v>
      </c>
    </row>
    <row r="22" spans="1:23" x14ac:dyDescent="0.3">
      <c r="A22" t="s">
        <v>693</v>
      </c>
      <c r="B22" s="6" t="str">
        <f>INDEX(_CaseData!$G:$G,MATCH($A22,_CaseData!$A:$A,0))</f>
        <v>case_type1</v>
      </c>
      <c r="C22" t="s">
        <v>556</v>
      </c>
      <c r="D22" s="6" t="str">
        <f>INDEX(CaseTypeCol!$G:$G,MATCH($C22,CaseTypeCol!$A:$A,0))</f>
        <v>case_type1.time1_3 (TIME_MONTH)</v>
      </c>
      <c r="E22" s="23" t="s">
        <v>700</v>
      </c>
      <c r="G22" s="6" t="str">
        <f t="shared" si="0"/>
        <v>2024-01</v>
      </c>
      <c r="H22" s="6" t="b">
        <f t="shared" si="1"/>
        <v>1</v>
      </c>
      <c r="I22" t="b">
        <v>1</v>
      </c>
      <c r="J22" s="6" t="b">
        <f t="shared" si="2"/>
        <v>1</v>
      </c>
      <c r="K22" s="6" t="str">
        <f>INDEX(_CaseData!$B:$B,MATCH($A22,_CaseData!$A:$A,0))</f>
        <v>0195d18c-1ca6-fd99-9d76-fcfa0c0cf400</v>
      </c>
      <c r="L22" s="6" t="str">
        <f>INDEX(CaseTypeCol!$B:$B,MATCH($C22,CaseTypeCol!$A:$A,0))</f>
        <v>0195d18c-1ca6-fd99-9d76-fcfa0c0cf400</v>
      </c>
      <c r="M22" s="6" t="str">
        <f>INDEX(CaseTypeCol!$D:$D,MATCH($C22,CaseTypeCol!$A:$A,0))</f>
        <v>0198ef6d-8543-3ef0-e88e-3e695cf2445e</v>
      </c>
      <c r="N22" s="6" t="str">
        <f>INDEX(Col!$H:$H,MATCH($M22,Col!$A:$A,0))</f>
        <v>TIME_MONTH</v>
      </c>
      <c r="O22" s="6" t="str">
        <f>IF(INDEX(Col!$I:$I,MATCH($M22,Col!$A:$A,0))="","",INDEX(Col!$I:$I,MATCH($M22,Col!$A:$A,0)))</f>
        <v/>
      </c>
      <c r="P22" s="6" t="str">
        <f>IF(INDEX(Col!$K:$K,MATCH($M22,Col!$A:$A,0))="","",INDEX(Col!$K:$K,MATCH($M22,Col!$A:$A,0)))</f>
        <v/>
      </c>
      <c r="Q22" s="6" t="str">
        <f>IF($O22="","",IF(NOT(ISNA(MATCH(LOWER($O22&amp;"|"&amp;$E22),Concept!$K:$K,0))),INDEX(Concept!$A:$A,MATCH(LOWER($O22&amp;"|"&amp;$E22),Concept!$K:$K,0)),IF(NOT(ISNA(MATCH(LOWER($O22&amp;"|"&amp;$E22),Concept!$L:$L,0))),INDEX(Concept!$A:$A,MATCH(LOWER($O22&amp;"|"&amp;$E22),Concept!$L:$L,0)),IF(NOT(ISNA(MATCH(LOWER($O22&amp;"|"&amp;$E22),Concept!$M:$M,0))),INDEX(Concept!$A:$A,MATCH(LOWER($O22&amp;"|"&amp;$E22),Concept!$M:$M,0)),""))))</f>
        <v/>
      </c>
      <c r="R22" s="6" t="str">
        <f>IF($P22="","",IF(NOT(ISNA(MATCH(LOWER($P22&amp;"|"&amp;$E22),Region!$J:$J,0))),INDEX(Region!$A:$A,MATCH(LOWER($P22&amp;"|"&amp;$E22),Region!$J:$J,0)),IF(NOT(ISNA(MATCH(LOWER($P22&amp;"|"&amp;$E22),Region!$K:$K,0))),INDEX(Region!$A:$A,MATCH(LOWER($P22&amp;"|"&amp;$E22),Region!$K:$K,0)),"")))</f>
        <v/>
      </c>
      <c r="S22" s="6" t="str">
        <f>IF($N22&lt;&gt;"ORGANIZATION","",IF(NOT(ISNA(MATCH($E22,Organization!$A:$A,0))),INDEX(Organization!$A:$A,MATCH($E22,Organization!$A:$A,0)),IF(NOT(ISNA(MATCH($E22,Organization!$B:$B,0))),INDEX(Organization!$A:$A,MATCH($E22,Organization!$B:$B,0)),IF(NOT(ISNA(MATCH($E22,Organization!$A:$A,0))),INDEX(Organization!$C:$C,MATCH($E22,Organization!$C:$C,0)),""))))</f>
        <v/>
      </c>
      <c r="T22" s="6" t="str">
        <f>INDEX(Col!$B:$B,MATCH($M22,Col!$A:$A,0))</f>
        <v>0198ef6d-8543-090b-38ba-3d20aff20301</v>
      </c>
      <c r="U22" s="6" t="str">
        <f>INDEX(Dim!$C:$C,MATCH($T22,Dim!$A:$A,0))</f>
        <v>time1</v>
      </c>
      <c r="V22" s="6" t="str">
        <f>INDEX(Dim!$B:$B,MATCH($T22,Dim!$A:$A,0))</f>
        <v>TIME</v>
      </c>
      <c r="W22" t="b">
        <v>0</v>
      </c>
    </row>
    <row r="23" spans="1:23" x14ac:dyDescent="0.3">
      <c r="A23" t="s">
        <v>693</v>
      </c>
      <c r="B23" s="6" t="str">
        <f>INDEX(_CaseData!$G:$G,MATCH($A23,_CaseData!$A:$A,0))</f>
        <v>case_type1</v>
      </c>
      <c r="C23" t="s">
        <v>557</v>
      </c>
      <c r="D23" s="6" t="str">
        <f>INDEX(CaseTypeCol!$G:$G,MATCH($C23,CaseTypeCol!$A:$A,0))</f>
        <v>case_type1.time1_4 (TIME_QUARTER)</v>
      </c>
      <c r="E23" s="11" t="s">
        <v>702</v>
      </c>
      <c r="G23" s="6" t="str">
        <f t="shared" si="0"/>
        <v>2024-Q1</v>
      </c>
      <c r="H23" s="6" t="b">
        <f t="shared" si="1"/>
        <v>1</v>
      </c>
      <c r="I23" t="b">
        <v>1</v>
      </c>
      <c r="J23" s="6" t="b">
        <f t="shared" si="2"/>
        <v>1</v>
      </c>
      <c r="K23" s="6" t="str">
        <f>INDEX(_CaseData!$B:$B,MATCH($A23,_CaseData!$A:$A,0))</f>
        <v>0195d18c-1ca6-fd99-9d76-fcfa0c0cf400</v>
      </c>
      <c r="L23" s="6" t="str">
        <f>INDEX(CaseTypeCol!$B:$B,MATCH($C23,CaseTypeCol!$A:$A,0))</f>
        <v>0195d18c-1ca6-fd99-9d76-fcfa0c0cf400</v>
      </c>
      <c r="M23" s="6" t="str">
        <f>INDEX(CaseTypeCol!$D:$D,MATCH($C23,CaseTypeCol!$A:$A,0))</f>
        <v>0198ef6d-8543-36a5-2583-d111be64cfe5</v>
      </c>
      <c r="N23" s="6" t="str">
        <f>INDEX(Col!$H:$H,MATCH($M23,Col!$A:$A,0))</f>
        <v>TIME_QUARTER</v>
      </c>
      <c r="O23" s="6" t="str">
        <f>IF(INDEX(Col!$I:$I,MATCH($M23,Col!$A:$A,0))="","",INDEX(Col!$I:$I,MATCH($M23,Col!$A:$A,0)))</f>
        <v/>
      </c>
      <c r="P23" s="6" t="str">
        <f>IF(INDEX(Col!$K:$K,MATCH($M23,Col!$A:$A,0))="","",INDEX(Col!$K:$K,MATCH($M23,Col!$A:$A,0)))</f>
        <v/>
      </c>
      <c r="Q23" s="6" t="str">
        <f>IF($O23="","",IF(NOT(ISNA(MATCH(LOWER($O23&amp;"|"&amp;$E23),Concept!$K:$K,0))),INDEX(Concept!$A:$A,MATCH(LOWER($O23&amp;"|"&amp;$E23),Concept!$K:$K,0)),IF(NOT(ISNA(MATCH(LOWER($O23&amp;"|"&amp;$E23),Concept!$L:$L,0))),INDEX(Concept!$A:$A,MATCH(LOWER($O23&amp;"|"&amp;$E23),Concept!$L:$L,0)),IF(NOT(ISNA(MATCH(LOWER($O23&amp;"|"&amp;$E23),Concept!$M:$M,0))),INDEX(Concept!$A:$A,MATCH(LOWER($O23&amp;"|"&amp;$E23),Concept!$M:$M,0)),""))))</f>
        <v/>
      </c>
      <c r="R23" s="6" t="str">
        <f>IF($P23="","",IF(NOT(ISNA(MATCH(LOWER($P23&amp;"|"&amp;$E23),Region!$J:$J,0))),INDEX(Region!$A:$A,MATCH(LOWER($P23&amp;"|"&amp;$E23),Region!$J:$J,0)),IF(NOT(ISNA(MATCH(LOWER($P23&amp;"|"&amp;$E23),Region!$K:$K,0))),INDEX(Region!$A:$A,MATCH(LOWER($P23&amp;"|"&amp;$E23),Region!$K:$K,0)),"")))</f>
        <v/>
      </c>
      <c r="S23" s="6" t="str">
        <f>IF($N23&lt;&gt;"ORGANIZATION","",IF(NOT(ISNA(MATCH($E23,Organization!$A:$A,0))),INDEX(Organization!$A:$A,MATCH($E23,Organization!$A:$A,0)),IF(NOT(ISNA(MATCH($E23,Organization!$B:$B,0))),INDEX(Organization!$A:$A,MATCH($E23,Organization!$B:$B,0)),IF(NOT(ISNA(MATCH($E23,Organization!$A:$A,0))),INDEX(Organization!$C:$C,MATCH($E23,Organization!$C:$C,0)),""))))</f>
        <v/>
      </c>
      <c r="T23" s="6" t="str">
        <f>INDEX(Col!$B:$B,MATCH($M23,Col!$A:$A,0))</f>
        <v>0198ef6d-8543-090b-38ba-3d20aff20301</v>
      </c>
      <c r="U23" s="6" t="str">
        <f>INDEX(Dim!$C:$C,MATCH($T23,Dim!$A:$A,0))</f>
        <v>time1</v>
      </c>
      <c r="V23" s="6" t="str">
        <f>INDEX(Dim!$B:$B,MATCH($T23,Dim!$A:$A,0))</f>
        <v>TIME</v>
      </c>
      <c r="W23" t="b">
        <v>0</v>
      </c>
    </row>
    <row r="24" spans="1:23" x14ac:dyDescent="0.3">
      <c r="A24" t="s">
        <v>693</v>
      </c>
      <c r="B24" s="6" t="str">
        <f>INDEX(_CaseData!$G:$G,MATCH($A24,_CaseData!$A:$A,0))</f>
        <v>case_type1</v>
      </c>
      <c r="C24" t="s">
        <v>558</v>
      </c>
      <c r="D24" s="6" t="str">
        <f>INDEX(CaseTypeCol!$G:$G,MATCH($C24,CaseTypeCol!$A:$A,0))</f>
        <v>case_type1.time1_5 (TIME_YEAR)</v>
      </c>
      <c r="E24" s="11" t="s">
        <v>703</v>
      </c>
      <c r="G24" s="6" t="str">
        <f t="shared" si="0"/>
        <v>2024</v>
      </c>
      <c r="H24" s="6" t="b">
        <f t="shared" si="1"/>
        <v>1</v>
      </c>
      <c r="I24" t="b">
        <v>1</v>
      </c>
      <c r="J24" s="6" t="b">
        <f t="shared" si="2"/>
        <v>1</v>
      </c>
      <c r="K24" s="6" t="str">
        <f>INDEX(_CaseData!$B:$B,MATCH($A24,_CaseData!$A:$A,0))</f>
        <v>0195d18c-1ca6-fd99-9d76-fcfa0c0cf400</v>
      </c>
      <c r="L24" s="6" t="str">
        <f>INDEX(CaseTypeCol!$B:$B,MATCH($C24,CaseTypeCol!$A:$A,0))</f>
        <v>0195d18c-1ca6-fd99-9d76-fcfa0c0cf400</v>
      </c>
      <c r="M24" s="6" t="str">
        <f>INDEX(CaseTypeCol!$D:$D,MATCH($C24,CaseTypeCol!$A:$A,0))</f>
        <v>0198ef6d-8543-0602-3b9b-8074754ce32f</v>
      </c>
      <c r="N24" s="6" t="str">
        <f>INDEX(Col!$H:$H,MATCH($M24,Col!$A:$A,0))</f>
        <v>TIME_YEAR</v>
      </c>
      <c r="O24" s="6" t="str">
        <f>IF(INDEX(Col!$I:$I,MATCH($M24,Col!$A:$A,0))="","",INDEX(Col!$I:$I,MATCH($M24,Col!$A:$A,0)))</f>
        <v/>
      </c>
      <c r="P24" s="6" t="str">
        <f>IF(INDEX(Col!$K:$K,MATCH($M24,Col!$A:$A,0))="","",INDEX(Col!$K:$K,MATCH($M24,Col!$A:$A,0)))</f>
        <v/>
      </c>
      <c r="Q24" s="6" t="str">
        <f>IF($O24="","",IF(NOT(ISNA(MATCH(LOWER($O24&amp;"|"&amp;$E24),Concept!$K:$K,0))),INDEX(Concept!$A:$A,MATCH(LOWER($O24&amp;"|"&amp;$E24),Concept!$K:$K,0)),IF(NOT(ISNA(MATCH(LOWER($O24&amp;"|"&amp;$E24),Concept!$L:$L,0))),INDEX(Concept!$A:$A,MATCH(LOWER($O24&amp;"|"&amp;$E24),Concept!$L:$L,0)),IF(NOT(ISNA(MATCH(LOWER($O24&amp;"|"&amp;$E24),Concept!$M:$M,0))),INDEX(Concept!$A:$A,MATCH(LOWER($O24&amp;"|"&amp;$E24),Concept!$M:$M,0)),""))))</f>
        <v/>
      </c>
      <c r="R24" s="6" t="str">
        <f>IF($P24="","",IF(NOT(ISNA(MATCH(LOWER($P24&amp;"|"&amp;$E24),Region!$J:$J,0))),INDEX(Region!$A:$A,MATCH(LOWER($P24&amp;"|"&amp;$E24),Region!$J:$J,0)),IF(NOT(ISNA(MATCH(LOWER($P24&amp;"|"&amp;$E24),Region!$K:$K,0))),INDEX(Region!$A:$A,MATCH(LOWER($P24&amp;"|"&amp;$E24),Region!$K:$K,0)),"")))</f>
        <v/>
      </c>
      <c r="S24" s="6" t="str">
        <f>IF($N24&lt;&gt;"ORGANIZATION","",IF(NOT(ISNA(MATCH($E24,Organization!$A:$A,0))),INDEX(Organization!$A:$A,MATCH($E24,Organization!$A:$A,0)),IF(NOT(ISNA(MATCH($E24,Organization!$B:$B,0))),INDEX(Organization!$A:$A,MATCH($E24,Organization!$B:$B,0)),IF(NOT(ISNA(MATCH($E24,Organization!$A:$A,0))),INDEX(Organization!$C:$C,MATCH($E24,Organization!$C:$C,0)),""))))</f>
        <v/>
      </c>
      <c r="T24" s="6" t="str">
        <f>INDEX(Col!$B:$B,MATCH($M24,Col!$A:$A,0))</f>
        <v>0198ef6d-8543-090b-38ba-3d20aff20301</v>
      </c>
      <c r="U24" s="6" t="str">
        <f>INDEX(Dim!$C:$C,MATCH($T24,Dim!$A:$A,0))</f>
        <v>time1</v>
      </c>
      <c r="V24" s="6" t="str">
        <f>INDEX(Dim!$B:$B,MATCH($T24,Dim!$A:$A,0))</f>
        <v>TIME</v>
      </c>
      <c r="W24" t="b">
        <v>0</v>
      </c>
    </row>
    <row r="25" spans="1:23" x14ac:dyDescent="0.3">
      <c r="A25" t="s">
        <v>693</v>
      </c>
      <c r="B25" s="6" t="str">
        <f>INDEX(_CaseData!$G:$G,MATCH($A25,_CaseData!$A:$A,0))</f>
        <v>case_type1</v>
      </c>
      <c r="C25" t="s">
        <v>559</v>
      </c>
      <c r="D25" s="6" t="str">
        <f>INDEX(CaseTypeCol!$G:$G,MATCH($C25,CaseTypeCol!$A:$A,0))</f>
        <v>case_type1.time2_1 (TIME_DAY)</v>
      </c>
      <c r="E25" s="11" t="s">
        <v>704</v>
      </c>
      <c r="G25" s="6" t="str">
        <f t="shared" si="0"/>
        <v>2025-01-01</v>
      </c>
      <c r="H25" s="6" t="b">
        <f t="shared" si="1"/>
        <v>1</v>
      </c>
      <c r="I25" t="b">
        <v>1</v>
      </c>
      <c r="J25" s="6" t="b">
        <f t="shared" si="2"/>
        <v>1</v>
      </c>
      <c r="K25" s="6" t="str">
        <f>INDEX(_CaseData!$B:$B,MATCH($A25,_CaseData!$A:$A,0))</f>
        <v>0195d18c-1ca6-fd99-9d76-fcfa0c0cf400</v>
      </c>
      <c r="L25" s="6" t="str">
        <f>INDEX(CaseTypeCol!$B:$B,MATCH($C25,CaseTypeCol!$A:$A,0))</f>
        <v>0195d18c-1ca6-fd99-9d76-fcfa0c0cf400</v>
      </c>
      <c r="M25" s="6" t="str">
        <f>INDEX(CaseTypeCol!$D:$D,MATCH($C25,CaseTypeCol!$A:$A,0))</f>
        <v>0198ef6d-8543-4c94-0bf9-94599fca001d</v>
      </c>
      <c r="N25" s="6" t="str">
        <f>INDEX(Col!$H:$H,MATCH($M25,Col!$A:$A,0))</f>
        <v>TIME_DAY</v>
      </c>
      <c r="O25" s="6" t="str">
        <f>IF(INDEX(Col!$I:$I,MATCH($M25,Col!$A:$A,0))="","",INDEX(Col!$I:$I,MATCH($M25,Col!$A:$A,0)))</f>
        <v/>
      </c>
      <c r="P25" s="6" t="str">
        <f>IF(INDEX(Col!$K:$K,MATCH($M25,Col!$A:$A,0))="","",INDEX(Col!$K:$K,MATCH($M25,Col!$A:$A,0)))</f>
        <v/>
      </c>
      <c r="Q25" s="6" t="str">
        <f>IF($O25="","",IF(NOT(ISNA(MATCH(LOWER($O25&amp;"|"&amp;$E25),Concept!$K:$K,0))),INDEX(Concept!$A:$A,MATCH(LOWER($O25&amp;"|"&amp;$E25),Concept!$K:$K,0)),IF(NOT(ISNA(MATCH(LOWER($O25&amp;"|"&amp;$E25),Concept!$L:$L,0))),INDEX(Concept!$A:$A,MATCH(LOWER($O25&amp;"|"&amp;$E25),Concept!$L:$L,0)),IF(NOT(ISNA(MATCH(LOWER($O25&amp;"|"&amp;$E25),Concept!$M:$M,0))),INDEX(Concept!$A:$A,MATCH(LOWER($O25&amp;"|"&amp;$E25),Concept!$M:$M,0)),""))))</f>
        <v/>
      </c>
      <c r="R25" s="6" t="str">
        <f>IF($P25="","",IF(NOT(ISNA(MATCH(LOWER($P25&amp;"|"&amp;$E25),Region!$J:$J,0))),INDEX(Region!$A:$A,MATCH(LOWER($P25&amp;"|"&amp;$E25),Region!$J:$J,0)),IF(NOT(ISNA(MATCH(LOWER($P25&amp;"|"&amp;$E25),Region!$K:$K,0))),INDEX(Region!$A:$A,MATCH(LOWER($P25&amp;"|"&amp;$E25),Region!$K:$K,0)),"")))</f>
        <v/>
      </c>
      <c r="S25" s="6" t="str">
        <f>IF($N25&lt;&gt;"ORGANIZATION","",IF(NOT(ISNA(MATCH($E25,Organization!$A:$A,0))),INDEX(Organization!$A:$A,MATCH($E25,Organization!$A:$A,0)),IF(NOT(ISNA(MATCH($E25,Organization!$B:$B,0))),INDEX(Organization!$A:$A,MATCH($E25,Organization!$B:$B,0)),IF(NOT(ISNA(MATCH($E25,Organization!$A:$A,0))),INDEX(Organization!$C:$C,MATCH($E25,Organization!$C:$C,0)),""))))</f>
        <v/>
      </c>
      <c r="T25" s="6" t="str">
        <f>INDEX(Col!$B:$B,MATCH($M25,Col!$A:$A,0))</f>
        <v>0198ef6d-8543-9464-8125-c57e62e81fa8</v>
      </c>
      <c r="U25" s="6" t="str">
        <f>INDEX(Dim!$C:$C,MATCH($T25,Dim!$A:$A,0))</f>
        <v>time2</v>
      </c>
      <c r="V25" s="6" t="str">
        <f>INDEX(Dim!$B:$B,MATCH($T25,Dim!$A:$A,0))</f>
        <v>TIME</v>
      </c>
      <c r="W25" t="b">
        <v>0</v>
      </c>
    </row>
    <row r="26" spans="1:23" x14ac:dyDescent="0.3">
      <c r="A26" t="s">
        <v>693</v>
      </c>
      <c r="B26" s="6" t="str">
        <f>INDEX(_CaseData!$G:$G,MATCH($A26,_CaseData!$A:$A,0))</f>
        <v>case_type1</v>
      </c>
      <c r="C26" t="s">
        <v>560</v>
      </c>
      <c r="D26" s="6" t="str">
        <f>INDEX(CaseTypeCol!$G:$G,MATCH($C26,CaseTypeCol!$A:$A,0))</f>
        <v>case_type1.time2_2 (TIME_WEEK)</v>
      </c>
      <c r="E26" s="11" t="s">
        <v>705</v>
      </c>
      <c r="G26" s="6" t="str">
        <f t="shared" si="0"/>
        <v>2025-W01</v>
      </c>
      <c r="H26" s="6" t="b">
        <f t="shared" si="1"/>
        <v>1</v>
      </c>
      <c r="I26" t="b">
        <v>1</v>
      </c>
      <c r="J26" s="6" t="b">
        <f t="shared" si="2"/>
        <v>1</v>
      </c>
      <c r="K26" s="6" t="str">
        <f>INDEX(_CaseData!$B:$B,MATCH($A26,_CaseData!$A:$A,0))</f>
        <v>0195d18c-1ca6-fd99-9d76-fcfa0c0cf400</v>
      </c>
      <c r="L26" s="6" t="str">
        <f>INDEX(CaseTypeCol!$B:$B,MATCH($C26,CaseTypeCol!$A:$A,0))</f>
        <v>0195d18c-1ca6-fd99-9d76-fcfa0c0cf400</v>
      </c>
      <c r="M26" s="6" t="str">
        <f>INDEX(CaseTypeCol!$D:$D,MATCH($C26,CaseTypeCol!$A:$A,0))</f>
        <v>0198ef6d-8543-97b5-1037-1371f120aa8d</v>
      </c>
      <c r="N26" s="6" t="str">
        <f>INDEX(Col!$H:$H,MATCH($M26,Col!$A:$A,0))</f>
        <v>TIME_WEEK</v>
      </c>
      <c r="O26" s="6" t="str">
        <f>IF(INDEX(Col!$I:$I,MATCH($M26,Col!$A:$A,0))="","",INDEX(Col!$I:$I,MATCH($M26,Col!$A:$A,0)))</f>
        <v/>
      </c>
      <c r="P26" s="6" t="str">
        <f>IF(INDEX(Col!$K:$K,MATCH($M26,Col!$A:$A,0))="","",INDEX(Col!$K:$K,MATCH($M26,Col!$A:$A,0)))</f>
        <v/>
      </c>
      <c r="Q26" s="6" t="str">
        <f>IF($O26="","",IF(NOT(ISNA(MATCH(LOWER($O26&amp;"|"&amp;$E26),Concept!$K:$K,0))),INDEX(Concept!$A:$A,MATCH(LOWER($O26&amp;"|"&amp;$E26),Concept!$K:$K,0)),IF(NOT(ISNA(MATCH(LOWER($O26&amp;"|"&amp;$E26),Concept!$L:$L,0))),INDEX(Concept!$A:$A,MATCH(LOWER($O26&amp;"|"&amp;$E26),Concept!$L:$L,0)),IF(NOT(ISNA(MATCH(LOWER($O26&amp;"|"&amp;$E26),Concept!$M:$M,0))),INDEX(Concept!$A:$A,MATCH(LOWER($O26&amp;"|"&amp;$E26),Concept!$M:$M,0)),""))))</f>
        <v/>
      </c>
      <c r="R26" s="6" t="str">
        <f>IF($P26="","",IF(NOT(ISNA(MATCH(LOWER($P26&amp;"|"&amp;$E26),Region!$J:$J,0))),INDEX(Region!$A:$A,MATCH(LOWER($P26&amp;"|"&amp;$E26),Region!$J:$J,0)),IF(NOT(ISNA(MATCH(LOWER($P26&amp;"|"&amp;$E26),Region!$K:$K,0))),INDEX(Region!$A:$A,MATCH(LOWER($P26&amp;"|"&amp;$E26),Region!$K:$K,0)),"")))</f>
        <v/>
      </c>
      <c r="S26" s="6" t="str">
        <f>IF($N26&lt;&gt;"ORGANIZATION","",IF(NOT(ISNA(MATCH($E26,Organization!$A:$A,0))),INDEX(Organization!$A:$A,MATCH($E26,Organization!$A:$A,0)),IF(NOT(ISNA(MATCH($E26,Organization!$B:$B,0))),INDEX(Organization!$A:$A,MATCH($E26,Organization!$B:$B,0)),IF(NOT(ISNA(MATCH($E26,Organization!$A:$A,0))),INDEX(Organization!$C:$C,MATCH($E26,Organization!$C:$C,0)),""))))</f>
        <v/>
      </c>
      <c r="T26" s="6" t="str">
        <f>INDEX(Col!$B:$B,MATCH($M26,Col!$A:$A,0))</f>
        <v>0198ef6d-8543-9464-8125-c57e62e81fa8</v>
      </c>
      <c r="U26" s="6" t="str">
        <f>INDEX(Dim!$C:$C,MATCH($T26,Dim!$A:$A,0))</f>
        <v>time2</v>
      </c>
      <c r="V26" s="6" t="str">
        <f>INDEX(Dim!$B:$B,MATCH($T26,Dim!$A:$A,0))</f>
        <v>TIME</v>
      </c>
      <c r="W26" t="b">
        <v>0</v>
      </c>
    </row>
    <row r="27" spans="1:23" x14ac:dyDescent="0.3">
      <c r="A27" t="s">
        <v>693</v>
      </c>
      <c r="B27" s="6" t="str">
        <f>INDEX(_CaseData!$G:$G,MATCH($A27,_CaseData!$A:$A,0))</f>
        <v>case_type1</v>
      </c>
      <c r="C27" t="s">
        <v>561</v>
      </c>
      <c r="D27" s="6" t="str">
        <f>INDEX(CaseTypeCol!$G:$G,MATCH($C27,CaseTypeCol!$A:$A,0))</f>
        <v>case_type1.time2_3 (TIME_MONTH)</v>
      </c>
      <c r="E27" s="11" t="s">
        <v>706</v>
      </c>
      <c r="G27" s="6" t="str">
        <f t="shared" si="0"/>
        <v>2025-01</v>
      </c>
      <c r="H27" s="6" t="b">
        <f t="shared" si="1"/>
        <v>1</v>
      </c>
      <c r="I27" t="b">
        <v>1</v>
      </c>
      <c r="J27" s="6" t="b">
        <f t="shared" si="2"/>
        <v>1</v>
      </c>
      <c r="K27" s="6" t="str">
        <f>INDEX(_CaseData!$B:$B,MATCH($A27,_CaseData!$A:$A,0))</f>
        <v>0195d18c-1ca6-fd99-9d76-fcfa0c0cf400</v>
      </c>
      <c r="L27" s="6" t="str">
        <f>INDEX(CaseTypeCol!$B:$B,MATCH($C27,CaseTypeCol!$A:$A,0))</f>
        <v>0195d18c-1ca6-fd99-9d76-fcfa0c0cf400</v>
      </c>
      <c r="M27" s="6" t="str">
        <f>INDEX(CaseTypeCol!$D:$D,MATCH($C27,CaseTypeCol!$A:$A,0))</f>
        <v>0198ef6d-8543-3174-2105-15a6851c5148</v>
      </c>
      <c r="N27" s="6" t="str">
        <f>INDEX(Col!$H:$H,MATCH($M27,Col!$A:$A,0))</f>
        <v>TIME_MONTH</v>
      </c>
      <c r="O27" s="6" t="str">
        <f>IF(INDEX(Col!$I:$I,MATCH($M27,Col!$A:$A,0))="","",INDEX(Col!$I:$I,MATCH($M27,Col!$A:$A,0)))</f>
        <v/>
      </c>
      <c r="P27" s="6" t="str">
        <f>IF(INDEX(Col!$K:$K,MATCH($M27,Col!$A:$A,0))="","",INDEX(Col!$K:$K,MATCH($M27,Col!$A:$A,0)))</f>
        <v/>
      </c>
      <c r="Q27" s="6" t="str">
        <f>IF($O27="","",IF(NOT(ISNA(MATCH(LOWER($O27&amp;"|"&amp;$E27),Concept!$K:$K,0))),INDEX(Concept!$A:$A,MATCH(LOWER($O27&amp;"|"&amp;$E27),Concept!$K:$K,0)),IF(NOT(ISNA(MATCH(LOWER($O27&amp;"|"&amp;$E27),Concept!$L:$L,0))),INDEX(Concept!$A:$A,MATCH(LOWER($O27&amp;"|"&amp;$E27),Concept!$L:$L,0)),IF(NOT(ISNA(MATCH(LOWER($O27&amp;"|"&amp;$E27),Concept!$M:$M,0))),INDEX(Concept!$A:$A,MATCH(LOWER($O27&amp;"|"&amp;$E27),Concept!$M:$M,0)),""))))</f>
        <v/>
      </c>
      <c r="R27" s="6" t="str">
        <f>IF($P27="","",IF(NOT(ISNA(MATCH(LOWER($P27&amp;"|"&amp;$E27),Region!$J:$J,0))),INDEX(Region!$A:$A,MATCH(LOWER($P27&amp;"|"&amp;$E27),Region!$J:$J,0)),IF(NOT(ISNA(MATCH(LOWER($P27&amp;"|"&amp;$E27),Region!$K:$K,0))),INDEX(Region!$A:$A,MATCH(LOWER($P27&amp;"|"&amp;$E27),Region!$K:$K,0)),"")))</f>
        <v/>
      </c>
      <c r="S27" s="6" t="str">
        <f>IF($N27&lt;&gt;"ORGANIZATION","",IF(NOT(ISNA(MATCH($E27,Organization!$A:$A,0))),INDEX(Organization!$A:$A,MATCH($E27,Organization!$A:$A,0)),IF(NOT(ISNA(MATCH($E27,Organization!$B:$B,0))),INDEX(Organization!$A:$A,MATCH($E27,Organization!$B:$B,0)),IF(NOT(ISNA(MATCH($E27,Organization!$A:$A,0))),INDEX(Organization!$C:$C,MATCH($E27,Organization!$C:$C,0)),""))))</f>
        <v/>
      </c>
      <c r="T27" s="6" t="str">
        <f>INDEX(Col!$B:$B,MATCH($M27,Col!$A:$A,0))</f>
        <v>0198ef6d-8543-9464-8125-c57e62e81fa8</v>
      </c>
      <c r="U27" s="6" t="str">
        <f>INDEX(Dim!$C:$C,MATCH($T27,Dim!$A:$A,0))</f>
        <v>time2</v>
      </c>
      <c r="V27" s="6" t="str">
        <f>INDEX(Dim!$B:$B,MATCH($T27,Dim!$A:$A,0))</f>
        <v>TIME</v>
      </c>
      <c r="W27" t="b">
        <v>0</v>
      </c>
    </row>
    <row r="28" spans="1:23" x14ac:dyDescent="0.3">
      <c r="A28" t="s">
        <v>693</v>
      </c>
      <c r="B28" s="6" t="str">
        <f>INDEX(_CaseData!$G:$G,MATCH($A28,_CaseData!$A:$A,0))</f>
        <v>case_type1</v>
      </c>
      <c r="C28" t="s">
        <v>562</v>
      </c>
      <c r="D28" s="6" t="str">
        <f>INDEX(CaseTypeCol!$G:$G,MATCH($C28,CaseTypeCol!$A:$A,0))</f>
        <v>case_type1.time2_4 (TIME_QUARTER)</v>
      </c>
      <c r="E28" s="11" t="s">
        <v>707</v>
      </c>
      <c r="G28" s="6" t="str">
        <f t="shared" si="0"/>
        <v>2025-Q1</v>
      </c>
      <c r="H28" s="6" t="b">
        <f t="shared" si="1"/>
        <v>1</v>
      </c>
      <c r="I28" t="b">
        <v>1</v>
      </c>
      <c r="J28" s="6" t="b">
        <f t="shared" si="2"/>
        <v>1</v>
      </c>
      <c r="K28" s="6" t="str">
        <f>INDEX(_CaseData!$B:$B,MATCH($A28,_CaseData!$A:$A,0))</f>
        <v>0195d18c-1ca6-fd99-9d76-fcfa0c0cf400</v>
      </c>
      <c r="L28" s="6" t="str">
        <f>INDEX(CaseTypeCol!$B:$B,MATCH($C28,CaseTypeCol!$A:$A,0))</f>
        <v>0195d18c-1ca6-fd99-9d76-fcfa0c0cf400</v>
      </c>
      <c r="M28" s="6" t="str">
        <f>INDEX(CaseTypeCol!$D:$D,MATCH($C28,CaseTypeCol!$A:$A,0))</f>
        <v>0198ef6d-8543-d0b2-a670-f7d735fbf952</v>
      </c>
      <c r="N28" s="6" t="str">
        <f>INDEX(Col!$H:$H,MATCH($M28,Col!$A:$A,0))</f>
        <v>TIME_QUARTER</v>
      </c>
      <c r="O28" s="6" t="str">
        <f>IF(INDEX(Col!$I:$I,MATCH($M28,Col!$A:$A,0))="","",INDEX(Col!$I:$I,MATCH($M28,Col!$A:$A,0)))</f>
        <v/>
      </c>
      <c r="P28" s="6" t="str">
        <f>IF(INDEX(Col!$K:$K,MATCH($M28,Col!$A:$A,0))="","",INDEX(Col!$K:$K,MATCH($M28,Col!$A:$A,0)))</f>
        <v/>
      </c>
      <c r="Q28" s="6" t="str">
        <f>IF($O28="","",IF(NOT(ISNA(MATCH(LOWER($O28&amp;"|"&amp;$E28),Concept!$K:$K,0))),INDEX(Concept!$A:$A,MATCH(LOWER($O28&amp;"|"&amp;$E28),Concept!$K:$K,0)),IF(NOT(ISNA(MATCH(LOWER($O28&amp;"|"&amp;$E28),Concept!$L:$L,0))),INDEX(Concept!$A:$A,MATCH(LOWER($O28&amp;"|"&amp;$E28),Concept!$L:$L,0)),IF(NOT(ISNA(MATCH(LOWER($O28&amp;"|"&amp;$E28),Concept!$M:$M,0))),INDEX(Concept!$A:$A,MATCH(LOWER($O28&amp;"|"&amp;$E28),Concept!$M:$M,0)),""))))</f>
        <v/>
      </c>
      <c r="R28" s="6" t="str">
        <f>IF($P28="","",IF(NOT(ISNA(MATCH(LOWER($P28&amp;"|"&amp;$E28),Region!$J:$J,0))),INDEX(Region!$A:$A,MATCH(LOWER($P28&amp;"|"&amp;$E28),Region!$J:$J,0)),IF(NOT(ISNA(MATCH(LOWER($P28&amp;"|"&amp;$E28),Region!$K:$K,0))),INDEX(Region!$A:$A,MATCH(LOWER($P28&amp;"|"&amp;$E28),Region!$K:$K,0)),"")))</f>
        <v/>
      </c>
      <c r="S28" s="6" t="str">
        <f>IF($N28&lt;&gt;"ORGANIZATION","",IF(NOT(ISNA(MATCH($E28,Organization!$A:$A,0))),INDEX(Organization!$A:$A,MATCH($E28,Organization!$A:$A,0)),IF(NOT(ISNA(MATCH($E28,Organization!$B:$B,0))),INDEX(Organization!$A:$A,MATCH($E28,Organization!$B:$B,0)),IF(NOT(ISNA(MATCH($E28,Organization!$A:$A,0))),INDEX(Organization!$C:$C,MATCH($E28,Organization!$C:$C,0)),""))))</f>
        <v/>
      </c>
      <c r="T28" s="6" t="str">
        <f>INDEX(Col!$B:$B,MATCH($M28,Col!$A:$A,0))</f>
        <v>0198ef6d-8543-9464-8125-c57e62e81fa8</v>
      </c>
      <c r="U28" s="6" t="str">
        <f>INDEX(Dim!$C:$C,MATCH($T28,Dim!$A:$A,0))</f>
        <v>time2</v>
      </c>
      <c r="V28" s="6" t="str">
        <f>INDEX(Dim!$B:$B,MATCH($T28,Dim!$A:$A,0))</f>
        <v>TIME</v>
      </c>
      <c r="W28" t="b">
        <v>0</v>
      </c>
    </row>
    <row r="29" spans="1:23" x14ac:dyDescent="0.3">
      <c r="A29" t="s">
        <v>693</v>
      </c>
      <c r="B29" s="6" t="str">
        <f>INDEX(_CaseData!$G:$G,MATCH($A29,_CaseData!$A:$A,0))</f>
        <v>case_type1</v>
      </c>
      <c r="C29" t="s">
        <v>563</v>
      </c>
      <c r="D29" s="6" t="str">
        <f>INDEX(CaseTypeCol!$G:$G,MATCH($C29,CaseTypeCol!$A:$A,0))</f>
        <v>case_type1.time2_5 (TIME_YEAR)</v>
      </c>
      <c r="E29" s="11" t="s">
        <v>708</v>
      </c>
      <c r="G29" s="6" t="str">
        <f t="shared" si="0"/>
        <v>2025</v>
      </c>
      <c r="H29" s="6" t="b">
        <f t="shared" si="1"/>
        <v>1</v>
      </c>
      <c r="I29" t="b">
        <v>1</v>
      </c>
      <c r="J29" s="6" t="b">
        <f t="shared" si="2"/>
        <v>1</v>
      </c>
      <c r="K29" s="6" t="str">
        <f>INDEX(_CaseData!$B:$B,MATCH($A29,_CaseData!$A:$A,0))</f>
        <v>0195d18c-1ca6-fd99-9d76-fcfa0c0cf400</v>
      </c>
      <c r="L29" s="6" t="str">
        <f>INDEX(CaseTypeCol!$B:$B,MATCH($C29,CaseTypeCol!$A:$A,0))</f>
        <v>0195d18c-1ca6-fd99-9d76-fcfa0c0cf400</v>
      </c>
      <c r="M29" s="6" t="str">
        <f>INDEX(CaseTypeCol!$D:$D,MATCH($C29,CaseTypeCol!$A:$A,0))</f>
        <v>0198ef6d-8543-70f1-d18e-7b3cd6948bd7</v>
      </c>
      <c r="N29" s="6" t="str">
        <f>INDEX(Col!$H:$H,MATCH($M29,Col!$A:$A,0))</f>
        <v>TIME_YEAR</v>
      </c>
      <c r="O29" s="6" t="str">
        <f>IF(INDEX(Col!$I:$I,MATCH($M29,Col!$A:$A,0))="","",INDEX(Col!$I:$I,MATCH($M29,Col!$A:$A,0)))</f>
        <v/>
      </c>
      <c r="P29" s="6" t="str">
        <f>IF(INDEX(Col!$K:$K,MATCH($M29,Col!$A:$A,0))="","",INDEX(Col!$K:$K,MATCH($M29,Col!$A:$A,0)))</f>
        <v/>
      </c>
      <c r="Q29" s="6" t="str">
        <f>IF($O29="","",IF(NOT(ISNA(MATCH(LOWER($O29&amp;"|"&amp;$E29),Concept!$K:$K,0))),INDEX(Concept!$A:$A,MATCH(LOWER($O29&amp;"|"&amp;$E29),Concept!$K:$K,0)),IF(NOT(ISNA(MATCH(LOWER($O29&amp;"|"&amp;$E29),Concept!$L:$L,0))),INDEX(Concept!$A:$A,MATCH(LOWER($O29&amp;"|"&amp;$E29),Concept!$L:$L,0)),IF(NOT(ISNA(MATCH(LOWER($O29&amp;"|"&amp;$E29),Concept!$M:$M,0))),INDEX(Concept!$A:$A,MATCH(LOWER($O29&amp;"|"&amp;$E29),Concept!$M:$M,0)),""))))</f>
        <v/>
      </c>
      <c r="R29" s="6" t="str">
        <f>IF($P29="","",IF(NOT(ISNA(MATCH(LOWER($P29&amp;"|"&amp;$E29),Region!$J:$J,0))),INDEX(Region!$A:$A,MATCH(LOWER($P29&amp;"|"&amp;$E29),Region!$J:$J,0)),IF(NOT(ISNA(MATCH(LOWER($P29&amp;"|"&amp;$E29),Region!$K:$K,0))),INDEX(Region!$A:$A,MATCH(LOWER($P29&amp;"|"&amp;$E29),Region!$K:$K,0)),"")))</f>
        <v/>
      </c>
      <c r="S29" s="6" t="str">
        <f>IF($N29&lt;&gt;"ORGANIZATION","",IF(NOT(ISNA(MATCH($E29,Organization!$A:$A,0))),INDEX(Organization!$A:$A,MATCH($E29,Organization!$A:$A,0)),IF(NOT(ISNA(MATCH($E29,Organization!$B:$B,0))),INDEX(Organization!$A:$A,MATCH($E29,Organization!$B:$B,0)),IF(NOT(ISNA(MATCH($E29,Organization!$A:$A,0))),INDEX(Organization!$C:$C,MATCH($E29,Organization!$C:$C,0)),""))))</f>
        <v/>
      </c>
      <c r="T29" s="6" t="str">
        <f>INDEX(Col!$B:$B,MATCH($M29,Col!$A:$A,0))</f>
        <v>0198ef6d-8543-9464-8125-c57e62e81fa8</v>
      </c>
      <c r="U29" s="6" t="str">
        <f>INDEX(Dim!$C:$C,MATCH($T29,Dim!$A:$A,0))</f>
        <v>time2</v>
      </c>
      <c r="V29" s="6" t="str">
        <f>INDEX(Dim!$B:$B,MATCH($T29,Dim!$A:$A,0))</f>
        <v>TIME</v>
      </c>
      <c r="W29" t="b">
        <v>0</v>
      </c>
    </row>
    <row r="30" spans="1:23" x14ac:dyDescent="0.3">
      <c r="A30" t="s">
        <v>693</v>
      </c>
      <c r="B30" s="6" t="str">
        <f>INDEX(_CaseData!$G:$G,MATCH($A30,_CaseData!$A:$A,0))</f>
        <v>case_type1</v>
      </c>
      <c r="C30" t="s">
        <v>564</v>
      </c>
      <c r="D30" s="6" t="str">
        <f>INDEX(CaseTypeCol!$G:$G,MATCH($C30,CaseTypeCol!$A:$A,0))</f>
        <v>case_type1.id1_1 (ID_PSEUDONYMISED)</v>
      </c>
      <c r="E30" t="s">
        <v>709</v>
      </c>
      <c r="G30" s="6" t="str">
        <f t="shared" si="0"/>
        <v>0198ef6d-8543-8644-c476-b020fa968b83</v>
      </c>
      <c r="H30" s="6" t="b">
        <f t="shared" si="1"/>
        <v>1</v>
      </c>
      <c r="I30" t="b">
        <v>1</v>
      </c>
      <c r="J30" s="6" t="b">
        <f t="shared" si="2"/>
        <v>1</v>
      </c>
      <c r="K30" s="6" t="str">
        <f>INDEX(_CaseData!$B:$B,MATCH($A30,_CaseData!$A:$A,0))</f>
        <v>0195d18c-1ca6-fd99-9d76-fcfa0c0cf400</v>
      </c>
      <c r="L30" s="6" t="str">
        <f>INDEX(CaseTypeCol!$B:$B,MATCH($C30,CaseTypeCol!$A:$A,0))</f>
        <v>0195d18c-1ca6-fd99-9d76-fcfa0c0cf400</v>
      </c>
      <c r="M30" s="6" t="str">
        <f>INDEX(CaseTypeCol!$D:$D,MATCH($C30,CaseTypeCol!$A:$A,0))</f>
        <v>0198ef6d-8543-ab8a-bde3-659597476ba5</v>
      </c>
      <c r="N30" s="6" t="str">
        <f>INDEX(Col!$H:$H,MATCH($M30,Col!$A:$A,0))</f>
        <v>ID_PSEUDONYMISED</v>
      </c>
      <c r="O30" s="6" t="str">
        <f>IF(INDEX(Col!$I:$I,MATCH($M30,Col!$A:$A,0))="","",INDEX(Col!$I:$I,MATCH($M30,Col!$A:$A,0)))</f>
        <v/>
      </c>
      <c r="P30" s="6" t="str">
        <f>IF(INDEX(Col!$K:$K,MATCH($M30,Col!$A:$A,0))="","",INDEX(Col!$K:$K,MATCH($M30,Col!$A:$A,0)))</f>
        <v/>
      </c>
      <c r="Q30" s="6" t="str">
        <f>IF($O30="","",IF(NOT(ISNA(MATCH(LOWER($O30&amp;"|"&amp;$E30),Concept!$K:$K,0))),INDEX(Concept!$A:$A,MATCH(LOWER($O30&amp;"|"&amp;$E30),Concept!$K:$K,0)),IF(NOT(ISNA(MATCH(LOWER($O30&amp;"|"&amp;$E30),Concept!$L:$L,0))),INDEX(Concept!$A:$A,MATCH(LOWER($O30&amp;"|"&amp;$E30),Concept!$L:$L,0)),IF(NOT(ISNA(MATCH(LOWER($O30&amp;"|"&amp;$E30),Concept!$M:$M,0))),INDEX(Concept!$A:$A,MATCH(LOWER($O30&amp;"|"&amp;$E30),Concept!$M:$M,0)),""))))</f>
        <v/>
      </c>
      <c r="R30" s="6" t="str">
        <f>IF($P30="","",IF(NOT(ISNA(MATCH(LOWER($P30&amp;"|"&amp;$E30),Region!$J:$J,0))),INDEX(Region!$A:$A,MATCH(LOWER($P30&amp;"|"&amp;$E30),Region!$J:$J,0)),IF(NOT(ISNA(MATCH(LOWER($P30&amp;"|"&amp;$E30),Region!$K:$K,0))),INDEX(Region!$A:$A,MATCH(LOWER($P30&amp;"|"&amp;$E30),Region!$K:$K,0)),"")))</f>
        <v/>
      </c>
      <c r="S30" s="6" t="str">
        <f>IF($N30&lt;&gt;"ORGANIZATION","",IF(NOT(ISNA(MATCH($E30,Organization!$A:$A,0))),INDEX(Organization!$A:$A,MATCH($E30,Organization!$A:$A,0)),IF(NOT(ISNA(MATCH($E30,Organization!$B:$B,0))),INDEX(Organization!$A:$A,MATCH($E30,Organization!$B:$B,0)),IF(NOT(ISNA(MATCH($E30,Organization!$A:$A,0))),INDEX(Organization!$C:$C,MATCH($E30,Organization!$C:$C,0)),""))))</f>
        <v/>
      </c>
      <c r="T30" s="6" t="str">
        <f>INDEX(Col!$B:$B,MATCH($M30,Col!$A:$A,0))</f>
        <v>0198ef6d-8543-f771-bae1-9ddd35630976</v>
      </c>
      <c r="U30" s="6" t="str">
        <f>INDEX(Dim!$C:$C,MATCH($T30,Dim!$A:$A,0))</f>
        <v>id1</v>
      </c>
      <c r="V30" s="6" t="str">
        <f>INDEX(Dim!$B:$B,MATCH($T30,Dim!$A:$A,0))</f>
        <v>IDENTIFIER</v>
      </c>
      <c r="W30" t="b">
        <v>0</v>
      </c>
    </row>
    <row r="31" spans="1:23" x14ac:dyDescent="0.3">
      <c r="A31" t="s">
        <v>693</v>
      </c>
      <c r="B31" s="6" t="str">
        <f>INDEX(_CaseData!$G:$G,MATCH($A31,_CaseData!$A:$A,0))</f>
        <v>case_type1</v>
      </c>
      <c r="C31" t="s">
        <v>565</v>
      </c>
      <c r="D31" s="6" t="str">
        <f>INDEX(CaseTypeCol!$G:$G,MATCH($C31,CaseTypeCol!$A:$A,0))</f>
        <v>case_type1.id2_1 (ID_PSEUDONYMISED)</v>
      </c>
      <c r="E31" t="s">
        <v>710</v>
      </c>
      <c r="G31" s="6" t="str">
        <f t="shared" si="0"/>
        <v>0198ef6d-8543-5f5c-97f7-fa25919c719d</v>
      </c>
      <c r="H31" s="6" t="b">
        <f t="shared" si="1"/>
        <v>1</v>
      </c>
      <c r="I31" t="b">
        <v>1</v>
      </c>
      <c r="J31" s="6" t="b">
        <f t="shared" si="2"/>
        <v>1</v>
      </c>
      <c r="K31" s="6" t="str">
        <f>INDEX(_CaseData!$B:$B,MATCH($A31,_CaseData!$A:$A,0))</f>
        <v>0195d18c-1ca6-fd99-9d76-fcfa0c0cf400</v>
      </c>
      <c r="L31" s="6" t="str">
        <f>INDEX(CaseTypeCol!$B:$B,MATCH($C31,CaseTypeCol!$A:$A,0))</f>
        <v>0195d18c-1ca6-fd99-9d76-fcfa0c0cf400</v>
      </c>
      <c r="M31" s="6" t="str">
        <f>INDEX(CaseTypeCol!$D:$D,MATCH($C31,CaseTypeCol!$A:$A,0))</f>
        <v>0198ef6d-8543-7878-8fbe-0ddd72dfc52c</v>
      </c>
      <c r="N31" s="6" t="str">
        <f>INDEX(Col!$H:$H,MATCH($M31,Col!$A:$A,0))</f>
        <v>ID_PSEUDONYMISED</v>
      </c>
      <c r="O31" s="6" t="str">
        <f>IF(INDEX(Col!$I:$I,MATCH($M31,Col!$A:$A,0))="","",INDEX(Col!$I:$I,MATCH($M31,Col!$A:$A,0)))</f>
        <v/>
      </c>
      <c r="P31" s="6" t="str">
        <f>IF(INDEX(Col!$K:$K,MATCH($M31,Col!$A:$A,0))="","",INDEX(Col!$K:$K,MATCH($M31,Col!$A:$A,0)))</f>
        <v/>
      </c>
      <c r="Q31" s="6" t="str">
        <f>IF($O31="","",IF(NOT(ISNA(MATCH(LOWER($O31&amp;"|"&amp;$E31),Concept!$K:$K,0))),INDEX(Concept!$A:$A,MATCH(LOWER($O31&amp;"|"&amp;$E31),Concept!$K:$K,0)),IF(NOT(ISNA(MATCH(LOWER($O31&amp;"|"&amp;$E31),Concept!$L:$L,0))),INDEX(Concept!$A:$A,MATCH(LOWER($O31&amp;"|"&amp;$E31),Concept!$L:$L,0)),IF(NOT(ISNA(MATCH(LOWER($O31&amp;"|"&amp;$E31),Concept!$M:$M,0))),INDEX(Concept!$A:$A,MATCH(LOWER($O31&amp;"|"&amp;$E31),Concept!$M:$M,0)),""))))</f>
        <v/>
      </c>
      <c r="R31" s="6" t="str">
        <f>IF($P31="","",IF(NOT(ISNA(MATCH(LOWER($P31&amp;"|"&amp;$E31),Region!$J:$J,0))),INDEX(Region!$A:$A,MATCH(LOWER($P31&amp;"|"&amp;$E31),Region!$J:$J,0)),IF(NOT(ISNA(MATCH(LOWER($P31&amp;"|"&amp;$E31),Region!$K:$K,0))),INDEX(Region!$A:$A,MATCH(LOWER($P31&amp;"|"&amp;$E31),Region!$K:$K,0)),"")))</f>
        <v/>
      </c>
      <c r="S31" s="6" t="str">
        <f>IF($N31&lt;&gt;"ORGANIZATION","",IF(NOT(ISNA(MATCH($E31,Organization!$A:$A,0))),INDEX(Organization!$A:$A,MATCH($E31,Organization!$A:$A,0)),IF(NOT(ISNA(MATCH($E31,Organization!$B:$B,0))),INDEX(Organization!$A:$A,MATCH($E31,Organization!$B:$B,0)),IF(NOT(ISNA(MATCH($E31,Organization!$A:$A,0))),INDEX(Organization!$C:$C,MATCH($E31,Organization!$C:$C,0)),""))))</f>
        <v/>
      </c>
      <c r="T31" s="6" t="str">
        <f>INDEX(Col!$B:$B,MATCH($M31,Col!$A:$A,0))</f>
        <v>0198ef6d-8543-c781-d5a1-ba5569aaaf92</v>
      </c>
      <c r="U31" s="6" t="str">
        <f>INDEX(Dim!$C:$C,MATCH($T31,Dim!$A:$A,0))</f>
        <v>id2</v>
      </c>
      <c r="V31" s="6" t="str">
        <f>INDEX(Dim!$B:$B,MATCH($T31,Dim!$A:$A,0))</f>
        <v>IDENTIFIER</v>
      </c>
      <c r="W31" t="b">
        <v>0</v>
      </c>
    </row>
    <row r="32" spans="1:23" x14ac:dyDescent="0.3">
      <c r="A32" t="s">
        <v>693</v>
      </c>
      <c r="B32" s="6" t="str">
        <f>INDEX(_CaseData!$G:$G,MATCH($A32,_CaseData!$A:$A,0))</f>
        <v>case_type1</v>
      </c>
      <c r="C32" t="s">
        <v>566</v>
      </c>
      <c r="D32" s="6" t="str">
        <f>INDEX(CaseTypeCol!$G:$G,MATCH($C32,CaseTypeCol!$A:$A,0))</f>
        <v>case_type1.number1_1 (DECIMAL_0)</v>
      </c>
      <c r="E32">
        <v>19</v>
      </c>
      <c r="G32" s="6">
        <f t="shared" si="0"/>
        <v>19</v>
      </c>
      <c r="H32" s="6" t="b">
        <f t="shared" si="1"/>
        <v>1</v>
      </c>
      <c r="I32" t="b">
        <v>1</v>
      </c>
      <c r="J32" s="6" t="b">
        <f t="shared" si="2"/>
        <v>1</v>
      </c>
      <c r="K32" s="6" t="str">
        <f>INDEX(_CaseData!$B:$B,MATCH($A32,_CaseData!$A:$A,0))</f>
        <v>0195d18c-1ca6-fd99-9d76-fcfa0c0cf400</v>
      </c>
      <c r="L32" s="6" t="str">
        <f>INDEX(CaseTypeCol!$B:$B,MATCH($C32,CaseTypeCol!$A:$A,0))</f>
        <v>0195d18c-1ca6-fd99-9d76-fcfa0c0cf400</v>
      </c>
      <c r="M32" s="6" t="str">
        <f>INDEX(CaseTypeCol!$D:$D,MATCH($C32,CaseTypeCol!$A:$A,0))</f>
        <v>0198ef6d-8543-c616-5348-1a00a03f4c57</v>
      </c>
      <c r="N32" s="6" t="str">
        <f>INDEX(Col!$H:$H,MATCH($M32,Col!$A:$A,0))</f>
        <v>DECIMAL_0</v>
      </c>
      <c r="O32" s="6" t="str">
        <f>IF(INDEX(Col!$I:$I,MATCH($M32,Col!$A:$A,0))="","",INDEX(Col!$I:$I,MATCH($M32,Col!$A:$A,0)))</f>
        <v/>
      </c>
      <c r="P32" s="6" t="str">
        <f>IF(INDEX(Col!$K:$K,MATCH($M32,Col!$A:$A,0))="","",INDEX(Col!$K:$K,MATCH($M32,Col!$A:$A,0)))</f>
        <v/>
      </c>
      <c r="Q32" s="6" t="str">
        <f>IF($O32="","",IF(NOT(ISNA(MATCH(LOWER($O32&amp;"|"&amp;$E32),Concept!$K:$K,0))),INDEX(Concept!$A:$A,MATCH(LOWER($O32&amp;"|"&amp;$E32),Concept!$K:$K,0)),IF(NOT(ISNA(MATCH(LOWER($O32&amp;"|"&amp;$E32),Concept!$L:$L,0))),INDEX(Concept!$A:$A,MATCH(LOWER($O32&amp;"|"&amp;$E32),Concept!$L:$L,0)),IF(NOT(ISNA(MATCH(LOWER($O32&amp;"|"&amp;$E32),Concept!$M:$M,0))),INDEX(Concept!$A:$A,MATCH(LOWER($O32&amp;"|"&amp;$E32),Concept!$M:$M,0)),""))))</f>
        <v/>
      </c>
      <c r="R32" s="6" t="str">
        <f>IF($P32="","",IF(NOT(ISNA(MATCH(LOWER($P32&amp;"|"&amp;$E32),Region!$J:$J,0))),INDEX(Region!$A:$A,MATCH(LOWER($P32&amp;"|"&amp;$E32),Region!$J:$J,0)),IF(NOT(ISNA(MATCH(LOWER($P32&amp;"|"&amp;$E32),Region!$K:$K,0))),INDEX(Region!$A:$A,MATCH(LOWER($P32&amp;"|"&amp;$E32),Region!$K:$K,0)),"")))</f>
        <v/>
      </c>
      <c r="S32" s="6" t="str">
        <f>IF($N32&lt;&gt;"ORGANIZATION","",IF(NOT(ISNA(MATCH($E32,Organization!$A:$A,0))),INDEX(Organization!$A:$A,MATCH($E32,Organization!$A:$A,0)),IF(NOT(ISNA(MATCH($E32,Organization!$B:$B,0))),INDEX(Organization!$A:$A,MATCH($E32,Organization!$B:$B,0)),IF(NOT(ISNA(MATCH($E32,Organization!$A:$A,0))),INDEX(Organization!$C:$C,MATCH($E32,Organization!$C:$C,0)),""))))</f>
        <v/>
      </c>
      <c r="T32" s="6" t="str">
        <f>INDEX(Col!$B:$B,MATCH($M32,Col!$A:$A,0))</f>
        <v>0198ef6d-8543-2e3c-58fa-85eca2a977c1</v>
      </c>
      <c r="U32" s="6" t="str">
        <f>INDEX(Dim!$C:$C,MATCH($T32,Dim!$A:$A,0))</f>
        <v>number1</v>
      </c>
      <c r="V32" s="6" t="str">
        <f>INDEX(Dim!$B:$B,MATCH($T32,Dim!$A:$A,0))</f>
        <v>NUMBER</v>
      </c>
      <c r="W32" t="b">
        <v>0</v>
      </c>
    </row>
    <row r="33" spans="1:23" x14ac:dyDescent="0.3">
      <c r="A33" t="s">
        <v>693</v>
      </c>
      <c r="B33" s="6" t="str">
        <f>INDEX(_CaseData!$G:$G,MATCH($A33,_CaseData!$A:$A,0))</f>
        <v>case_type1</v>
      </c>
      <c r="C33" t="s">
        <v>567</v>
      </c>
      <c r="D33" s="6" t="str">
        <f>INDEX(CaseTypeCol!$G:$G,MATCH($C33,CaseTypeCol!$A:$A,0))</f>
        <v>case_type1.number1_1 (INTERVAL;Age in years, intervals 0, 5, 15, 25, 45, 65)</v>
      </c>
      <c r="E33" s="11" t="s">
        <v>848</v>
      </c>
      <c r="G33" s="6" t="str">
        <f t="shared" si="0"/>
        <v>0198ef6d-8543-d03b-b9f4-f460fae89f04</v>
      </c>
      <c r="H33" s="6" t="b">
        <f t="shared" si="1"/>
        <v>1</v>
      </c>
      <c r="I33" t="b">
        <v>1</v>
      </c>
      <c r="J33" s="6" t="b">
        <f t="shared" si="2"/>
        <v>1</v>
      </c>
      <c r="K33" s="6" t="str">
        <f>INDEX(_CaseData!$B:$B,MATCH($A33,_CaseData!$A:$A,0))</f>
        <v>0195d18c-1ca6-fd99-9d76-fcfa0c0cf400</v>
      </c>
      <c r="L33" s="6" t="str">
        <f>INDEX(CaseTypeCol!$B:$B,MATCH($C33,CaseTypeCol!$A:$A,0))</f>
        <v>0195d18c-1ca6-fd99-9d76-fcfa0c0cf400</v>
      </c>
      <c r="M33" s="6" t="str">
        <f>INDEX(CaseTypeCol!$D:$D,MATCH($C33,CaseTypeCol!$A:$A,0))</f>
        <v>0198ef6d-8543-d80f-bded-2df4b7df993d</v>
      </c>
      <c r="N33" s="6" t="str">
        <f>INDEX(Col!$H:$H,MATCH($M33,Col!$A:$A,0))</f>
        <v>INTERVAL</v>
      </c>
      <c r="O33" s="6" t="str">
        <f>IF(INDEX(Col!$I:$I,MATCH($M33,Col!$A:$A,0))="","",INDEX(Col!$I:$I,MATCH($M33,Col!$A:$A,0)))</f>
        <v>0198ef6d-8543-020d-44c5-53e813a46714</v>
      </c>
      <c r="P33" s="6" t="str">
        <f>IF(INDEX(Col!$K:$K,MATCH($M33,Col!$A:$A,0))="","",INDEX(Col!$K:$K,MATCH($M33,Col!$A:$A,0)))</f>
        <v/>
      </c>
      <c r="Q33" s="6" t="str">
        <f>IF($O33="","",IF(NOT(ISNA(MATCH(LOWER($O33&amp;"|"&amp;$E33),Concept!$K:$K,0))),INDEX(Concept!$A:$A,MATCH(LOWER($O33&amp;"|"&amp;$E33),Concept!$K:$K,0)),IF(NOT(ISNA(MATCH(LOWER($O33&amp;"|"&amp;$E33),Concept!$L:$L,0))),INDEX(Concept!$A:$A,MATCH(LOWER($O33&amp;"|"&amp;$E33),Concept!$L:$L,0)),IF(NOT(ISNA(MATCH(LOWER($O33&amp;"|"&amp;$E33),Concept!$M:$M,0))),INDEX(Concept!$A:$A,MATCH(LOWER($O33&amp;"|"&amp;$E33),Concept!$M:$M,0)),""))))</f>
        <v>0198ef6d-8543-d03b-b9f4-f460fae89f04</v>
      </c>
      <c r="R33" s="6" t="str">
        <f>IF($P33="","",IF(NOT(ISNA(MATCH(LOWER($P33&amp;"|"&amp;$E33),Region!$J:$J,0))),INDEX(Region!$A:$A,MATCH(LOWER($P33&amp;"|"&amp;$E33),Region!$J:$J,0)),IF(NOT(ISNA(MATCH(LOWER($P33&amp;"|"&amp;$E33),Region!$K:$K,0))),INDEX(Region!$A:$A,MATCH(LOWER($P33&amp;"|"&amp;$E33),Region!$K:$K,0)),"")))</f>
        <v/>
      </c>
      <c r="S33" s="6" t="str">
        <f>IF($N33&lt;&gt;"ORGANIZATION","",IF(NOT(ISNA(MATCH($E33,Organization!$A:$A,0))),INDEX(Organization!$A:$A,MATCH($E33,Organization!$A:$A,0)),IF(NOT(ISNA(MATCH($E33,Organization!$B:$B,0))),INDEX(Organization!$A:$A,MATCH($E33,Organization!$B:$B,0)),IF(NOT(ISNA(MATCH($E33,Organization!$A:$A,0))),INDEX(Organization!$C:$C,MATCH($E33,Organization!$C:$C,0)),""))))</f>
        <v/>
      </c>
      <c r="T33" s="6" t="str">
        <f>INDEX(Col!$B:$B,MATCH($M33,Col!$A:$A,0))</f>
        <v>0198ef6d-8543-2e3c-58fa-85eca2a977c1</v>
      </c>
      <c r="U33" s="6" t="str">
        <f>INDEX(Dim!$C:$C,MATCH($T33,Dim!$A:$A,0))</f>
        <v>number1</v>
      </c>
      <c r="V33" s="6" t="str">
        <f>INDEX(Dim!$B:$B,MATCH($T33,Dim!$A:$A,0))</f>
        <v>NUMBER</v>
      </c>
      <c r="W33" t="b">
        <v>0</v>
      </c>
    </row>
    <row r="34" spans="1:23" x14ac:dyDescent="0.3">
      <c r="A34" t="s">
        <v>693</v>
      </c>
      <c r="B34" s="6" t="str">
        <f>INDEX(_CaseData!$G:$G,MATCH($A34,_CaseData!$A:$A,0))</f>
        <v>case_type1</v>
      </c>
      <c r="C34" t="s">
        <v>568</v>
      </c>
      <c r="D34" s="6" t="str">
        <f>INDEX(CaseTypeCol!$G:$G,MATCH($C34,CaseTypeCol!$A:$A,0))</f>
        <v>case_type1.number1_1 (INTERVAL;Age in years, intervals 0, 5, 19, 65)</v>
      </c>
      <c r="E34" s="11" t="s">
        <v>849</v>
      </c>
      <c r="G34" s="6" t="str">
        <f t="shared" si="0"/>
        <v>0198ef6d-8543-626b-c05d-de74547d3621</v>
      </c>
      <c r="H34" s="6" t="b">
        <f t="shared" si="1"/>
        <v>1</v>
      </c>
      <c r="I34" t="b">
        <v>1</v>
      </c>
      <c r="J34" s="6" t="b">
        <f t="shared" si="2"/>
        <v>1</v>
      </c>
      <c r="K34" s="6" t="str">
        <f>INDEX(_CaseData!$B:$B,MATCH($A34,_CaseData!$A:$A,0))</f>
        <v>0195d18c-1ca6-fd99-9d76-fcfa0c0cf400</v>
      </c>
      <c r="L34" s="6" t="str">
        <f>INDEX(CaseTypeCol!$B:$B,MATCH($C34,CaseTypeCol!$A:$A,0))</f>
        <v>0195d18c-1ca6-fd99-9d76-fcfa0c0cf400</v>
      </c>
      <c r="M34" s="6" t="str">
        <f>INDEX(CaseTypeCol!$D:$D,MATCH($C34,CaseTypeCol!$A:$A,0))</f>
        <v>0198ef6d-8543-7e88-f9a1-238ceac18124</v>
      </c>
      <c r="N34" s="6" t="str">
        <f>INDEX(Col!$H:$H,MATCH($M34,Col!$A:$A,0))</f>
        <v>INTERVAL</v>
      </c>
      <c r="O34" s="6" t="str">
        <f>IF(INDEX(Col!$I:$I,MATCH($M34,Col!$A:$A,0))="","",INDEX(Col!$I:$I,MATCH($M34,Col!$A:$A,0)))</f>
        <v>0198ef6d-8543-2a37-be54-7f7d24e1ed1d</v>
      </c>
      <c r="P34" s="6" t="str">
        <f>IF(INDEX(Col!$K:$K,MATCH($M34,Col!$A:$A,0))="","",INDEX(Col!$K:$K,MATCH($M34,Col!$A:$A,0)))</f>
        <v/>
      </c>
      <c r="Q34" s="6" t="str">
        <f>IF($O34="","",IF(NOT(ISNA(MATCH(LOWER($O34&amp;"|"&amp;$E34),Concept!$K:$K,0))),INDEX(Concept!$A:$A,MATCH(LOWER($O34&amp;"|"&amp;$E34),Concept!$K:$K,0)),IF(NOT(ISNA(MATCH(LOWER($O34&amp;"|"&amp;$E34),Concept!$L:$L,0))),INDEX(Concept!$A:$A,MATCH(LOWER($O34&amp;"|"&amp;$E34),Concept!$L:$L,0)),IF(NOT(ISNA(MATCH(LOWER($O34&amp;"|"&amp;$E34),Concept!$M:$M,0))),INDEX(Concept!$A:$A,MATCH(LOWER($O34&amp;"|"&amp;$E34),Concept!$M:$M,0)),""))))</f>
        <v>0198ef6d-8543-626b-c05d-de74547d3621</v>
      </c>
      <c r="R34" s="6" t="str">
        <f>IF($P34="","",IF(NOT(ISNA(MATCH(LOWER($P34&amp;"|"&amp;$E34),Region!$J:$J,0))),INDEX(Region!$A:$A,MATCH(LOWER($P34&amp;"|"&amp;$E34),Region!$J:$J,0)),IF(NOT(ISNA(MATCH(LOWER($P34&amp;"|"&amp;$E34),Region!$K:$K,0))),INDEX(Region!$A:$A,MATCH(LOWER($P34&amp;"|"&amp;$E34),Region!$K:$K,0)),"")))</f>
        <v/>
      </c>
      <c r="S34" s="6" t="str">
        <f>IF($N34&lt;&gt;"ORGANIZATION","",IF(NOT(ISNA(MATCH($E34,Organization!$A:$A,0))),INDEX(Organization!$A:$A,MATCH($E34,Organization!$A:$A,0)),IF(NOT(ISNA(MATCH($E34,Organization!$B:$B,0))),INDEX(Organization!$A:$A,MATCH($E34,Organization!$B:$B,0)),IF(NOT(ISNA(MATCH($E34,Organization!$A:$A,0))),INDEX(Organization!$C:$C,MATCH($E34,Organization!$C:$C,0)),""))))</f>
        <v/>
      </c>
      <c r="T34" s="6" t="str">
        <f>INDEX(Col!$B:$B,MATCH($M34,Col!$A:$A,0))</f>
        <v>0198ef6d-8543-2e3c-58fa-85eca2a977c1</v>
      </c>
      <c r="U34" s="6" t="str">
        <f>INDEX(Dim!$C:$C,MATCH($T34,Dim!$A:$A,0))</f>
        <v>number1</v>
      </c>
      <c r="V34" s="6" t="str">
        <f>INDEX(Dim!$B:$B,MATCH($T34,Dim!$A:$A,0))</f>
        <v>NUMBER</v>
      </c>
      <c r="W34" t="b">
        <v>0</v>
      </c>
    </row>
    <row r="35" spans="1:23" x14ac:dyDescent="0.3">
      <c r="A35" t="s">
        <v>693</v>
      </c>
      <c r="B35" s="6" t="str">
        <f>INDEX(_CaseData!$G:$G,MATCH($A35,_CaseData!$A:$A,0))</f>
        <v>case_type1</v>
      </c>
      <c r="C35" t="s">
        <v>569</v>
      </c>
      <c r="D35" s="6" t="str">
        <f>INDEX(CaseTypeCol!$G:$G,MATCH($C35,CaseTypeCol!$A:$A,0))</f>
        <v>case_type1.number2_1 (DECIMAL_2)</v>
      </c>
      <c r="E35" s="11">
        <v>0.02</v>
      </c>
      <c r="G35" s="6">
        <f t="shared" si="0"/>
        <v>0.02</v>
      </c>
      <c r="H35" s="6" t="b">
        <f t="shared" si="1"/>
        <v>1</v>
      </c>
      <c r="I35" t="b">
        <v>1</v>
      </c>
      <c r="J35" s="6" t="b">
        <f t="shared" si="2"/>
        <v>1</v>
      </c>
      <c r="K35" s="6" t="str">
        <f>INDEX(_CaseData!$B:$B,MATCH($A35,_CaseData!$A:$A,0))</f>
        <v>0195d18c-1ca6-fd99-9d76-fcfa0c0cf400</v>
      </c>
      <c r="L35" s="6" t="str">
        <f>INDEX(CaseTypeCol!$B:$B,MATCH($C35,CaseTypeCol!$A:$A,0))</f>
        <v>0195d18c-1ca6-fd99-9d76-fcfa0c0cf400</v>
      </c>
      <c r="M35" s="6" t="str">
        <f>INDEX(CaseTypeCol!$D:$D,MATCH($C35,CaseTypeCol!$A:$A,0))</f>
        <v>0198ef6d-8543-e39d-276c-4184424fa3b7</v>
      </c>
      <c r="N35" s="6" t="str">
        <f>INDEX(Col!$H:$H,MATCH($M35,Col!$A:$A,0))</f>
        <v>DECIMAL_2</v>
      </c>
      <c r="O35" s="6" t="str">
        <f>IF(INDEX(Col!$I:$I,MATCH($M35,Col!$A:$A,0))="","",INDEX(Col!$I:$I,MATCH($M35,Col!$A:$A,0)))</f>
        <v/>
      </c>
      <c r="P35" s="6" t="str">
        <f>IF(INDEX(Col!$K:$K,MATCH($M35,Col!$A:$A,0))="","",INDEX(Col!$K:$K,MATCH($M35,Col!$A:$A,0)))</f>
        <v/>
      </c>
      <c r="Q35" s="6" t="str">
        <f>IF($O35="","",IF(NOT(ISNA(MATCH(LOWER($O35&amp;"|"&amp;$E35),Concept!$K:$K,0))),INDEX(Concept!$A:$A,MATCH(LOWER($O35&amp;"|"&amp;$E35),Concept!$K:$K,0)),IF(NOT(ISNA(MATCH(LOWER($O35&amp;"|"&amp;$E35),Concept!$L:$L,0))),INDEX(Concept!$A:$A,MATCH(LOWER($O35&amp;"|"&amp;$E35),Concept!$L:$L,0)),IF(NOT(ISNA(MATCH(LOWER($O35&amp;"|"&amp;$E35),Concept!$M:$M,0))),INDEX(Concept!$A:$A,MATCH(LOWER($O35&amp;"|"&amp;$E35),Concept!$M:$M,0)),""))))</f>
        <v/>
      </c>
      <c r="R35" s="6" t="str">
        <f>IF($P35="","",IF(NOT(ISNA(MATCH(LOWER($P35&amp;"|"&amp;$E35),Region!$J:$J,0))),INDEX(Region!$A:$A,MATCH(LOWER($P35&amp;"|"&amp;$E35),Region!$J:$J,0)),IF(NOT(ISNA(MATCH(LOWER($P35&amp;"|"&amp;$E35),Region!$K:$K,0))),INDEX(Region!$A:$A,MATCH(LOWER($P35&amp;"|"&amp;$E35),Region!$K:$K,0)),"")))</f>
        <v/>
      </c>
      <c r="S35" s="6" t="str">
        <f>IF($N35&lt;&gt;"ORGANIZATION","",IF(NOT(ISNA(MATCH($E35,Organization!$A:$A,0))),INDEX(Organization!$A:$A,MATCH($E35,Organization!$A:$A,0)),IF(NOT(ISNA(MATCH($E35,Organization!$B:$B,0))),INDEX(Organization!$A:$A,MATCH($E35,Organization!$B:$B,0)),IF(NOT(ISNA(MATCH($E35,Organization!$A:$A,0))),INDEX(Organization!$C:$C,MATCH($E35,Organization!$C:$C,0)),""))))</f>
        <v/>
      </c>
      <c r="T35" s="6" t="str">
        <f>INDEX(Col!$B:$B,MATCH($M35,Col!$A:$A,0))</f>
        <v>0198ef6d-8543-ca89-d050-715e4e6f5013</v>
      </c>
      <c r="U35" s="6" t="str">
        <f>INDEX(Dim!$C:$C,MATCH($T35,Dim!$A:$A,0))</f>
        <v>number2</v>
      </c>
      <c r="V35" s="6" t="str">
        <f>INDEX(Dim!$B:$B,MATCH($T35,Dim!$A:$A,0))</f>
        <v>NUMBER</v>
      </c>
      <c r="W35" t="b">
        <v>0</v>
      </c>
    </row>
    <row r="36" spans="1:23" x14ac:dyDescent="0.3">
      <c r="A36" t="s">
        <v>693</v>
      </c>
      <c r="B36" s="6" t="str">
        <f>INDEX(_CaseData!$G:$G,MATCH($A36,_CaseData!$A:$A,0))</f>
        <v>case_type1</v>
      </c>
      <c r="C36" t="s">
        <v>570</v>
      </c>
      <c r="D36" s="6" t="str">
        <f>INDEX(CaseTypeCol!$G:$G,MATCH($C36,CaseTypeCol!$A:$A,0))</f>
        <v>case_type1.number2_1 (INTERVAL;Age in months, intervals 0, 1, 2, 3)</v>
      </c>
      <c r="E36" s="11" t="s">
        <v>850</v>
      </c>
      <c r="G36" s="6" t="str">
        <f t="shared" si="0"/>
        <v>0198ef6d-8543-9248-0edb-2477c9364381</v>
      </c>
      <c r="H36" s="6" t="b">
        <f t="shared" si="1"/>
        <v>1</v>
      </c>
      <c r="I36" t="b">
        <v>1</v>
      </c>
      <c r="J36" s="6" t="b">
        <f t="shared" si="2"/>
        <v>1</v>
      </c>
      <c r="K36" s="6" t="str">
        <f>INDEX(_CaseData!$B:$B,MATCH($A36,_CaseData!$A:$A,0))</f>
        <v>0195d18c-1ca6-fd99-9d76-fcfa0c0cf400</v>
      </c>
      <c r="L36" s="6" t="str">
        <f>INDEX(CaseTypeCol!$B:$B,MATCH($C36,CaseTypeCol!$A:$A,0))</f>
        <v>0195d18c-1ca6-fd99-9d76-fcfa0c0cf400</v>
      </c>
      <c r="M36" s="6" t="str">
        <f>INDEX(CaseTypeCol!$D:$D,MATCH($C36,CaseTypeCol!$A:$A,0))</f>
        <v>0198ef6d-8543-4cc4-3dfd-ec8b31c48f5d</v>
      </c>
      <c r="N36" s="6" t="str">
        <f>INDEX(Col!$H:$H,MATCH($M36,Col!$A:$A,0))</f>
        <v>INTERVAL</v>
      </c>
      <c r="O36" s="6" t="str">
        <f>IF(INDEX(Col!$I:$I,MATCH($M36,Col!$A:$A,0))="","",INDEX(Col!$I:$I,MATCH($M36,Col!$A:$A,0)))</f>
        <v>0198ef6d-8543-cb6b-0c98-c2a7e640e10d</v>
      </c>
      <c r="P36" s="6" t="str">
        <f>IF(INDEX(Col!$K:$K,MATCH($M36,Col!$A:$A,0))="","",INDEX(Col!$K:$K,MATCH($M36,Col!$A:$A,0)))</f>
        <v/>
      </c>
      <c r="Q36" s="6" t="str">
        <f>IF($O36="","",IF(NOT(ISNA(MATCH(LOWER($O36&amp;"|"&amp;$E36),Concept!$K:$K,0))),INDEX(Concept!$A:$A,MATCH(LOWER($O36&amp;"|"&amp;$E36),Concept!$K:$K,0)),IF(NOT(ISNA(MATCH(LOWER($O36&amp;"|"&amp;$E36),Concept!$L:$L,0))),INDEX(Concept!$A:$A,MATCH(LOWER($O36&amp;"|"&amp;$E36),Concept!$L:$L,0)),IF(NOT(ISNA(MATCH(LOWER($O36&amp;"|"&amp;$E36),Concept!$M:$M,0))),INDEX(Concept!$A:$A,MATCH(LOWER($O36&amp;"|"&amp;$E36),Concept!$M:$M,0)),""))))</f>
        <v>0198ef6d-8543-9248-0edb-2477c9364381</v>
      </c>
      <c r="R36" s="6" t="str">
        <f>IF($P36="","",IF(NOT(ISNA(MATCH(LOWER($P36&amp;"|"&amp;$E36),Region!$J:$J,0))),INDEX(Region!$A:$A,MATCH(LOWER($P36&amp;"|"&amp;$E36),Region!$J:$J,0)),IF(NOT(ISNA(MATCH(LOWER($P36&amp;"|"&amp;$E36),Region!$K:$K,0))),INDEX(Region!$A:$A,MATCH(LOWER($P36&amp;"|"&amp;$E36),Region!$K:$K,0)),"")))</f>
        <v/>
      </c>
      <c r="S36" s="6" t="str">
        <f>IF($N36&lt;&gt;"ORGANIZATION","",IF(NOT(ISNA(MATCH($E36,Organization!$A:$A,0))),INDEX(Organization!$A:$A,MATCH($E36,Organization!$A:$A,0)),IF(NOT(ISNA(MATCH($E36,Organization!$B:$B,0))),INDEX(Organization!$A:$A,MATCH($E36,Organization!$B:$B,0)),IF(NOT(ISNA(MATCH($E36,Organization!$A:$A,0))),INDEX(Organization!$C:$C,MATCH($E36,Organization!$C:$C,0)),""))))</f>
        <v/>
      </c>
      <c r="T36" s="6" t="str">
        <f>INDEX(Col!$B:$B,MATCH($M36,Col!$A:$A,0))</f>
        <v>0198ef6d-8543-ca89-d050-715e4e6f5013</v>
      </c>
      <c r="U36" s="6" t="str">
        <f>INDEX(Dim!$C:$C,MATCH($T36,Dim!$A:$A,0))</f>
        <v>number2</v>
      </c>
      <c r="V36" s="6" t="str">
        <f>INDEX(Dim!$B:$B,MATCH($T36,Dim!$A:$A,0))</f>
        <v>NUMBER</v>
      </c>
      <c r="W36" t="b">
        <v>0</v>
      </c>
    </row>
    <row r="37" spans="1:23" x14ac:dyDescent="0.3">
      <c r="A37" t="s">
        <v>693</v>
      </c>
      <c r="B37" s="6" t="str">
        <f>INDEX(_CaseData!$G:$G,MATCH($A37,_CaseData!$A:$A,0))</f>
        <v>case_type1</v>
      </c>
      <c r="C37" t="s">
        <v>571</v>
      </c>
      <c r="D37" s="6" t="str">
        <f>INDEX(CaseTypeCol!$G:$G,MATCH($C37,CaseTypeCol!$A:$A,0))</f>
        <v>case_type1.number2_1 (INTERVAL;Age in years, intervals 0, 15, 25, 35, 45)</v>
      </c>
      <c r="E37" s="11" t="s">
        <v>711</v>
      </c>
      <c r="G37" s="6" t="str">
        <f t="shared" si="0"/>
        <v/>
      </c>
      <c r="H37" s="6" t="b">
        <f t="shared" si="1"/>
        <v>1</v>
      </c>
      <c r="I37" t="b">
        <v>1</v>
      </c>
      <c r="J37" s="6" t="b">
        <f t="shared" si="2"/>
        <v>1</v>
      </c>
      <c r="K37" s="6" t="str">
        <f>INDEX(_CaseData!$B:$B,MATCH($A37,_CaseData!$A:$A,0))</f>
        <v>0195d18c-1ca6-fd99-9d76-fcfa0c0cf400</v>
      </c>
      <c r="L37" s="6" t="str">
        <f>INDEX(CaseTypeCol!$B:$B,MATCH($C37,CaseTypeCol!$A:$A,0))</f>
        <v>0195d18c-1ca6-fd99-9d76-fcfa0c0cf400</v>
      </c>
      <c r="M37" s="6" t="str">
        <f>INDEX(CaseTypeCol!$D:$D,MATCH($C37,CaseTypeCol!$A:$A,0))</f>
        <v>0198ef6d-8543-5969-bc68-05db01d72683</v>
      </c>
      <c r="N37" s="6" t="str">
        <f>INDEX(Col!$H:$H,MATCH($M37,Col!$A:$A,0))</f>
        <v>INTERVAL</v>
      </c>
      <c r="O37" s="6" t="str">
        <f>IF(INDEX(Col!$I:$I,MATCH($M37,Col!$A:$A,0))="","",INDEX(Col!$I:$I,MATCH($M37,Col!$A:$A,0)))</f>
        <v>0198ef6d-8543-f668-cedc-b78f8e3bc412</v>
      </c>
      <c r="P37" s="6" t="str">
        <f>IF(INDEX(Col!$K:$K,MATCH($M37,Col!$A:$A,0))="","",INDEX(Col!$K:$K,MATCH($M37,Col!$A:$A,0)))</f>
        <v/>
      </c>
      <c r="Q37" s="6" t="str">
        <f>IF($O37="","",IF(NOT(ISNA(MATCH(LOWER($O37&amp;"|"&amp;$E37),Concept!$K:$K,0))),INDEX(Concept!$A:$A,MATCH(LOWER($O37&amp;"|"&amp;$E37),Concept!$K:$K,0)),IF(NOT(ISNA(MATCH(LOWER($O37&amp;"|"&amp;$E37),Concept!$L:$L,0))),INDEX(Concept!$A:$A,MATCH(LOWER($O37&amp;"|"&amp;$E37),Concept!$L:$L,0)),IF(NOT(ISNA(MATCH(LOWER($O37&amp;"|"&amp;$E37),Concept!$M:$M,0))),INDEX(Concept!$A:$A,MATCH(LOWER($O37&amp;"|"&amp;$E37),Concept!$M:$M,0)),""))))</f>
        <v/>
      </c>
      <c r="R37" s="6" t="str">
        <f>IF($P37="","",IF(NOT(ISNA(MATCH(LOWER($P37&amp;"|"&amp;$E37),Region!$J:$J,0))),INDEX(Region!$A:$A,MATCH(LOWER($P37&amp;"|"&amp;$E37),Region!$J:$J,0)),IF(NOT(ISNA(MATCH(LOWER($P37&amp;"|"&amp;$E37),Region!$K:$K,0))),INDEX(Region!$A:$A,MATCH(LOWER($P37&amp;"|"&amp;$E37),Region!$K:$K,0)),"")))</f>
        <v/>
      </c>
      <c r="S37" s="6" t="str">
        <f>IF($N37&lt;&gt;"ORGANIZATION","",IF(NOT(ISNA(MATCH($E37,Organization!$A:$A,0))),INDEX(Organization!$A:$A,MATCH($E37,Organization!$A:$A,0)),IF(NOT(ISNA(MATCH($E37,Organization!$B:$B,0))),INDEX(Organization!$A:$A,MATCH($E37,Organization!$B:$B,0)),IF(NOT(ISNA(MATCH($E37,Organization!$A:$A,0))),INDEX(Organization!$C:$C,MATCH($E37,Organization!$C:$C,0)),""))))</f>
        <v/>
      </c>
      <c r="T37" s="6" t="str">
        <f>INDEX(Col!$B:$B,MATCH($M37,Col!$A:$A,0))</f>
        <v>0198ef6d-8543-ca89-d050-715e4e6f5013</v>
      </c>
      <c r="U37" s="6" t="str">
        <f>INDEX(Dim!$C:$C,MATCH($T37,Dim!$A:$A,0))</f>
        <v>number2</v>
      </c>
      <c r="V37" s="6" t="str">
        <f>INDEX(Dim!$B:$B,MATCH($T37,Dim!$A:$A,0))</f>
        <v>NUMBER</v>
      </c>
      <c r="W37" t="b">
        <v>0</v>
      </c>
    </row>
    <row r="38" spans="1:23" x14ac:dyDescent="0.3">
      <c r="A38" t="s">
        <v>693</v>
      </c>
      <c r="B38" s="6" t="str">
        <f>INDEX(_CaseData!$G:$G,MATCH($A38,_CaseData!$A:$A,0))</f>
        <v>case_type1</v>
      </c>
      <c r="C38" t="s">
        <v>572</v>
      </c>
      <c r="D38" s="6" t="str">
        <f>INDEX(CaseTypeCol!$G:$G,MATCH($C38,CaseTypeCol!$A:$A,0))</f>
        <v>case_type1.other1_1 (OTHER)</v>
      </c>
      <c r="E38" t="s">
        <v>712</v>
      </c>
      <c r="G38" s="6" t="str">
        <f t="shared" si="0"/>
        <v>OTHER1_1</v>
      </c>
      <c r="H38" s="6" t="b">
        <f t="shared" si="1"/>
        <v>1</v>
      </c>
      <c r="I38" t="b">
        <v>1</v>
      </c>
      <c r="J38" s="6" t="b">
        <f t="shared" si="2"/>
        <v>1</v>
      </c>
      <c r="K38" s="6" t="str">
        <f>INDEX(_CaseData!$B:$B,MATCH($A38,_CaseData!$A:$A,0))</f>
        <v>0195d18c-1ca6-fd99-9d76-fcfa0c0cf400</v>
      </c>
      <c r="L38" s="6" t="str">
        <f>INDEX(CaseTypeCol!$B:$B,MATCH($C38,CaseTypeCol!$A:$A,0))</f>
        <v>0195d18c-1ca6-fd99-9d76-fcfa0c0cf400</v>
      </c>
      <c r="M38" s="6" t="str">
        <f>INDEX(CaseTypeCol!$D:$D,MATCH($C38,CaseTypeCol!$A:$A,0))</f>
        <v>0198ef6d-8543-48c7-ff84-ba2c574cb664</v>
      </c>
      <c r="N38" s="6" t="str">
        <f>INDEX(Col!$H:$H,MATCH($M38,Col!$A:$A,0))</f>
        <v>OTHER</v>
      </c>
      <c r="O38" s="6" t="str">
        <f>IF(INDEX(Col!$I:$I,MATCH($M38,Col!$A:$A,0))="","",INDEX(Col!$I:$I,MATCH($M38,Col!$A:$A,0)))</f>
        <v/>
      </c>
      <c r="P38" s="6" t="str">
        <f>IF(INDEX(Col!$K:$K,MATCH($M38,Col!$A:$A,0))="","",INDEX(Col!$K:$K,MATCH($M38,Col!$A:$A,0)))</f>
        <v/>
      </c>
      <c r="Q38" s="6" t="str">
        <f>IF($O38="","",IF(NOT(ISNA(MATCH(LOWER($O38&amp;"|"&amp;$E38),Concept!$K:$K,0))),INDEX(Concept!$A:$A,MATCH(LOWER($O38&amp;"|"&amp;$E38),Concept!$K:$K,0)),IF(NOT(ISNA(MATCH(LOWER($O38&amp;"|"&amp;$E38),Concept!$L:$L,0))),INDEX(Concept!$A:$A,MATCH(LOWER($O38&amp;"|"&amp;$E38),Concept!$L:$L,0)),IF(NOT(ISNA(MATCH(LOWER($O38&amp;"|"&amp;$E38),Concept!$M:$M,0))),INDEX(Concept!$A:$A,MATCH(LOWER($O38&amp;"|"&amp;$E38),Concept!$M:$M,0)),""))))</f>
        <v/>
      </c>
      <c r="R38" s="6" t="str">
        <f>IF($P38="","",IF(NOT(ISNA(MATCH(LOWER($P38&amp;"|"&amp;$E38),Region!$J:$J,0))),INDEX(Region!$A:$A,MATCH(LOWER($P38&amp;"|"&amp;$E38),Region!$J:$J,0)),IF(NOT(ISNA(MATCH(LOWER($P38&amp;"|"&amp;$E38),Region!$K:$K,0))),INDEX(Region!$A:$A,MATCH(LOWER($P38&amp;"|"&amp;$E38),Region!$K:$K,0)),"")))</f>
        <v/>
      </c>
      <c r="S38" s="6" t="str">
        <f>IF($N38&lt;&gt;"ORGANIZATION","",IF(NOT(ISNA(MATCH($E38,Organization!$A:$A,0))),INDEX(Organization!$A:$A,MATCH($E38,Organization!$A:$A,0)),IF(NOT(ISNA(MATCH($E38,Organization!$B:$B,0))),INDEX(Organization!$A:$A,MATCH($E38,Organization!$B:$B,0)),IF(NOT(ISNA(MATCH($E38,Organization!$A:$A,0))),INDEX(Organization!$C:$C,MATCH($E38,Organization!$C:$C,0)),""))))</f>
        <v/>
      </c>
      <c r="T38" s="6" t="str">
        <f>INDEX(Col!$B:$B,MATCH($M38,Col!$A:$A,0))</f>
        <v>0198ef6d-8543-464e-e152-42bb0dc00713</v>
      </c>
      <c r="U38" s="6" t="str">
        <f>INDEX(Dim!$C:$C,MATCH($T38,Dim!$A:$A,0))</f>
        <v>other1</v>
      </c>
      <c r="V38" s="6" t="str">
        <f>INDEX(Dim!$B:$B,MATCH($T38,Dim!$A:$A,0))</f>
        <v>OTHER</v>
      </c>
      <c r="W38" t="b">
        <v>0</v>
      </c>
    </row>
    <row r="39" spans="1:23" x14ac:dyDescent="0.3">
      <c r="A39" t="s">
        <v>693</v>
      </c>
      <c r="B39" s="6" t="str">
        <f>INDEX(_CaseData!$G:$G,MATCH($A39,_CaseData!$A:$A,0))</f>
        <v>case_type1</v>
      </c>
      <c r="C39" t="s">
        <v>573</v>
      </c>
      <c r="D39" s="6" t="str">
        <f>INDEX(CaseTypeCol!$G:$G,MATCH($C39,CaseTypeCol!$A:$A,0))</f>
        <v>case_type1.other2_1 (OTHER)</v>
      </c>
      <c r="E39" t="s">
        <v>713</v>
      </c>
      <c r="G39" s="6" t="str">
        <f t="shared" si="0"/>
        <v>OTHER2_1</v>
      </c>
      <c r="H39" s="6" t="b">
        <f t="shared" si="1"/>
        <v>1</v>
      </c>
      <c r="I39" t="b">
        <v>1</v>
      </c>
      <c r="J39" s="6" t="b">
        <f t="shared" si="2"/>
        <v>1</v>
      </c>
      <c r="K39" s="6" t="str">
        <f>INDEX(_CaseData!$B:$B,MATCH($A39,_CaseData!$A:$A,0))</f>
        <v>0195d18c-1ca6-fd99-9d76-fcfa0c0cf400</v>
      </c>
      <c r="L39" s="6" t="str">
        <f>INDEX(CaseTypeCol!$B:$B,MATCH($C39,CaseTypeCol!$A:$A,0))</f>
        <v>0195d18c-1ca6-fd99-9d76-fcfa0c0cf400</v>
      </c>
      <c r="M39" s="6" t="str">
        <f>INDEX(CaseTypeCol!$D:$D,MATCH($C39,CaseTypeCol!$A:$A,0))</f>
        <v>0198ef6d-8543-6928-904b-2f24d48dec5d</v>
      </c>
      <c r="N39" s="6" t="str">
        <f>INDEX(Col!$H:$H,MATCH($M39,Col!$A:$A,0))</f>
        <v>OTHER</v>
      </c>
      <c r="O39" s="6" t="str">
        <f>IF(INDEX(Col!$I:$I,MATCH($M39,Col!$A:$A,0))="","",INDEX(Col!$I:$I,MATCH($M39,Col!$A:$A,0)))</f>
        <v/>
      </c>
      <c r="P39" s="6" t="str">
        <f>IF(INDEX(Col!$K:$K,MATCH($M39,Col!$A:$A,0))="","",INDEX(Col!$K:$K,MATCH($M39,Col!$A:$A,0)))</f>
        <v/>
      </c>
      <c r="Q39" s="6" t="str">
        <f>IF($O39="","",IF(NOT(ISNA(MATCH(LOWER($O39&amp;"|"&amp;$E39),Concept!$K:$K,0))),INDEX(Concept!$A:$A,MATCH(LOWER($O39&amp;"|"&amp;$E39),Concept!$K:$K,0)),IF(NOT(ISNA(MATCH(LOWER($O39&amp;"|"&amp;$E39),Concept!$L:$L,0))),INDEX(Concept!$A:$A,MATCH(LOWER($O39&amp;"|"&amp;$E39),Concept!$L:$L,0)),IF(NOT(ISNA(MATCH(LOWER($O39&amp;"|"&amp;$E39),Concept!$M:$M,0))),INDEX(Concept!$A:$A,MATCH(LOWER($O39&amp;"|"&amp;$E39),Concept!$M:$M,0)),""))))</f>
        <v/>
      </c>
      <c r="R39" s="6" t="str">
        <f>IF($P39="","",IF(NOT(ISNA(MATCH(LOWER($P39&amp;"|"&amp;$E39),Region!$J:$J,0))),INDEX(Region!$A:$A,MATCH(LOWER($P39&amp;"|"&amp;$E39),Region!$J:$J,0)),IF(NOT(ISNA(MATCH(LOWER($P39&amp;"|"&amp;$E39),Region!$K:$K,0))),INDEX(Region!$A:$A,MATCH(LOWER($P39&amp;"|"&amp;$E39),Region!$K:$K,0)),"")))</f>
        <v/>
      </c>
      <c r="S39" s="6" t="str">
        <f>IF($N39&lt;&gt;"ORGANIZATION","",IF(NOT(ISNA(MATCH($E39,Organization!$A:$A,0))),INDEX(Organization!$A:$A,MATCH($E39,Organization!$A:$A,0)),IF(NOT(ISNA(MATCH($E39,Organization!$B:$B,0))),INDEX(Organization!$A:$A,MATCH($E39,Organization!$B:$B,0)),IF(NOT(ISNA(MATCH($E39,Organization!$A:$A,0))),INDEX(Organization!$C:$C,MATCH($E39,Organization!$C:$C,0)),""))))</f>
        <v/>
      </c>
      <c r="T39" s="6" t="str">
        <f>INDEX(Col!$B:$B,MATCH($M39,Col!$A:$A,0))</f>
        <v>0198ef6d-8543-4209-5045-1bdd507593a7</v>
      </c>
      <c r="U39" s="6" t="str">
        <f>INDEX(Dim!$C:$C,MATCH($T39,Dim!$A:$A,0))</f>
        <v>other2</v>
      </c>
      <c r="V39" s="6" t="str">
        <f>INDEX(Dim!$B:$B,MATCH($T39,Dim!$A:$A,0))</f>
        <v>OTHER</v>
      </c>
      <c r="W39" t="b">
        <v>0</v>
      </c>
    </row>
    <row r="40" spans="1:23" x14ac:dyDescent="0.3">
      <c r="A40" t="s">
        <v>715</v>
      </c>
      <c r="B40" s="6" t="str">
        <f>INDEX(_CaseData!$G:$G,MATCH($A40,_CaseData!$A:$A,0))</f>
        <v>case_type2</v>
      </c>
      <c r="C40" t="s">
        <v>574</v>
      </c>
      <c r="D40" s="6" t="str">
        <f>INDEX(CaseTypeCol!$G:$G,MATCH($C40,CaseTypeCol!$A:$A,0))</f>
        <v>case_type2.nominal1_1 (NOMINAL;Nominal_1)</v>
      </c>
      <c r="E40" t="s">
        <v>349</v>
      </c>
      <c r="G40" s="6" t="str">
        <f t="shared" si="0"/>
        <v>0198ef6d-8543-1558-187c-47880d4b485e</v>
      </c>
      <c r="H40" s="6" t="b">
        <f t="shared" si="1"/>
        <v>1</v>
      </c>
      <c r="I40" t="b">
        <v>1</v>
      </c>
      <c r="J40" s="6" t="b">
        <f t="shared" si="2"/>
        <v>1</v>
      </c>
      <c r="K40" s="6" t="str">
        <f>INDEX(_CaseData!$B:$B,MATCH($A40,_CaseData!$A:$A,0))</f>
        <v>0195d18c-1ca6-752a-ec56-ed1b3d0cb095</v>
      </c>
      <c r="L40" s="6" t="str">
        <f>INDEX(CaseTypeCol!$B:$B,MATCH($C40,CaseTypeCol!$A:$A,0))</f>
        <v>0195d18c-1ca6-752a-ec56-ed1b3d0cb095</v>
      </c>
      <c r="M40" s="6" t="str">
        <f>INDEX(CaseTypeCol!$D:$D,MATCH($C40,CaseTypeCol!$A:$A,0))</f>
        <v>0198ef6d-8543-eb2b-e8cd-6ad2e7ad4523</v>
      </c>
      <c r="N40" s="6" t="str">
        <f>INDEX(Col!$H:$H,MATCH($M40,Col!$A:$A,0))</f>
        <v>NOMINAL</v>
      </c>
      <c r="O40" s="6" t="str">
        <f>IF(INDEX(Col!$I:$I,MATCH($M40,Col!$A:$A,0))="","",INDEX(Col!$I:$I,MATCH($M40,Col!$A:$A,0)))</f>
        <v>0198ef6d-8543-90a8-a647-ae05912c77ba</v>
      </c>
      <c r="P40" s="6" t="str">
        <f>IF(INDEX(Col!$K:$K,MATCH($M40,Col!$A:$A,0))="","",INDEX(Col!$K:$K,MATCH($M40,Col!$A:$A,0)))</f>
        <v/>
      </c>
      <c r="Q40" s="6" t="str">
        <f>IF($O40="","",IF(NOT(ISNA(MATCH(LOWER($O40&amp;"|"&amp;$E40),Concept!$K:$K,0))),INDEX(Concept!$A:$A,MATCH(LOWER($O40&amp;"|"&amp;$E40),Concept!$K:$K,0)),IF(NOT(ISNA(MATCH(LOWER($O40&amp;"|"&amp;$E40),Concept!$L:$L,0))),INDEX(Concept!$A:$A,MATCH(LOWER($O40&amp;"|"&amp;$E40),Concept!$L:$L,0)),IF(NOT(ISNA(MATCH(LOWER($O40&amp;"|"&amp;$E40),Concept!$M:$M,0))),INDEX(Concept!$A:$A,MATCH(LOWER($O40&amp;"|"&amp;$E40),Concept!$M:$M,0)),""))))</f>
        <v>0198ef6d-8543-1558-187c-47880d4b485e</v>
      </c>
      <c r="R40" s="6" t="str">
        <f>IF($P40="","",IF(NOT(ISNA(MATCH(LOWER($P40&amp;"|"&amp;$E40),Region!$J:$J,0))),INDEX(Region!$A:$A,MATCH(LOWER($P40&amp;"|"&amp;$E40),Region!$J:$J,0)),IF(NOT(ISNA(MATCH(LOWER($P40&amp;"|"&amp;$E40),Region!$K:$K,0))),INDEX(Region!$A:$A,MATCH(LOWER($P40&amp;"|"&amp;$E40),Region!$K:$K,0)),"")))</f>
        <v/>
      </c>
      <c r="S40" s="6" t="str">
        <f>IF($N40&lt;&gt;"ORGANIZATION","",IF(NOT(ISNA(MATCH($E40,Organization!$A:$A,0))),INDEX(Organization!$A:$A,MATCH($E40,Organization!$A:$A,0)),IF(NOT(ISNA(MATCH($E40,Organization!$B:$B,0))),INDEX(Organization!$A:$A,MATCH($E40,Organization!$B:$B,0)),IF(NOT(ISNA(MATCH($E40,Organization!$A:$A,0))),INDEX(Organization!$C:$C,MATCH($E40,Organization!$C:$C,0)),""))))</f>
        <v/>
      </c>
      <c r="T40" s="6" t="str">
        <f>INDEX(Col!$B:$B,MATCH($M40,Col!$A:$A,0))</f>
        <v>0198ef6d-8543-8d7e-a786-a78961958b68</v>
      </c>
      <c r="U40" s="6" t="str">
        <f>INDEX(Dim!$C:$C,MATCH($T40,Dim!$A:$A,0))</f>
        <v>nominal1</v>
      </c>
      <c r="V40" s="6" t="str">
        <f>INDEX(Dim!$B:$B,MATCH($T40,Dim!$A:$A,0))</f>
        <v>TEXT</v>
      </c>
      <c r="W40" t="b">
        <v>0</v>
      </c>
    </row>
    <row r="41" spans="1:23" x14ac:dyDescent="0.3">
      <c r="A41" t="s">
        <v>715</v>
      </c>
      <c r="B41" s="6" t="str">
        <f>INDEX(_CaseData!$G:$G,MATCH($A41,_CaseData!$A:$A,0))</f>
        <v>case_type2</v>
      </c>
      <c r="C41" t="s">
        <v>575</v>
      </c>
      <c r="D41" s="6" t="str">
        <f>INDEX(CaseTypeCol!$G:$G,MATCH($C41,CaseTypeCol!$A:$A,0))</f>
        <v>case_type2.ordinal1_1 (ORDINAL;Ordinal_1)</v>
      </c>
      <c r="E41" t="s">
        <v>695</v>
      </c>
      <c r="G41" s="6" t="str">
        <f t="shared" si="0"/>
        <v>0198ef6d-8543-73c8-d3af-92aa66e44b8c</v>
      </c>
      <c r="H41" s="6" t="b">
        <f t="shared" si="1"/>
        <v>1</v>
      </c>
      <c r="I41" t="b">
        <v>1</v>
      </c>
      <c r="J41" s="6" t="b">
        <f t="shared" si="2"/>
        <v>1</v>
      </c>
      <c r="K41" s="6" t="str">
        <f>INDEX(_CaseData!$B:$B,MATCH($A41,_CaseData!$A:$A,0))</f>
        <v>0195d18c-1ca6-752a-ec56-ed1b3d0cb095</v>
      </c>
      <c r="L41" s="6" t="str">
        <f>INDEX(CaseTypeCol!$B:$B,MATCH($C41,CaseTypeCol!$A:$A,0))</f>
        <v>0195d18c-1ca6-752a-ec56-ed1b3d0cb095</v>
      </c>
      <c r="M41" s="6" t="str">
        <f>INDEX(CaseTypeCol!$D:$D,MATCH($C41,CaseTypeCol!$A:$A,0))</f>
        <v>0198ef6d-8543-50ea-8c7a-9f5c1a8041c4</v>
      </c>
      <c r="N41" s="6" t="str">
        <f>INDEX(Col!$H:$H,MATCH($M41,Col!$A:$A,0))</f>
        <v>ORDINAL</v>
      </c>
      <c r="O41" s="6" t="str">
        <f>IF(INDEX(Col!$I:$I,MATCH($M41,Col!$A:$A,0))="","",INDEX(Col!$I:$I,MATCH($M41,Col!$A:$A,0)))</f>
        <v>0198ef6d-8543-b279-03a6-da9684b42b08</v>
      </c>
      <c r="P41" s="6" t="str">
        <f>IF(INDEX(Col!$K:$K,MATCH($M41,Col!$A:$A,0))="","",INDEX(Col!$K:$K,MATCH($M41,Col!$A:$A,0)))</f>
        <v/>
      </c>
      <c r="Q41" s="6" t="str">
        <f>IF($O41="","",IF(NOT(ISNA(MATCH(LOWER($O41&amp;"|"&amp;$E41),Concept!$K:$K,0))),INDEX(Concept!$A:$A,MATCH(LOWER($O41&amp;"|"&amp;$E41),Concept!$K:$K,0)),IF(NOT(ISNA(MATCH(LOWER($O41&amp;"|"&amp;$E41),Concept!$L:$L,0))),INDEX(Concept!$A:$A,MATCH(LOWER($O41&amp;"|"&amp;$E41),Concept!$L:$L,0)),IF(NOT(ISNA(MATCH(LOWER($O41&amp;"|"&amp;$E41),Concept!$M:$M,0))),INDEX(Concept!$A:$A,MATCH(LOWER($O41&amp;"|"&amp;$E41),Concept!$M:$M,0)),""))))</f>
        <v>0198ef6d-8543-73c8-d3af-92aa66e44b8c</v>
      </c>
      <c r="R41" s="6" t="str">
        <f>IF($P41="","",IF(NOT(ISNA(MATCH(LOWER($P41&amp;"|"&amp;$E41),Region!$J:$J,0))),INDEX(Region!$A:$A,MATCH(LOWER($P41&amp;"|"&amp;$E41),Region!$J:$J,0)),IF(NOT(ISNA(MATCH(LOWER($P41&amp;"|"&amp;$E41),Region!$K:$K,0))),INDEX(Region!$A:$A,MATCH(LOWER($P41&amp;"|"&amp;$E41),Region!$K:$K,0)),"")))</f>
        <v/>
      </c>
      <c r="S41" s="6" t="str">
        <f>IF($N41&lt;&gt;"ORGANIZATION","",IF(NOT(ISNA(MATCH($E41,Organization!$A:$A,0))),INDEX(Organization!$A:$A,MATCH($E41,Organization!$A:$A,0)),IF(NOT(ISNA(MATCH($E41,Organization!$B:$B,0))),INDEX(Organization!$A:$A,MATCH($E41,Organization!$B:$B,0)),IF(NOT(ISNA(MATCH($E41,Organization!$A:$A,0))),INDEX(Organization!$C:$C,MATCH($E41,Organization!$C:$C,0)),""))))</f>
        <v/>
      </c>
      <c r="T41" s="6" t="str">
        <f>INDEX(Col!$B:$B,MATCH($M41,Col!$A:$A,0))</f>
        <v>0198ef6d-8543-4b57-ccc7-1e34bcca2de1</v>
      </c>
      <c r="U41" s="6" t="str">
        <f>INDEX(Dim!$C:$C,MATCH($T41,Dim!$A:$A,0))</f>
        <v>ordinal1</v>
      </c>
      <c r="V41" s="6" t="str">
        <f>INDEX(Dim!$B:$B,MATCH($T41,Dim!$A:$A,0))</f>
        <v>TEXT</v>
      </c>
      <c r="W41" t="b">
        <v>0</v>
      </c>
    </row>
    <row r="42" spans="1:23" x14ac:dyDescent="0.3">
      <c r="A42" t="s">
        <v>715</v>
      </c>
      <c r="B42" s="6" t="str">
        <f>INDEX(_CaseData!$G:$G,MATCH($A42,_CaseData!$A:$A,0))</f>
        <v>case_type2</v>
      </c>
      <c r="C42" t="s">
        <v>576</v>
      </c>
      <c r="D42" s="6" t="str">
        <f>INDEX(CaseTypeCol!$G:$G,MATCH($C42,CaseTypeCol!$A:$A,0))</f>
        <v>case_type2.regex1_1 (REGULAR_LANGUAGE;Regex_1)</v>
      </c>
      <c r="E42" t="s">
        <v>696</v>
      </c>
      <c r="G42" s="6" t="str">
        <f t="shared" si="0"/>
        <v>A1</v>
      </c>
      <c r="H42" s="6" t="b">
        <f t="shared" si="1"/>
        <v>1</v>
      </c>
      <c r="I42" t="b">
        <v>1</v>
      </c>
      <c r="J42" s="6" t="b">
        <f t="shared" si="2"/>
        <v>1</v>
      </c>
      <c r="K42" s="6" t="str">
        <f>INDEX(_CaseData!$B:$B,MATCH($A42,_CaseData!$A:$A,0))</f>
        <v>0195d18c-1ca6-752a-ec56-ed1b3d0cb095</v>
      </c>
      <c r="L42" s="6" t="str">
        <f>INDEX(CaseTypeCol!$B:$B,MATCH($C42,CaseTypeCol!$A:$A,0))</f>
        <v>0195d18c-1ca6-752a-ec56-ed1b3d0cb095</v>
      </c>
      <c r="M42" s="6" t="str">
        <f>INDEX(CaseTypeCol!$D:$D,MATCH($C42,CaseTypeCol!$A:$A,0))</f>
        <v>0198ef6d-8543-479e-1e7a-3428fa97ebc7</v>
      </c>
      <c r="N42" s="6" t="str">
        <f>INDEX(Col!$H:$H,MATCH($M42,Col!$A:$A,0))</f>
        <v>REGULAR_LANGUAGE</v>
      </c>
      <c r="O42" s="6" t="str">
        <f>IF(INDEX(Col!$I:$I,MATCH($M42,Col!$A:$A,0))="","",INDEX(Col!$I:$I,MATCH($M42,Col!$A:$A,0)))</f>
        <v>0198ef6d-8543-a151-ab47-0394a80e2a05</v>
      </c>
      <c r="P42" s="6" t="str">
        <f>IF(INDEX(Col!$K:$K,MATCH($M42,Col!$A:$A,0))="","",INDEX(Col!$K:$K,MATCH($M42,Col!$A:$A,0)))</f>
        <v/>
      </c>
      <c r="Q42" s="6" t="str">
        <f>IF($O42="","",IF(NOT(ISNA(MATCH(LOWER($O42&amp;"|"&amp;$E42),Concept!$K:$K,0))),INDEX(Concept!$A:$A,MATCH(LOWER($O42&amp;"|"&amp;$E42),Concept!$K:$K,0)),IF(NOT(ISNA(MATCH(LOWER($O42&amp;"|"&amp;$E42),Concept!$L:$L,0))),INDEX(Concept!$A:$A,MATCH(LOWER($O42&amp;"|"&amp;$E42),Concept!$L:$L,0)),IF(NOT(ISNA(MATCH(LOWER($O42&amp;"|"&amp;$E42),Concept!$M:$M,0))),INDEX(Concept!$A:$A,MATCH(LOWER($O42&amp;"|"&amp;$E42),Concept!$M:$M,0)),""))))</f>
        <v/>
      </c>
      <c r="R42" s="6" t="str">
        <f>IF($P42="","",IF(NOT(ISNA(MATCH(LOWER($P42&amp;"|"&amp;$E42),Region!$J:$J,0))),INDEX(Region!$A:$A,MATCH(LOWER($P42&amp;"|"&amp;$E42),Region!$J:$J,0)),IF(NOT(ISNA(MATCH(LOWER($P42&amp;"|"&amp;$E42),Region!$K:$K,0))),INDEX(Region!$A:$A,MATCH(LOWER($P42&amp;"|"&amp;$E42),Region!$K:$K,0)),"")))</f>
        <v/>
      </c>
      <c r="S42" s="6" t="str">
        <f>IF($N42&lt;&gt;"ORGANIZATION","",IF(NOT(ISNA(MATCH($E42,Organization!$A:$A,0))),INDEX(Organization!$A:$A,MATCH($E42,Organization!$A:$A,0)),IF(NOT(ISNA(MATCH($E42,Organization!$B:$B,0))),INDEX(Organization!$A:$A,MATCH($E42,Organization!$B:$B,0)),IF(NOT(ISNA(MATCH($E42,Organization!$A:$A,0))),INDEX(Organization!$C:$C,MATCH($E42,Organization!$C:$C,0)),""))))</f>
        <v/>
      </c>
      <c r="T42" s="6" t="str">
        <f>INDEX(Col!$B:$B,MATCH($M42,Col!$A:$A,0))</f>
        <v>0198ef6d-8543-6a7f-4553-b7280cc2ab9b</v>
      </c>
      <c r="U42" s="6" t="str">
        <f>INDEX(Dim!$C:$C,MATCH($T42,Dim!$A:$A,0))</f>
        <v>regex1</v>
      </c>
      <c r="V42" s="6" t="str">
        <f>INDEX(Dim!$B:$B,MATCH($T42,Dim!$A:$A,0))</f>
        <v>TEXT</v>
      </c>
      <c r="W42" t="b">
        <v>0</v>
      </c>
    </row>
    <row r="43" spans="1:23" x14ac:dyDescent="0.3">
      <c r="A43" t="s">
        <v>715</v>
      </c>
      <c r="B43" s="6" t="str">
        <f>INDEX(_CaseData!$G:$G,MATCH($A43,_CaseData!$A:$A,0))</f>
        <v>case_type2</v>
      </c>
      <c r="C43" t="s">
        <v>577</v>
      </c>
      <c r="D43" s="6" t="str">
        <f>INDEX(CaseTypeCol!$G:$G,MATCH($C43,CaseTypeCol!$A:$A,0))</f>
        <v>case_type2.text1_1 (TEXT)</v>
      </c>
      <c r="E43" t="s">
        <v>698</v>
      </c>
      <c r="G43" s="6" t="str">
        <f t="shared" si="0"/>
        <v>X</v>
      </c>
      <c r="H43" s="6" t="b">
        <f t="shared" si="1"/>
        <v>1</v>
      </c>
      <c r="I43" t="b">
        <v>1</v>
      </c>
      <c r="J43" s="6" t="b">
        <f t="shared" si="2"/>
        <v>1</v>
      </c>
      <c r="K43" s="6" t="str">
        <f>INDEX(_CaseData!$B:$B,MATCH($A43,_CaseData!$A:$A,0))</f>
        <v>0195d18c-1ca6-752a-ec56-ed1b3d0cb095</v>
      </c>
      <c r="L43" s="6" t="str">
        <f>INDEX(CaseTypeCol!$B:$B,MATCH($C43,CaseTypeCol!$A:$A,0))</f>
        <v>0195d18c-1ca6-752a-ec56-ed1b3d0cb095</v>
      </c>
      <c r="M43" s="6" t="str">
        <f>INDEX(CaseTypeCol!$D:$D,MATCH($C43,CaseTypeCol!$A:$A,0))</f>
        <v>0198ef6d-8543-78ba-e607-ac65487d273b</v>
      </c>
      <c r="N43" s="6" t="str">
        <f>INDEX(Col!$H:$H,MATCH($M43,Col!$A:$A,0))</f>
        <v>TEXT</v>
      </c>
      <c r="O43" s="6" t="str">
        <f>IF(INDEX(Col!$I:$I,MATCH($M43,Col!$A:$A,0))="","",INDEX(Col!$I:$I,MATCH($M43,Col!$A:$A,0)))</f>
        <v/>
      </c>
      <c r="P43" s="6" t="str">
        <f>IF(INDEX(Col!$K:$K,MATCH($M43,Col!$A:$A,0))="","",INDEX(Col!$K:$K,MATCH($M43,Col!$A:$A,0)))</f>
        <v/>
      </c>
      <c r="Q43" s="6" t="str">
        <f>IF($O43="","",IF(NOT(ISNA(MATCH(LOWER($O43&amp;"|"&amp;$E43),Concept!$K:$K,0))),INDEX(Concept!$A:$A,MATCH(LOWER($O43&amp;"|"&amp;$E43),Concept!$K:$K,0)),IF(NOT(ISNA(MATCH(LOWER($O43&amp;"|"&amp;$E43),Concept!$L:$L,0))),INDEX(Concept!$A:$A,MATCH(LOWER($O43&amp;"|"&amp;$E43),Concept!$L:$L,0)),IF(NOT(ISNA(MATCH(LOWER($O43&amp;"|"&amp;$E43),Concept!$M:$M,0))),INDEX(Concept!$A:$A,MATCH(LOWER($O43&amp;"|"&amp;$E43),Concept!$M:$M,0)),""))))</f>
        <v/>
      </c>
      <c r="R43" s="6" t="str">
        <f>IF($P43="","",IF(NOT(ISNA(MATCH(LOWER($P43&amp;"|"&amp;$E43),Region!$J:$J,0))),INDEX(Region!$A:$A,MATCH(LOWER($P43&amp;"|"&amp;$E43),Region!$J:$J,0)),IF(NOT(ISNA(MATCH(LOWER($P43&amp;"|"&amp;$E43),Region!$K:$K,0))),INDEX(Region!$A:$A,MATCH(LOWER($P43&amp;"|"&amp;$E43),Region!$K:$K,0)),"")))</f>
        <v/>
      </c>
      <c r="S43" s="6" t="str">
        <f>IF($N43&lt;&gt;"ORGANIZATION","",IF(NOT(ISNA(MATCH($E43,Organization!$A:$A,0))),INDEX(Organization!$A:$A,MATCH($E43,Organization!$A:$A,0)),IF(NOT(ISNA(MATCH($E43,Organization!$B:$B,0))),INDEX(Organization!$A:$A,MATCH($E43,Organization!$B:$B,0)),IF(NOT(ISNA(MATCH($E43,Organization!$A:$A,0))),INDEX(Organization!$C:$C,MATCH($E43,Organization!$C:$C,0)),""))))</f>
        <v/>
      </c>
      <c r="T43" s="6" t="str">
        <f>INDEX(Col!$B:$B,MATCH($M43,Col!$A:$A,0))</f>
        <v>0198ef6d-8543-0b52-87e5-431792f951a2</v>
      </c>
      <c r="U43" s="6" t="str">
        <f>INDEX(Dim!$C:$C,MATCH($T43,Dim!$A:$A,0))</f>
        <v>text1</v>
      </c>
      <c r="V43" s="6" t="str">
        <f>INDEX(Dim!$B:$B,MATCH($T43,Dim!$A:$A,0))</f>
        <v>TEXT</v>
      </c>
      <c r="W43" t="b">
        <v>0</v>
      </c>
    </row>
    <row r="44" spans="1:23" x14ac:dyDescent="0.3">
      <c r="A44" t="s">
        <v>715</v>
      </c>
      <c r="B44" s="6" t="str">
        <f>INDEX(_CaseData!$G:$G,MATCH($A44,_CaseData!$A:$A,0))</f>
        <v>case_type2</v>
      </c>
      <c r="C44" t="s">
        <v>578</v>
      </c>
      <c r="D44" s="6" t="str">
        <f>INDEX(CaseTypeCol!$G:$G,MATCH($C44,CaseTypeCol!$A:$A,0))</f>
        <v>case_type2.org1_1 (ORGANIZATION)</v>
      </c>
      <c r="E44" t="s">
        <v>43</v>
      </c>
      <c r="G44" s="6" t="str">
        <f t="shared" si="0"/>
        <v>018d074d-ea0c-e942-07db-a3cc0ba1d653</v>
      </c>
      <c r="H44" s="6" t="b">
        <f t="shared" si="1"/>
        <v>1</v>
      </c>
      <c r="I44" t="b">
        <v>1</v>
      </c>
      <c r="J44" s="6" t="b">
        <f t="shared" si="2"/>
        <v>1</v>
      </c>
      <c r="K44" s="6" t="str">
        <f>INDEX(_CaseData!$B:$B,MATCH($A44,_CaseData!$A:$A,0))</f>
        <v>0195d18c-1ca6-752a-ec56-ed1b3d0cb095</v>
      </c>
      <c r="L44" s="6" t="str">
        <f>INDEX(CaseTypeCol!$B:$B,MATCH($C44,CaseTypeCol!$A:$A,0))</f>
        <v>0195d18c-1ca6-752a-ec56-ed1b3d0cb095</v>
      </c>
      <c r="M44" s="6" t="str">
        <f>INDEX(CaseTypeCol!$D:$D,MATCH($C44,CaseTypeCol!$A:$A,0))</f>
        <v>0198ef6d-8543-9c02-f715-88d1935aca9a</v>
      </c>
      <c r="N44" s="6" t="str">
        <f>INDEX(Col!$H:$H,MATCH($M44,Col!$A:$A,0))</f>
        <v>ORGANIZATION</v>
      </c>
      <c r="O44" s="6" t="str">
        <f>IF(INDEX(Col!$I:$I,MATCH($M44,Col!$A:$A,0))="","",INDEX(Col!$I:$I,MATCH($M44,Col!$A:$A,0)))</f>
        <v/>
      </c>
      <c r="P44" s="6" t="str">
        <f>IF(INDEX(Col!$K:$K,MATCH($M44,Col!$A:$A,0))="","",INDEX(Col!$K:$K,MATCH($M44,Col!$A:$A,0)))</f>
        <v/>
      </c>
      <c r="Q44" s="6" t="str">
        <f>IF($O44="","",IF(NOT(ISNA(MATCH(LOWER($O44&amp;"|"&amp;$E44),Concept!$K:$K,0))),INDEX(Concept!$A:$A,MATCH(LOWER($O44&amp;"|"&amp;$E44),Concept!$K:$K,0)),IF(NOT(ISNA(MATCH(LOWER($O44&amp;"|"&amp;$E44),Concept!$L:$L,0))),INDEX(Concept!$A:$A,MATCH(LOWER($O44&amp;"|"&amp;$E44),Concept!$L:$L,0)),IF(NOT(ISNA(MATCH(LOWER($O44&amp;"|"&amp;$E44),Concept!$M:$M,0))),INDEX(Concept!$A:$A,MATCH(LOWER($O44&amp;"|"&amp;$E44),Concept!$M:$M,0)),""))))</f>
        <v/>
      </c>
      <c r="R44" s="6" t="str">
        <f>IF($P44="","",IF(NOT(ISNA(MATCH(LOWER($P44&amp;"|"&amp;$E44),Region!$J:$J,0))),INDEX(Region!$A:$A,MATCH(LOWER($P44&amp;"|"&amp;$E44),Region!$J:$J,0)),IF(NOT(ISNA(MATCH(LOWER($P44&amp;"|"&amp;$E44),Region!$K:$K,0))),INDEX(Region!$A:$A,MATCH(LOWER($P44&amp;"|"&amp;$E44),Region!$K:$K,0)),"")))</f>
        <v/>
      </c>
      <c r="S44" s="6" t="str">
        <f>IF($N44&lt;&gt;"ORGANIZATION","",IF(NOT(ISNA(MATCH($E44,Organization!$A:$A,0))),INDEX(Organization!$A:$A,MATCH($E44,Organization!$A:$A,0)),IF(NOT(ISNA(MATCH($E44,Organization!$B:$B,0))),INDEX(Organization!$A:$A,MATCH($E44,Organization!$B:$B,0)),IF(NOT(ISNA(MATCH($E44,Organization!$A:$A,0))),INDEX(Organization!$C:$C,MATCH($E44,Organization!$C:$C,0)),""))))</f>
        <v>018d074d-ea0c-e942-07db-a3cc0ba1d653</v>
      </c>
      <c r="T44" s="6" t="str">
        <f>INDEX(Col!$B:$B,MATCH($M44,Col!$A:$A,0))</f>
        <v>0198ef6d-8543-b0f3-f8b0-c502bee720e9</v>
      </c>
      <c r="U44" s="6" t="str">
        <f>INDEX(Dim!$C:$C,MATCH($T44,Dim!$A:$A,0))</f>
        <v>org1</v>
      </c>
      <c r="V44" s="6" t="str">
        <f>INDEX(Dim!$B:$B,MATCH($T44,Dim!$A:$A,0))</f>
        <v>ORGANIZATION</v>
      </c>
      <c r="W44" t="b">
        <v>0</v>
      </c>
    </row>
    <row r="45" spans="1:23" x14ac:dyDescent="0.3">
      <c r="A45" t="s">
        <v>715</v>
      </c>
      <c r="B45" s="6" t="str">
        <f>INDEX(_CaseData!$G:$G,MATCH($A45,_CaseData!$A:$A,0))</f>
        <v>case_type2</v>
      </c>
      <c r="C45" t="s">
        <v>579</v>
      </c>
      <c r="D45" s="6" t="str">
        <f>INDEX(CaseTypeCol!$G:$G,MATCH($C45,CaseTypeCol!$A:$A,0))</f>
        <v>case_type2.geo1_1 (GEO_REGION;PC_L4)</v>
      </c>
      <c r="E45" s="11" t="s">
        <v>392</v>
      </c>
      <c r="G45" s="6" t="str">
        <f t="shared" si="0"/>
        <v>0198ef6d-8543-98d5-9df4-4ac64d603502</v>
      </c>
      <c r="H45" s="6" t="b">
        <f t="shared" si="1"/>
        <v>1</v>
      </c>
      <c r="I45" t="b">
        <v>1</v>
      </c>
      <c r="J45" s="6" t="b">
        <f t="shared" si="2"/>
        <v>1</v>
      </c>
      <c r="K45" s="6" t="str">
        <f>INDEX(_CaseData!$B:$B,MATCH($A45,_CaseData!$A:$A,0))</f>
        <v>0195d18c-1ca6-752a-ec56-ed1b3d0cb095</v>
      </c>
      <c r="L45" s="6" t="str">
        <f>INDEX(CaseTypeCol!$B:$B,MATCH($C45,CaseTypeCol!$A:$A,0))</f>
        <v>0195d18c-1ca6-752a-ec56-ed1b3d0cb095</v>
      </c>
      <c r="M45" s="6" t="str">
        <f>INDEX(CaseTypeCol!$D:$D,MATCH($C45,CaseTypeCol!$A:$A,0))</f>
        <v>0198ef6d-8543-13b8-702c-f36c6968d08f</v>
      </c>
      <c r="N45" s="6" t="str">
        <f>INDEX(Col!$H:$H,MATCH($M45,Col!$A:$A,0))</f>
        <v>GEO_REGION</v>
      </c>
      <c r="O45" s="6" t="str">
        <f>IF(INDEX(Col!$I:$I,MATCH($M45,Col!$A:$A,0))="","",INDEX(Col!$I:$I,MATCH($M45,Col!$A:$A,0)))</f>
        <v/>
      </c>
      <c r="P45" s="6" t="str">
        <f>IF(INDEX(Col!$K:$K,MATCH($M45,Col!$A:$A,0))="","",INDEX(Col!$K:$K,MATCH($M45,Col!$A:$A,0)))</f>
        <v>0198ef6d-8543-92bb-3d7b-9a6b17e52c7d</v>
      </c>
      <c r="Q45" s="6" t="str">
        <f>IF($O45="","",IF(NOT(ISNA(MATCH(LOWER($O45&amp;"|"&amp;$E45),Concept!$K:$K,0))),INDEX(Concept!$A:$A,MATCH(LOWER($O45&amp;"|"&amp;$E45),Concept!$K:$K,0)),IF(NOT(ISNA(MATCH(LOWER($O45&amp;"|"&amp;$E45),Concept!$L:$L,0))),INDEX(Concept!$A:$A,MATCH(LOWER($O45&amp;"|"&amp;$E45),Concept!$L:$L,0)),IF(NOT(ISNA(MATCH(LOWER($O45&amp;"|"&amp;$E45),Concept!$M:$M,0))),INDEX(Concept!$A:$A,MATCH(LOWER($O45&amp;"|"&amp;$E45),Concept!$M:$M,0)),""))))</f>
        <v/>
      </c>
      <c r="R45" s="6" t="str">
        <f>IF($P45="","",IF(NOT(ISNA(MATCH(LOWER($P45&amp;"|"&amp;$E45),Region!$J:$J,0))),INDEX(Region!$A:$A,MATCH(LOWER($P45&amp;"|"&amp;$E45),Region!$J:$J,0)),IF(NOT(ISNA(MATCH(LOWER($P45&amp;"|"&amp;$E45),Region!$K:$K,0))),INDEX(Region!$A:$A,MATCH(LOWER($P45&amp;"|"&amp;$E45),Region!$K:$K,0)),"")))</f>
        <v>0198ef6d-8543-98d5-9df4-4ac64d603502</v>
      </c>
      <c r="S45" s="6" t="str">
        <f>IF($N45&lt;&gt;"ORGANIZATION","",IF(NOT(ISNA(MATCH($E45,Organization!$A:$A,0))),INDEX(Organization!$A:$A,MATCH($E45,Organization!$A:$A,0)),IF(NOT(ISNA(MATCH($E45,Organization!$B:$B,0))),INDEX(Organization!$A:$A,MATCH($E45,Organization!$B:$B,0)),IF(NOT(ISNA(MATCH($E45,Organization!$A:$A,0))),INDEX(Organization!$C:$C,MATCH($E45,Organization!$C:$C,0)),""))))</f>
        <v/>
      </c>
      <c r="T45" s="6" t="str">
        <f>INDEX(Col!$B:$B,MATCH($M45,Col!$A:$A,0))</f>
        <v>0198ef6d-8543-d4cb-e9cb-2c352f1baa30</v>
      </c>
      <c r="U45" s="6" t="str">
        <f>INDEX(Dim!$C:$C,MATCH($T45,Dim!$A:$A,0))</f>
        <v>geo1</v>
      </c>
      <c r="V45" s="6" t="str">
        <f>INDEX(Dim!$B:$B,MATCH($T45,Dim!$A:$A,0))</f>
        <v>GEO</v>
      </c>
      <c r="W45" t="b">
        <v>0</v>
      </c>
    </row>
    <row r="46" spans="1:23" x14ac:dyDescent="0.3">
      <c r="A46" t="s">
        <v>715</v>
      </c>
      <c r="B46" s="6" t="str">
        <f>INDEX(_CaseData!$G:$G,MATCH($A46,_CaseData!$A:$A,0))</f>
        <v>case_type2</v>
      </c>
      <c r="C46" t="s">
        <v>580</v>
      </c>
      <c r="D46" s="6" t="str">
        <f>INDEX(CaseTypeCol!$G:$G,MATCH($C46,CaseTypeCol!$A:$A,0))</f>
        <v>case_type2.geo1_2 (GEO_REGION;PC_L3)</v>
      </c>
      <c r="E46" s="11" t="s">
        <v>398</v>
      </c>
      <c r="G46" s="6" t="str">
        <f t="shared" si="0"/>
        <v>0198ef6d-8543-dcdc-9496-52bc01e1c56d</v>
      </c>
      <c r="H46" s="6" t="b">
        <f t="shared" si="1"/>
        <v>1</v>
      </c>
      <c r="I46" t="b">
        <v>1</v>
      </c>
      <c r="J46" s="6" t="b">
        <f t="shared" si="2"/>
        <v>1</v>
      </c>
      <c r="K46" s="6" t="str">
        <f>INDEX(_CaseData!$B:$B,MATCH($A46,_CaseData!$A:$A,0))</f>
        <v>0195d18c-1ca6-752a-ec56-ed1b3d0cb095</v>
      </c>
      <c r="L46" s="6" t="str">
        <f>INDEX(CaseTypeCol!$B:$B,MATCH($C46,CaseTypeCol!$A:$A,0))</f>
        <v>0195d18c-1ca6-752a-ec56-ed1b3d0cb095</v>
      </c>
      <c r="M46" s="6" t="str">
        <f>INDEX(CaseTypeCol!$D:$D,MATCH($C46,CaseTypeCol!$A:$A,0))</f>
        <v>0198ef6d-8543-74d1-8cf2-4f5da375834f</v>
      </c>
      <c r="N46" s="6" t="str">
        <f>INDEX(Col!$H:$H,MATCH($M46,Col!$A:$A,0))</f>
        <v>GEO_REGION</v>
      </c>
      <c r="O46" s="6" t="str">
        <f>IF(INDEX(Col!$I:$I,MATCH($M46,Col!$A:$A,0))="","",INDEX(Col!$I:$I,MATCH($M46,Col!$A:$A,0)))</f>
        <v/>
      </c>
      <c r="P46" s="6" t="str">
        <f>IF(INDEX(Col!$K:$K,MATCH($M46,Col!$A:$A,0))="","",INDEX(Col!$K:$K,MATCH($M46,Col!$A:$A,0)))</f>
        <v>0198ef6d-8543-0ad2-6a86-701cc690b0a4</v>
      </c>
      <c r="Q46" s="6" t="str">
        <f>IF($O46="","",IF(NOT(ISNA(MATCH(LOWER($O46&amp;"|"&amp;$E46),Concept!$K:$K,0))),INDEX(Concept!$A:$A,MATCH(LOWER($O46&amp;"|"&amp;$E46),Concept!$K:$K,0)),IF(NOT(ISNA(MATCH(LOWER($O46&amp;"|"&amp;$E46),Concept!$L:$L,0))),INDEX(Concept!$A:$A,MATCH(LOWER($O46&amp;"|"&amp;$E46),Concept!$L:$L,0)),IF(NOT(ISNA(MATCH(LOWER($O46&amp;"|"&amp;$E46),Concept!$M:$M,0))),INDEX(Concept!$A:$A,MATCH(LOWER($O46&amp;"|"&amp;$E46),Concept!$M:$M,0)),""))))</f>
        <v/>
      </c>
      <c r="R46" s="6" t="str">
        <f>IF($P46="","",IF(NOT(ISNA(MATCH(LOWER($P46&amp;"|"&amp;$E46),Region!$J:$J,0))),INDEX(Region!$A:$A,MATCH(LOWER($P46&amp;"|"&amp;$E46),Region!$J:$J,0)),IF(NOT(ISNA(MATCH(LOWER($P46&amp;"|"&amp;$E46),Region!$K:$K,0))),INDEX(Region!$A:$A,MATCH(LOWER($P46&amp;"|"&amp;$E46),Region!$K:$K,0)),"")))</f>
        <v>0198ef6d-8543-dcdc-9496-52bc01e1c56d</v>
      </c>
      <c r="S46" s="6" t="str">
        <f>IF($N46&lt;&gt;"ORGANIZATION","",IF(NOT(ISNA(MATCH($E46,Organization!$A:$A,0))),INDEX(Organization!$A:$A,MATCH($E46,Organization!$A:$A,0)),IF(NOT(ISNA(MATCH($E46,Organization!$B:$B,0))),INDEX(Organization!$A:$A,MATCH($E46,Organization!$B:$B,0)),IF(NOT(ISNA(MATCH($E46,Organization!$A:$A,0))),INDEX(Organization!$C:$C,MATCH($E46,Organization!$C:$C,0)),""))))</f>
        <v/>
      </c>
      <c r="T46" s="6" t="str">
        <f>INDEX(Col!$B:$B,MATCH($M46,Col!$A:$A,0))</f>
        <v>0198ef6d-8543-d4cb-e9cb-2c352f1baa30</v>
      </c>
      <c r="U46" s="6" t="str">
        <f>INDEX(Dim!$C:$C,MATCH($T46,Dim!$A:$A,0))</f>
        <v>geo1</v>
      </c>
      <c r="V46" s="6" t="str">
        <f>INDEX(Dim!$B:$B,MATCH($T46,Dim!$A:$A,0))</f>
        <v>GEO</v>
      </c>
      <c r="W46" t="b">
        <v>0</v>
      </c>
    </row>
    <row r="47" spans="1:23" x14ac:dyDescent="0.3">
      <c r="A47" t="s">
        <v>715</v>
      </c>
      <c r="B47" s="6" t="str">
        <f>INDEX(_CaseData!$G:$G,MATCH($A47,_CaseData!$A:$A,0))</f>
        <v>case_type2</v>
      </c>
      <c r="C47" t="s">
        <v>581</v>
      </c>
      <c r="D47" s="6" t="str">
        <f>INDEX(CaseTypeCol!$G:$G,MATCH($C47,CaseTypeCol!$A:$A,0))</f>
        <v>case_type2.geo1_3 (GEO_REGION;MUN)</v>
      </c>
      <c r="E47" t="s">
        <v>744</v>
      </c>
      <c r="G47" s="6" t="str">
        <f t="shared" si="0"/>
        <v>0198ef6d-8543-83bf-6a77-33c7baa8eca4</v>
      </c>
      <c r="H47" s="6" t="b">
        <f t="shared" si="1"/>
        <v>1</v>
      </c>
      <c r="I47" t="b">
        <v>1</v>
      </c>
      <c r="J47" s="6" t="b">
        <f t="shared" si="2"/>
        <v>1</v>
      </c>
      <c r="K47" s="6" t="str">
        <f>INDEX(_CaseData!$B:$B,MATCH($A47,_CaseData!$A:$A,0))</f>
        <v>0195d18c-1ca6-752a-ec56-ed1b3d0cb095</v>
      </c>
      <c r="L47" s="6" t="str">
        <f>INDEX(CaseTypeCol!$B:$B,MATCH($C47,CaseTypeCol!$A:$A,0))</f>
        <v>0195d18c-1ca6-752a-ec56-ed1b3d0cb095</v>
      </c>
      <c r="M47" s="6" t="str">
        <f>INDEX(CaseTypeCol!$D:$D,MATCH($C47,CaseTypeCol!$A:$A,0))</f>
        <v>0198ef6d-8543-b7d9-c034-47ae7fb11c50</v>
      </c>
      <c r="N47" s="6" t="str">
        <f>INDEX(Col!$H:$H,MATCH($M47,Col!$A:$A,0))</f>
        <v>GEO_REGION</v>
      </c>
      <c r="O47" s="6" t="str">
        <f>IF(INDEX(Col!$I:$I,MATCH($M47,Col!$A:$A,0))="","",INDEX(Col!$I:$I,MATCH($M47,Col!$A:$A,0)))</f>
        <v/>
      </c>
      <c r="P47" s="6" t="str">
        <f>IF(INDEX(Col!$K:$K,MATCH($M47,Col!$A:$A,0))="","",INDEX(Col!$K:$K,MATCH($M47,Col!$A:$A,0)))</f>
        <v>0198ef6d-8543-5e3f-5ed0-dd932e32c2aa</v>
      </c>
      <c r="Q47" s="6" t="str">
        <f>IF($O47="","",IF(NOT(ISNA(MATCH(LOWER($O47&amp;"|"&amp;$E47),Concept!$K:$K,0))),INDEX(Concept!$A:$A,MATCH(LOWER($O47&amp;"|"&amp;$E47),Concept!$K:$K,0)),IF(NOT(ISNA(MATCH(LOWER($O47&amp;"|"&amp;$E47),Concept!$L:$L,0))),INDEX(Concept!$A:$A,MATCH(LOWER($O47&amp;"|"&amp;$E47),Concept!$L:$L,0)),IF(NOT(ISNA(MATCH(LOWER($O47&amp;"|"&amp;$E47),Concept!$M:$M,0))),INDEX(Concept!$A:$A,MATCH(LOWER($O47&amp;"|"&amp;$E47),Concept!$M:$M,0)),""))))</f>
        <v/>
      </c>
      <c r="R47" s="6" t="str">
        <f>IF($P47="","",IF(NOT(ISNA(MATCH(LOWER($P47&amp;"|"&amp;$E47),Region!$J:$J,0))),INDEX(Region!$A:$A,MATCH(LOWER($P47&amp;"|"&amp;$E47),Region!$J:$J,0)),IF(NOT(ISNA(MATCH(LOWER($P47&amp;"|"&amp;$E47),Region!$K:$K,0))),INDEX(Region!$A:$A,MATCH(LOWER($P47&amp;"|"&amp;$E47),Region!$K:$K,0)),"")))</f>
        <v>0198ef6d-8543-83bf-6a77-33c7baa8eca4</v>
      </c>
      <c r="S47" s="6" t="str">
        <f>IF($N47&lt;&gt;"ORGANIZATION","",IF(NOT(ISNA(MATCH($E47,Organization!$A:$A,0))),INDEX(Organization!$A:$A,MATCH($E47,Organization!$A:$A,0)),IF(NOT(ISNA(MATCH($E47,Organization!$B:$B,0))),INDEX(Organization!$A:$A,MATCH($E47,Organization!$B:$B,0)),IF(NOT(ISNA(MATCH($E47,Organization!$A:$A,0))),INDEX(Organization!$C:$C,MATCH($E47,Organization!$C:$C,0)),""))))</f>
        <v/>
      </c>
      <c r="T47" s="6" t="str">
        <f>INDEX(Col!$B:$B,MATCH($M47,Col!$A:$A,0))</f>
        <v>0198ef6d-8543-d4cb-e9cb-2c352f1baa30</v>
      </c>
      <c r="U47" s="6" t="str">
        <f>INDEX(Dim!$C:$C,MATCH($T47,Dim!$A:$A,0))</f>
        <v>geo1</v>
      </c>
      <c r="V47" s="6" t="str">
        <f>INDEX(Dim!$B:$B,MATCH($T47,Dim!$A:$A,0))</f>
        <v>GEO</v>
      </c>
      <c r="W47" t="b">
        <v>0</v>
      </c>
    </row>
    <row r="48" spans="1:23" x14ac:dyDescent="0.3">
      <c r="A48" t="s">
        <v>715</v>
      </c>
      <c r="B48" s="6" t="str">
        <f>INDEX(_CaseData!$G:$G,MATCH($A48,_CaseData!$A:$A,0))</f>
        <v>case_type2</v>
      </c>
      <c r="C48" t="s">
        <v>582</v>
      </c>
      <c r="D48" s="6" t="str">
        <f>INDEX(CaseTypeCol!$G:$G,MATCH($C48,CaseTypeCol!$A:$A,0))</f>
        <v>case_type2.geo1_4 (GEO_REGION;PV)</v>
      </c>
      <c r="E48" t="s">
        <v>747</v>
      </c>
      <c r="G48" s="6" t="str">
        <f t="shared" si="0"/>
        <v>0198ef6d-8543-2881-ac87-bb85405cfd45</v>
      </c>
      <c r="H48" s="6" t="b">
        <f t="shared" si="1"/>
        <v>1</v>
      </c>
      <c r="I48" t="b">
        <v>1</v>
      </c>
      <c r="J48" s="6" t="b">
        <f t="shared" si="2"/>
        <v>1</v>
      </c>
      <c r="K48" s="6" t="str">
        <f>INDEX(_CaseData!$B:$B,MATCH($A48,_CaseData!$A:$A,0))</f>
        <v>0195d18c-1ca6-752a-ec56-ed1b3d0cb095</v>
      </c>
      <c r="L48" s="6" t="str">
        <f>INDEX(CaseTypeCol!$B:$B,MATCH($C48,CaseTypeCol!$A:$A,0))</f>
        <v>0195d18c-1ca6-752a-ec56-ed1b3d0cb095</v>
      </c>
      <c r="M48" s="6" t="str">
        <f>INDEX(CaseTypeCol!$D:$D,MATCH($C48,CaseTypeCol!$A:$A,0))</f>
        <v>0198ef6d-8543-61aa-6bef-ab847c75d5f6</v>
      </c>
      <c r="N48" s="6" t="str">
        <f>INDEX(Col!$H:$H,MATCH($M48,Col!$A:$A,0))</f>
        <v>GEO_REGION</v>
      </c>
      <c r="O48" s="6" t="str">
        <f>IF(INDEX(Col!$I:$I,MATCH($M48,Col!$A:$A,0))="","",INDEX(Col!$I:$I,MATCH($M48,Col!$A:$A,0)))</f>
        <v/>
      </c>
      <c r="P48" s="6" t="str">
        <f>IF(INDEX(Col!$K:$K,MATCH($M48,Col!$A:$A,0))="","",INDEX(Col!$K:$K,MATCH($M48,Col!$A:$A,0)))</f>
        <v>0198ef6d-8543-ca21-8fc9-aac9c10fe055</v>
      </c>
      <c r="Q48" s="6" t="str">
        <f>IF($O48="","",IF(NOT(ISNA(MATCH(LOWER($O48&amp;"|"&amp;$E48),Concept!$K:$K,0))),INDEX(Concept!$A:$A,MATCH(LOWER($O48&amp;"|"&amp;$E48),Concept!$K:$K,0)),IF(NOT(ISNA(MATCH(LOWER($O48&amp;"|"&amp;$E48),Concept!$L:$L,0))),INDEX(Concept!$A:$A,MATCH(LOWER($O48&amp;"|"&amp;$E48),Concept!$L:$L,0)),IF(NOT(ISNA(MATCH(LOWER($O48&amp;"|"&amp;$E48),Concept!$M:$M,0))),INDEX(Concept!$A:$A,MATCH(LOWER($O48&amp;"|"&amp;$E48),Concept!$M:$M,0)),""))))</f>
        <v/>
      </c>
      <c r="R48" s="6" t="str">
        <f>IF($P48="","",IF(NOT(ISNA(MATCH(LOWER($P48&amp;"|"&amp;$E48),Region!$J:$J,0))),INDEX(Region!$A:$A,MATCH(LOWER($P48&amp;"|"&amp;$E48),Region!$J:$J,0)),IF(NOT(ISNA(MATCH(LOWER($P48&amp;"|"&amp;$E48),Region!$K:$K,0))),INDEX(Region!$A:$A,MATCH(LOWER($P48&amp;"|"&amp;$E48),Region!$K:$K,0)),"")))</f>
        <v>0198ef6d-8543-2881-ac87-bb85405cfd45</v>
      </c>
      <c r="S48" s="6" t="str">
        <f>IF($N48&lt;&gt;"ORGANIZATION","",IF(NOT(ISNA(MATCH($E48,Organization!$A:$A,0))),INDEX(Organization!$A:$A,MATCH($E48,Organization!$A:$A,0)),IF(NOT(ISNA(MATCH($E48,Organization!$B:$B,0))),INDEX(Organization!$A:$A,MATCH($E48,Organization!$B:$B,0)),IF(NOT(ISNA(MATCH($E48,Organization!$A:$A,0))),INDEX(Organization!$C:$C,MATCH($E48,Organization!$C:$C,0)),""))))</f>
        <v/>
      </c>
      <c r="T48" s="6" t="str">
        <f>INDEX(Col!$B:$B,MATCH($M48,Col!$A:$A,0))</f>
        <v>0198ef6d-8543-d4cb-e9cb-2c352f1baa30</v>
      </c>
      <c r="U48" s="6" t="str">
        <f>INDEX(Dim!$C:$C,MATCH($T48,Dim!$A:$A,0))</f>
        <v>geo1</v>
      </c>
      <c r="V48" s="6" t="str">
        <f>INDEX(Dim!$B:$B,MATCH($T48,Dim!$A:$A,0))</f>
        <v>GEO</v>
      </c>
      <c r="W48" t="b">
        <v>0</v>
      </c>
    </row>
    <row r="49" spans="1:23" x14ac:dyDescent="0.3">
      <c r="A49" t="s">
        <v>715</v>
      </c>
      <c r="B49" s="6" t="str">
        <f>INDEX(_CaseData!$G:$G,MATCH($A49,_CaseData!$A:$A,0))</f>
        <v>case_type2</v>
      </c>
      <c r="C49" t="s">
        <v>583</v>
      </c>
      <c r="D49" s="6" t="str">
        <f>INDEX(CaseTypeCol!$G:$G,MATCH($C49,CaseTypeCol!$A:$A,0))</f>
        <v>case_type2.time1_1 (TIME_DAY)</v>
      </c>
      <c r="E49" s="11" t="s">
        <v>699</v>
      </c>
      <c r="G49" s="6" t="str">
        <f t="shared" si="0"/>
        <v>2024-01-01</v>
      </c>
      <c r="H49" s="6" t="b">
        <f t="shared" si="1"/>
        <v>1</v>
      </c>
      <c r="I49" t="b">
        <v>1</v>
      </c>
      <c r="J49" s="6" t="b">
        <f t="shared" si="2"/>
        <v>1</v>
      </c>
      <c r="K49" s="6" t="str">
        <f>INDEX(_CaseData!$B:$B,MATCH($A49,_CaseData!$A:$A,0))</f>
        <v>0195d18c-1ca6-752a-ec56-ed1b3d0cb095</v>
      </c>
      <c r="L49" s="6" t="str">
        <f>INDEX(CaseTypeCol!$B:$B,MATCH($C49,CaseTypeCol!$A:$A,0))</f>
        <v>0195d18c-1ca6-752a-ec56-ed1b3d0cb095</v>
      </c>
      <c r="M49" s="6" t="str">
        <f>INDEX(CaseTypeCol!$D:$D,MATCH($C49,CaseTypeCol!$A:$A,0))</f>
        <v>0198ef6d-8543-1ccc-3ca5-8e5804b351d7</v>
      </c>
      <c r="N49" s="6" t="str">
        <f>INDEX(Col!$H:$H,MATCH($M49,Col!$A:$A,0))</f>
        <v>TIME_DAY</v>
      </c>
      <c r="O49" s="6" t="str">
        <f>IF(INDEX(Col!$I:$I,MATCH($M49,Col!$A:$A,0))="","",INDEX(Col!$I:$I,MATCH($M49,Col!$A:$A,0)))</f>
        <v/>
      </c>
      <c r="P49" s="6" t="str">
        <f>IF(INDEX(Col!$K:$K,MATCH($M49,Col!$A:$A,0))="","",INDEX(Col!$K:$K,MATCH($M49,Col!$A:$A,0)))</f>
        <v/>
      </c>
      <c r="Q49" s="6" t="str">
        <f>IF($O49="","",IF(NOT(ISNA(MATCH(LOWER($O49&amp;"|"&amp;$E49),Concept!$K:$K,0))),INDEX(Concept!$A:$A,MATCH(LOWER($O49&amp;"|"&amp;$E49),Concept!$K:$K,0)),IF(NOT(ISNA(MATCH(LOWER($O49&amp;"|"&amp;$E49),Concept!$L:$L,0))),INDEX(Concept!$A:$A,MATCH(LOWER($O49&amp;"|"&amp;$E49),Concept!$L:$L,0)),IF(NOT(ISNA(MATCH(LOWER($O49&amp;"|"&amp;$E49),Concept!$M:$M,0))),INDEX(Concept!$A:$A,MATCH(LOWER($O49&amp;"|"&amp;$E49),Concept!$M:$M,0)),""))))</f>
        <v/>
      </c>
      <c r="R49" s="6" t="str">
        <f>IF($P49="","",IF(NOT(ISNA(MATCH(LOWER($P49&amp;"|"&amp;$E49),Region!$J:$J,0))),INDEX(Region!$A:$A,MATCH(LOWER($P49&amp;"|"&amp;$E49),Region!$J:$J,0)),IF(NOT(ISNA(MATCH(LOWER($P49&amp;"|"&amp;$E49),Region!$K:$K,0))),INDEX(Region!$A:$A,MATCH(LOWER($P49&amp;"|"&amp;$E49),Region!$K:$K,0)),"")))</f>
        <v/>
      </c>
      <c r="S49" s="6" t="str">
        <f>IF($N49&lt;&gt;"ORGANIZATION","",IF(NOT(ISNA(MATCH($E49,Organization!$A:$A,0))),INDEX(Organization!$A:$A,MATCH($E49,Organization!$A:$A,0)),IF(NOT(ISNA(MATCH($E49,Organization!$B:$B,0))),INDEX(Organization!$A:$A,MATCH($E49,Organization!$B:$B,0)),IF(NOT(ISNA(MATCH($E49,Organization!$A:$A,0))),INDEX(Organization!$C:$C,MATCH($E49,Organization!$C:$C,0)),""))))</f>
        <v/>
      </c>
      <c r="T49" s="6" t="str">
        <f>INDEX(Col!$B:$B,MATCH($M49,Col!$A:$A,0))</f>
        <v>0198ef6d-8543-090b-38ba-3d20aff20301</v>
      </c>
      <c r="U49" s="6" t="str">
        <f>INDEX(Dim!$C:$C,MATCH($T49,Dim!$A:$A,0))</f>
        <v>time1</v>
      </c>
      <c r="V49" s="6" t="str">
        <f>INDEX(Dim!$B:$B,MATCH($T49,Dim!$A:$A,0))</f>
        <v>TIME</v>
      </c>
      <c r="W49" t="b">
        <v>0</v>
      </c>
    </row>
    <row r="50" spans="1:23" x14ac:dyDescent="0.3">
      <c r="A50" t="s">
        <v>715</v>
      </c>
      <c r="B50" s="6" t="str">
        <f>INDEX(_CaseData!$G:$G,MATCH($A50,_CaseData!$A:$A,0))</f>
        <v>case_type2</v>
      </c>
      <c r="C50" t="s">
        <v>584</v>
      </c>
      <c r="D50" s="6" t="str">
        <f>INDEX(CaseTypeCol!$G:$G,MATCH($C50,CaseTypeCol!$A:$A,0))</f>
        <v>case_type2.time1_2 (TIME_WEEK)</v>
      </c>
      <c r="E50" s="11" t="s">
        <v>701</v>
      </c>
      <c r="G50" s="6" t="str">
        <f t="shared" si="0"/>
        <v>2024-W01</v>
      </c>
      <c r="H50" s="6" t="b">
        <f t="shared" si="1"/>
        <v>1</v>
      </c>
      <c r="I50" t="b">
        <v>1</v>
      </c>
      <c r="J50" s="6" t="b">
        <f t="shared" si="2"/>
        <v>1</v>
      </c>
      <c r="K50" s="6" t="str">
        <f>INDEX(_CaseData!$B:$B,MATCH($A50,_CaseData!$A:$A,0))</f>
        <v>0195d18c-1ca6-752a-ec56-ed1b3d0cb095</v>
      </c>
      <c r="L50" s="6" t="str">
        <f>INDEX(CaseTypeCol!$B:$B,MATCH($C50,CaseTypeCol!$A:$A,0))</f>
        <v>0195d18c-1ca6-752a-ec56-ed1b3d0cb095</v>
      </c>
      <c r="M50" s="6" t="str">
        <f>INDEX(CaseTypeCol!$D:$D,MATCH($C50,CaseTypeCol!$A:$A,0))</f>
        <v>0198ef6d-8543-a1f2-8fe1-01a845acbff0</v>
      </c>
      <c r="N50" s="6" t="str">
        <f>INDEX(Col!$H:$H,MATCH($M50,Col!$A:$A,0))</f>
        <v>TIME_WEEK</v>
      </c>
      <c r="O50" s="6" t="str">
        <f>IF(INDEX(Col!$I:$I,MATCH($M50,Col!$A:$A,0))="","",INDEX(Col!$I:$I,MATCH($M50,Col!$A:$A,0)))</f>
        <v/>
      </c>
      <c r="P50" s="6" t="str">
        <f>IF(INDEX(Col!$K:$K,MATCH($M50,Col!$A:$A,0))="","",INDEX(Col!$K:$K,MATCH($M50,Col!$A:$A,0)))</f>
        <v/>
      </c>
      <c r="Q50" s="6" t="str">
        <f>IF($O50="","",IF(NOT(ISNA(MATCH(LOWER($O50&amp;"|"&amp;$E50),Concept!$K:$K,0))),INDEX(Concept!$A:$A,MATCH(LOWER($O50&amp;"|"&amp;$E50),Concept!$K:$K,0)),IF(NOT(ISNA(MATCH(LOWER($O50&amp;"|"&amp;$E50),Concept!$L:$L,0))),INDEX(Concept!$A:$A,MATCH(LOWER($O50&amp;"|"&amp;$E50),Concept!$L:$L,0)),IF(NOT(ISNA(MATCH(LOWER($O50&amp;"|"&amp;$E50),Concept!$M:$M,0))),INDEX(Concept!$A:$A,MATCH(LOWER($O50&amp;"|"&amp;$E50),Concept!$M:$M,0)),""))))</f>
        <v/>
      </c>
      <c r="R50" s="6" t="str">
        <f>IF($P50="","",IF(NOT(ISNA(MATCH(LOWER($P50&amp;"|"&amp;$E50),Region!$J:$J,0))),INDEX(Region!$A:$A,MATCH(LOWER($P50&amp;"|"&amp;$E50),Region!$J:$J,0)),IF(NOT(ISNA(MATCH(LOWER($P50&amp;"|"&amp;$E50),Region!$K:$K,0))),INDEX(Region!$A:$A,MATCH(LOWER($P50&amp;"|"&amp;$E50),Region!$K:$K,0)),"")))</f>
        <v/>
      </c>
      <c r="S50" s="6" t="str">
        <f>IF($N50&lt;&gt;"ORGANIZATION","",IF(NOT(ISNA(MATCH($E50,Organization!$A:$A,0))),INDEX(Organization!$A:$A,MATCH($E50,Organization!$A:$A,0)),IF(NOT(ISNA(MATCH($E50,Organization!$B:$B,0))),INDEX(Organization!$A:$A,MATCH($E50,Organization!$B:$B,0)),IF(NOT(ISNA(MATCH($E50,Organization!$A:$A,0))),INDEX(Organization!$C:$C,MATCH($E50,Organization!$C:$C,0)),""))))</f>
        <v/>
      </c>
      <c r="T50" s="6" t="str">
        <f>INDEX(Col!$B:$B,MATCH($M50,Col!$A:$A,0))</f>
        <v>0198ef6d-8543-090b-38ba-3d20aff20301</v>
      </c>
      <c r="U50" s="6" t="str">
        <f>INDEX(Dim!$C:$C,MATCH($T50,Dim!$A:$A,0))</f>
        <v>time1</v>
      </c>
      <c r="V50" s="6" t="str">
        <f>INDEX(Dim!$B:$B,MATCH($T50,Dim!$A:$A,0))</f>
        <v>TIME</v>
      </c>
      <c r="W50" t="b">
        <v>0</v>
      </c>
    </row>
    <row r="51" spans="1:23" x14ac:dyDescent="0.3">
      <c r="A51" t="s">
        <v>715</v>
      </c>
      <c r="B51" s="6" t="str">
        <f>INDEX(_CaseData!$G:$G,MATCH($A51,_CaseData!$A:$A,0))</f>
        <v>case_type2</v>
      </c>
      <c r="C51" t="s">
        <v>585</v>
      </c>
      <c r="D51" s="6" t="str">
        <f>INDEX(CaseTypeCol!$G:$G,MATCH($C51,CaseTypeCol!$A:$A,0))</f>
        <v>case_type2.time1_3 (TIME_MONTH)</v>
      </c>
      <c r="E51" s="23" t="s">
        <v>700</v>
      </c>
      <c r="G51" s="6" t="str">
        <f t="shared" si="0"/>
        <v>2024-01</v>
      </c>
      <c r="H51" s="6" t="b">
        <f t="shared" si="1"/>
        <v>1</v>
      </c>
      <c r="I51" t="b">
        <v>1</v>
      </c>
      <c r="J51" s="6" t="b">
        <f t="shared" si="2"/>
        <v>1</v>
      </c>
      <c r="K51" s="6" t="str">
        <f>INDEX(_CaseData!$B:$B,MATCH($A51,_CaseData!$A:$A,0))</f>
        <v>0195d18c-1ca6-752a-ec56-ed1b3d0cb095</v>
      </c>
      <c r="L51" s="6" t="str">
        <f>INDEX(CaseTypeCol!$B:$B,MATCH($C51,CaseTypeCol!$A:$A,0))</f>
        <v>0195d18c-1ca6-752a-ec56-ed1b3d0cb095</v>
      </c>
      <c r="M51" s="6" t="str">
        <f>INDEX(CaseTypeCol!$D:$D,MATCH($C51,CaseTypeCol!$A:$A,0))</f>
        <v>0198ef6d-8543-3ef0-e88e-3e695cf2445e</v>
      </c>
      <c r="N51" s="6" t="str">
        <f>INDEX(Col!$H:$H,MATCH($M51,Col!$A:$A,0))</f>
        <v>TIME_MONTH</v>
      </c>
      <c r="O51" s="6" t="str">
        <f>IF(INDEX(Col!$I:$I,MATCH($M51,Col!$A:$A,0))="","",INDEX(Col!$I:$I,MATCH($M51,Col!$A:$A,0)))</f>
        <v/>
      </c>
      <c r="P51" s="6" t="str">
        <f>IF(INDEX(Col!$K:$K,MATCH($M51,Col!$A:$A,0))="","",INDEX(Col!$K:$K,MATCH($M51,Col!$A:$A,0)))</f>
        <v/>
      </c>
      <c r="Q51" s="6" t="str">
        <f>IF($O51="","",IF(NOT(ISNA(MATCH(LOWER($O51&amp;"|"&amp;$E51),Concept!$K:$K,0))),INDEX(Concept!$A:$A,MATCH(LOWER($O51&amp;"|"&amp;$E51),Concept!$K:$K,0)),IF(NOT(ISNA(MATCH(LOWER($O51&amp;"|"&amp;$E51),Concept!$L:$L,0))),INDEX(Concept!$A:$A,MATCH(LOWER($O51&amp;"|"&amp;$E51),Concept!$L:$L,0)),IF(NOT(ISNA(MATCH(LOWER($O51&amp;"|"&amp;$E51),Concept!$M:$M,0))),INDEX(Concept!$A:$A,MATCH(LOWER($O51&amp;"|"&amp;$E51),Concept!$M:$M,0)),""))))</f>
        <v/>
      </c>
      <c r="R51" s="6" t="str">
        <f>IF($P51="","",IF(NOT(ISNA(MATCH(LOWER($P51&amp;"|"&amp;$E51),Region!$J:$J,0))),INDEX(Region!$A:$A,MATCH(LOWER($P51&amp;"|"&amp;$E51),Region!$J:$J,0)),IF(NOT(ISNA(MATCH(LOWER($P51&amp;"|"&amp;$E51),Region!$K:$K,0))),INDEX(Region!$A:$A,MATCH(LOWER($P51&amp;"|"&amp;$E51),Region!$K:$K,0)),"")))</f>
        <v/>
      </c>
      <c r="S51" s="6" t="str">
        <f>IF($N51&lt;&gt;"ORGANIZATION","",IF(NOT(ISNA(MATCH($E51,Organization!$A:$A,0))),INDEX(Organization!$A:$A,MATCH($E51,Organization!$A:$A,0)),IF(NOT(ISNA(MATCH($E51,Organization!$B:$B,0))),INDEX(Organization!$A:$A,MATCH($E51,Organization!$B:$B,0)),IF(NOT(ISNA(MATCH($E51,Organization!$A:$A,0))),INDEX(Organization!$C:$C,MATCH($E51,Organization!$C:$C,0)),""))))</f>
        <v/>
      </c>
      <c r="T51" s="6" t="str">
        <f>INDEX(Col!$B:$B,MATCH($M51,Col!$A:$A,0))</f>
        <v>0198ef6d-8543-090b-38ba-3d20aff20301</v>
      </c>
      <c r="U51" s="6" t="str">
        <f>INDEX(Dim!$C:$C,MATCH($T51,Dim!$A:$A,0))</f>
        <v>time1</v>
      </c>
      <c r="V51" s="6" t="str">
        <f>INDEX(Dim!$B:$B,MATCH($T51,Dim!$A:$A,0))</f>
        <v>TIME</v>
      </c>
      <c r="W51" t="b">
        <v>0</v>
      </c>
    </row>
    <row r="52" spans="1:23" x14ac:dyDescent="0.3">
      <c r="A52" t="s">
        <v>715</v>
      </c>
      <c r="B52" s="6" t="str">
        <f>INDEX(_CaseData!$G:$G,MATCH($A52,_CaseData!$A:$A,0))</f>
        <v>case_type2</v>
      </c>
      <c r="C52" t="s">
        <v>586</v>
      </c>
      <c r="D52" s="6" t="str">
        <f>INDEX(CaseTypeCol!$G:$G,MATCH($C52,CaseTypeCol!$A:$A,0))</f>
        <v>case_type2.time1_4 (TIME_QUARTER)</v>
      </c>
      <c r="E52" s="11" t="s">
        <v>702</v>
      </c>
      <c r="G52" s="6" t="str">
        <f t="shared" si="0"/>
        <v>2024-Q1</v>
      </c>
      <c r="H52" s="6" t="b">
        <f t="shared" si="1"/>
        <v>1</v>
      </c>
      <c r="I52" t="b">
        <v>1</v>
      </c>
      <c r="J52" s="6" t="b">
        <f t="shared" si="2"/>
        <v>1</v>
      </c>
      <c r="K52" s="6" t="str">
        <f>INDEX(_CaseData!$B:$B,MATCH($A52,_CaseData!$A:$A,0))</f>
        <v>0195d18c-1ca6-752a-ec56-ed1b3d0cb095</v>
      </c>
      <c r="L52" s="6" t="str">
        <f>INDEX(CaseTypeCol!$B:$B,MATCH($C52,CaseTypeCol!$A:$A,0))</f>
        <v>0195d18c-1ca6-752a-ec56-ed1b3d0cb095</v>
      </c>
      <c r="M52" s="6" t="str">
        <f>INDEX(CaseTypeCol!$D:$D,MATCH($C52,CaseTypeCol!$A:$A,0))</f>
        <v>0198ef6d-8543-36a5-2583-d111be64cfe5</v>
      </c>
      <c r="N52" s="6" t="str">
        <f>INDEX(Col!$H:$H,MATCH($M52,Col!$A:$A,0))</f>
        <v>TIME_QUARTER</v>
      </c>
      <c r="O52" s="6" t="str">
        <f>IF(INDEX(Col!$I:$I,MATCH($M52,Col!$A:$A,0))="","",INDEX(Col!$I:$I,MATCH($M52,Col!$A:$A,0)))</f>
        <v/>
      </c>
      <c r="P52" s="6" t="str">
        <f>IF(INDEX(Col!$K:$K,MATCH($M52,Col!$A:$A,0))="","",INDEX(Col!$K:$K,MATCH($M52,Col!$A:$A,0)))</f>
        <v/>
      </c>
      <c r="Q52" s="6" t="str">
        <f>IF($O52="","",IF(NOT(ISNA(MATCH(LOWER($O52&amp;"|"&amp;$E52),Concept!$K:$K,0))),INDEX(Concept!$A:$A,MATCH(LOWER($O52&amp;"|"&amp;$E52),Concept!$K:$K,0)),IF(NOT(ISNA(MATCH(LOWER($O52&amp;"|"&amp;$E52),Concept!$L:$L,0))),INDEX(Concept!$A:$A,MATCH(LOWER($O52&amp;"|"&amp;$E52),Concept!$L:$L,0)),IF(NOT(ISNA(MATCH(LOWER($O52&amp;"|"&amp;$E52),Concept!$M:$M,0))),INDEX(Concept!$A:$A,MATCH(LOWER($O52&amp;"|"&amp;$E52),Concept!$M:$M,0)),""))))</f>
        <v/>
      </c>
      <c r="R52" s="6" t="str">
        <f>IF($P52="","",IF(NOT(ISNA(MATCH(LOWER($P52&amp;"|"&amp;$E52),Region!$J:$J,0))),INDEX(Region!$A:$A,MATCH(LOWER($P52&amp;"|"&amp;$E52),Region!$J:$J,0)),IF(NOT(ISNA(MATCH(LOWER($P52&amp;"|"&amp;$E52),Region!$K:$K,0))),INDEX(Region!$A:$A,MATCH(LOWER($P52&amp;"|"&amp;$E52),Region!$K:$K,0)),"")))</f>
        <v/>
      </c>
      <c r="S52" s="6" t="str">
        <f>IF($N52&lt;&gt;"ORGANIZATION","",IF(NOT(ISNA(MATCH($E52,Organization!$A:$A,0))),INDEX(Organization!$A:$A,MATCH($E52,Organization!$A:$A,0)),IF(NOT(ISNA(MATCH($E52,Organization!$B:$B,0))),INDEX(Organization!$A:$A,MATCH($E52,Organization!$B:$B,0)),IF(NOT(ISNA(MATCH($E52,Organization!$A:$A,0))),INDEX(Organization!$C:$C,MATCH($E52,Organization!$C:$C,0)),""))))</f>
        <v/>
      </c>
      <c r="T52" s="6" t="str">
        <f>INDEX(Col!$B:$B,MATCH($M52,Col!$A:$A,0))</f>
        <v>0198ef6d-8543-090b-38ba-3d20aff20301</v>
      </c>
      <c r="U52" s="6" t="str">
        <f>INDEX(Dim!$C:$C,MATCH($T52,Dim!$A:$A,0))</f>
        <v>time1</v>
      </c>
      <c r="V52" s="6" t="str">
        <f>INDEX(Dim!$B:$B,MATCH($T52,Dim!$A:$A,0))</f>
        <v>TIME</v>
      </c>
      <c r="W52" t="b">
        <v>0</v>
      </c>
    </row>
    <row r="53" spans="1:23" x14ac:dyDescent="0.3">
      <c r="A53" t="s">
        <v>715</v>
      </c>
      <c r="B53" s="6" t="str">
        <f>INDEX(_CaseData!$G:$G,MATCH($A53,_CaseData!$A:$A,0))</f>
        <v>case_type2</v>
      </c>
      <c r="C53" t="s">
        <v>587</v>
      </c>
      <c r="D53" s="6" t="str">
        <f>INDEX(CaseTypeCol!$G:$G,MATCH($C53,CaseTypeCol!$A:$A,0))</f>
        <v>case_type2.time1_5 (TIME_YEAR)</v>
      </c>
      <c r="E53" s="11" t="s">
        <v>703</v>
      </c>
      <c r="G53" s="6" t="str">
        <f t="shared" si="0"/>
        <v>2024</v>
      </c>
      <c r="H53" s="6" t="b">
        <f t="shared" si="1"/>
        <v>1</v>
      </c>
      <c r="I53" t="b">
        <v>1</v>
      </c>
      <c r="J53" s="6" t="b">
        <f t="shared" si="2"/>
        <v>1</v>
      </c>
      <c r="K53" s="6" t="str">
        <f>INDEX(_CaseData!$B:$B,MATCH($A53,_CaseData!$A:$A,0))</f>
        <v>0195d18c-1ca6-752a-ec56-ed1b3d0cb095</v>
      </c>
      <c r="L53" s="6" t="str">
        <f>INDEX(CaseTypeCol!$B:$B,MATCH($C53,CaseTypeCol!$A:$A,0))</f>
        <v>0195d18c-1ca6-752a-ec56-ed1b3d0cb095</v>
      </c>
      <c r="M53" s="6" t="str">
        <f>INDEX(CaseTypeCol!$D:$D,MATCH($C53,CaseTypeCol!$A:$A,0))</f>
        <v>0198ef6d-8543-0602-3b9b-8074754ce32f</v>
      </c>
      <c r="N53" s="6" t="str">
        <f>INDEX(Col!$H:$H,MATCH($M53,Col!$A:$A,0))</f>
        <v>TIME_YEAR</v>
      </c>
      <c r="O53" s="6" t="str">
        <f>IF(INDEX(Col!$I:$I,MATCH($M53,Col!$A:$A,0))="","",INDEX(Col!$I:$I,MATCH($M53,Col!$A:$A,0)))</f>
        <v/>
      </c>
      <c r="P53" s="6" t="str">
        <f>IF(INDEX(Col!$K:$K,MATCH($M53,Col!$A:$A,0))="","",INDEX(Col!$K:$K,MATCH($M53,Col!$A:$A,0)))</f>
        <v/>
      </c>
      <c r="Q53" s="6" t="str">
        <f>IF($O53="","",IF(NOT(ISNA(MATCH(LOWER($O53&amp;"|"&amp;$E53),Concept!$K:$K,0))),INDEX(Concept!$A:$A,MATCH(LOWER($O53&amp;"|"&amp;$E53),Concept!$K:$K,0)),IF(NOT(ISNA(MATCH(LOWER($O53&amp;"|"&amp;$E53),Concept!$L:$L,0))),INDEX(Concept!$A:$A,MATCH(LOWER($O53&amp;"|"&amp;$E53),Concept!$L:$L,0)),IF(NOT(ISNA(MATCH(LOWER($O53&amp;"|"&amp;$E53),Concept!$M:$M,0))),INDEX(Concept!$A:$A,MATCH(LOWER($O53&amp;"|"&amp;$E53),Concept!$M:$M,0)),""))))</f>
        <v/>
      </c>
      <c r="R53" s="6" t="str">
        <f>IF($P53="","",IF(NOT(ISNA(MATCH(LOWER($P53&amp;"|"&amp;$E53),Region!$J:$J,0))),INDEX(Region!$A:$A,MATCH(LOWER($P53&amp;"|"&amp;$E53),Region!$J:$J,0)),IF(NOT(ISNA(MATCH(LOWER($P53&amp;"|"&amp;$E53),Region!$K:$K,0))),INDEX(Region!$A:$A,MATCH(LOWER($P53&amp;"|"&amp;$E53),Region!$K:$K,0)),"")))</f>
        <v/>
      </c>
      <c r="S53" s="6" t="str">
        <f>IF($N53&lt;&gt;"ORGANIZATION","",IF(NOT(ISNA(MATCH($E53,Organization!$A:$A,0))),INDEX(Organization!$A:$A,MATCH($E53,Organization!$A:$A,0)),IF(NOT(ISNA(MATCH($E53,Organization!$B:$B,0))),INDEX(Organization!$A:$A,MATCH($E53,Organization!$B:$B,0)),IF(NOT(ISNA(MATCH($E53,Organization!$A:$A,0))),INDEX(Organization!$C:$C,MATCH($E53,Organization!$C:$C,0)),""))))</f>
        <v/>
      </c>
      <c r="T53" s="6" t="str">
        <f>INDEX(Col!$B:$B,MATCH($M53,Col!$A:$A,0))</f>
        <v>0198ef6d-8543-090b-38ba-3d20aff20301</v>
      </c>
      <c r="U53" s="6" t="str">
        <f>INDEX(Dim!$C:$C,MATCH($T53,Dim!$A:$A,0))</f>
        <v>time1</v>
      </c>
      <c r="V53" s="6" t="str">
        <f>INDEX(Dim!$B:$B,MATCH($T53,Dim!$A:$A,0))</f>
        <v>TIME</v>
      </c>
      <c r="W53" t="b">
        <v>0</v>
      </c>
    </row>
    <row r="54" spans="1:23" x14ac:dyDescent="0.3">
      <c r="A54" t="s">
        <v>715</v>
      </c>
      <c r="B54" s="6" t="str">
        <f>INDEX(_CaseData!$G:$G,MATCH($A54,_CaseData!$A:$A,0))</f>
        <v>case_type2</v>
      </c>
      <c r="C54" t="s">
        <v>588</v>
      </c>
      <c r="D54" s="6" t="str">
        <f>INDEX(CaseTypeCol!$G:$G,MATCH($C54,CaseTypeCol!$A:$A,0))</f>
        <v>case_type2.id1_1 (ID_PSEUDONYMISED)</v>
      </c>
      <c r="E54" t="s">
        <v>709</v>
      </c>
      <c r="G54" s="6" t="str">
        <f t="shared" si="0"/>
        <v>0198ef6d-8543-8644-c476-b020fa968b83</v>
      </c>
      <c r="H54" s="6" t="b">
        <f t="shared" si="1"/>
        <v>1</v>
      </c>
      <c r="I54" t="b">
        <v>1</v>
      </c>
      <c r="J54" s="6" t="b">
        <f t="shared" si="2"/>
        <v>1</v>
      </c>
      <c r="K54" s="6" t="str">
        <f>INDEX(_CaseData!$B:$B,MATCH($A54,_CaseData!$A:$A,0))</f>
        <v>0195d18c-1ca6-752a-ec56-ed1b3d0cb095</v>
      </c>
      <c r="L54" s="6" t="str">
        <f>INDEX(CaseTypeCol!$B:$B,MATCH($C54,CaseTypeCol!$A:$A,0))</f>
        <v>0195d18c-1ca6-752a-ec56-ed1b3d0cb095</v>
      </c>
      <c r="M54" s="6" t="str">
        <f>INDEX(CaseTypeCol!$D:$D,MATCH($C54,CaseTypeCol!$A:$A,0))</f>
        <v>0198ef6d-8543-ab8a-bde3-659597476ba5</v>
      </c>
      <c r="N54" s="6" t="str">
        <f>INDEX(Col!$H:$H,MATCH($M54,Col!$A:$A,0))</f>
        <v>ID_PSEUDONYMISED</v>
      </c>
      <c r="O54" s="6" t="str">
        <f>IF(INDEX(Col!$I:$I,MATCH($M54,Col!$A:$A,0))="","",INDEX(Col!$I:$I,MATCH($M54,Col!$A:$A,0)))</f>
        <v/>
      </c>
      <c r="P54" s="6" t="str">
        <f>IF(INDEX(Col!$K:$K,MATCH($M54,Col!$A:$A,0))="","",INDEX(Col!$K:$K,MATCH($M54,Col!$A:$A,0)))</f>
        <v/>
      </c>
      <c r="Q54" s="6" t="str">
        <f>IF($O54="","",IF(NOT(ISNA(MATCH(LOWER($O54&amp;"|"&amp;$E54),Concept!$K:$K,0))),INDEX(Concept!$A:$A,MATCH(LOWER($O54&amp;"|"&amp;$E54),Concept!$K:$K,0)),IF(NOT(ISNA(MATCH(LOWER($O54&amp;"|"&amp;$E54),Concept!$L:$L,0))),INDEX(Concept!$A:$A,MATCH(LOWER($O54&amp;"|"&amp;$E54),Concept!$L:$L,0)),IF(NOT(ISNA(MATCH(LOWER($O54&amp;"|"&amp;$E54),Concept!$M:$M,0))),INDEX(Concept!$A:$A,MATCH(LOWER($O54&amp;"|"&amp;$E54),Concept!$M:$M,0)),""))))</f>
        <v/>
      </c>
      <c r="R54" s="6" t="str">
        <f>IF($P54="","",IF(NOT(ISNA(MATCH(LOWER($P54&amp;"|"&amp;$E54),Region!$J:$J,0))),INDEX(Region!$A:$A,MATCH(LOWER($P54&amp;"|"&amp;$E54),Region!$J:$J,0)),IF(NOT(ISNA(MATCH(LOWER($P54&amp;"|"&amp;$E54),Region!$K:$K,0))),INDEX(Region!$A:$A,MATCH(LOWER($P54&amp;"|"&amp;$E54),Region!$K:$K,0)),"")))</f>
        <v/>
      </c>
      <c r="S54" s="6" t="str">
        <f>IF($N54&lt;&gt;"ORGANIZATION","",IF(NOT(ISNA(MATCH($E54,Organization!$A:$A,0))),INDEX(Organization!$A:$A,MATCH($E54,Organization!$A:$A,0)),IF(NOT(ISNA(MATCH($E54,Organization!$B:$B,0))),INDEX(Organization!$A:$A,MATCH($E54,Organization!$B:$B,0)),IF(NOT(ISNA(MATCH($E54,Organization!$A:$A,0))),INDEX(Organization!$C:$C,MATCH($E54,Organization!$C:$C,0)),""))))</f>
        <v/>
      </c>
      <c r="T54" s="6" t="str">
        <f>INDEX(Col!$B:$B,MATCH($M54,Col!$A:$A,0))</f>
        <v>0198ef6d-8543-f771-bae1-9ddd35630976</v>
      </c>
      <c r="U54" s="6" t="str">
        <f>INDEX(Dim!$C:$C,MATCH($T54,Dim!$A:$A,0))</f>
        <v>id1</v>
      </c>
      <c r="V54" s="6" t="str">
        <f>INDEX(Dim!$B:$B,MATCH($T54,Dim!$A:$A,0))</f>
        <v>IDENTIFIER</v>
      </c>
      <c r="W54" t="b">
        <v>0</v>
      </c>
    </row>
    <row r="55" spans="1:23" x14ac:dyDescent="0.3">
      <c r="A55" t="s">
        <v>715</v>
      </c>
      <c r="B55" s="6" t="str">
        <f>INDEX(_CaseData!$G:$G,MATCH($A55,_CaseData!$A:$A,0))</f>
        <v>case_type2</v>
      </c>
      <c r="C55" t="s">
        <v>589</v>
      </c>
      <c r="D55" s="6" t="str">
        <f>INDEX(CaseTypeCol!$G:$G,MATCH($C55,CaseTypeCol!$A:$A,0))</f>
        <v>case_type2.number1_1 (DECIMAL_0)</v>
      </c>
      <c r="E55">
        <v>19</v>
      </c>
      <c r="G55" s="6">
        <f t="shared" si="0"/>
        <v>19</v>
      </c>
      <c r="H55" s="6" t="b">
        <f t="shared" si="1"/>
        <v>1</v>
      </c>
      <c r="I55" t="b">
        <v>1</v>
      </c>
      <c r="J55" s="6" t="b">
        <f t="shared" si="2"/>
        <v>1</v>
      </c>
      <c r="K55" s="6" t="str">
        <f>INDEX(_CaseData!$B:$B,MATCH($A55,_CaseData!$A:$A,0))</f>
        <v>0195d18c-1ca6-752a-ec56-ed1b3d0cb095</v>
      </c>
      <c r="L55" s="6" t="str">
        <f>INDEX(CaseTypeCol!$B:$B,MATCH($C55,CaseTypeCol!$A:$A,0))</f>
        <v>0195d18c-1ca6-752a-ec56-ed1b3d0cb095</v>
      </c>
      <c r="M55" s="6" t="str">
        <f>INDEX(CaseTypeCol!$D:$D,MATCH($C55,CaseTypeCol!$A:$A,0))</f>
        <v>0198ef6d-8543-c616-5348-1a00a03f4c57</v>
      </c>
      <c r="N55" s="6" t="str">
        <f>INDEX(Col!$H:$H,MATCH($M55,Col!$A:$A,0))</f>
        <v>DECIMAL_0</v>
      </c>
      <c r="O55" s="6" t="str">
        <f>IF(INDEX(Col!$I:$I,MATCH($M55,Col!$A:$A,0))="","",INDEX(Col!$I:$I,MATCH($M55,Col!$A:$A,0)))</f>
        <v/>
      </c>
      <c r="P55" s="6" t="str">
        <f>IF(INDEX(Col!$K:$K,MATCH($M55,Col!$A:$A,0))="","",INDEX(Col!$K:$K,MATCH($M55,Col!$A:$A,0)))</f>
        <v/>
      </c>
      <c r="Q55" s="6" t="str">
        <f>IF($O55="","",IF(NOT(ISNA(MATCH(LOWER($O55&amp;"|"&amp;$E55),Concept!$K:$K,0))),INDEX(Concept!$A:$A,MATCH(LOWER($O55&amp;"|"&amp;$E55),Concept!$K:$K,0)),IF(NOT(ISNA(MATCH(LOWER($O55&amp;"|"&amp;$E55),Concept!$L:$L,0))),INDEX(Concept!$A:$A,MATCH(LOWER($O55&amp;"|"&amp;$E55),Concept!$L:$L,0)),IF(NOT(ISNA(MATCH(LOWER($O55&amp;"|"&amp;$E55),Concept!$M:$M,0))),INDEX(Concept!$A:$A,MATCH(LOWER($O55&amp;"|"&amp;$E55),Concept!$M:$M,0)),""))))</f>
        <v/>
      </c>
      <c r="R55" s="6" t="str">
        <f>IF($P55="","",IF(NOT(ISNA(MATCH(LOWER($P55&amp;"|"&amp;$E55),Region!$J:$J,0))),INDEX(Region!$A:$A,MATCH(LOWER($P55&amp;"|"&amp;$E55),Region!$J:$J,0)),IF(NOT(ISNA(MATCH(LOWER($P55&amp;"|"&amp;$E55),Region!$K:$K,0))),INDEX(Region!$A:$A,MATCH(LOWER($P55&amp;"|"&amp;$E55),Region!$K:$K,0)),"")))</f>
        <v/>
      </c>
      <c r="S55" s="6" t="str">
        <f>IF($N55&lt;&gt;"ORGANIZATION","",IF(NOT(ISNA(MATCH($E55,Organization!$A:$A,0))),INDEX(Organization!$A:$A,MATCH($E55,Organization!$A:$A,0)),IF(NOT(ISNA(MATCH($E55,Organization!$B:$B,0))),INDEX(Organization!$A:$A,MATCH($E55,Organization!$B:$B,0)),IF(NOT(ISNA(MATCH($E55,Organization!$A:$A,0))),INDEX(Organization!$C:$C,MATCH($E55,Organization!$C:$C,0)),""))))</f>
        <v/>
      </c>
      <c r="T55" s="6" t="str">
        <f>INDEX(Col!$B:$B,MATCH($M55,Col!$A:$A,0))</f>
        <v>0198ef6d-8543-2e3c-58fa-85eca2a977c1</v>
      </c>
      <c r="U55" s="6" t="str">
        <f>INDEX(Dim!$C:$C,MATCH($T55,Dim!$A:$A,0))</f>
        <v>number1</v>
      </c>
      <c r="V55" s="6" t="str">
        <f>INDEX(Dim!$B:$B,MATCH($T55,Dim!$A:$A,0))</f>
        <v>NUMBER</v>
      </c>
      <c r="W55" t="b">
        <v>0</v>
      </c>
    </row>
    <row r="56" spans="1:23" x14ac:dyDescent="0.3">
      <c r="A56" t="s">
        <v>715</v>
      </c>
      <c r="B56" s="6" t="str">
        <f>INDEX(_CaseData!$G:$G,MATCH($A56,_CaseData!$A:$A,0))</f>
        <v>case_type2</v>
      </c>
      <c r="C56" t="s">
        <v>590</v>
      </c>
      <c r="D56" s="6" t="str">
        <f>INDEX(CaseTypeCol!$G:$G,MATCH($C56,CaseTypeCol!$A:$A,0))</f>
        <v>case_type2.number1_1 (INTERVAL;Age in years, intervals 0, 5, 15, 25, 45, 65)</v>
      </c>
      <c r="E56" s="11" t="s">
        <v>848</v>
      </c>
      <c r="G56" s="6" t="str">
        <f t="shared" si="0"/>
        <v>0198ef6d-8543-d03b-b9f4-f460fae89f04</v>
      </c>
      <c r="H56" s="6" t="b">
        <f t="shared" si="1"/>
        <v>1</v>
      </c>
      <c r="I56" t="b">
        <v>1</v>
      </c>
      <c r="J56" s="6" t="b">
        <f t="shared" si="2"/>
        <v>1</v>
      </c>
      <c r="K56" s="6" t="str">
        <f>INDEX(_CaseData!$B:$B,MATCH($A56,_CaseData!$A:$A,0))</f>
        <v>0195d18c-1ca6-752a-ec56-ed1b3d0cb095</v>
      </c>
      <c r="L56" s="6" t="str">
        <f>INDEX(CaseTypeCol!$B:$B,MATCH($C56,CaseTypeCol!$A:$A,0))</f>
        <v>0195d18c-1ca6-752a-ec56-ed1b3d0cb095</v>
      </c>
      <c r="M56" s="6" t="str">
        <f>INDEX(CaseTypeCol!$D:$D,MATCH($C56,CaseTypeCol!$A:$A,0))</f>
        <v>0198ef6d-8543-d80f-bded-2df4b7df993d</v>
      </c>
      <c r="N56" s="6" t="str">
        <f>INDEX(Col!$H:$H,MATCH($M56,Col!$A:$A,0))</f>
        <v>INTERVAL</v>
      </c>
      <c r="O56" s="6" t="str">
        <f>IF(INDEX(Col!$I:$I,MATCH($M56,Col!$A:$A,0))="","",INDEX(Col!$I:$I,MATCH($M56,Col!$A:$A,0)))</f>
        <v>0198ef6d-8543-020d-44c5-53e813a46714</v>
      </c>
      <c r="P56" s="6" t="str">
        <f>IF(INDEX(Col!$K:$K,MATCH($M56,Col!$A:$A,0))="","",INDEX(Col!$K:$K,MATCH($M56,Col!$A:$A,0)))</f>
        <v/>
      </c>
      <c r="Q56" s="6" t="str">
        <f>IF($O56="","",IF(NOT(ISNA(MATCH(LOWER($O56&amp;"|"&amp;$E56),Concept!$K:$K,0))),INDEX(Concept!$A:$A,MATCH(LOWER($O56&amp;"|"&amp;$E56),Concept!$K:$K,0)),IF(NOT(ISNA(MATCH(LOWER($O56&amp;"|"&amp;$E56),Concept!$L:$L,0))),INDEX(Concept!$A:$A,MATCH(LOWER($O56&amp;"|"&amp;$E56),Concept!$L:$L,0)),IF(NOT(ISNA(MATCH(LOWER($O56&amp;"|"&amp;$E56),Concept!$M:$M,0))),INDEX(Concept!$A:$A,MATCH(LOWER($O56&amp;"|"&amp;$E56),Concept!$M:$M,0)),""))))</f>
        <v>0198ef6d-8543-d03b-b9f4-f460fae89f04</v>
      </c>
      <c r="R56" s="6" t="str">
        <f>IF($P56="","",IF(NOT(ISNA(MATCH(LOWER($P56&amp;"|"&amp;$E56),Region!$J:$J,0))),INDEX(Region!$A:$A,MATCH(LOWER($P56&amp;"|"&amp;$E56),Region!$J:$J,0)),IF(NOT(ISNA(MATCH(LOWER($P56&amp;"|"&amp;$E56),Region!$K:$K,0))),INDEX(Region!$A:$A,MATCH(LOWER($P56&amp;"|"&amp;$E56),Region!$K:$K,0)),"")))</f>
        <v/>
      </c>
      <c r="S56" s="6" t="str">
        <f>IF($N56&lt;&gt;"ORGANIZATION","",IF(NOT(ISNA(MATCH($E56,Organization!$A:$A,0))),INDEX(Organization!$A:$A,MATCH($E56,Organization!$A:$A,0)),IF(NOT(ISNA(MATCH($E56,Organization!$B:$B,0))),INDEX(Organization!$A:$A,MATCH($E56,Organization!$B:$B,0)),IF(NOT(ISNA(MATCH($E56,Organization!$A:$A,0))),INDEX(Organization!$C:$C,MATCH($E56,Organization!$C:$C,0)),""))))</f>
        <v/>
      </c>
      <c r="T56" s="6" t="str">
        <f>INDEX(Col!$B:$B,MATCH($M56,Col!$A:$A,0))</f>
        <v>0198ef6d-8543-2e3c-58fa-85eca2a977c1</v>
      </c>
      <c r="U56" s="6" t="str">
        <f>INDEX(Dim!$C:$C,MATCH($T56,Dim!$A:$A,0))</f>
        <v>number1</v>
      </c>
      <c r="V56" s="6" t="str">
        <f>INDEX(Dim!$B:$B,MATCH($T56,Dim!$A:$A,0))</f>
        <v>NUMBER</v>
      </c>
      <c r="W56" t="b">
        <v>0</v>
      </c>
    </row>
    <row r="57" spans="1:23" x14ac:dyDescent="0.3">
      <c r="A57" t="s">
        <v>715</v>
      </c>
      <c r="B57" s="6" t="str">
        <f>INDEX(_CaseData!$G:$G,MATCH($A57,_CaseData!$A:$A,0))</f>
        <v>case_type2</v>
      </c>
      <c r="C57" t="s">
        <v>591</v>
      </c>
      <c r="D57" s="6" t="str">
        <f>INDEX(CaseTypeCol!$G:$G,MATCH($C57,CaseTypeCol!$A:$A,0))</f>
        <v>case_type2.number1_1 (INTERVAL;Age in years, intervals 0, 5, 19, 65)</v>
      </c>
      <c r="E57" s="11" t="s">
        <v>849</v>
      </c>
      <c r="G57" s="6" t="str">
        <f t="shared" si="0"/>
        <v>0198ef6d-8543-626b-c05d-de74547d3621</v>
      </c>
      <c r="H57" s="6" t="b">
        <f t="shared" si="1"/>
        <v>1</v>
      </c>
      <c r="I57" t="b">
        <v>1</v>
      </c>
      <c r="J57" s="6" t="b">
        <f t="shared" si="2"/>
        <v>1</v>
      </c>
      <c r="K57" s="6" t="str">
        <f>INDEX(_CaseData!$B:$B,MATCH($A57,_CaseData!$A:$A,0))</f>
        <v>0195d18c-1ca6-752a-ec56-ed1b3d0cb095</v>
      </c>
      <c r="L57" s="6" t="str">
        <f>INDEX(CaseTypeCol!$B:$B,MATCH($C57,CaseTypeCol!$A:$A,0))</f>
        <v>0195d18c-1ca6-752a-ec56-ed1b3d0cb095</v>
      </c>
      <c r="M57" s="6" t="str">
        <f>INDEX(CaseTypeCol!$D:$D,MATCH($C57,CaseTypeCol!$A:$A,0))</f>
        <v>0198ef6d-8543-7e88-f9a1-238ceac18124</v>
      </c>
      <c r="N57" s="6" t="str">
        <f>INDEX(Col!$H:$H,MATCH($M57,Col!$A:$A,0))</f>
        <v>INTERVAL</v>
      </c>
      <c r="O57" s="6" t="str">
        <f>IF(INDEX(Col!$I:$I,MATCH($M57,Col!$A:$A,0))="","",INDEX(Col!$I:$I,MATCH($M57,Col!$A:$A,0)))</f>
        <v>0198ef6d-8543-2a37-be54-7f7d24e1ed1d</v>
      </c>
      <c r="P57" s="6" t="str">
        <f>IF(INDEX(Col!$K:$K,MATCH($M57,Col!$A:$A,0))="","",INDEX(Col!$K:$K,MATCH($M57,Col!$A:$A,0)))</f>
        <v/>
      </c>
      <c r="Q57" s="6" t="str">
        <f>IF($O57="","",IF(NOT(ISNA(MATCH(LOWER($O57&amp;"|"&amp;$E57),Concept!$K:$K,0))),INDEX(Concept!$A:$A,MATCH(LOWER($O57&amp;"|"&amp;$E57),Concept!$K:$K,0)),IF(NOT(ISNA(MATCH(LOWER($O57&amp;"|"&amp;$E57),Concept!$L:$L,0))),INDEX(Concept!$A:$A,MATCH(LOWER($O57&amp;"|"&amp;$E57),Concept!$L:$L,0)),IF(NOT(ISNA(MATCH(LOWER($O57&amp;"|"&amp;$E57),Concept!$M:$M,0))),INDEX(Concept!$A:$A,MATCH(LOWER($O57&amp;"|"&amp;$E57),Concept!$M:$M,0)),""))))</f>
        <v>0198ef6d-8543-626b-c05d-de74547d3621</v>
      </c>
      <c r="R57" s="6" t="str">
        <f>IF($P57="","",IF(NOT(ISNA(MATCH(LOWER($P57&amp;"|"&amp;$E57),Region!$J:$J,0))),INDEX(Region!$A:$A,MATCH(LOWER($P57&amp;"|"&amp;$E57),Region!$J:$J,0)),IF(NOT(ISNA(MATCH(LOWER($P57&amp;"|"&amp;$E57),Region!$K:$K,0))),INDEX(Region!$A:$A,MATCH(LOWER($P57&amp;"|"&amp;$E57),Region!$K:$K,0)),"")))</f>
        <v/>
      </c>
      <c r="S57" s="6" t="str">
        <f>IF($N57&lt;&gt;"ORGANIZATION","",IF(NOT(ISNA(MATCH($E57,Organization!$A:$A,0))),INDEX(Organization!$A:$A,MATCH($E57,Organization!$A:$A,0)),IF(NOT(ISNA(MATCH($E57,Organization!$B:$B,0))),INDEX(Organization!$A:$A,MATCH($E57,Organization!$B:$B,0)),IF(NOT(ISNA(MATCH($E57,Organization!$A:$A,0))),INDEX(Organization!$C:$C,MATCH($E57,Organization!$C:$C,0)),""))))</f>
        <v/>
      </c>
      <c r="T57" s="6" t="str">
        <f>INDEX(Col!$B:$B,MATCH($M57,Col!$A:$A,0))</f>
        <v>0198ef6d-8543-2e3c-58fa-85eca2a977c1</v>
      </c>
      <c r="U57" s="6" t="str">
        <f>INDEX(Dim!$C:$C,MATCH($T57,Dim!$A:$A,0))</f>
        <v>number1</v>
      </c>
      <c r="V57" s="6" t="str">
        <f>INDEX(Dim!$B:$B,MATCH($T57,Dim!$A:$A,0))</f>
        <v>NUMBER</v>
      </c>
      <c r="W57" t="b">
        <v>0</v>
      </c>
    </row>
    <row r="58" spans="1:23" x14ac:dyDescent="0.3">
      <c r="A58" t="s">
        <v>715</v>
      </c>
      <c r="B58" s="6" t="str">
        <f>INDEX(_CaseData!$G:$G,MATCH($A58,_CaseData!$A:$A,0))</f>
        <v>case_type2</v>
      </c>
      <c r="C58" t="s">
        <v>592</v>
      </c>
      <c r="D58" s="6" t="str">
        <f>INDEX(CaseTypeCol!$G:$G,MATCH($C58,CaseTypeCol!$A:$A,0))</f>
        <v>case_type2.other1_1 (OTHER)</v>
      </c>
      <c r="E58" t="s">
        <v>712</v>
      </c>
      <c r="G58" s="6" t="str">
        <f t="shared" si="0"/>
        <v>OTHER1_1</v>
      </c>
      <c r="H58" s="6" t="b">
        <f t="shared" si="1"/>
        <v>1</v>
      </c>
      <c r="I58" t="b">
        <v>1</v>
      </c>
      <c r="J58" s="6" t="b">
        <f t="shared" si="2"/>
        <v>1</v>
      </c>
      <c r="K58" s="6" t="str">
        <f>INDEX(_CaseData!$B:$B,MATCH($A58,_CaseData!$A:$A,0))</f>
        <v>0195d18c-1ca6-752a-ec56-ed1b3d0cb095</v>
      </c>
      <c r="L58" s="6" t="str">
        <f>INDEX(CaseTypeCol!$B:$B,MATCH($C58,CaseTypeCol!$A:$A,0))</f>
        <v>0195d18c-1ca6-752a-ec56-ed1b3d0cb095</v>
      </c>
      <c r="M58" s="6" t="str">
        <f>INDEX(CaseTypeCol!$D:$D,MATCH($C58,CaseTypeCol!$A:$A,0))</f>
        <v>0198ef6d-8543-48c7-ff84-ba2c574cb664</v>
      </c>
      <c r="N58" s="6" t="str">
        <f>INDEX(Col!$H:$H,MATCH($M58,Col!$A:$A,0))</f>
        <v>OTHER</v>
      </c>
      <c r="O58" s="6" t="str">
        <f>IF(INDEX(Col!$I:$I,MATCH($M58,Col!$A:$A,0))="","",INDEX(Col!$I:$I,MATCH($M58,Col!$A:$A,0)))</f>
        <v/>
      </c>
      <c r="P58" s="6" t="str">
        <f>IF(INDEX(Col!$K:$K,MATCH($M58,Col!$A:$A,0))="","",INDEX(Col!$K:$K,MATCH($M58,Col!$A:$A,0)))</f>
        <v/>
      </c>
      <c r="Q58" s="6" t="str">
        <f>IF($O58="","",IF(NOT(ISNA(MATCH(LOWER($O58&amp;"|"&amp;$E58),Concept!$K:$K,0))),INDEX(Concept!$A:$A,MATCH(LOWER($O58&amp;"|"&amp;$E58),Concept!$K:$K,0)),IF(NOT(ISNA(MATCH(LOWER($O58&amp;"|"&amp;$E58),Concept!$L:$L,0))),INDEX(Concept!$A:$A,MATCH(LOWER($O58&amp;"|"&amp;$E58),Concept!$L:$L,0)),IF(NOT(ISNA(MATCH(LOWER($O58&amp;"|"&amp;$E58),Concept!$M:$M,0))),INDEX(Concept!$A:$A,MATCH(LOWER($O58&amp;"|"&amp;$E58),Concept!$M:$M,0)),""))))</f>
        <v/>
      </c>
      <c r="R58" s="6" t="str">
        <f>IF($P58="","",IF(NOT(ISNA(MATCH(LOWER($P58&amp;"|"&amp;$E58),Region!$J:$J,0))),INDEX(Region!$A:$A,MATCH(LOWER($P58&amp;"|"&amp;$E58),Region!$J:$J,0)),IF(NOT(ISNA(MATCH(LOWER($P58&amp;"|"&amp;$E58),Region!$K:$K,0))),INDEX(Region!$A:$A,MATCH(LOWER($P58&amp;"|"&amp;$E58),Region!$K:$K,0)),"")))</f>
        <v/>
      </c>
      <c r="S58" s="6" t="str">
        <f>IF($N58&lt;&gt;"ORGANIZATION","",IF(NOT(ISNA(MATCH($E58,Organization!$A:$A,0))),INDEX(Organization!$A:$A,MATCH($E58,Organization!$A:$A,0)),IF(NOT(ISNA(MATCH($E58,Organization!$B:$B,0))),INDEX(Organization!$A:$A,MATCH($E58,Organization!$B:$B,0)),IF(NOT(ISNA(MATCH($E58,Organization!$A:$A,0))),INDEX(Organization!$C:$C,MATCH($E58,Organization!$C:$C,0)),""))))</f>
        <v/>
      </c>
      <c r="T58" s="6" t="str">
        <f>INDEX(Col!$B:$B,MATCH($M58,Col!$A:$A,0))</f>
        <v>0198ef6d-8543-464e-e152-42bb0dc00713</v>
      </c>
      <c r="U58" s="6" t="str">
        <f>INDEX(Dim!$C:$C,MATCH($T58,Dim!$A:$A,0))</f>
        <v>other1</v>
      </c>
      <c r="V58" s="6" t="str">
        <f>INDEX(Dim!$B:$B,MATCH($T58,Dim!$A:$A,0))</f>
        <v>OTHER</v>
      </c>
      <c r="W58" t="b">
        <v>0</v>
      </c>
    </row>
  </sheetData>
  <autoFilter ref="A1:R58" xr:uid="{6EBCD083-FC70-48A6-9216-CB6293E1F295}"/>
  <phoneticPr fontId="4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"/>
  <sheetViews>
    <sheetView workbookViewId="0">
      <selection activeCell="A3" sqref="A3"/>
    </sheetView>
  </sheetViews>
  <sheetFormatPr defaultColWidth="8.77734375" defaultRowHeight="14.4" x14ac:dyDescent="0.3"/>
  <cols>
    <col min="1" max="1" width="35.6640625" bestFit="1" customWidth="1"/>
    <col min="2" max="2" width="24.109375" bestFit="1" customWidth="1"/>
    <col min="3" max="3" width="21.109375" bestFit="1" customWidth="1"/>
  </cols>
  <sheetData>
    <row r="1" spans="1:3" x14ac:dyDescent="0.3">
      <c r="A1" s="1" t="s">
        <v>0</v>
      </c>
      <c r="B1" s="1" t="s">
        <v>57</v>
      </c>
      <c r="C1" s="1" t="s">
        <v>78</v>
      </c>
    </row>
    <row r="2" spans="1:3" x14ac:dyDescent="0.3">
      <c r="A2" t="s">
        <v>64</v>
      </c>
      <c r="B2" t="s">
        <v>593</v>
      </c>
      <c r="C2" t="s">
        <v>596</v>
      </c>
    </row>
    <row r="3" spans="1:3" x14ac:dyDescent="0.3">
      <c r="A3" t="s">
        <v>137</v>
      </c>
      <c r="B3" t="s">
        <v>594</v>
      </c>
      <c r="C3" t="s">
        <v>595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6"/>
  <sheetViews>
    <sheetView workbookViewId="0">
      <pane ySplit="1" topLeftCell="A2" activePane="bottomLeft" state="frozen"/>
      <selection pane="bottomLeft" activeCell="F4" sqref="F4"/>
    </sheetView>
  </sheetViews>
  <sheetFormatPr defaultColWidth="8.77734375" defaultRowHeight="14.4" x14ac:dyDescent="0.3"/>
  <cols>
    <col min="1" max="1" width="36.6640625" bestFit="1" customWidth="1"/>
    <col min="2" max="2" width="35.88671875" bestFit="1" customWidth="1"/>
    <col min="3" max="3" width="25.21875" style="6" bestFit="1" customWidth="1"/>
    <col min="4" max="4" width="16.88671875" bestFit="1" customWidth="1"/>
    <col min="5" max="5" width="36.6640625" bestFit="1" customWidth="1"/>
    <col min="6" max="6" width="66.88671875" style="6" bestFit="1" customWidth="1"/>
    <col min="7" max="7" width="13.21875" bestFit="1" customWidth="1"/>
    <col min="8" max="8" width="72.88671875" style="6" bestFit="1" customWidth="1"/>
  </cols>
  <sheetData>
    <row r="1" spans="1:8" x14ac:dyDescent="0.3">
      <c r="A1" s="1" t="s">
        <v>0</v>
      </c>
      <c r="B1" s="1" t="s">
        <v>60</v>
      </c>
      <c r="C1" s="10" t="s">
        <v>821</v>
      </c>
      <c r="D1" s="1" t="s">
        <v>61</v>
      </c>
      <c r="E1" s="1" t="s">
        <v>135</v>
      </c>
      <c r="F1" s="10" t="s">
        <v>793</v>
      </c>
      <c r="G1" s="1" t="s">
        <v>136</v>
      </c>
      <c r="H1" s="16" t="s">
        <v>284</v>
      </c>
    </row>
    <row r="2" spans="1:8" x14ac:dyDescent="0.3">
      <c r="A2" t="s">
        <v>597</v>
      </c>
      <c r="B2" t="s">
        <v>64</v>
      </c>
      <c r="C2" s="6" t="str">
        <f>INDEX(CaseTypeColSet!$B:$B,MATCH($B2,CaseTypeColSet!$A:$A,0))</f>
        <v>case_type_col_set1_1</v>
      </c>
      <c r="E2" t="s">
        <v>536</v>
      </c>
      <c r="F2" s="6" t="str">
        <f>INDEX(CaseTypeCol!$G:$G,MATCH($E2,CaseTypeCol!$A:$A,0))</f>
        <v>case_type1.nominal1_1 (NOMINAL;Nominal_1)</v>
      </c>
      <c r="H2" s="6" t="str">
        <f>$B2&amp;"|"&amp;$E2</f>
        <v>0195d18c-1cc1-44c2-1d6e-874dad333458|0198ef6d-8543-a221-af7e-774497e4801a</v>
      </c>
    </row>
    <row r="3" spans="1:8" x14ac:dyDescent="0.3">
      <c r="A3" t="s">
        <v>598</v>
      </c>
      <c r="B3" t="s">
        <v>64</v>
      </c>
      <c r="C3" s="6" t="str">
        <f>INDEX(CaseTypeColSet!$B:$B,MATCH($B3,CaseTypeColSet!$A:$A,0))</f>
        <v>case_type_col_set1_1</v>
      </c>
      <c r="E3" t="s">
        <v>538</v>
      </c>
      <c r="F3" s="6" t="str">
        <f>INDEX(CaseTypeCol!$G:$G,MATCH($E3,CaseTypeCol!$A:$A,0))</f>
        <v>case_type1.ordinal1_1 (ORDINAL;Ordinal_1)</v>
      </c>
      <c r="H3" s="6" t="str">
        <f t="shared" ref="H3:H66" si="0">$B3&amp;"|"&amp;$E3</f>
        <v>0195d18c-1cc1-44c2-1d6e-874dad333458|0198ef6d-8543-ce42-568c-c8e8405533a1</v>
      </c>
    </row>
    <row r="4" spans="1:8" x14ac:dyDescent="0.3">
      <c r="A4" t="s">
        <v>599</v>
      </c>
      <c r="B4" t="s">
        <v>64</v>
      </c>
      <c r="C4" s="6" t="str">
        <f>INDEX(CaseTypeColSet!$B:$B,MATCH($B4,CaseTypeColSet!$A:$A,0))</f>
        <v>case_type_col_set1_1</v>
      </c>
      <c r="E4" t="s">
        <v>540</v>
      </c>
      <c r="F4" s="6" t="str">
        <f>INDEX(CaseTypeCol!$G:$G,MATCH($E4,CaseTypeCol!$A:$A,0))</f>
        <v>case_type1.regex1_1 (REGULAR_LANGUAGE;Regex_1)</v>
      </c>
      <c r="H4" s="6" t="str">
        <f t="shared" si="0"/>
        <v>0195d18c-1cc1-44c2-1d6e-874dad333458|0198ef6d-8543-1062-3f54-74f967fd95da</v>
      </c>
    </row>
    <row r="5" spans="1:8" x14ac:dyDescent="0.3">
      <c r="A5" t="s">
        <v>600</v>
      </c>
      <c r="B5" t="s">
        <v>64</v>
      </c>
      <c r="C5" s="6" t="str">
        <f>INDEX(CaseTypeColSet!$B:$B,MATCH($B5,CaseTypeColSet!$A:$A,0))</f>
        <v>case_type_col_set1_1</v>
      </c>
      <c r="E5" t="s">
        <v>542</v>
      </c>
      <c r="F5" s="6" t="str">
        <f>INDEX(CaseTypeCol!$G:$G,MATCH($E5,CaseTypeCol!$A:$A,0))</f>
        <v>case_type1.text1_1 (TEXT)</v>
      </c>
      <c r="H5" s="6" t="str">
        <f t="shared" si="0"/>
        <v>0195d18c-1cc1-44c2-1d6e-874dad333458|0198ef6d-8543-f372-ce25-38616e4c214d</v>
      </c>
    </row>
    <row r="6" spans="1:8" x14ac:dyDescent="0.3">
      <c r="A6" t="s">
        <v>601</v>
      </c>
      <c r="B6" t="s">
        <v>64</v>
      </c>
      <c r="C6" s="6" t="str">
        <f>INDEX(CaseTypeColSet!$B:$B,MATCH($B6,CaseTypeColSet!$A:$A,0))</f>
        <v>case_type_col_set1_1</v>
      </c>
      <c r="E6" t="s">
        <v>544</v>
      </c>
      <c r="F6" s="6" t="str">
        <f>INDEX(CaseTypeCol!$G:$G,MATCH($E6,CaseTypeCol!$A:$A,0))</f>
        <v>case_type1.org1_1 (ORGANIZATION)</v>
      </c>
      <c r="H6" s="6" t="str">
        <f t="shared" si="0"/>
        <v>0195d18c-1cc1-44c2-1d6e-874dad333458|0198ef6d-8543-b8fc-9de5-72be815082e0</v>
      </c>
    </row>
    <row r="7" spans="1:8" x14ac:dyDescent="0.3">
      <c r="A7" t="s">
        <v>602</v>
      </c>
      <c r="B7" t="s">
        <v>64</v>
      </c>
      <c r="C7" s="6" t="str">
        <f>INDEX(CaseTypeColSet!$B:$B,MATCH($B7,CaseTypeColSet!$A:$A,0))</f>
        <v>case_type_col_set1_1</v>
      </c>
      <c r="E7" t="s">
        <v>546</v>
      </c>
      <c r="F7" s="6" t="str">
        <f>INDEX(CaseTypeCol!$G:$G,MATCH($E7,CaseTypeCol!$A:$A,0))</f>
        <v>case_type1.geo1_1 (GEO_REGION;PC_L4)</v>
      </c>
      <c r="H7" s="6" t="str">
        <f t="shared" si="0"/>
        <v>0195d18c-1cc1-44c2-1d6e-874dad333458|0198ef6d-8543-371a-179d-9c036f8c66f2</v>
      </c>
    </row>
    <row r="8" spans="1:8" x14ac:dyDescent="0.3">
      <c r="A8" t="s">
        <v>603</v>
      </c>
      <c r="B8" t="s">
        <v>64</v>
      </c>
      <c r="C8" s="6" t="str">
        <f>INDEX(CaseTypeColSet!$B:$B,MATCH($B8,CaseTypeColSet!$A:$A,0))</f>
        <v>case_type_col_set1_1</v>
      </c>
      <c r="E8" t="s">
        <v>547</v>
      </c>
      <c r="F8" s="6" t="str">
        <f>INDEX(CaseTypeCol!$G:$G,MATCH($E8,CaseTypeCol!$A:$A,0))</f>
        <v>case_type1.geo1_2 (GEO_REGION;PC_L3)</v>
      </c>
      <c r="H8" s="6" t="str">
        <f t="shared" si="0"/>
        <v>0195d18c-1cc1-44c2-1d6e-874dad333458|0198ef6d-8543-7325-a3c3-0be3c6d6193b</v>
      </c>
    </row>
    <row r="9" spans="1:8" x14ac:dyDescent="0.3">
      <c r="A9" t="s">
        <v>604</v>
      </c>
      <c r="B9" t="s">
        <v>64</v>
      </c>
      <c r="C9" s="6" t="str">
        <f>INDEX(CaseTypeColSet!$B:$B,MATCH($B9,CaseTypeColSet!$A:$A,0))</f>
        <v>case_type_col_set1_1</v>
      </c>
      <c r="E9" t="s">
        <v>548</v>
      </c>
      <c r="F9" s="6" t="str">
        <f>INDEX(CaseTypeCol!$G:$G,MATCH($E9,CaseTypeCol!$A:$A,0))</f>
        <v>case_type1.geo1_3 (GEO_REGION;MUN)</v>
      </c>
      <c r="H9" s="6" t="str">
        <f t="shared" si="0"/>
        <v>0195d18c-1cc1-44c2-1d6e-874dad333458|0198ef6d-8543-61b3-63f1-bc4f52741be3</v>
      </c>
    </row>
    <row r="10" spans="1:8" x14ac:dyDescent="0.3">
      <c r="A10" t="s">
        <v>605</v>
      </c>
      <c r="B10" t="s">
        <v>64</v>
      </c>
      <c r="C10" s="6" t="str">
        <f>INDEX(CaseTypeColSet!$B:$B,MATCH($B10,CaseTypeColSet!$A:$A,0))</f>
        <v>case_type_col_set1_1</v>
      </c>
      <c r="E10" t="s">
        <v>549</v>
      </c>
      <c r="F10" s="6" t="str">
        <f>INDEX(CaseTypeCol!$G:$G,MATCH($E10,CaseTypeCol!$A:$A,0))</f>
        <v>case_type1.geo1_4 (GEO_REGION;PV)</v>
      </c>
      <c r="H10" s="6" t="str">
        <f t="shared" si="0"/>
        <v>0195d18c-1cc1-44c2-1d6e-874dad333458|0198ef6d-8543-f6da-4821-571b2b52bd5b</v>
      </c>
    </row>
    <row r="11" spans="1:8" x14ac:dyDescent="0.3">
      <c r="A11" t="s">
        <v>606</v>
      </c>
      <c r="B11" t="s">
        <v>64</v>
      </c>
      <c r="C11" s="6" t="str">
        <f>INDEX(CaseTypeColSet!$B:$B,MATCH($B11,CaseTypeColSet!$A:$A,0))</f>
        <v>case_type_col_set1_1</v>
      </c>
      <c r="E11" t="s">
        <v>554</v>
      </c>
      <c r="F11" s="6" t="str">
        <f>INDEX(CaseTypeCol!$G:$G,MATCH($E11,CaseTypeCol!$A:$A,0))</f>
        <v>case_type1.time1_1 (TIME_DAY)</v>
      </c>
      <c r="H11" s="6" t="str">
        <f t="shared" si="0"/>
        <v>0195d18c-1cc1-44c2-1d6e-874dad333458|0198ef6d-8543-3dff-04fd-3c65614d655d</v>
      </c>
    </row>
    <row r="12" spans="1:8" x14ac:dyDescent="0.3">
      <c r="A12" t="s">
        <v>607</v>
      </c>
      <c r="B12" t="s">
        <v>64</v>
      </c>
      <c r="C12" s="6" t="str">
        <f>INDEX(CaseTypeColSet!$B:$B,MATCH($B12,CaseTypeColSet!$A:$A,0))</f>
        <v>case_type_col_set1_1</v>
      </c>
      <c r="E12" t="s">
        <v>555</v>
      </c>
      <c r="F12" s="6" t="str">
        <f>INDEX(CaseTypeCol!$G:$G,MATCH($E12,CaseTypeCol!$A:$A,0))</f>
        <v>case_type1.time1_2 (TIME_WEEK)</v>
      </c>
      <c r="H12" s="6" t="str">
        <f t="shared" si="0"/>
        <v>0195d18c-1cc1-44c2-1d6e-874dad333458|0198ef6d-8543-c3d9-408d-20f86d523b9f</v>
      </c>
    </row>
    <row r="13" spans="1:8" x14ac:dyDescent="0.3">
      <c r="A13" t="s">
        <v>608</v>
      </c>
      <c r="B13" t="s">
        <v>64</v>
      </c>
      <c r="C13" s="6" t="str">
        <f>INDEX(CaseTypeColSet!$B:$B,MATCH($B13,CaseTypeColSet!$A:$A,0))</f>
        <v>case_type_col_set1_1</v>
      </c>
      <c r="E13" t="s">
        <v>556</v>
      </c>
      <c r="F13" s="6" t="str">
        <f>INDEX(CaseTypeCol!$G:$G,MATCH($E13,CaseTypeCol!$A:$A,0))</f>
        <v>case_type1.time1_3 (TIME_MONTH)</v>
      </c>
      <c r="H13" s="6" t="str">
        <f t="shared" si="0"/>
        <v>0195d18c-1cc1-44c2-1d6e-874dad333458|0198ef6d-8543-e425-5793-c7c455726f56</v>
      </c>
    </row>
    <row r="14" spans="1:8" x14ac:dyDescent="0.3">
      <c r="A14" t="s">
        <v>609</v>
      </c>
      <c r="B14" t="s">
        <v>64</v>
      </c>
      <c r="C14" s="6" t="str">
        <f>INDEX(CaseTypeColSet!$B:$B,MATCH($B14,CaseTypeColSet!$A:$A,0))</f>
        <v>case_type_col_set1_1</v>
      </c>
      <c r="E14" t="s">
        <v>557</v>
      </c>
      <c r="F14" s="6" t="str">
        <f>INDEX(CaseTypeCol!$G:$G,MATCH($E14,CaseTypeCol!$A:$A,0))</f>
        <v>case_type1.time1_4 (TIME_QUARTER)</v>
      </c>
      <c r="H14" s="6" t="str">
        <f t="shared" si="0"/>
        <v>0195d18c-1cc1-44c2-1d6e-874dad333458|0198ef6d-8543-0bc5-2af0-dbe7f34bc5cc</v>
      </c>
    </row>
    <row r="15" spans="1:8" x14ac:dyDescent="0.3">
      <c r="A15" t="s">
        <v>610</v>
      </c>
      <c r="B15" t="s">
        <v>64</v>
      </c>
      <c r="C15" s="6" t="str">
        <f>INDEX(CaseTypeColSet!$B:$B,MATCH($B15,CaseTypeColSet!$A:$A,0))</f>
        <v>case_type_col_set1_1</v>
      </c>
      <c r="E15" t="s">
        <v>558</v>
      </c>
      <c r="F15" s="6" t="str">
        <f>INDEX(CaseTypeCol!$G:$G,MATCH($E15,CaseTypeCol!$A:$A,0))</f>
        <v>case_type1.time1_5 (TIME_YEAR)</v>
      </c>
      <c r="H15" s="6" t="str">
        <f t="shared" si="0"/>
        <v>0195d18c-1cc1-44c2-1d6e-874dad333458|0198ef6d-8543-58d8-f78b-17d1fd52333b</v>
      </c>
    </row>
    <row r="16" spans="1:8" x14ac:dyDescent="0.3">
      <c r="A16" t="s">
        <v>611</v>
      </c>
      <c r="B16" t="s">
        <v>64</v>
      </c>
      <c r="C16" s="6" t="str">
        <f>INDEX(CaseTypeColSet!$B:$B,MATCH($B16,CaseTypeColSet!$A:$A,0))</f>
        <v>case_type_col_set1_1</v>
      </c>
      <c r="E16" t="s">
        <v>564</v>
      </c>
      <c r="F16" s="6" t="str">
        <f>INDEX(CaseTypeCol!$G:$G,MATCH($E16,CaseTypeCol!$A:$A,0))</f>
        <v>case_type1.id1_1 (ID_PSEUDONYMISED)</v>
      </c>
      <c r="H16" s="6" t="str">
        <f t="shared" si="0"/>
        <v>0195d18c-1cc1-44c2-1d6e-874dad333458|0198ef6d-8543-f61d-4edc-07bcd51c380d</v>
      </c>
    </row>
    <row r="17" spans="1:8" x14ac:dyDescent="0.3">
      <c r="A17" t="s">
        <v>612</v>
      </c>
      <c r="B17" t="s">
        <v>64</v>
      </c>
      <c r="C17" s="6" t="str">
        <f>INDEX(CaseTypeColSet!$B:$B,MATCH($B17,CaseTypeColSet!$A:$A,0))</f>
        <v>case_type_col_set1_1</v>
      </c>
      <c r="E17" t="s">
        <v>566</v>
      </c>
      <c r="F17" s="6" t="str">
        <f>INDEX(CaseTypeCol!$G:$G,MATCH($E17,CaseTypeCol!$A:$A,0))</f>
        <v>case_type1.number1_1 (DECIMAL_0)</v>
      </c>
      <c r="H17" s="6" t="str">
        <f t="shared" si="0"/>
        <v>0195d18c-1cc1-44c2-1d6e-874dad333458|0198ef6d-8543-2afc-2c12-93e895132544</v>
      </c>
    </row>
    <row r="18" spans="1:8" x14ac:dyDescent="0.3">
      <c r="A18" t="s">
        <v>613</v>
      </c>
      <c r="B18" t="s">
        <v>64</v>
      </c>
      <c r="C18" s="6" t="str">
        <f>INDEX(CaseTypeColSet!$B:$B,MATCH($B18,CaseTypeColSet!$A:$A,0))</f>
        <v>case_type_col_set1_1</v>
      </c>
      <c r="E18" t="s">
        <v>567</v>
      </c>
      <c r="F18" s="6" t="str">
        <f>INDEX(CaseTypeCol!$G:$G,MATCH($E18,CaseTypeCol!$A:$A,0))</f>
        <v>case_type1.number1_1 (INTERVAL;Age in years, intervals 0, 5, 15, 25, 45, 65)</v>
      </c>
      <c r="H18" s="6" t="str">
        <f t="shared" si="0"/>
        <v>0195d18c-1cc1-44c2-1d6e-874dad333458|0198ef6d-8543-c453-7e15-c4a877df12b1</v>
      </c>
    </row>
    <row r="19" spans="1:8" x14ac:dyDescent="0.3">
      <c r="A19" t="s">
        <v>614</v>
      </c>
      <c r="B19" t="s">
        <v>64</v>
      </c>
      <c r="C19" s="6" t="str">
        <f>INDEX(CaseTypeColSet!$B:$B,MATCH($B19,CaseTypeColSet!$A:$A,0))</f>
        <v>case_type_col_set1_1</v>
      </c>
      <c r="E19" t="s">
        <v>568</v>
      </c>
      <c r="F19" s="6" t="str">
        <f>INDEX(CaseTypeCol!$G:$G,MATCH($E19,CaseTypeCol!$A:$A,0))</f>
        <v>case_type1.number1_1 (INTERVAL;Age in years, intervals 0, 5, 19, 65)</v>
      </c>
      <c r="H19" s="6" t="str">
        <f t="shared" si="0"/>
        <v>0195d18c-1cc1-44c2-1d6e-874dad333458|0198ef6d-8543-2029-b59b-f9f9a653936a</v>
      </c>
    </row>
    <row r="20" spans="1:8" x14ac:dyDescent="0.3">
      <c r="A20" t="s">
        <v>615</v>
      </c>
      <c r="B20" t="s">
        <v>64</v>
      </c>
      <c r="C20" s="6" t="str">
        <f>INDEX(CaseTypeColSet!$B:$B,MATCH($B20,CaseTypeColSet!$A:$A,0))</f>
        <v>case_type_col_set1_1</v>
      </c>
      <c r="E20" t="s">
        <v>572</v>
      </c>
      <c r="F20" s="6" t="str">
        <f>INDEX(CaseTypeCol!$G:$G,MATCH($E20,CaseTypeCol!$A:$A,0))</f>
        <v>case_type1.other1_1 (OTHER)</v>
      </c>
      <c r="H20" s="6" t="str">
        <f t="shared" si="0"/>
        <v>0195d18c-1cc1-44c2-1d6e-874dad333458|0198ef6d-8543-a456-618e-e443bc0d35e9</v>
      </c>
    </row>
    <row r="21" spans="1:8" x14ac:dyDescent="0.3">
      <c r="A21" t="s">
        <v>616</v>
      </c>
      <c r="B21" t="s">
        <v>64</v>
      </c>
      <c r="C21" s="6" t="str">
        <f>INDEX(CaseTypeColSet!$B:$B,MATCH($B21,CaseTypeColSet!$A:$A,0))</f>
        <v>case_type_col_set1_1</v>
      </c>
      <c r="E21" t="s">
        <v>574</v>
      </c>
      <c r="F21" s="6" t="str">
        <f>INDEX(CaseTypeCol!$G:$G,MATCH($E21,CaseTypeCol!$A:$A,0))</f>
        <v>case_type2.nominal1_1 (NOMINAL;Nominal_1)</v>
      </c>
      <c r="H21" s="6" t="str">
        <f t="shared" si="0"/>
        <v>0195d18c-1cc1-44c2-1d6e-874dad333458|0198ef6d-8543-daa3-3b64-47a0bed70d1b</v>
      </c>
    </row>
    <row r="22" spans="1:8" x14ac:dyDescent="0.3">
      <c r="A22" t="s">
        <v>617</v>
      </c>
      <c r="B22" t="s">
        <v>64</v>
      </c>
      <c r="C22" s="6" t="str">
        <f>INDEX(CaseTypeColSet!$B:$B,MATCH($B22,CaseTypeColSet!$A:$A,0))</f>
        <v>case_type_col_set1_1</v>
      </c>
      <c r="E22" t="s">
        <v>575</v>
      </c>
      <c r="F22" s="6" t="str">
        <f>INDEX(CaseTypeCol!$G:$G,MATCH($E22,CaseTypeCol!$A:$A,0))</f>
        <v>case_type2.ordinal1_1 (ORDINAL;Ordinal_1)</v>
      </c>
      <c r="H22" s="6" t="str">
        <f t="shared" si="0"/>
        <v>0195d18c-1cc1-44c2-1d6e-874dad333458|0198ef6d-8543-7ab3-ba92-5fa2af40f240</v>
      </c>
    </row>
    <row r="23" spans="1:8" x14ac:dyDescent="0.3">
      <c r="A23" t="s">
        <v>618</v>
      </c>
      <c r="B23" t="s">
        <v>64</v>
      </c>
      <c r="C23" s="6" t="str">
        <f>INDEX(CaseTypeColSet!$B:$B,MATCH($B23,CaseTypeColSet!$A:$A,0))</f>
        <v>case_type_col_set1_1</v>
      </c>
      <c r="E23" t="s">
        <v>576</v>
      </c>
      <c r="F23" s="6" t="str">
        <f>INDEX(CaseTypeCol!$G:$G,MATCH($E23,CaseTypeCol!$A:$A,0))</f>
        <v>case_type2.regex1_1 (REGULAR_LANGUAGE;Regex_1)</v>
      </c>
      <c r="H23" s="6" t="str">
        <f t="shared" si="0"/>
        <v>0195d18c-1cc1-44c2-1d6e-874dad333458|0198ef6d-8543-0e30-d86c-c2c7095525ec</v>
      </c>
    </row>
    <row r="24" spans="1:8" x14ac:dyDescent="0.3">
      <c r="A24" t="s">
        <v>619</v>
      </c>
      <c r="B24" t="s">
        <v>64</v>
      </c>
      <c r="C24" s="6" t="str">
        <f>INDEX(CaseTypeColSet!$B:$B,MATCH($B24,CaseTypeColSet!$A:$A,0))</f>
        <v>case_type_col_set1_1</v>
      </c>
      <c r="E24" t="s">
        <v>577</v>
      </c>
      <c r="F24" s="6" t="str">
        <f>INDEX(CaseTypeCol!$G:$G,MATCH($E24,CaseTypeCol!$A:$A,0))</f>
        <v>case_type2.text1_1 (TEXT)</v>
      </c>
      <c r="H24" s="6" t="str">
        <f t="shared" si="0"/>
        <v>0195d18c-1cc1-44c2-1d6e-874dad333458|0198ef6d-8543-1443-43dc-7a07aef0da30</v>
      </c>
    </row>
    <row r="25" spans="1:8" x14ac:dyDescent="0.3">
      <c r="A25" t="s">
        <v>620</v>
      </c>
      <c r="B25" t="s">
        <v>64</v>
      </c>
      <c r="C25" s="6" t="str">
        <f>INDEX(CaseTypeColSet!$B:$B,MATCH($B25,CaseTypeColSet!$A:$A,0))</f>
        <v>case_type_col_set1_1</v>
      </c>
      <c r="E25" t="s">
        <v>578</v>
      </c>
      <c r="F25" s="6" t="str">
        <f>INDEX(CaseTypeCol!$G:$G,MATCH($E25,CaseTypeCol!$A:$A,0))</f>
        <v>case_type2.org1_1 (ORGANIZATION)</v>
      </c>
      <c r="H25" s="6" t="str">
        <f t="shared" si="0"/>
        <v>0195d18c-1cc1-44c2-1d6e-874dad333458|0198ef6d-8543-7fbb-0745-44bb651edd00</v>
      </c>
    </row>
    <row r="26" spans="1:8" x14ac:dyDescent="0.3">
      <c r="A26" t="s">
        <v>621</v>
      </c>
      <c r="B26" t="s">
        <v>64</v>
      </c>
      <c r="C26" s="6" t="str">
        <f>INDEX(CaseTypeColSet!$B:$B,MATCH($B26,CaseTypeColSet!$A:$A,0))</f>
        <v>case_type_col_set1_1</v>
      </c>
      <c r="E26" t="s">
        <v>579</v>
      </c>
      <c r="F26" s="6" t="str">
        <f>INDEX(CaseTypeCol!$G:$G,MATCH($E26,CaseTypeCol!$A:$A,0))</f>
        <v>case_type2.geo1_1 (GEO_REGION;PC_L4)</v>
      </c>
      <c r="H26" s="6" t="str">
        <f t="shared" si="0"/>
        <v>0195d18c-1cc1-44c2-1d6e-874dad333458|0198ef6d-8543-72db-d650-96776e8fd4a7</v>
      </c>
    </row>
    <row r="27" spans="1:8" x14ac:dyDescent="0.3">
      <c r="A27" t="s">
        <v>622</v>
      </c>
      <c r="B27" t="s">
        <v>64</v>
      </c>
      <c r="C27" s="6" t="str">
        <f>INDEX(CaseTypeColSet!$B:$B,MATCH($B27,CaseTypeColSet!$A:$A,0))</f>
        <v>case_type_col_set1_1</v>
      </c>
      <c r="E27" t="s">
        <v>580</v>
      </c>
      <c r="F27" s="6" t="str">
        <f>INDEX(CaseTypeCol!$G:$G,MATCH($E27,CaseTypeCol!$A:$A,0))</f>
        <v>case_type2.geo1_2 (GEO_REGION;PC_L3)</v>
      </c>
      <c r="H27" s="6" t="str">
        <f t="shared" si="0"/>
        <v>0195d18c-1cc1-44c2-1d6e-874dad333458|0198ef6d-8543-aed3-82fc-8fc90e0c93fd</v>
      </c>
    </row>
    <row r="28" spans="1:8" x14ac:dyDescent="0.3">
      <c r="A28" t="s">
        <v>623</v>
      </c>
      <c r="B28" t="s">
        <v>64</v>
      </c>
      <c r="C28" s="6" t="str">
        <f>INDEX(CaseTypeColSet!$B:$B,MATCH($B28,CaseTypeColSet!$A:$A,0))</f>
        <v>case_type_col_set1_1</v>
      </c>
      <c r="E28" t="s">
        <v>581</v>
      </c>
      <c r="F28" s="6" t="str">
        <f>INDEX(CaseTypeCol!$G:$G,MATCH($E28,CaseTypeCol!$A:$A,0))</f>
        <v>case_type2.geo1_3 (GEO_REGION;MUN)</v>
      </c>
      <c r="H28" s="6" t="str">
        <f t="shared" si="0"/>
        <v>0195d18c-1cc1-44c2-1d6e-874dad333458|0198ef6d-8543-e6af-3e5a-6494a01a06ae</v>
      </c>
    </row>
    <row r="29" spans="1:8" x14ac:dyDescent="0.3">
      <c r="A29" t="s">
        <v>624</v>
      </c>
      <c r="B29" t="s">
        <v>64</v>
      </c>
      <c r="C29" s="6" t="str">
        <f>INDEX(CaseTypeColSet!$B:$B,MATCH($B29,CaseTypeColSet!$A:$A,0))</f>
        <v>case_type_col_set1_1</v>
      </c>
      <c r="E29" t="s">
        <v>582</v>
      </c>
      <c r="F29" s="6" t="str">
        <f>INDEX(CaseTypeCol!$G:$G,MATCH($E29,CaseTypeCol!$A:$A,0))</f>
        <v>case_type2.geo1_4 (GEO_REGION;PV)</v>
      </c>
      <c r="H29" s="6" t="str">
        <f t="shared" si="0"/>
        <v>0195d18c-1cc1-44c2-1d6e-874dad333458|0198ef6d-8543-4e2b-87de-57604330cdd3</v>
      </c>
    </row>
    <row r="30" spans="1:8" x14ac:dyDescent="0.3">
      <c r="A30" t="s">
        <v>625</v>
      </c>
      <c r="B30" t="s">
        <v>64</v>
      </c>
      <c r="C30" s="6" t="str">
        <f>INDEX(CaseTypeColSet!$B:$B,MATCH($B30,CaseTypeColSet!$A:$A,0))</f>
        <v>case_type_col_set1_1</v>
      </c>
      <c r="E30" t="s">
        <v>583</v>
      </c>
      <c r="F30" s="6" t="str">
        <f>INDEX(CaseTypeCol!$G:$G,MATCH($E30,CaseTypeCol!$A:$A,0))</f>
        <v>case_type2.time1_1 (TIME_DAY)</v>
      </c>
      <c r="H30" s="6" t="str">
        <f t="shared" si="0"/>
        <v>0195d18c-1cc1-44c2-1d6e-874dad333458|0198ef6d-8543-7196-e13a-d911de7aa2aa</v>
      </c>
    </row>
    <row r="31" spans="1:8" x14ac:dyDescent="0.3">
      <c r="A31" t="s">
        <v>626</v>
      </c>
      <c r="B31" t="s">
        <v>64</v>
      </c>
      <c r="C31" s="6" t="str">
        <f>INDEX(CaseTypeColSet!$B:$B,MATCH($B31,CaseTypeColSet!$A:$A,0))</f>
        <v>case_type_col_set1_1</v>
      </c>
      <c r="E31" t="s">
        <v>584</v>
      </c>
      <c r="F31" s="6" t="str">
        <f>INDEX(CaseTypeCol!$G:$G,MATCH($E31,CaseTypeCol!$A:$A,0))</f>
        <v>case_type2.time1_2 (TIME_WEEK)</v>
      </c>
      <c r="H31" s="6" t="str">
        <f t="shared" si="0"/>
        <v>0195d18c-1cc1-44c2-1d6e-874dad333458|0198ef6d-8543-49c9-f899-a2bd7ca7905e</v>
      </c>
    </row>
    <row r="32" spans="1:8" x14ac:dyDescent="0.3">
      <c r="A32" t="s">
        <v>627</v>
      </c>
      <c r="B32" t="s">
        <v>64</v>
      </c>
      <c r="C32" s="6" t="str">
        <f>INDEX(CaseTypeColSet!$B:$B,MATCH($B32,CaseTypeColSet!$A:$A,0))</f>
        <v>case_type_col_set1_1</v>
      </c>
      <c r="E32" t="s">
        <v>585</v>
      </c>
      <c r="F32" s="6" t="str">
        <f>INDEX(CaseTypeCol!$G:$G,MATCH($E32,CaseTypeCol!$A:$A,0))</f>
        <v>case_type2.time1_3 (TIME_MONTH)</v>
      </c>
      <c r="H32" s="6" t="str">
        <f t="shared" si="0"/>
        <v>0195d18c-1cc1-44c2-1d6e-874dad333458|0198ef6d-8543-e911-0c7d-89e8d97702dc</v>
      </c>
    </row>
    <row r="33" spans="1:8" x14ac:dyDescent="0.3">
      <c r="A33" t="s">
        <v>628</v>
      </c>
      <c r="B33" t="s">
        <v>64</v>
      </c>
      <c r="C33" s="6" t="str">
        <f>INDEX(CaseTypeColSet!$B:$B,MATCH($B33,CaseTypeColSet!$A:$A,0))</f>
        <v>case_type_col_set1_1</v>
      </c>
      <c r="E33" t="s">
        <v>586</v>
      </c>
      <c r="F33" s="6" t="str">
        <f>INDEX(CaseTypeCol!$G:$G,MATCH($E33,CaseTypeCol!$A:$A,0))</f>
        <v>case_type2.time1_4 (TIME_QUARTER)</v>
      </c>
      <c r="H33" s="6" t="str">
        <f t="shared" si="0"/>
        <v>0195d18c-1cc1-44c2-1d6e-874dad333458|0198ef6d-8543-c287-9def-b1c31ccc15e3</v>
      </c>
    </row>
    <row r="34" spans="1:8" x14ac:dyDescent="0.3">
      <c r="A34" t="s">
        <v>629</v>
      </c>
      <c r="B34" t="s">
        <v>64</v>
      </c>
      <c r="C34" s="6" t="str">
        <f>INDEX(CaseTypeColSet!$B:$B,MATCH($B34,CaseTypeColSet!$A:$A,0))</f>
        <v>case_type_col_set1_1</v>
      </c>
      <c r="E34" t="s">
        <v>587</v>
      </c>
      <c r="F34" s="6" t="str">
        <f>INDEX(CaseTypeCol!$G:$G,MATCH($E34,CaseTypeCol!$A:$A,0))</f>
        <v>case_type2.time1_5 (TIME_YEAR)</v>
      </c>
      <c r="H34" s="6" t="str">
        <f t="shared" si="0"/>
        <v>0195d18c-1cc1-44c2-1d6e-874dad333458|0198ef6d-8543-d41c-32e8-4166495e403d</v>
      </c>
    </row>
    <row r="35" spans="1:8" x14ac:dyDescent="0.3">
      <c r="A35" t="s">
        <v>630</v>
      </c>
      <c r="B35" t="s">
        <v>64</v>
      </c>
      <c r="C35" s="6" t="str">
        <f>INDEX(CaseTypeColSet!$B:$B,MATCH($B35,CaseTypeColSet!$A:$A,0))</f>
        <v>case_type_col_set1_1</v>
      </c>
      <c r="E35" t="s">
        <v>588</v>
      </c>
      <c r="F35" s="6" t="str">
        <f>INDEX(CaseTypeCol!$G:$G,MATCH($E35,CaseTypeCol!$A:$A,0))</f>
        <v>case_type2.id1_1 (ID_PSEUDONYMISED)</v>
      </c>
      <c r="H35" s="6" t="str">
        <f t="shared" si="0"/>
        <v>0195d18c-1cc1-44c2-1d6e-874dad333458|0198ef6d-8543-92f3-9168-2df7a147b28e</v>
      </c>
    </row>
    <row r="36" spans="1:8" x14ac:dyDescent="0.3">
      <c r="A36" t="s">
        <v>631</v>
      </c>
      <c r="B36" t="s">
        <v>64</v>
      </c>
      <c r="C36" s="6" t="str">
        <f>INDEX(CaseTypeColSet!$B:$B,MATCH($B36,CaseTypeColSet!$A:$A,0))</f>
        <v>case_type_col_set1_1</v>
      </c>
      <c r="E36" t="s">
        <v>589</v>
      </c>
      <c r="F36" s="6" t="str">
        <f>INDEX(CaseTypeCol!$G:$G,MATCH($E36,CaseTypeCol!$A:$A,0))</f>
        <v>case_type2.number1_1 (DECIMAL_0)</v>
      </c>
      <c r="H36" s="6" t="str">
        <f t="shared" si="0"/>
        <v>0195d18c-1cc1-44c2-1d6e-874dad333458|0198ef6d-8543-83ae-9c38-8230890499d5</v>
      </c>
    </row>
    <row r="37" spans="1:8" x14ac:dyDescent="0.3">
      <c r="A37" t="s">
        <v>632</v>
      </c>
      <c r="B37" t="s">
        <v>64</v>
      </c>
      <c r="C37" s="6" t="str">
        <f>INDEX(CaseTypeColSet!$B:$B,MATCH($B37,CaseTypeColSet!$A:$A,0))</f>
        <v>case_type_col_set1_1</v>
      </c>
      <c r="E37" t="s">
        <v>590</v>
      </c>
      <c r="F37" s="6" t="str">
        <f>INDEX(CaseTypeCol!$G:$G,MATCH($E37,CaseTypeCol!$A:$A,0))</f>
        <v>case_type2.number1_1 (INTERVAL;Age in years, intervals 0, 5, 15, 25, 45, 65)</v>
      </c>
      <c r="H37" s="6" t="str">
        <f t="shared" si="0"/>
        <v>0195d18c-1cc1-44c2-1d6e-874dad333458|0198ef6d-8543-aca5-d495-a14d205474c8</v>
      </c>
    </row>
    <row r="38" spans="1:8" x14ac:dyDescent="0.3">
      <c r="A38" t="s">
        <v>633</v>
      </c>
      <c r="B38" t="s">
        <v>64</v>
      </c>
      <c r="C38" s="6" t="str">
        <f>INDEX(CaseTypeColSet!$B:$B,MATCH($B38,CaseTypeColSet!$A:$A,0))</f>
        <v>case_type_col_set1_1</v>
      </c>
      <c r="E38" t="s">
        <v>591</v>
      </c>
      <c r="F38" s="6" t="str">
        <f>INDEX(CaseTypeCol!$G:$G,MATCH($E38,CaseTypeCol!$A:$A,0))</f>
        <v>case_type2.number1_1 (INTERVAL;Age in years, intervals 0, 5, 19, 65)</v>
      </c>
      <c r="H38" s="6" t="str">
        <f t="shared" si="0"/>
        <v>0195d18c-1cc1-44c2-1d6e-874dad333458|0198ef6d-8543-059f-33dd-73f8668bc5ef</v>
      </c>
    </row>
    <row r="39" spans="1:8" x14ac:dyDescent="0.3">
      <c r="A39" t="s">
        <v>634</v>
      </c>
      <c r="B39" t="s">
        <v>64</v>
      </c>
      <c r="C39" s="6" t="str">
        <f>INDEX(CaseTypeColSet!$B:$B,MATCH($B39,CaseTypeColSet!$A:$A,0))</f>
        <v>case_type_col_set1_1</v>
      </c>
      <c r="E39" t="s">
        <v>592</v>
      </c>
      <c r="F39" s="6" t="str">
        <f>INDEX(CaseTypeCol!$G:$G,MATCH($E39,CaseTypeCol!$A:$A,0))</f>
        <v>case_type2.other1_1 (OTHER)</v>
      </c>
      <c r="H39" s="6" t="str">
        <f t="shared" si="0"/>
        <v>0195d18c-1cc1-44c2-1d6e-874dad333458|0198ef6d-8543-87f8-e4ed-200adf224eea</v>
      </c>
    </row>
    <row r="40" spans="1:8" x14ac:dyDescent="0.3">
      <c r="A40" t="s">
        <v>635</v>
      </c>
      <c r="B40" t="s">
        <v>137</v>
      </c>
      <c r="C40" s="6" t="str">
        <f>INDEX(CaseTypeColSet!$B:$B,MATCH($B40,CaseTypeColSet!$A:$A,0))</f>
        <v>case_type_col_set1_1and2</v>
      </c>
      <c r="E40" t="s">
        <v>536</v>
      </c>
      <c r="F40" s="6" t="str">
        <f>INDEX(CaseTypeCol!$G:$G,MATCH($E40,CaseTypeCol!$A:$A,0))</f>
        <v>case_type1.nominal1_1 (NOMINAL;Nominal_1)</v>
      </c>
      <c r="H40" s="6" t="str">
        <f t="shared" si="0"/>
        <v>0195d18c-1cc1-c475-eba4-c3df5aea8858|0198ef6d-8543-a221-af7e-774497e4801a</v>
      </c>
    </row>
    <row r="41" spans="1:8" x14ac:dyDescent="0.3">
      <c r="A41" t="s">
        <v>636</v>
      </c>
      <c r="B41" t="s">
        <v>137</v>
      </c>
      <c r="C41" s="6" t="str">
        <f>INDEX(CaseTypeColSet!$B:$B,MATCH($B41,CaseTypeColSet!$A:$A,0))</f>
        <v>case_type_col_set1_1and2</v>
      </c>
      <c r="E41" t="s">
        <v>537</v>
      </c>
      <c r="F41" s="6" t="str">
        <f>INDEX(CaseTypeCol!$G:$G,MATCH($E41,CaseTypeCol!$A:$A,0))</f>
        <v>case_type1.nominal2_1 (NOMINAL;Nominal_2)</v>
      </c>
      <c r="H41" s="6" t="str">
        <f t="shared" si="0"/>
        <v>0195d18c-1cc1-c475-eba4-c3df5aea8858|0198ef6d-8543-987d-80eb-fb29936d633c</v>
      </c>
    </row>
    <row r="42" spans="1:8" x14ac:dyDescent="0.3">
      <c r="A42" t="s">
        <v>637</v>
      </c>
      <c r="B42" t="s">
        <v>137</v>
      </c>
      <c r="C42" s="6" t="str">
        <f>INDEX(CaseTypeColSet!$B:$B,MATCH($B42,CaseTypeColSet!$A:$A,0))</f>
        <v>case_type_col_set1_1and2</v>
      </c>
      <c r="E42" t="s">
        <v>538</v>
      </c>
      <c r="F42" s="6" t="str">
        <f>INDEX(CaseTypeCol!$G:$G,MATCH($E42,CaseTypeCol!$A:$A,0))</f>
        <v>case_type1.ordinal1_1 (ORDINAL;Ordinal_1)</v>
      </c>
      <c r="H42" s="6" t="str">
        <f t="shared" si="0"/>
        <v>0195d18c-1cc1-c475-eba4-c3df5aea8858|0198ef6d-8543-ce42-568c-c8e8405533a1</v>
      </c>
    </row>
    <row r="43" spans="1:8" x14ac:dyDescent="0.3">
      <c r="A43" t="s">
        <v>638</v>
      </c>
      <c r="B43" t="s">
        <v>137</v>
      </c>
      <c r="C43" s="6" t="str">
        <f>INDEX(CaseTypeColSet!$B:$B,MATCH($B43,CaseTypeColSet!$A:$A,0))</f>
        <v>case_type_col_set1_1and2</v>
      </c>
      <c r="E43" t="s">
        <v>539</v>
      </c>
      <c r="F43" s="6" t="str">
        <f>INDEX(CaseTypeCol!$G:$G,MATCH($E43,CaseTypeCol!$A:$A,0))</f>
        <v>case_type1.ordinal2_1 (ORDINAL;Ordinal_2)</v>
      </c>
      <c r="H43" s="6" t="str">
        <f t="shared" si="0"/>
        <v>0195d18c-1cc1-c475-eba4-c3df5aea8858|0198ef6d-8543-8bc8-93ea-2f4c7e8626f2</v>
      </c>
    </row>
    <row r="44" spans="1:8" x14ac:dyDescent="0.3">
      <c r="A44" t="s">
        <v>639</v>
      </c>
      <c r="B44" t="s">
        <v>137</v>
      </c>
      <c r="C44" s="6" t="str">
        <f>INDEX(CaseTypeColSet!$B:$B,MATCH($B44,CaseTypeColSet!$A:$A,0))</f>
        <v>case_type_col_set1_1and2</v>
      </c>
      <c r="E44" t="s">
        <v>540</v>
      </c>
      <c r="F44" s="6" t="str">
        <f>INDEX(CaseTypeCol!$G:$G,MATCH($E44,CaseTypeCol!$A:$A,0))</f>
        <v>case_type1.regex1_1 (REGULAR_LANGUAGE;Regex_1)</v>
      </c>
      <c r="H44" s="6" t="str">
        <f t="shared" si="0"/>
        <v>0195d18c-1cc1-c475-eba4-c3df5aea8858|0198ef6d-8543-1062-3f54-74f967fd95da</v>
      </c>
    </row>
    <row r="45" spans="1:8" x14ac:dyDescent="0.3">
      <c r="A45" t="s">
        <v>640</v>
      </c>
      <c r="B45" t="s">
        <v>137</v>
      </c>
      <c r="C45" s="6" t="str">
        <f>INDEX(CaseTypeColSet!$B:$B,MATCH($B45,CaseTypeColSet!$A:$A,0))</f>
        <v>case_type_col_set1_1and2</v>
      </c>
      <c r="E45" t="s">
        <v>541</v>
      </c>
      <c r="F45" s="6" t="str">
        <f>INDEX(CaseTypeCol!$G:$G,MATCH($E45,CaseTypeCol!$A:$A,0))</f>
        <v>case_type1.regex2_1 (REGULAR_LANGUAGE;Regex_2)</v>
      </c>
      <c r="H45" s="6" t="str">
        <f t="shared" si="0"/>
        <v>0195d18c-1cc1-c475-eba4-c3df5aea8858|0198ef6d-8543-3bfd-fcb0-c5698a1b2d9a</v>
      </c>
    </row>
    <row r="46" spans="1:8" x14ac:dyDescent="0.3">
      <c r="A46" t="s">
        <v>641</v>
      </c>
      <c r="B46" t="s">
        <v>137</v>
      </c>
      <c r="C46" s="6" t="str">
        <f>INDEX(CaseTypeColSet!$B:$B,MATCH($B46,CaseTypeColSet!$A:$A,0))</f>
        <v>case_type_col_set1_1and2</v>
      </c>
      <c r="E46" t="s">
        <v>542</v>
      </c>
      <c r="F46" s="6" t="str">
        <f>INDEX(CaseTypeCol!$G:$G,MATCH($E46,CaseTypeCol!$A:$A,0))</f>
        <v>case_type1.text1_1 (TEXT)</v>
      </c>
      <c r="H46" s="6" t="str">
        <f t="shared" si="0"/>
        <v>0195d18c-1cc1-c475-eba4-c3df5aea8858|0198ef6d-8543-f372-ce25-38616e4c214d</v>
      </c>
    </row>
    <row r="47" spans="1:8" x14ac:dyDescent="0.3">
      <c r="A47" t="s">
        <v>642</v>
      </c>
      <c r="B47" t="s">
        <v>137</v>
      </c>
      <c r="C47" s="6" t="str">
        <f>INDEX(CaseTypeColSet!$B:$B,MATCH($B47,CaseTypeColSet!$A:$A,0))</f>
        <v>case_type_col_set1_1and2</v>
      </c>
      <c r="E47" t="s">
        <v>543</v>
      </c>
      <c r="F47" s="6" t="str">
        <f>INDEX(CaseTypeCol!$G:$G,MATCH($E47,CaseTypeCol!$A:$A,0))</f>
        <v>case_type1.text2_1 (TEXT)</v>
      </c>
      <c r="H47" s="6" t="str">
        <f t="shared" si="0"/>
        <v>0195d18c-1cc1-c475-eba4-c3df5aea8858|0198ef6d-8543-d9b1-6322-01cffb585d60</v>
      </c>
    </row>
    <row r="48" spans="1:8" x14ac:dyDescent="0.3">
      <c r="A48" t="s">
        <v>643</v>
      </c>
      <c r="B48" t="s">
        <v>137</v>
      </c>
      <c r="C48" s="6" t="str">
        <f>INDEX(CaseTypeColSet!$B:$B,MATCH($B48,CaseTypeColSet!$A:$A,0))</f>
        <v>case_type_col_set1_1and2</v>
      </c>
      <c r="E48" t="s">
        <v>544</v>
      </c>
      <c r="F48" s="6" t="str">
        <f>INDEX(CaseTypeCol!$G:$G,MATCH($E48,CaseTypeCol!$A:$A,0))</f>
        <v>case_type1.org1_1 (ORGANIZATION)</v>
      </c>
      <c r="H48" s="6" t="str">
        <f t="shared" si="0"/>
        <v>0195d18c-1cc1-c475-eba4-c3df5aea8858|0198ef6d-8543-b8fc-9de5-72be815082e0</v>
      </c>
    </row>
    <row r="49" spans="1:8" x14ac:dyDescent="0.3">
      <c r="A49" t="s">
        <v>644</v>
      </c>
      <c r="B49" t="s">
        <v>137</v>
      </c>
      <c r="C49" s="6" t="str">
        <f>INDEX(CaseTypeColSet!$B:$B,MATCH($B49,CaseTypeColSet!$A:$A,0))</f>
        <v>case_type_col_set1_1and2</v>
      </c>
      <c r="E49" t="s">
        <v>545</v>
      </c>
      <c r="F49" s="6" t="str">
        <f>INDEX(CaseTypeCol!$G:$G,MATCH($E49,CaseTypeCol!$A:$A,0))</f>
        <v>case_type1.org2_1 (ORGANIZATION)</v>
      </c>
      <c r="H49" s="6" t="str">
        <f t="shared" si="0"/>
        <v>0195d18c-1cc1-c475-eba4-c3df5aea8858|0198ef6d-8543-f0ab-b028-4f183545ce97</v>
      </c>
    </row>
    <row r="50" spans="1:8" x14ac:dyDescent="0.3">
      <c r="A50" t="s">
        <v>645</v>
      </c>
      <c r="B50" t="s">
        <v>137</v>
      </c>
      <c r="C50" s="6" t="str">
        <f>INDEX(CaseTypeColSet!$B:$B,MATCH($B50,CaseTypeColSet!$A:$A,0))</f>
        <v>case_type_col_set1_1and2</v>
      </c>
      <c r="E50" t="s">
        <v>546</v>
      </c>
      <c r="F50" s="6" t="str">
        <f>INDEX(CaseTypeCol!$G:$G,MATCH($E50,CaseTypeCol!$A:$A,0))</f>
        <v>case_type1.geo1_1 (GEO_REGION;PC_L4)</v>
      </c>
      <c r="H50" s="6" t="str">
        <f t="shared" si="0"/>
        <v>0195d18c-1cc1-c475-eba4-c3df5aea8858|0198ef6d-8543-371a-179d-9c036f8c66f2</v>
      </c>
    </row>
    <row r="51" spans="1:8" x14ac:dyDescent="0.3">
      <c r="A51" t="s">
        <v>646</v>
      </c>
      <c r="B51" t="s">
        <v>137</v>
      </c>
      <c r="C51" s="6" t="str">
        <f>INDEX(CaseTypeColSet!$B:$B,MATCH($B51,CaseTypeColSet!$A:$A,0))</f>
        <v>case_type_col_set1_1and2</v>
      </c>
      <c r="E51" t="s">
        <v>547</v>
      </c>
      <c r="F51" s="6" t="str">
        <f>INDEX(CaseTypeCol!$G:$G,MATCH($E51,CaseTypeCol!$A:$A,0))</f>
        <v>case_type1.geo1_2 (GEO_REGION;PC_L3)</v>
      </c>
      <c r="H51" s="6" t="str">
        <f t="shared" si="0"/>
        <v>0195d18c-1cc1-c475-eba4-c3df5aea8858|0198ef6d-8543-7325-a3c3-0be3c6d6193b</v>
      </c>
    </row>
    <row r="52" spans="1:8" x14ac:dyDescent="0.3">
      <c r="A52" t="s">
        <v>647</v>
      </c>
      <c r="B52" t="s">
        <v>137</v>
      </c>
      <c r="C52" s="6" t="str">
        <f>INDEX(CaseTypeColSet!$B:$B,MATCH($B52,CaseTypeColSet!$A:$A,0))</f>
        <v>case_type_col_set1_1and2</v>
      </c>
      <c r="E52" t="s">
        <v>548</v>
      </c>
      <c r="F52" s="6" t="str">
        <f>INDEX(CaseTypeCol!$G:$G,MATCH($E52,CaseTypeCol!$A:$A,0))</f>
        <v>case_type1.geo1_3 (GEO_REGION;MUN)</v>
      </c>
      <c r="H52" s="6" t="str">
        <f t="shared" si="0"/>
        <v>0195d18c-1cc1-c475-eba4-c3df5aea8858|0198ef6d-8543-61b3-63f1-bc4f52741be3</v>
      </c>
    </row>
    <row r="53" spans="1:8" x14ac:dyDescent="0.3">
      <c r="A53" t="s">
        <v>648</v>
      </c>
      <c r="B53" t="s">
        <v>137</v>
      </c>
      <c r="C53" s="6" t="str">
        <f>INDEX(CaseTypeColSet!$B:$B,MATCH($B53,CaseTypeColSet!$A:$A,0))</f>
        <v>case_type_col_set1_1and2</v>
      </c>
      <c r="E53" t="s">
        <v>549</v>
      </c>
      <c r="F53" s="6" t="str">
        <f>INDEX(CaseTypeCol!$G:$G,MATCH($E53,CaseTypeCol!$A:$A,0))</f>
        <v>case_type1.geo1_4 (GEO_REGION;PV)</v>
      </c>
      <c r="H53" s="6" t="str">
        <f t="shared" si="0"/>
        <v>0195d18c-1cc1-c475-eba4-c3df5aea8858|0198ef6d-8543-f6da-4821-571b2b52bd5b</v>
      </c>
    </row>
    <row r="54" spans="1:8" x14ac:dyDescent="0.3">
      <c r="A54" t="s">
        <v>649</v>
      </c>
      <c r="B54" t="s">
        <v>137</v>
      </c>
      <c r="C54" s="6" t="str">
        <f>INDEX(CaseTypeColSet!$B:$B,MATCH($B54,CaseTypeColSet!$A:$A,0))</f>
        <v>case_type_col_set1_1and2</v>
      </c>
      <c r="E54" t="s">
        <v>550</v>
      </c>
      <c r="F54" s="6" t="str">
        <f>INDEX(CaseTypeCol!$G:$G,MATCH($E54,CaseTypeCol!$A:$A,0))</f>
        <v>case_type1.geo2_1 (GEO_REGION;PC_L4)</v>
      </c>
      <c r="H54" s="6" t="str">
        <f t="shared" si="0"/>
        <v>0195d18c-1cc1-c475-eba4-c3df5aea8858|0198ef6d-8543-369f-5adc-42e8a92a03ef</v>
      </c>
    </row>
    <row r="55" spans="1:8" x14ac:dyDescent="0.3">
      <c r="A55" t="s">
        <v>650</v>
      </c>
      <c r="B55" t="s">
        <v>137</v>
      </c>
      <c r="C55" s="6" t="str">
        <f>INDEX(CaseTypeColSet!$B:$B,MATCH($B55,CaseTypeColSet!$A:$A,0))</f>
        <v>case_type_col_set1_1and2</v>
      </c>
      <c r="E55" t="s">
        <v>551</v>
      </c>
      <c r="F55" s="6" t="str">
        <f>INDEX(CaseTypeCol!$G:$G,MATCH($E55,CaseTypeCol!$A:$A,0))</f>
        <v>case_type1.geo2_2 (GEO_REGION;PC_L3)</v>
      </c>
      <c r="H55" s="6" t="str">
        <f t="shared" si="0"/>
        <v>0195d18c-1cc1-c475-eba4-c3df5aea8858|0198ef6d-8543-c2aa-d8d8-5799599aba32</v>
      </c>
    </row>
    <row r="56" spans="1:8" x14ac:dyDescent="0.3">
      <c r="A56" t="s">
        <v>651</v>
      </c>
      <c r="B56" t="s">
        <v>137</v>
      </c>
      <c r="C56" s="6" t="str">
        <f>INDEX(CaseTypeColSet!$B:$B,MATCH($B56,CaseTypeColSet!$A:$A,0))</f>
        <v>case_type_col_set1_1and2</v>
      </c>
      <c r="E56" t="s">
        <v>552</v>
      </c>
      <c r="F56" s="6" t="str">
        <f>INDEX(CaseTypeCol!$G:$G,MATCH($E56,CaseTypeCol!$A:$A,0))</f>
        <v>case_type1.geo2_3 (GEO_REGION;MUN)</v>
      </c>
      <c r="H56" s="6" t="str">
        <f t="shared" si="0"/>
        <v>0195d18c-1cc1-c475-eba4-c3df5aea8858|0198ef6d-8543-379c-1b40-75609669d2dc</v>
      </c>
    </row>
    <row r="57" spans="1:8" x14ac:dyDescent="0.3">
      <c r="A57" t="s">
        <v>652</v>
      </c>
      <c r="B57" t="s">
        <v>137</v>
      </c>
      <c r="C57" s="6" t="str">
        <f>INDEX(CaseTypeColSet!$B:$B,MATCH($B57,CaseTypeColSet!$A:$A,0))</f>
        <v>case_type_col_set1_1and2</v>
      </c>
      <c r="E57" t="s">
        <v>553</v>
      </c>
      <c r="F57" s="6" t="str">
        <f>INDEX(CaseTypeCol!$G:$G,MATCH($E57,CaseTypeCol!$A:$A,0))</f>
        <v>case_type1.geo2_4 (GEO_REGION;PV)</v>
      </c>
      <c r="H57" s="6" t="str">
        <f t="shared" si="0"/>
        <v>0195d18c-1cc1-c475-eba4-c3df5aea8858|0198ef6d-8543-1f4a-69a6-ef2cbe30a080</v>
      </c>
    </row>
    <row r="58" spans="1:8" x14ac:dyDescent="0.3">
      <c r="A58" t="s">
        <v>653</v>
      </c>
      <c r="B58" t="s">
        <v>137</v>
      </c>
      <c r="C58" s="6" t="str">
        <f>INDEX(CaseTypeColSet!$B:$B,MATCH($B58,CaseTypeColSet!$A:$A,0))</f>
        <v>case_type_col_set1_1and2</v>
      </c>
      <c r="E58" t="s">
        <v>554</v>
      </c>
      <c r="F58" s="6" t="str">
        <f>INDEX(CaseTypeCol!$G:$G,MATCH($E58,CaseTypeCol!$A:$A,0))</f>
        <v>case_type1.time1_1 (TIME_DAY)</v>
      </c>
      <c r="H58" s="6" t="str">
        <f t="shared" si="0"/>
        <v>0195d18c-1cc1-c475-eba4-c3df5aea8858|0198ef6d-8543-3dff-04fd-3c65614d655d</v>
      </c>
    </row>
    <row r="59" spans="1:8" x14ac:dyDescent="0.3">
      <c r="A59" t="s">
        <v>654</v>
      </c>
      <c r="B59" t="s">
        <v>137</v>
      </c>
      <c r="C59" s="6" t="str">
        <f>INDEX(CaseTypeColSet!$B:$B,MATCH($B59,CaseTypeColSet!$A:$A,0))</f>
        <v>case_type_col_set1_1and2</v>
      </c>
      <c r="E59" t="s">
        <v>555</v>
      </c>
      <c r="F59" s="6" t="str">
        <f>INDEX(CaseTypeCol!$G:$G,MATCH($E59,CaseTypeCol!$A:$A,0))</f>
        <v>case_type1.time1_2 (TIME_WEEK)</v>
      </c>
      <c r="H59" s="6" t="str">
        <f t="shared" si="0"/>
        <v>0195d18c-1cc1-c475-eba4-c3df5aea8858|0198ef6d-8543-c3d9-408d-20f86d523b9f</v>
      </c>
    </row>
    <row r="60" spans="1:8" x14ac:dyDescent="0.3">
      <c r="A60" t="s">
        <v>655</v>
      </c>
      <c r="B60" t="s">
        <v>137</v>
      </c>
      <c r="C60" s="6" t="str">
        <f>INDEX(CaseTypeColSet!$B:$B,MATCH($B60,CaseTypeColSet!$A:$A,0))</f>
        <v>case_type_col_set1_1and2</v>
      </c>
      <c r="E60" t="s">
        <v>556</v>
      </c>
      <c r="F60" s="6" t="str">
        <f>INDEX(CaseTypeCol!$G:$G,MATCH($E60,CaseTypeCol!$A:$A,0))</f>
        <v>case_type1.time1_3 (TIME_MONTH)</v>
      </c>
      <c r="H60" s="6" t="str">
        <f t="shared" si="0"/>
        <v>0195d18c-1cc1-c475-eba4-c3df5aea8858|0198ef6d-8543-e425-5793-c7c455726f56</v>
      </c>
    </row>
    <row r="61" spans="1:8" x14ac:dyDescent="0.3">
      <c r="A61" t="s">
        <v>656</v>
      </c>
      <c r="B61" t="s">
        <v>137</v>
      </c>
      <c r="C61" s="6" t="str">
        <f>INDEX(CaseTypeColSet!$B:$B,MATCH($B61,CaseTypeColSet!$A:$A,0))</f>
        <v>case_type_col_set1_1and2</v>
      </c>
      <c r="E61" t="s">
        <v>557</v>
      </c>
      <c r="F61" s="6" t="str">
        <f>INDEX(CaseTypeCol!$G:$G,MATCH($E61,CaseTypeCol!$A:$A,0))</f>
        <v>case_type1.time1_4 (TIME_QUARTER)</v>
      </c>
      <c r="H61" s="6" t="str">
        <f t="shared" si="0"/>
        <v>0195d18c-1cc1-c475-eba4-c3df5aea8858|0198ef6d-8543-0bc5-2af0-dbe7f34bc5cc</v>
      </c>
    </row>
    <row r="62" spans="1:8" x14ac:dyDescent="0.3">
      <c r="A62" t="s">
        <v>657</v>
      </c>
      <c r="B62" t="s">
        <v>137</v>
      </c>
      <c r="C62" s="6" t="str">
        <f>INDEX(CaseTypeColSet!$B:$B,MATCH($B62,CaseTypeColSet!$A:$A,0))</f>
        <v>case_type_col_set1_1and2</v>
      </c>
      <c r="E62" t="s">
        <v>558</v>
      </c>
      <c r="F62" s="6" t="str">
        <f>INDEX(CaseTypeCol!$G:$G,MATCH($E62,CaseTypeCol!$A:$A,0))</f>
        <v>case_type1.time1_5 (TIME_YEAR)</v>
      </c>
      <c r="H62" s="6" t="str">
        <f t="shared" si="0"/>
        <v>0195d18c-1cc1-c475-eba4-c3df5aea8858|0198ef6d-8543-58d8-f78b-17d1fd52333b</v>
      </c>
    </row>
    <row r="63" spans="1:8" x14ac:dyDescent="0.3">
      <c r="A63" t="s">
        <v>658</v>
      </c>
      <c r="B63" t="s">
        <v>137</v>
      </c>
      <c r="C63" s="6" t="str">
        <f>INDEX(CaseTypeColSet!$B:$B,MATCH($B63,CaseTypeColSet!$A:$A,0))</f>
        <v>case_type_col_set1_1and2</v>
      </c>
      <c r="E63" t="s">
        <v>559</v>
      </c>
      <c r="F63" s="6" t="str">
        <f>INDEX(CaseTypeCol!$G:$G,MATCH($E63,CaseTypeCol!$A:$A,0))</f>
        <v>case_type1.time2_1 (TIME_DAY)</v>
      </c>
      <c r="H63" s="6" t="str">
        <f t="shared" si="0"/>
        <v>0195d18c-1cc1-c475-eba4-c3df5aea8858|0198ef6d-8543-95f7-7801-f7b9a1173d31</v>
      </c>
    </row>
    <row r="64" spans="1:8" x14ac:dyDescent="0.3">
      <c r="A64" t="s">
        <v>659</v>
      </c>
      <c r="B64" t="s">
        <v>137</v>
      </c>
      <c r="C64" s="6" t="str">
        <f>INDEX(CaseTypeColSet!$B:$B,MATCH($B64,CaseTypeColSet!$A:$A,0))</f>
        <v>case_type_col_set1_1and2</v>
      </c>
      <c r="E64" t="s">
        <v>560</v>
      </c>
      <c r="F64" s="6" t="str">
        <f>INDEX(CaseTypeCol!$G:$G,MATCH($E64,CaseTypeCol!$A:$A,0))</f>
        <v>case_type1.time2_2 (TIME_WEEK)</v>
      </c>
      <c r="H64" s="6" t="str">
        <f t="shared" si="0"/>
        <v>0195d18c-1cc1-c475-eba4-c3df5aea8858|0198ef6d-8543-d942-891d-d90db771db73</v>
      </c>
    </row>
    <row r="65" spans="1:8" x14ac:dyDescent="0.3">
      <c r="A65" t="s">
        <v>660</v>
      </c>
      <c r="B65" t="s">
        <v>137</v>
      </c>
      <c r="C65" s="6" t="str">
        <f>INDEX(CaseTypeColSet!$B:$B,MATCH($B65,CaseTypeColSet!$A:$A,0))</f>
        <v>case_type_col_set1_1and2</v>
      </c>
      <c r="E65" t="s">
        <v>561</v>
      </c>
      <c r="F65" s="6" t="str">
        <f>INDEX(CaseTypeCol!$G:$G,MATCH($E65,CaseTypeCol!$A:$A,0))</f>
        <v>case_type1.time2_3 (TIME_MONTH)</v>
      </c>
      <c r="H65" s="6" t="str">
        <f t="shared" si="0"/>
        <v>0195d18c-1cc1-c475-eba4-c3df5aea8858|0198ef6d-8543-8e8e-2323-db15777c232c</v>
      </c>
    </row>
    <row r="66" spans="1:8" x14ac:dyDescent="0.3">
      <c r="A66" t="s">
        <v>661</v>
      </c>
      <c r="B66" t="s">
        <v>137</v>
      </c>
      <c r="C66" s="6" t="str">
        <f>INDEX(CaseTypeColSet!$B:$B,MATCH($B66,CaseTypeColSet!$A:$A,0))</f>
        <v>case_type_col_set1_1and2</v>
      </c>
      <c r="E66" t="s">
        <v>562</v>
      </c>
      <c r="F66" s="6" t="str">
        <f>INDEX(CaseTypeCol!$G:$G,MATCH($E66,CaseTypeCol!$A:$A,0))</f>
        <v>case_type1.time2_4 (TIME_QUARTER)</v>
      </c>
      <c r="H66" s="6" t="str">
        <f t="shared" si="0"/>
        <v>0195d18c-1cc1-c475-eba4-c3df5aea8858|0198ef6d-8543-e881-c040-0a6a35d23358</v>
      </c>
    </row>
    <row r="67" spans="1:8" x14ac:dyDescent="0.3">
      <c r="A67" t="s">
        <v>662</v>
      </c>
      <c r="B67" t="s">
        <v>137</v>
      </c>
      <c r="C67" s="6" t="str">
        <f>INDEX(CaseTypeColSet!$B:$B,MATCH($B67,CaseTypeColSet!$A:$A,0))</f>
        <v>case_type_col_set1_1and2</v>
      </c>
      <c r="E67" t="s">
        <v>563</v>
      </c>
      <c r="F67" s="6" t="str">
        <f>INDEX(CaseTypeCol!$G:$G,MATCH($E67,CaseTypeCol!$A:$A,0))</f>
        <v>case_type1.time2_5 (TIME_YEAR)</v>
      </c>
      <c r="H67" s="6" t="str">
        <f t="shared" ref="H67:H96" si="1">$B67&amp;"|"&amp;$E67</f>
        <v>0195d18c-1cc1-c475-eba4-c3df5aea8858|0198ef6d-8543-2162-0198-4b380cae3fa3</v>
      </c>
    </row>
    <row r="68" spans="1:8" x14ac:dyDescent="0.3">
      <c r="A68" t="s">
        <v>663</v>
      </c>
      <c r="B68" t="s">
        <v>137</v>
      </c>
      <c r="C68" s="6" t="str">
        <f>INDEX(CaseTypeColSet!$B:$B,MATCH($B68,CaseTypeColSet!$A:$A,0))</f>
        <v>case_type_col_set1_1and2</v>
      </c>
      <c r="E68" t="s">
        <v>564</v>
      </c>
      <c r="F68" s="6" t="str">
        <f>INDEX(CaseTypeCol!$G:$G,MATCH($E68,CaseTypeCol!$A:$A,0))</f>
        <v>case_type1.id1_1 (ID_PSEUDONYMISED)</v>
      </c>
      <c r="H68" s="6" t="str">
        <f t="shared" si="1"/>
        <v>0195d18c-1cc1-c475-eba4-c3df5aea8858|0198ef6d-8543-f61d-4edc-07bcd51c380d</v>
      </c>
    </row>
    <row r="69" spans="1:8" x14ac:dyDescent="0.3">
      <c r="A69" t="s">
        <v>664</v>
      </c>
      <c r="B69" t="s">
        <v>137</v>
      </c>
      <c r="C69" s="6" t="str">
        <f>INDEX(CaseTypeColSet!$B:$B,MATCH($B69,CaseTypeColSet!$A:$A,0))</f>
        <v>case_type_col_set1_1and2</v>
      </c>
      <c r="E69" t="s">
        <v>565</v>
      </c>
      <c r="F69" s="6" t="str">
        <f>INDEX(CaseTypeCol!$G:$G,MATCH($E69,CaseTypeCol!$A:$A,0))</f>
        <v>case_type1.id2_1 (ID_PSEUDONYMISED)</v>
      </c>
      <c r="H69" s="6" t="str">
        <f t="shared" si="1"/>
        <v>0195d18c-1cc1-c475-eba4-c3df5aea8858|0198ef6d-8543-6468-4596-cfc7b24c16e9</v>
      </c>
    </row>
    <row r="70" spans="1:8" x14ac:dyDescent="0.3">
      <c r="A70" t="s">
        <v>665</v>
      </c>
      <c r="B70" t="s">
        <v>137</v>
      </c>
      <c r="C70" s="6" t="str">
        <f>INDEX(CaseTypeColSet!$B:$B,MATCH($B70,CaseTypeColSet!$A:$A,0))</f>
        <v>case_type_col_set1_1and2</v>
      </c>
      <c r="E70" t="s">
        <v>566</v>
      </c>
      <c r="F70" s="6" t="str">
        <f>INDEX(CaseTypeCol!$G:$G,MATCH($E70,CaseTypeCol!$A:$A,0))</f>
        <v>case_type1.number1_1 (DECIMAL_0)</v>
      </c>
      <c r="H70" s="6" t="str">
        <f t="shared" si="1"/>
        <v>0195d18c-1cc1-c475-eba4-c3df5aea8858|0198ef6d-8543-2afc-2c12-93e895132544</v>
      </c>
    </row>
    <row r="71" spans="1:8" x14ac:dyDescent="0.3">
      <c r="A71" t="s">
        <v>666</v>
      </c>
      <c r="B71" t="s">
        <v>137</v>
      </c>
      <c r="C71" s="6" t="str">
        <f>INDEX(CaseTypeColSet!$B:$B,MATCH($B71,CaseTypeColSet!$A:$A,0))</f>
        <v>case_type_col_set1_1and2</v>
      </c>
      <c r="E71" t="s">
        <v>567</v>
      </c>
      <c r="F71" s="6" t="str">
        <f>INDEX(CaseTypeCol!$G:$G,MATCH($E71,CaseTypeCol!$A:$A,0))</f>
        <v>case_type1.number1_1 (INTERVAL;Age in years, intervals 0, 5, 15, 25, 45, 65)</v>
      </c>
      <c r="H71" s="6" t="str">
        <f t="shared" si="1"/>
        <v>0195d18c-1cc1-c475-eba4-c3df5aea8858|0198ef6d-8543-c453-7e15-c4a877df12b1</v>
      </c>
    </row>
    <row r="72" spans="1:8" x14ac:dyDescent="0.3">
      <c r="A72" t="s">
        <v>667</v>
      </c>
      <c r="B72" t="s">
        <v>137</v>
      </c>
      <c r="C72" s="6" t="str">
        <f>INDEX(CaseTypeColSet!$B:$B,MATCH($B72,CaseTypeColSet!$A:$A,0))</f>
        <v>case_type_col_set1_1and2</v>
      </c>
      <c r="E72" t="s">
        <v>568</v>
      </c>
      <c r="F72" s="6" t="str">
        <f>INDEX(CaseTypeCol!$G:$G,MATCH($E72,CaseTypeCol!$A:$A,0))</f>
        <v>case_type1.number1_1 (INTERVAL;Age in years, intervals 0, 5, 19, 65)</v>
      </c>
      <c r="H72" s="6" t="str">
        <f t="shared" si="1"/>
        <v>0195d18c-1cc1-c475-eba4-c3df5aea8858|0198ef6d-8543-2029-b59b-f9f9a653936a</v>
      </c>
    </row>
    <row r="73" spans="1:8" x14ac:dyDescent="0.3">
      <c r="A73" t="s">
        <v>668</v>
      </c>
      <c r="B73" t="s">
        <v>137</v>
      </c>
      <c r="C73" s="6" t="str">
        <f>INDEX(CaseTypeColSet!$B:$B,MATCH($B73,CaseTypeColSet!$A:$A,0))</f>
        <v>case_type_col_set1_1and2</v>
      </c>
      <c r="E73" t="s">
        <v>569</v>
      </c>
      <c r="F73" s="6" t="str">
        <f>INDEX(CaseTypeCol!$G:$G,MATCH($E73,CaseTypeCol!$A:$A,0))</f>
        <v>case_type1.number2_1 (DECIMAL_2)</v>
      </c>
      <c r="H73" s="6" t="str">
        <f t="shared" si="1"/>
        <v>0195d18c-1cc1-c475-eba4-c3df5aea8858|0198ef6d-8543-de89-1d51-d1a00a20cfe1</v>
      </c>
    </row>
    <row r="74" spans="1:8" x14ac:dyDescent="0.3">
      <c r="A74" t="s">
        <v>669</v>
      </c>
      <c r="B74" t="s">
        <v>137</v>
      </c>
      <c r="C74" s="6" t="str">
        <f>INDEX(CaseTypeColSet!$B:$B,MATCH($B74,CaseTypeColSet!$A:$A,0))</f>
        <v>case_type_col_set1_1and2</v>
      </c>
      <c r="E74" t="s">
        <v>570</v>
      </c>
      <c r="F74" s="6" t="str">
        <f>INDEX(CaseTypeCol!$G:$G,MATCH($E74,CaseTypeCol!$A:$A,0))</f>
        <v>case_type1.number2_1 (INTERVAL;Age in months, intervals 0, 1, 2, 3)</v>
      </c>
      <c r="H74" s="6" t="str">
        <f t="shared" si="1"/>
        <v>0195d18c-1cc1-c475-eba4-c3df5aea8858|0198ef6d-8543-2da2-cd65-fdc03f304e9b</v>
      </c>
    </row>
    <row r="75" spans="1:8" x14ac:dyDescent="0.3">
      <c r="A75" t="s">
        <v>670</v>
      </c>
      <c r="B75" t="s">
        <v>137</v>
      </c>
      <c r="C75" s="6" t="str">
        <f>INDEX(CaseTypeColSet!$B:$B,MATCH($B75,CaseTypeColSet!$A:$A,0))</f>
        <v>case_type_col_set1_1and2</v>
      </c>
      <c r="E75" t="s">
        <v>571</v>
      </c>
      <c r="F75" s="6" t="str">
        <f>INDEX(CaseTypeCol!$G:$G,MATCH($E75,CaseTypeCol!$A:$A,0))</f>
        <v>case_type1.number2_1 (INTERVAL;Age in years, intervals 0, 15, 25, 35, 45)</v>
      </c>
      <c r="H75" s="6" t="str">
        <f t="shared" si="1"/>
        <v>0195d18c-1cc1-c475-eba4-c3df5aea8858|0198ef6d-8543-90ee-8214-09a6f499e9d9</v>
      </c>
    </row>
    <row r="76" spans="1:8" x14ac:dyDescent="0.3">
      <c r="A76" t="s">
        <v>671</v>
      </c>
      <c r="B76" t="s">
        <v>137</v>
      </c>
      <c r="C76" s="6" t="str">
        <f>INDEX(CaseTypeColSet!$B:$B,MATCH($B76,CaseTypeColSet!$A:$A,0))</f>
        <v>case_type_col_set1_1and2</v>
      </c>
      <c r="E76" t="s">
        <v>572</v>
      </c>
      <c r="F76" s="6" t="str">
        <f>INDEX(CaseTypeCol!$G:$G,MATCH($E76,CaseTypeCol!$A:$A,0))</f>
        <v>case_type1.other1_1 (OTHER)</v>
      </c>
      <c r="H76" s="6" t="str">
        <f t="shared" si="1"/>
        <v>0195d18c-1cc1-c475-eba4-c3df5aea8858|0198ef6d-8543-a456-618e-e443bc0d35e9</v>
      </c>
    </row>
    <row r="77" spans="1:8" x14ac:dyDescent="0.3">
      <c r="A77" t="s">
        <v>672</v>
      </c>
      <c r="B77" t="s">
        <v>137</v>
      </c>
      <c r="C77" s="6" t="str">
        <f>INDEX(CaseTypeColSet!$B:$B,MATCH($B77,CaseTypeColSet!$A:$A,0))</f>
        <v>case_type_col_set1_1and2</v>
      </c>
      <c r="E77" t="s">
        <v>573</v>
      </c>
      <c r="F77" s="6" t="str">
        <f>INDEX(CaseTypeCol!$G:$G,MATCH($E77,CaseTypeCol!$A:$A,0))</f>
        <v>case_type1.other2_1 (OTHER)</v>
      </c>
      <c r="H77" s="6" t="str">
        <f t="shared" si="1"/>
        <v>0195d18c-1cc1-c475-eba4-c3df5aea8858|0198ef6d-8543-5532-be80-6c8a18c388da</v>
      </c>
    </row>
    <row r="78" spans="1:8" x14ac:dyDescent="0.3">
      <c r="A78" t="s">
        <v>673</v>
      </c>
      <c r="B78" t="s">
        <v>137</v>
      </c>
      <c r="C78" s="6" t="str">
        <f>INDEX(CaseTypeColSet!$B:$B,MATCH($B78,CaseTypeColSet!$A:$A,0))</f>
        <v>case_type_col_set1_1and2</v>
      </c>
      <c r="E78" t="s">
        <v>574</v>
      </c>
      <c r="F78" s="6" t="str">
        <f>INDEX(CaseTypeCol!$G:$G,MATCH($E78,CaseTypeCol!$A:$A,0))</f>
        <v>case_type2.nominal1_1 (NOMINAL;Nominal_1)</v>
      </c>
      <c r="H78" s="6" t="str">
        <f t="shared" si="1"/>
        <v>0195d18c-1cc1-c475-eba4-c3df5aea8858|0198ef6d-8543-daa3-3b64-47a0bed70d1b</v>
      </c>
    </row>
    <row r="79" spans="1:8" x14ac:dyDescent="0.3">
      <c r="A79" t="s">
        <v>674</v>
      </c>
      <c r="B79" t="s">
        <v>137</v>
      </c>
      <c r="C79" s="6" t="str">
        <f>INDEX(CaseTypeColSet!$B:$B,MATCH($B79,CaseTypeColSet!$A:$A,0))</f>
        <v>case_type_col_set1_1and2</v>
      </c>
      <c r="E79" t="s">
        <v>575</v>
      </c>
      <c r="F79" s="6" t="str">
        <f>INDEX(CaseTypeCol!$G:$G,MATCH($E79,CaseTypeCol!$A:$A,0))</f>
        <v>case_type2.ordinal1_1 (ORDINAL;Ordinal_1)</v>
      </c>
      <c r="H79" s="6" t="str">
        <f t="shared" si="1"/>
        <v>0195d18c-1cc1-c475-eba4-c3df5aea8858|0198ef6d-8543-7ab3-ba92-5fa2af40f240</v>
      </c>
    </row>
    <row r="80" spans="1:8" x14ac:dyDescent="0.3">
      <c r="A80" t="s">
        <v>675</v>
      </c>
      <c r="B80" t="s">
        <v>137</v>
      </c>
      <c r="C80" s="6" t="str">
        <f>INDEX(CaseTypeColSet!$B:$B,MATCH($B80,CaseTypeColSet!$A:$A,0))</f>
        <v>case_type_col_set1_1and2</v>
      </c>
      <c r="E80" t="s">
        <v>576</v>
      </c>
      <c r="F80" s="6" t="str">
        <f>INDEX(CaseTypeCol!$G:$G,MATCH($E80,CaseTypeCol!$A:$A,0))</f>
        <v>case_type2.regex1_1 (REGULAR_LANGUAGE;Regex_1)</v>
      </c>
      <c r="H80" s="6" t="str">
        <f t="shared" si="1"/>
        <v>0195d18c-1cc1-c475-eba4-c3df5aea8858|0198ef6d-8543-0e30-d86c-c2c7095525ec</v>
      </c>
    </row>
    <row r="81" spans="1:8" x14ac:dyDescent="0.3">
      <c r="A81" t="s">
        <v>676</v>
      </c>
      <c r="B81" t="s">
        <v>137</v>
      </c>
      <c r="C81" s="6" t="str">
        <f>INDEX(CaseTypeColSet!$B:$B,MATCH($B81,CaseTypeColSet!$A:$A,0))</f>
        <v>case_type_col_set1_1and2</v>
      </c>
      <c r="E81" t="s">
        <v>577</v>
      </c>
      <c r="F81" s="6" t="str">
        <f>INDEX(CaseTypeCol!$G:$G,MATCH($E81,CaseTypeCol!$A:$A,0))</f>
        <v>case_type2.text1_1 (TEXT)</v>
      </c>
      <c r="H81" s="6" t="str">
        <f t="shared" si="1"/>
        <v>0195d18c-1cc1-c475-eba4-c3df5aea8858|0198ef6d-8543-1443-43dc-7a07aef0da30</v>
      </c>
    </row>
    <row r="82" spans="1:8" x14ac:dyDescent="0.3">
      <c r="A82" t="s">
        <v>677</v>
      </c>
      <c r="B82" t="s">
        <v>137</v>
      </c>
      <c r="C82" s="6" t="str">
        <f>INDEX(CaseTypeColSet!$B:$B,MATCH($B82,CaseTypeColSet!$A:$A,0))</f>
        <v>case_type_col_set1_1and2</v>
      </c>
      <c r="E82" t="s">
        <v>578</v>
      </c>
      <c r="F82" s="6" t="str">
        <f>INDEX(CaseTypeCol!$G:$G,MATCH($E82,CaseTypeCol!$A:$A,0))</f>
        <v>case_type2.org1_1 (ORGANIZATION)</v>
      </c>
      <c r="H82" s="6" t="str">
        <f t="shared" si="1"/>
        <v>0195d18c-1cc1-c475-eba4-c3df5aea8858|0198ef6d-8543-7fbb-0745-44bb651edd00</v>
      </c>
    </row>
    <row r="83" spans="1:8" x14ac:dyDescent="0.3">
      <c r="A83" t="s">
        <v>678</v>
      </c>
      <c r="B83" t="s">
        <v>137</v>
      </c>
      <c r="C83" s="6" t="str">
        <f>INDEX(CaseTypeColSet!$B:$B,MATCH($B83,CaseTypeColSet!$A:$A,0))</f>
        <v>case_type_col_set1_1and2</v>
      </c>
      <c r="E83" t="s">
        <v>579</v>
      </c>
      <c r="F83" s="6" t="str">
        <f>INDEX(CaseTypeCol!$G:$G,MATCH($E83,CaseTypeCol!$A:$A,0))</f>
        <v>case_type2.geo1_1 (GEO_REGION;PC_L4)</v>
      </c>
      <c r="H83" s="6" t="str">
        <f t="shared" si="1"/>
        <v>0195d18c-1cc1-c475-eba4-c3df5aea8858|0198ef6d-8543-72db-d650-96776e8fd4a7</v>
      </c>
    </row>
    <row r="84" spans="1:8" x14ac:dyDescent="0.3">
      <c r="A84" t="s">
        <v>679</v>
      </c>
      <c r="B84" t="s">
        <v>137</v>
      </c>
      <c r="C84" s="6" t="str">
        <f>INDEX(CaseTypeColSet!$B:$B,MATCH($B84,CaseTypeColSet!$A:$A,0))</f>
        <v>case_type_col_set1_1and2</v>
      </c>
      <c r="E84" t="s">
        <v>580</v>
      </c>
      <c r="F84" s="6" t="str">
        <f>INDEX(CaseTypeCol!$G:$G,MATCH($E84,CaseTypeCol!$A:$A,0))</f>
        <v>case_type2.geo1_2 (GEO_REGION;PC_L3)</v>
      </c>
      <c r="H84" s="6" t="str">
        <f t="shared" si="1"/>
        <v>0195d18c-1cc1-c475-eba4-c3df5aea8858|0198ef6d-8543-aed3-82fc-8fc90e0c93fd</v>
      </c>
    </row>
    <row r="85" spans="1:8" x14ac:dyDescent="0.3">
      <c r="A85" t="s">
        <v>680</v>
      </c>
      <c r="B85" t="s">
        <v>137</v>
      </c>
      <c r="C85" s="6" t="str">
        <f>INDEX(CaseTypeColSet!$B:$B,MATCH($B85,CaseTypeColSet!$A:$A,0))</f>
        <v>case_type_col_set1_1and2</v>
      </c>
      <c r="E85" t="s">
        <v>581</v>
      </c>
      <c r="F85" s="6" t="str">
        <f>INDEX(CaseTypeCol!$G:$G,MATCH($E85,CaseTypeCol!$A:$A,0))</f>
        <v>case_type2.geo1_3 (GEO_REGION;MUN)</v>
      </c>
      <c r="H85" s="6" t="str">
        <f t="shared" si="1"/>
        <v>0195d18c-1cc1-c475-eba4-c3df5aea8858|0198ef6d-8543-e6af-3e5a-6494a01a06ae</v>
      </c>
    </row>
    <row r="86" spans="1:8" x14ac:dyDescent="0.3">
      <c r="A86" t="s">
        <v>681</v>
      </c>
      <c r="B86" t="s">
        <v>137</v>
      </c>
      <c r="C86" s="6" t="str">
        <f>INDEX(CaseTypeColSet!$B:$B,MATCH($B86,CaseTypeColSet!$A:$A,0))</f>
        <v>case_type_col_set1_1and2</v>
      </c>
      <c r="E86" t="s">
        <v>582</v>
      </c>
      <c r="F86" s="6" t="str">
        <f>INDEX(CaseTypeCol!$G:$G,MATCH($E86,CaseTypeCol!$A:$A,0))</f>
        <v>case_type2.geo1_4 (GEO_REGION;PV)</v>
      </c>
      <c r="H86" s="6" t="str">
        <f t="shared" si="1"/>
        <v>0195d18c-1cc1-c475-eba4-c3df5aea8858|0198ef6d-8543-4e2b-87de-57604330cdd3</v>
      </c>
    </row>
    <row r="87" spans="1:8" x14ac:dyDescent="0.3">
      <c r="A87" t="s">
        <v>682</v>
      </c>
      <c r="B87" t="s">
        <v>137</v>
      </c>
      <c r="C87" s="6" t="str">
        <f>INDEX(CaseTypeColSet!$B:$B,MATCH($B87,CaseTypeColSet!$A:$A,0))</f>
        <v>case_type_col_set1_1and2</v>
      </c>
      <c r="E87" t="s">
        <v>583</v>
      </c>
      <c r="F87" s="6" t="str">
        <f>INDEX(CaseTypeCol!$G:$G,MATCH($E87,CaseTypeCol!$A:$A,0))</f>
        <v>case_type2.time1_1 (TIME_DAY)</v>
      </c>
      <c r="H87" s="6" t="str">
        <f t="shared" si="1"/>
        <v>0195d18c-1cc1-c475-eba4-c3df5aea8858|0198ef6d-8543-7196-e13a-d911de7aa2aa</v>
      </c>
    </row>
    <row r="88" spans="1:8" x14ac:dyDescent="0.3">
      <c r="A88" t="s">
        <v>683</v>
      </c>
      <c r="B88" t="s">
        <v>137</v>
      </c>
      <c r="C88" s="6" t="str">
        <f>INDEX(CaseTypeColSet!$B:$B,MATCH($B88,CaseTypeColSet!$A:$A,0))</f>
        <v>case_type_col_set1_1and2</v>
      </c>
      <c r="E88" t="s">
        <v>584</v>
      </c>
      <c r="F88" s="6" t="str">
        <f>INDEX(CaseTypeCol!$G:$G,MATCH($E88,CaseTypeCol!$A:$A,0))</f>
        <v>case_type2.time1_2 (TIME_WEEK)</v>
      </c>
      <c r="H88" s="6" t="str">
        <f t="shared" si="1"/>
        <v>0195d18c-1cc1-c475-eba4-c3df5aea8858|0198ef6d-8543-49c9-f899-a2bd7ca7905e</v>
      </c>
    </row>
    <row r="89" spans="1:8" x14ac:dyDescent="0.3">
      <c r="A89" t="s">
        <v>684</v>
      </c>
      <c r="B89" t="s">
        <v>137</v>
      </c>
      <c r="C89" s="6" t="str">
        <f>INDEX(CaseTypeColSet!$B:$B,MATCH($B89,CaseTypeColSet!$A:$A,0))</f>
        <v>case_type_col_set1_1and2</v>
      </c>
      <c r="E89" t="s">
        <v>585</v>
      </c>
      <c r="F89" s="6" t="str">
        <f>INDEX(CaseTypeCol!$G:$G,MATCH($E89,CaseTypeCol!$A:$A,0))</f>
        <v>case_type2.time1_3 (TIME_MONTH)</v>
      </c>
      <c r="H89" s="6" t="str">
        <f t="shared" si="1"/>
        <v>0195d18c-1cc1-c475-eba4-c3df5aea8858|0198ef6d-8543-e911-0c7d-89e8d97702dc</v>
      </c>
    </row>
    <row r="90" spans="1:8" x14ac:dyDescent="0.3">
      <c r="A90" t="s">
        <v>685</v>
      </c>
      <c r="B90" t="s">
        <v>137</v>
      </c>
      <c r="C90" s="6" t="str">
        <f>INDEX(CaseTypeColSet!$B:$B,MATCH($B90,CaseTypeColSet!$A:$A,0))</f>
        <v>case_type_col_set1_1and2</v>
      </c>
      <c r="E90" t="s">
        <v>586</v>
      </c>
      <c r="F90" s="6" t="str">
        <f>INDEX(CaseTypeCol!$G:$G,MATCH($E90,CaseTypeCol!$A:$A,0))</f>
        <v>case_type2.time1_4 (TIME_QUARTER)</v>
      </c>
      <c r="H90" s="6" t="str">
        <f t="shared" si="1"/>
        <v>0195d18c-1cc1-c475-eba4-c3df5aea8858|0198ef6d-8543-c287-9def-b1c31ccc15e3</v>
      </c>
    </row>
    <row r="91" spans="1:8" x14ac:dyDescent="0.3">
      <c r="A91" t="s">
        <v>686</v>
      </c>
      <c r="B91" t="s">
        <v>137</v>
      </c>
      <c r="C91" s="6" t="str">
        <f>INDEX(CaseTypeColSet!$B:$B,MATCH($B91,CaseTypeColSet!$A:$A,0))</f>
        <v>case_type_col_set1_1and2</v>
      </c>
      <c r="E91" t="s">
        <v>587</v>
      </c>
      <c r="F91" s="6" t="str">
        <f>INDEX(CaseTypeCol!$G:$G,MATCH($E91,CaseTypeCol!$A:$A,0))</f>
        <v>case_type2.time1_5 (TIME_YEAR)</v>
      </c>
      <c r="H91" s="6" t="str">
        <f t="shared" si="1"/>
        <v>0195d18c-1cc1-c475-eba4-c3df5aea8858|0198ef6d-8543-d41c-32e8-4166495e403d</v>
      </c>
    </row>
    <row r="92" spans="1:8" x14ac:dyDescent="0.3">
      <c r="A92" t="s">
        <v>687</v>
      </c>
      <c r="B92" t="s">
        <v>137</v>
      </c>
      <c r="C92" s="6" t="str">
        <f>INDEX(CaseTypeColSet!$B:$B,MATCH($B92,CaseTypeColSet!$A:$A,0))</f>
        <v>case_type_col_set1_1and2</v>
      </c>
      <c r="E92" t="s">
        <v>588</v>
      </c>
      <c r="F92" s="6" t="str">
        <f>INDEX(CaseTypeCol!$G:$G,MATCH($E92,CaseTypeCol!$A:$A,0))</f>
        <v>case_type2.id1_1 (ID_PSEUDONYMISED)</v>
      </c>
      <c r="H92" s="6" t="str">
        <f t="shared" si="1"/>
        <v>0195d18c-1cc1-c475-eba4-c3df5aea8858|0198ef6d-8543-92f3-9168-2df7a147b28e</v>
      </c>
    </row>
    <row r="93" spans="1:8" x14ac:dyDescent="0.3">
      <c r="A93" t="s">
        <v>688</v>
      </c>
      <c r="B93" t="s">
        <v>137</v>
      </c>
      <c r="C93" s="6" t="str">
        <f>INDEX(CaseTypeColSet!$B:$B,MATCH($B93,CaseTypeColSet!$A:$A,0))</f>
        <v>case_type_col_set1_1and2</v>
      </c>
      <c r="E93" t="s">
        <v>589</v>
      </c>
      <c r="F93" s="6" t="str">
        <f>INDEX(CaseTypeCol!$G:$G,MATCH($E93,CaseTypeCol!$A:$A,0))</f>
        <v>case_type2.number1_1 (DECIMAL_0)</v>
      </c>
      <c r="H93" s="6" t="str">
        <f t="shared" si="1"/>
        <v>0195d18c-1cc1-c475-eba4-c3df5aea8858|0198ef6d-8543-83ae-9c38-8230890499d5</v>
      </c>
    </row>
    <row r="94" spans="1:8" x14ac:dyDescent="0.3">
      <c r="A94" t="s">
        <v>689</v>
      </c>
      <c r="B94" t="s">
        <v>137</v>
      </c>
      <c r="C94" s="6" t="str">
        <f>INDEX(CaseTypeColSet!$B:$B,MATCH($B94,CaseTypeColSet!$A:$A,0))</f>
        <v>case_type_col_set1_1and2</v>
      </c>
      <c r="E94" t="s">
        <v>590</v>
      </c>
      <c r="F94" s="6" t="str">
        <f>INDEX(CaseTypeCol!$G:$G,MATCH($E94,CaseTypeCol!$A:$A,0))</f>
        <v>case_type2.number1_1 (INTERVAL;Age in years, intervals 0, 5, 15, 25, 45, 65)</v>
      </c>
      <c r="H94" s="6" t="str">
        <f t="shared" si="1"/>
        <v>0195d18c-1cc1-c475-eba4-c3df5aea8858|0198ef6d-8543-aca5-d495-a14d205474c8</v>
      </c>
    </row>
    <row r="95" spans="1:8" x14ac:dyDescent="0.3">
      <c r="A95" t="s">
        <v>690</v>
      </c>
      <c r="B95" t="s">
        <v>137</v>
      </c>
      <c r="C95" s="6" t="str">
        <f>INDEX(CaseTypeColSet!$B:$B,MATCH($B95,CaseTypeColSet!$A:$A,0))</f>
        <v>case_type_col_set1_1and2</v>
      </c>
      <c r="E95" t="s">
        <v>591</v>
      </c>
      <c r="F95" s="6" t="str">
        <f>INDEX(CaseTypeCol!$G:$G,MATCH($E95,CaseTypeCol!$A:$A,0))</f>
        <v>case_type2.number1_1 (INTERVAL;Age in years, intervals 0, 5, 19, 65)</v>
      </c>
      <c r="H95" s="6" t="str">
        <f t="shared" si="1"/>
        <v>0195d18c-1cc1-c475-eba4-c3df5aea8858|0198ef6d-8543-059f-33dd-73f8668bc5ef</v>
      </c>
    </row>
    <row r="96" spans="1:8" x14ac:dyDescent="0.3">
      <c r="A96" t="s">
        <v>691</v>
      </c>
      <c r="B96" t="s">
        <v>137</v>
      </c>
      <c r="C96" s="6" t="str">
        <f>INDEX(CaseTypeColSet!$B:$B,MATCH($B96,CaseTypeColSet!$A:$A,0))</f>
        <v>case_type_col_set1_1and2</v>
      </c>
      <c r="E96" t="s">
        <v>592</v>
      </c>
      <c r="F96" s="6" t="str">
        <f>INDEX(CaseTypeCol!$G:$G,MATCH($E96,CaseTypeCol!$A:$A,0))</f>
        <v>case_type2.other1_1 (OTHER)</v>
      </c>
      <c r="H96" s="6" t="str">
        <f t="shared" si="1"/>
        <v>0195d18c-1cc1-c475-eba4-c3df5aea8858|0198ef6d-8543-87f8-e4ed-200adf224eea</v>
      </c>
    </row>
  </sheetData>
  <autoFilter ref="A1:H96" xr:uid="{00000000-0001-0000-0800-000000000000}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pane ySplit="1" topLeftCell="A2" activePane="bottomLeft" state="frozen"/>
      <selection pane="bottomLeft" activeCell="D2" sqref="D2"/>
    </sheetView>
  </sheetViews>
  <sheetFormatPr defaultColWidth="8.77734375" defaultRowHeight="14.4" x14ac:dyDescent="0.3"/>
  <cols>
    <col min="1" max="1" width="35.77734375" bestFit="1" customWidth="1"/>
    <col min="2" max="2" width="36" bestFit="1" customWidth="1"/>
    <col min="3" max="3" width="14.33203125" bestFit="1" customWidth="1"/>
    <col min="4" max="4" width="36" bestFit="1" customWidth="1"/>
    <col min="5" max="5" width="12.6640625" bestFit="1" customWidth="1"/>
    <col min="6" max="6" width="8" bestFit="1" customWidth="1"/>
  </cols>
  <sheetData>
    <row r="1" spans="1:6" s="9" customFormat="1" x14ac:dyDescent="0.3">
      <c r="A1" s="7" t="s">
        <v>0</v>
      </c>
      <c r="B1" s="7" t="s">
        <v>41</v>
      </c>
      <c r="C1" s="7" t="s">
        <v>273</v>
      </c>
      <c r="D1" s="7" t="s">
        <v>1</v>
      </c>
      <c r="E1" s="7" t="s">
        <v>272</v>
      </c>
      <c r="F1" s="7" t="s">
        <v>3</v>
      </c>
    </row>
    <row r="2" spans="1:6" x14ac:dyDescent="0.3">
      <c r="A2" t="s">
        <v>42</v>
      </c>
      <c r="B2" t="s">
        <v>43</v>
      </c>
      <c r="C2" t="str">
        <f>VLOOKUP(B2,Organization!$A:$B,2,0)</f>
        <v>org1</v>
      </c>
      <c r="D2" t="s">
        <v>44</v>
      </c>
      <c r="E2" t="str">
        <f>VLOOKUP(D2,User!$A:$D,3,0)</f>
        <v>org_admin1_1@org1_org</v>
      </c>
      <c r="F2" t="b">
        <v>1</v>
      </c>
    </row>
    <row r="3" spans="1:6" x14ac:dyDescent="0.3">
      <c r="A3" t="s">
        <v>45</v>
      </c>
      <c r="B3" t="s">
        <v>46</v>
      </c>
      <c r="C3" t="str">
        <f>VLOOKUP(B3,Organization!$A:$B,2,0)</f>
        <v>org2</v>
      </c>
      <c r="D3" t="s">
        <v>47</v>
      </c>
      <c r="E3" t="str">
        <f>VLOOKUP(D3,User!$A:$D,3,0)</f>
        <v>org_admin2_1@org2_org</v>
      </c>
      <c r="F3" t="b">
        <v>1</v>
      </c>
    </row>
    <row r="4" spans="1:6" x14ac:dyDescent="0.3">
      <c r="A4" t="s">
        <v>48</v>
      </c>
      <c r="B4" t="s">
        <v>49</v>
      </c>
      <c r="C4" t="str">
        <f>VLOOKUP(B4,Organization!$A:$B,2,0)</f>
        <v>org3</v>
      </c>
      <c r="D4" t="s">
        <v>50</v>
      </c>
      <c r="E4" t="str">
        <f>VLOOKUP(D4,User!$A:$D,3,0)</f>
        <v>org_admin3_1@org3_org</v>
      </c>
      <c r="F4" t="b">
        <v>1</v>
      </c>
    </row>
    <row r="5" spans="1:6" x14ac:dyDescent="0.3">
      <c r="A5" t="s">
        <v>51</v>
      </c>
      <c r="B5" t="s">
        <v>52</v>
      </c>
      <c r="C5" t="str">
        <f>VLOOKUP(B5,Organization!$A:$B,2,0)</f>
        <v>org4</v>
      </c>
      <c r="D5" t="s">
        <v>53</v>
      </c>
      <c r="E5" t="str">
        <f>VLOOKUP(D5,User!$A:$D,3,0)</f>
        <v>org_admin4_1@org4_org</v>
      </c>
      <c r="F5" t="b">
        <v>1</v>
      </c>
    </row>
    <row r="6" spans="1:6" x14ac:dyDescent="0.3">
      <c r="A6" t="s">
        <v>54</v>
      </c>
      <c r="B6" t="s">
        <v>55</v>
      </c>
      <c r="C6" t="str">
        <f>VLOOKUP(B6,Organization!$A:$B,2,0)</f>
        <v>org5</v>
      </c>
      <c r="D6" t="s">
        <v>56</v>
      </c>
      <c r="E6" t="str">
        <f>VLOOKUP(D6,User!$A:$D,3,0)</f>
        <v>org_admin5_1@org5_org</v>
      </c>
      <c r="F6" t="b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0F389-1562-4A7F-BB5E-AAA96B2F3DDB}">
  <dimension ref="A1:V11"/>
  <sheetViews>
    <sheetView topLeftCell="B1" zoomScale="80" zoomScaleNormal="80" workbookViewId="0">
      <pane ySplit="1" topLeftCell="A2" activePane="bottomLeft" state="frozen"/>
      <selection pane="bottomLeft" activeCell="J3" sqref="J3"/>
    </sheetView>
  </sheetViews>
  <sheetFormatPr defaultColWidth="8.77734375" defaultRowHeight="14.4" x14ac:dyDescent="0.3"/>
  <cols>
    <col min="1" max="1" width="37.33203125" bestFit="1" customWidth="1"/>
    <col min="2" max="2" width="36" bestFit="1" customWidth="1"/>
    <col min="3" max="3" width="22.109375" bestFit="1" customWidth="1"/>
    <col min="4" max="4" width="36" bestFit="1" customWidth="1"/>
    <col min="5" max="5" width="21" bestFit="1" customWidth="1"/>
    <col min="6" max="6" width="8.109375" bestFit="1" customWidth="1"/>
    <col min="7" max="7" width="9" bestFit="1" customWidth="1"/>
    <col min="9" max="9" width="12" bestFit="1" customWidth="1"/>
    <col min="10" max="10" width="35.77734375" bestFit="1" customWidth="1"/>
    <col min="11" max="11" width="30.33203125" bestFit="1" customWidth="1"/>
    <col min="12" max="12" width="35.77734375" customWidth="1"/>
    <col min="13" max="13" width="30.77734375" bestFit="1" customWidth="1"/>
    <col min="14" max="14" width="12.33203125" bestFit="1" customWidth="1"/>
    <col min="15" max="15" width="15.6640625" bestFit="1" customWidth="1"/>
    <col min="16" max="16" width="12.77734375" bestFit="1" customWidth="1"/>
    <col min="17" max="17" width="13.44140625" bestFit="1" customWidth="1"/>
    <col min="18" max="18" width="36" bestFit="1" customWidth="1"/>
    <col min="19" max="19" width="20.33203125" bestFit="1" customWidth="1"/>
    <col min="20" max="20" width="33.44140625" bestFit="1" customWidth="1"/>
    <col min="21" max="21" width="26.44140625" bestFit="1" customWidth="1"/>
    <col min="22" max="22" width="11.44140625" customWidth="1"/>
  </cols>
  <sheetData>
    <row r="1" spans="1:22" s="9" customFormat="1" x14ac:dyDescent="0.3">
      <c r="A1" s="7" t="s">
        <v>0</v>
      </c>
      <c r="B1" s="7" t="s">
        <v>2</v>
      </c>
      <c r="C1" s="8" t="s">
        <v>822</v>
      </c>
      <c r="D1" s="7" t="s">
        <v>58</v>
      </c>
      <c r="E1" s="4" t="s">
        <v>806</v>
      </c>
      <c r="F1" s="7" t="s">
        <v>3</v>
      </c>
      <c r="G1" s="7" t="s">
        <v>274</v>
      </c>
      <c r="H1" s="7" t="s">
        <v>4</v>
      </c>
      <c r="I1" s="7" t="s">
        <v>5</v>
      </c>
      <c r="J1" s="7" t="s">
        <v>275</v>
      </c>
      <c r="K1" s="8" t="s">
        <v>823</v>
      </c>
      <c r="L1" s="7" t="s">
        <v>276</v>
      </c>
      <c r="M1" s="8" t="s">
        <v>824</v>
      </c>
      <c r="N1" s="7" t="s">
        <v>6</v>
      </c>
      <c r="O1" s="7" t="s">
        <v>7</v>
      </c>
      <c r="P1" s="7" t="s">
        <v>8</v>
      </c>
      <c r="Q1" s="7" t="s">
        <v>9</v>
      </c>
      <c r="R1" s="7" t="s">
        <v>41</v>
      </c>
      <c r="S1" s="8" t="s">
        <v>798</v>
      </c>
      <c r="T1" s="4" t="s">
        <v>277</v>
      </c>
      <c r="U1" s="8" t="s">
        <v>278</v>
      </c>
      <c r="V1" s="8" t="s">
        <v>284</v>
      </c>
    </row>
    <row r="2" spans="1:22" x14ac:dyDescent="0.3">
      <c r="A2" t="s">
        <v>62</v>
      </c>
      <c r="B2" t="s">
        <v>11</v>
      </c>
      <c r="C2" s="4" t="str">
        <f>INDEX(DataCollection!$B:$B,MATCH($B2,DataCollection!$A:$A,0))</f>
        <v>data_collection1</v>
      </c>
      <c r="D2" t="s">
        <v>63</v>
      </c>
      <c r="E2" s="4" t="str">
        <f>INDEX(CaseTypeSet!$B:$B,MATCH($D2,CaseTypeSet!$A:$A,0))</f>
        <v>case_type_set1</v>
      </c>
      <c r="F2" t="b">
        <v>1</v>
      </c>
      <c r="G2" t="b">
        <v>1</v>
      </c>
      <c r="H2" t="b">
        <v>1</v>
      </c>
      <c r="I2" t="b">
        <v>1</v>
      </c>
      <c r="J2" t="s">
        <v>64</v>
      </c>
      <c r="K2" s="4" t="str">
        <f>IF($J2="","",INDEX(CaseTypeColSet!$B:$B,MATCH($J2,CaseTypeColSet!$A:$A,0)))</f>
        <v>case_type_col_set1_1</v>
      </c>
      <c r="L2" t="s">
        <v>64</v>
      </c>
      <c r="M2" s="4" t="str">
        <f>IF($L2="","",INDEX(CaseTypeColSet!$B:$B,MATCH($L2,CaseTypeColSet!$A:$A,0)))</f>
        <v>case_type_col_set1_1</v>
      </c>
      <c r="N2" t="b">
        <v>1</v>
      </c>
      <c r="O2" t="b">
        <v>1</v>
      </c>
      <c r="P2" t="b">
        <v>1</v>
      </c>
      <c r="Q2" t="b">
        <v>1</v>
      </c>
      <c r="R2" t="s">
        <v>43</v>
      </c>
      <c r="S2" s="4" t="str">
        <f>INDEX(Organization!$B:$B,MATCH($R2,Organization!$A:$A,0))</f>
        <v>org1</v>
      </c>
      <c r="T2" s="4" t="str">
        <f>$S2&amp;": "&amp;$C2&amp;", "&amp;$E2</f>
        <v>org1: data_collection1, case_type_set1</v>
      </c>
      <c r="U2" s="6" t="str">
        <f>"org_case_policy"&amp;RIGHT($S2,LEN($S2)-3)&amp;"_"&amp;RIGHT($C2,LEN($C2)-15)</f>
        <v>org_case_policy1_1</v>
      </c>
      <c r="V2" s="6" t="str">
        <f>$R2&amp;"|"&amp;$B2</f>
        <v>018d074d-ea0c-e942-07db-a3cc0ba1d653|0195d18c-1ca2-a23d-1f64-00271f63199c</v>
      </c>
    </row>
    <row r="3" spans="1:22" x14ac:dyDescent="0.3">
      <c r="A3" t="s">
        <v>69</v>
      </c>
      <c r="B3" t="s">
        <v>17</v>
      </c>
      <c r="C3" s="4" t="str">
        <f>INDEX(DataCollection!$B:$B,MATCH($B3,DataCollection!$A:$A,0))</f>
        <v>data_collection2</v>
      </c>
      <c r="D3" t="s">
        <v>65</v>
      </c>
      <c r="E3" s="4" t="str">
        <f>INDEX(CaseTypeSet!$B:$B,MATCH($D3,CaseTypeSet!$A:$A,0))</f>
        <v>case_type_set2</v>
      </c>
      <c r="F3" t="b">
        <v>1</v>
      </c>
      <c r="G3" t="b">
        <v>1</v>
      </c>
      <c r="H3" t="b">
        <v>1</v>
      </c>
      <c r="I3" t="b">
        <v>1</v>
      </c>
      <c r="J3" t="s">
        <v>137</v>
      </c>
      <c r="K3" s="4" t="str">
        <f>IF($J3="","",INDEX(CaseTypeColSet!$B:$B,MATCH($J3,CaseTypeColSet!$A:$A,0)))</f>
        <v>case_type_col_set1_1and2</v>
      </c>
      <c r="L3" t="s">
        <v>137</v>
      </c>
      <c r="M3" s="4" t="str">
        <f>IF($L3="","",INDEX(CaseTypeColSet!$B:$B,MATCH($L3,CaseTypeColSet!$A:$A,0)))</f>
        <v>case_type_col_set1_1and2</v>
      </c>
      <c r="N3" t="b">
        <v>1</v>
      </c>
      <c r="O3" t="b">
        <v>1</v>
      </c>
      <c r="P3" t="b">
        <v>1</v>
      </c>
      <c r="Q3" t="b">
        <v>1</v>
      </c>
      <c r="R3" t="s">
        <v>46</v>
      </c>
      <c r="S3" s="4" t="str">
        <f>INDEX(Organization!$B:$B,MATCH($R3,Organization!$A:$A,0))</f>
        <v>org2</v>
      </c>
      <c r="T3" s="4" t="str">
        <f t="shared" ref="T3:T11" si="0">$S3&amp;": "&amp;$C3&amp;", "&amp;$E3</f>
        <v>org2: data_collection2, case_type_set2</v>
      </c>
      <c r="U3" s="6" t="str">
        <f t="shared" ref="U3:U11" si="1">"org_case_policy"&amp;RIGHT($S3,LEN($S3)-3)&amp;"_"&amp;RIGHT($C3,LEN($C3)-15)</f>
        <v>org_case_policy2_2</v>
      </c>
      <c r="V3" s="6" t="str">
        <f t="shared" ref="V3:V11" si="2">$R3&amp;"|"&amp;$B3</f>
        <v>0195d18c-1c92-0ed4-2e94-b4f66d82baf3|0195d18c-1ca2-2a29-96a5-37c6bf87f586</v>
      </c>
    </row>
    <row r="4" spans="1:22" x14ac:dyDescent="0.3">
      <c r="A4" t="s">
        <v>70</v>
      </c>
      <c r="B4" t="s">
        <v>23</v>
      </c>
      <c r="C4" s="4" t="str">
        <f>INDEX(DataCollection!$B:$B,MATCH($B4,DataCollection!$A:$A,0))</f>
        <v>data_collection3</v>
      </c>
      <c r="D4" t="s">
        <v>66</v>
      </c>
      <c r="E4" s="4" t="str">
        <f>INDEX(CaseTypeSet!$B:$B,MATCH($D4,CaseTypeSet!$A:$A,0))</f>
        <v>case_type_set3</v>
      </c>
      <c r="F4" t="b">
        <v>1</v>
      </c>
      <c r="G4" t="b">
        <v>1</v>
      </c>
      <c r="H4" t="b">
        <v>1</v>
      </c>
      <c r="I4" t="b">
        <v>1</v>
      </c>
      <c r="J4" t="s">
        <v>137</v>
      </c>
      <c r="K4" s="4" t="str">
        <f>IF($J4="","",INDEX(CaseTypeColSet!$B:$B,MATCH($J4,CaseTypeColSet!$A:$A,0)))</f>
        <v>case_type_col_set1_1and2</v>
      </c>
      <c r="L4" t="s">
        <v>137</v>
      </c>
      <c r="M4" s="4" t="str">
        <f>IF($L4="","",INDEX(CaseTypeColSet!$B:$B,MATCH($L4,CaseTypeColSet!$A:$A,0)))</f>
        <v>case_type_col_set1_1and2</v>
      </c>
      <c r="N4" t="b">
        <v>1</v>
      </c>
      <c r="O4" t="b">
        <v>1</v>
      </c>
      <c r="P4" t="b">
        <v>1</v>
      </c>
      <c r="Q4" t="b">
        <v>1</v>
      </c>
      <c r="R4" t="s">
        <v>49</v>
      </c>
      <c r="S4" s="4" t="str">
        <f>INDEX(Organization!$B:$B,MATCH($R4,Organization!$A:$A,0))</f>
        <v>org3</v>
      </c>
      <c r="T4" s="4" t="str">
        <f t="shared" si="0"/>
        <v>org3: data_collection3, case_type_set3</v>
      </c>
      <c r="U4" s="6" t="str">
        <f t="shared" si="1"/>
        <v>org_case_policy3_3</v>
      </c>
      <c r="V4" s="6" t="str">
        <f t="shared" si="2"/>
        <v>0195d18c-1c92-52b3-93e0-43dc1f2aa037|0195d18c-1ca2-3a4f-1878-fbe3282c9c76</v>
      </c>
    </row>
    <row r="5" spans="1:22" x14ac:dyDescent="0.3">
      <c r="A5" t="s">
        <v>71</v>
      </c>
      <c r="B5" t="s">
        <v>29</v>
      </c>
      <c r="C5" s="4" t="str">
        <f>INDEX(DataCollection!$B:$B,MATCH($B5,DataCollection!$A:$A,0))</f>
        <v>data_collection4</v>
      </c>
      <c r="D5" t="s">
        <v>67</v>
      </c>
      <c r="E5" s="4" t="str">
        <f>INDEX(CaseTypeSet!$B:$B,MATCH($D5,CaseTypeSet!$A:$A,0))</f>
        <v>case_type_set4</v>
      </c>
      <c r="F5" t="b">
        <v>1</v>
      </c>
      <c r="G5" t="b">
        <v>1</v>
      </c>
      <c r="H5" t="b">
        <v>1</v>
      </c>
      <c r="I5" t="b">
        <v>1</v>
      </c>
      <c r="J5" t="s">
        <v>137</v>
      </c>
      <c r="K5" s="4" t="str">
        <f>IF($J5="","",INDEX(CaseTypeColSet!$B:$B,MATCH($J5,CaseTypeColSet!$A:$A,0)))</f>
        <v>case_type_col_set1_1and2</v>
      </c>
      <c r="L5" t="s">
        <v>137</v>
      </c>
      <c r="M5" s="4" t="str">
        <f>IF($L5="","",INDEX(CaseTypeColSet!$B:$B,MATCH($L5,CaseTypeColSet!$A:$A,0)))</f>
        <v>case_type_col_set1_1and2</v>
      </c>
      <c r="N5" t="b">
        <v>1</v>
      </c>
      <c r="O5" t="b">
        <v>1</v>
      </c>
      <c r="P5" t="b">
        <v>1</v>
      </c>
      <c r="Q5" t="b">
        <v>1</v>
      </c>
      <c r="R5" t="s">
        <v>52</v>
      </c>
      <c r="S5" s="4" t="str">
        <f>INDEX(Organization!$B:$B,MATCH($R5,Organization!$A:$A,0))</f>
        <v>org4</v>
      </c>
      <c r="T5" s="4" t="str">
        <f t="shared" si="0"/>
        <v>org4: data_collection4, case_type_set4</v>
      </c>
      <c r="U5" s="6" t="str">
        <f t="shared" si="1"/>
        <v>org_case_policy4_4</v>
      </c>
      <c r="V5" s="6" t="str">
        <f t="shared" si="2"/>
        <v>0195d18c-1c92-d419-4c71-a570f428499b|0195d18c-1ca2-e55a-608d-a42fc6f948e1</v>
      </c>
    </row>
    <row r="6" spans="1:22" x14ac:dyDescent="0.3">
      <c r="A6" t="s">
        <v>72</v>
      </c>
      <c r="B6" t="s">
        <v>35</v>
      </c>
      <c r="C6" s="4" t="str">
        <f>INDEX(DataCollection!$B:$B,MATCH($B6,DataCollection!$A:$A,0))</f>
        <v>data_collection5</v>
      </c>
      <c r="D6" t="s">
        <v>68</v>
      </c>
      <c r="E6" s="4" t="str">
        <f>INDEX(CaseTypeSet!$B:$B,MATCH($D6,CaseTypeSet!$A:$A,0))</f>
        <v>case_type_set5</v>
      </c>
      <c r="F6" t="b">
        <v>1</v>
      </c>
      <c r="G6" t="b">
        <v>1</v>
      </c>
      <c r="H6" t="b">
        <v>1</v>
      </c>
      <c r="I6" t="b">
        <v>1</v>
      </c>
      <c r="J6" t="s">
        <v>137</v>
      </c>
      <c r="K6" s="4" t="str">
        <f>IF($J6="","",INDEX(CaseTypeColSet!$B:$B,MATCH($J6,CaseTypeColSet!$A:$A,0)))</f>
        <v>case_type_col_set1_1and2</v>
      </c>
      <c r="L6" t="s">
        <v>137</v>
      </c>
      <c r="M6" s="4" t="str">
        <f>IF($L6="","",INDEX(CaseTypeColSet!$B:$B,MATCH($L6,CaseTypeColSet!$A:$A,0)))</f>
        <v>case_type_col_set1_1and2</v>
      </c>
      <c r="N6" t="b">
        <v>1</v>
      </c>
      <c r="O6" t="b">
        <v>1</v>
      </c>
      <c r="P6" t="b">
        <v>1</v>
      </c>
      <c r="Q6" t="b">
        <v>1</v>
      </c>
      <c r="R6" t="s">
        <v>55</v>
      </c>
      <c r="S6" s="4" t="str">
        <f>INDEX(Organization!$B:$B,MATCH($R6,Organization!$A:$A,0))</f>
        <v>org5</v>
      </c>
      <c r="T6" s="4" t="str">
        <f t="shared" si="0"/>
        <v>org5: data_collection5, case_type_set5</v>
      </c>
      <c r="U6" s="6" t="str">
        <f t="shared" si="1"/>
        <v>org_case_policy5_5</v>
      </c>
      <c r="V6" s="6" t="str">
        <f t="shared" si="2"/>
        <v>0195d18c-1c93-02a2-6920-7e4dbfb73ce0|0195d18c-1ca2-b728-a2a1-d2a4cf7b8eb8</v>
      </c>
    </row>
    <row r="7" spans="1:22" x14ac:dyDescent="0.3">
      <c r="A7" t="s">
        <v>73</v>
      </c>
      <c r="B7" t="s">
        <v>15</v>
      </c>
      <c r="C7" s="4" t="str">
        <f>INDEX(DataCollection!$B:$B,MATCH($B7,DataCollection!$A:$A,0))</f>
        <v>data_collection6</v>
      </c>
      <c r="D7" t="s">
        <v>63</v>
      </c>
      <c r="E7" s="4" t="str">
        <f>INDEX(CaseTypeSet!$B:$B,MATCH($D7,CaseTypeSet!$A:$A,0))</f>
        <v>case_type_set1</v>
      </c>
      <c r="F7" t="b">
        <v>1</v>
      </c>
      <c r="G7" t="b">
        <v>0</v>
      </c>
      <c r="H7" t="b">
        <v>1</v>
      </c>
      <c r="I7" t="b">
        <v>1</v>
      </c>
      <c r="J7" t="s">
        <v>64</v>
      </c>
      <c r="K7" s="4" t="str">
        <f>IF($J7="","",INDEX(CaseTypeColSet!$B:$B,MATCH($J7,CaseTypeColSet!$A:$A,0)))</f>
        <v>case_type_col_set1_1</v>
      </c>
      <c r="M7" s="4" t="str">
        <f>IF($L7="","",INDEX(CaseTypeColSet!$B:$B,MATCH($L7,CaseTypeColSet!$A:$A,0)))</f>
        <v/>
      </c>
      <c r="N7" t="b">
        <v>1</v>
      </c>
      <c r="O7" t="b">
        <v>1</v>
      </c>
      <c r="P7" t="b">
        <v>1</v>
      </c>
      <c r="Q7" t="b">
        <v>1</v>
      </c>
      <c r="R7" t="s">
        <v>43</v>
      </c>
      <c r="S7" s="4" t="str">
        <f>INDEX(Organization!$B:$B,MATCH($R7,Organization!$A:$A,0))</f>
        <v>org1</v>
      </c>
      <c r="T7" s="4" t="str">
        <f t="shared" si="0"/>
        <v>org1: data_collection6, case_type_set1</v>
      </c>
      <c r="U7" s="6" t="str">
        <f t="shared" si="1"/>
        <v>org_case_policy1_6</v>
      </c>
      <c r="V7" s="6" t="str">
        <f t="shared" si="2"/>
        <v>018d074d-ea0c-e942-07db-a3cc0ba1d653|0195d18c-1ca3-f309-f6f1-e4807afe3802</v>
      </c>
    </row>
    <row r="8" spans="1:22" x14ac:dyDescent="0.3">
      <c r="A8" t="s">
        <v>74</v>
      </c>
      <c r="B8" t="s">
        <v>21</v>
      </c>
      <c r="C8" s="4" t="str">
        <f>INDEX(DataCollection!$B:$B,MATCH($B8,DataCollection!$A:$A,0))</f>
        <v>data_collection7</v>
      </c>
      <c r="D8" t="s">
        <v>65</v>
      </c>
      <c r="E8" s="4" t="str">
        <f>INDEX(CaseTypeSet!$B:$B,MATCH($D8,CaseTypeSet!$A:$A,0))</f>
        <v>case_type_set2</v>
      </c>
      <c r="F8" t="b">
        <v>1</v>
      </c>
      <c r="G8" t="b">
        <v>0</v>
      </c>
      <c r="H8" t="b">
        <v>1</v>
      </c>
      <c r="I8" t="b">
        <v>1</v>
      </c>
      <c r="J8" t="s">
        <v>137</v>
      </c>
      <c r="K8" s="4" t="str">
        <f>IF($J8="","",INDEX(CaseTypeColSet!$B:$B,MATCH($J8,CaseTypeColSet!$A:$A,0)))</f>
        <v>case_type_col_set1_1and2</v>
      </c>
      <c r="M8" s="4" t="str">
        <f>IF($L8="","",INDEX(CaseTypeColSet!$B:$B,MATCH($L8,CaseTypeColSet!$A:$A,0)))</f>
        <v/>
      </c>
      <c r="N8" t="b">
        <v>1</v>
      </c>
      <c r="O8" t="b">
        <v>1</v>
      </c>
      <c r="P8" t="b">
        <v>1</v>
      </c>
      <c r="Q8" t="b">
        <v>1</v>
      </c>
      <c r="R8" t="s">
        <v>46</v>
      </c>
      <c r="S8" s="4" t="str">
        <f>INDEX(Organization!$B:$B,MATCH($R8,Organization!$A:$A,0))</f>
        <v>org2</v>
      </c>
      <c r="T8" s="4" t="str">
        <f t="shared" si="0"/>
        <v>org2: data_collection7, case_type_set2</v>
      </c>
      <c r="U8" s="6" t="str">
        <f t="shared" si="1"/>
        <v>org_case_policy2_7</v>
      </c>
      <c r="V8" s="6" t="str">
        <f t="shared" si="2"/>
        <v>0195d18c-1c92-0ed4-2e94-b4f66d82baf3|0195d18c-1ca3-db40-a2a8-6dc905d6c1e9</v>
      </c>
    </row>
    <row r="9" spans="1:22" x14ac:dyDescent="0.3">
      <c r="A9" t="s">
        <v>75</v>
      </c>
      <c r="B9" t="s">
        <v>27</v>
      </c>
      <c r="C9" s="4" t="str">
        <f>INDEX(DataCollection!$B:$B,MATCH($B9,DataCollection!$A:$A,0))</f>
        <v>data_collection8</v>
      </c>
      <c r="D9" t="s">
        <v>66</v>
      </c>
      <c r="E9" s="4" t="str">
        <f>INDEX(CaseTypeSet!$B:$B,MATCH($D9,CaseTypeSet!$A:$A,0))</f>
        <v>case_type_set3</v>
      </c>
      <c r="F9" t="b">
        <v>1</v>
      </c>
      <c r="G9" t="b">
        <v>0</v>
      </c>
      <c r="H9" t="b">
        <v>1</v>
      </c>
      <c r="I9" t="b">
        <v>1</v>
      </c>
      <c r="J9" t="s">
        <v>137</v>
      </c>
      <c r="K9" s="4" t="str">
        <f>IF($J9="","",INDEX(CaseTypeColSet!$B:$B,MATCH($J9,CaseTypeColSet!$A:$A,0)))</f>
        <v>case_type_col_set1_1and2</v>
      </c>
      <c r="M9" s="4" t="str">
        <f>IF($L9="","",INDEX(CaseTypeColSet!$B:$B,MATCH($L9,CaseTypeColSet!$A:$A,0)))</f>
        <v/>
      </c>
      <c r="N9" t="b">
        <v>1</v>
      </c>
      <c r="O9" t="b">
        <v>1</v>
      </c>
      <c r="P9" t="b">
        <v>1</v>
      </c>
      <c r="Q9" t="b">
        <v>1</v>
      </c>
      <c r="R9" t="s">
        <v>49</v>
      </c>
      <c r="S9" s="4" t="str">
        <f>INDEX(Organization!$B:$B,MATCH($R9,Organization!$A:$A,0))</f>
        <v>org3</v>
      </c>
      <c r="T9" s="4" t="str">
        <f t="shared" si="0"/>
        <v>org3: data_collection8, case_type_set3</v>
      </c>
      <c r="U9" s="6" t="str">
        <f t="shared" si="1"/>
        <v>org_case_policy3_8</v>
      </c>
      <c r="V9" s="6" t="str">
        <f t="shared" si="2"/>
        <v>0195d18c-1c92-52b3-93e0-43dc1f2aa037|0195d18c-1ca3-da0a-44bb-877b3a1eb73e</v>
      </c>
    </row>
    <row r="10" spans="1:22" x14ac:dyDescent="0.3">
      <c r="A10" t="s">
        <v>76</v>
      </c>
      <c r="B10" t="s">
        <v>33</v>
      </c>
      <c r="C10" s="4" t="str">
        <f>INDEX(DataCollection!$B:$B,MATCH($B10,DataCollection!$A:$A,0))</f>
        <v>data_collection9</v>
      </c>
      <c r="D10" t="s">
        <v>67</v>
      </c>
      <c r="E10" s="4" t="str">
        <f>INDEX(CaseTypeSet!$B:$B,MATCH($D10,CaseTypeSet!$A:$A,0))</f>
        <v>case_type_set4</v>
      </c>
      <c r="F10" t="b">
        <v>1</v>
      </c>
      <c r="G10" t="b">
        <v>0</v>
      </c>
      <c r="H10" t="b">
        <v>1</v>
      </c>
      <c r="I10" t="b">
        <v>1</v>
      </c>
      <c r="J10" t="s">
        <v>137</v>
      </c>
      <c r="K10" s="4" t="str">
        <f>IF($J10="","",INDEX(CaseTypeColSet!$B:$B,MATCH($J10,CaseTypeColSet!$A:$A,0)))</f>
        <v>case_type_col_set1_1and2</v>
      </c>
      <c r="M10" s="4" t="str">
        <f>IF($L10="","",INDEX(CaseTypeColSet!$B:$B,MATCH($L10,CaseTypeColSet!$A:$A,0)))</f>
        <v/>
      </c>
      <c r="N10" t="b">
        <v>1</v>
      </c>
      <c r="O10" t="b">
        <v>1</v>
      </c>
      <c r="P10" t="b">
        <v>1</v>
      </c>
      <c r="Q10" t="b">
        <v>1</v>
      </c>
      <c r="R10" t="s">
        <v>52</v>
      </c>
      <c r="S10" s="4" t="str">
        <f>INDEX(Organization!$B:$B,MATCH($R10,Organization!$A:$A,0))</f>
        <v>org4</v>
      </c>
      <c r="T10" s="4" t="str">
        <f t="shared" si="0"/>
        <v>org4: data_collection9, case_type_set4</v>
      </c>
      <c r="U10" s="6" t="str">
        <f t="shared" si="1"/>
        <v>org_case_policy4_9</v>
      </c>
      <c r="V10" s="6" t="str">
        <f t="shared" si="2"/>
        <v>0195d18c-1c92-d419-4c71-a570f428499b|0195d18c-1ca3-4d34-d0e9-8f024ad8651a</v>
      </c>
    </row>
    <row r="11" spans="1:22" x14ac:dyDescent="0.3">
      <c r="A11" t="s">
        <v>77</v>
      </c>
      <c r="B11" t="s">
        <v>39</v>
      </c>
      <c r="C11" s="4" t="str">
        <f>INDEX(DataCollection!$B:$B,MATCH($B11,DataCollection!$A:$A,0))</f>
        <v>data_collection10</v>
      </c>
      <c r="D11" t="s">
        <v>68</v>
      </c>
      <c r="E11" s="4" t="str">
        <f>INDEX(CaseTypeSet!$B:$B,MATCH($D11,CaseTypeSet!$A:$A,0))</f>
        <v>case_type_set5</v>
      </c>
      <c r="F11" t="b">
        <v>1</v>
      </c>
      <c r="G11" t="b">
        <v>0</v>
      </c>
      <c r="H11" t="b">
        <v>1</v>
      </c>
      <c r="I11" t="b">
        <v>1</v>
      </c>
      <c r="J11" t="s">
        <v>137</v>
      </c>
      <c r="K11" s="4" t="str">
        <f>IF($J11="","",INDEX(CaseTypeColSet!$B:$B,MATCH($J11,CaseTypeColSet!$A:$A,0)))</f>
        <v>case_type_col_set1_1and2</v>
      </c>
      <c r="M11" s="4" t="str">
        <f>IF($L11="","",INDEX(CaseTypeColSet!$B:$B,MATCH($L11,CaseTypeColSet!$A:$A,0)))</f>
        <v/>
      </c>
      <c r="N11" t="b">
        <v>1</v>
      </c>
      <c r="O11" t="b">
        <v>1</v>
      </c>
      <c r="P11" t="b">
        <v>1</v>
      </c>
      <c r="Q11" t="b">
        <v>1</v>
      </c>
      <c r="R11" t="s">
        <v>55</v>
      </c>
      <c r="S11" s="4" t="str">
        <f>INDEX(Organization!$B:$B,MATCH($R11,Organization!$A:$A,0))</f>
        <v>org5</v>
      </c>
      <c r="T11" s="4" t="str">
        <f t="shared" si="0"/>
        <v>org5: data_collection10, case_type_set5</v>
      </c>
      <c r="U11" s="6" t="str">
        <f t="shared" si="1"/>
        <v>org_case_policy5_10</v>
      </c>
      <c r="V11" s="6" t="str">
        <f t="shared" si="2"/>
        <v>0195d18c-1c93-02a2-6920-7e4dbfb73ce0|0195d18c-1ca3-11a2-bf20-8eaaa09cc070</v>
      </c>
    </row>
  </sheetData>
  <autoFilter ref="A1:U11" xr:uid="{A6F0F389-1562-4A7F-BB5E-AAA96B2F3DDB}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B6EDF-4214-4325-A1BD-732A42D052EA}">
  <dimension ref="A1:W11"/>
  <sheetViews>
    <sheetView topLeftCell="J1" zoomScaleNormal="80" workbookViewId="0">
      <pane ySplit="1" topLeftCell="A2" activePane="bottomLeft" state="frozen"/>
      <selection pane="bottomLeft" activeCell="U1" sqref="U1"/>
    </sheetView>
  </sheetViews>
  <sheetFormatPr defaultColWidth="8.77734375" defaultRowHeight="14.4" x14ac:dyDescent="0.3"/>
  <cols>
    <col min="1" max="1" width="37.33203125" bestFit="1" customWidth="1"/>
    <col min="2" max="2" width="36" bestFit="1" customWidth="1"/>
    <col min="3" max="3" width="22.109375" bestFit="1" customWidth="1"/>
    <col min="4" max="4" width="36" bestFit="1" customWidth="1"/>
    <col min="5" max="5" width="21" bestFit="1" customWidth="1"/>
    <col min="6" max="6" width="8.109375" bestFit="1" customWidth="1"/>
    <col min="8" max="8" width="12" bestFit="1" customWidth="1"/>
    <col min="9" max="9" width="35.77734375" bestFit="1" customWidth="1"/>
    <col min="10" max="10" width="30.33203125" bestFit="1" customWidth="1"/>
    <col min="11" max="11" width="35.77734375" customWidth="1"/>
    <col min="12" max="12" width="30.77734375" bestFit="1" customWidth="1"/>
    <col min="13" max="13" width="12.33203125" bestFit="1" customWidth="1"/>
    <col min="14" max="14" width="15.6640625" bestFit="1" customWidth="1"/>
    <col min="15" max="15" width="12.77734375" bestFit="1" customWidth="1"/>
    <col min="16" max="16" width="13.44140625" bestFit="1" customWidth="1"/>
    <col min="17" max="17" width="36.33203125" bestFit="1" customWidth="1"/>
    <col min="18" max="18" width="25.109375" bestFit="1" customWidth="1"/>
    <col min="19" max="19" width="42.77734375" bestFit="1" customWidth="1"/>
    <col min="20" max="20" width="26.44140625" bestFit="1" customWidth="1"/>
    <col min="21" max="21" width="36" bestFit="1" customWidth="1"/>
    <col min="22" max="22" width="20.33203125" bestFit="1" customWidth="1"/>
  </cols>
  <sheetData>
    <row r="1" spans="1:23" s="9" customFormat="1" x14ac:dyDescent="0.3">
      <c r="A1" s="7" t="s">
        <v>0</v>
      </c>
      <c r="B1" s="7" t="s">
        <v>2</v>
      </c>
      <c r="C1" s="8" t="s">
        <v>822</v>
      </c>
      <c r="D1" s="7" t="s">
        <v>58</v>
      </c>
      <c r="E1" s="4" t="s">
        <v>806</v>
      </c>
      <c r="F1" s="7" t="s">
        <v>3</v>
      </c>
      <c r="G1" s="7" t="s">
        <v>4</v>
      </c>
      <c r="H1" s="7" t="s">
        <v>5</v>
      </c>
      <c r="I1" s="7" t="s">
        <v>275</v>
      </c>
      <c r="J1" s="8" t="s">
        <v>823</v>
      </c>
      <c r="K1" s="7" t="s">
        <v>276</v>
      </c>
      <c r="L1" s="8" t="s">
        <v>824</v>
      </c>
      <c r="M1" s="7" t="s">
        <v>6</v>
      </c>
      <c r="N1" s="7" t="s">
        <v>7</v>
      </c>
      <c r="O1" s="7" t="s">
        <v>8</v>
      </c>
      <c r="P1" s="7" t="s">
        <v>9</v>
      </c>
      <c r="Q1" s="8" t="s">
        <v>825</v>
      </c>
      <c r="R1" s="8" t="s">
        <v>826</v>
      </c>
      <c r="S1" s="4" t="s">
        <v>277</v>
      </c>
      <c r="T1" s="8" t="s">
        <v>278</v>
      </c>
      <c r="U1" s="7" t="s">
        <v>1</v>
      </c>
      <c r="V1" s="8" t="s">
        <v>827</v>
      </c>
      <c r="W1" s="15" t="s">
        <v>284</v>
      </c>
    </row>
    <row r="2" spans="1:23" x14ac:dyDescent="0.3">
      <c r="A2" t="s">
        <v>62</v>
      </c>
      <c r="B2" t="s">
        <v>11</v>
      </c>
      <c r="C2" s="4" t="str">
        <f>INDEX(DataCollection!$B:$B,MATCH($B2,DataCollection!$A:$A,0))</f>
        <v>data_collection1</v>
      </c>
      <c r="D2" t="s">
        <v>63</v>
      </c>
      <c r="E2" s="4" t="str">
        <f>INDEX(CaseTypeSet!$B:$B,MATCH($D2,CaseTypeSet!$A:$A,0))</f>
        <v>case_type_set1</v>
      </c>
      <c r="F2" t="b">
        <v>1</v>
      </c>
      <c r="G2" t="b">
        <v>1</v>
      </c>
      <c r="H2" t="b">
        <v>1</v>
      </c>
      <c r="I2" t="s">
        <v>64</v>
      </c>
      <c r="J2" s="4" t="str">
        <f>IF($I2="","",INDEX(CaseTypeColSet!$B:$B,MATCH($I2,CaseTypeColSet!$A:$A,0)))</f>
        <v>case_type_col_set1_1</v>
      </c>
      <c r="K2" t="s">
        <v>64</v>
      </c>
      <c r="L2" s="4" t="str">
        <f>IF($K2="","",INDEX(CaseTypeColSet!$B:$B,MATCH($K2,CaseTypeColSet!$A:$A,0)))</f>
        <v>case_type_col_set1_1</v>
      </c>
      <c r="M2" t="b">
        <v>1</v>
      </c>
      <c r="N2" t="b">
        <v>1</v>
      </c>
      <c r="O2" t="b">
        <v>1</v>
      </c>
      <c r="P2" t="b">
        <v>1</v>
      </c>
      <c r="Q2" s="4" t="str">
        <f>INDEX(User!$G:$G,MATCH($U2,User!$A:$A,0))</f>
        <v>018d074d-ea0c-e942-07db-a3cc0ba1d653</v>
      </c>
      <c r="R2" s="4" t="str">
        <f>INDEX(Organization!$B:$B,MATCH($Q2,Organization!$A:$A,0))</f>
        <v>org1</v>
      </c>
      <c r="S2" s="4" t="str">
        <f>$V2&amp;": "&amp;$C2&amp;", "&amp;$E2</f>
        <v>org_user1_1: data_collection1, case_type_set1</v>
      </c>
      <c r="T2" s="6" t="str">
        <f>"user_case_policy"&amp;RIGHT($V2,LEN($V2)-8)&amp;"_"&amp;RIGHT($C2,LEN($C2)-15)</f>
        <v>user_case_policy1_1_1</v>
      </c>
      <c r="U2" t="s">
        <v>10</v>
      </c>
      <c r="V2" s="4" t="str">
        <f>INDEX(User!$D:$D,MATCH($U2,User!$A:$A,0))</f>
        <v>org_user1_1</v>
      </c>
      <c r="W2" s="6" t="str">
        <f>$U2&amp;"|"&amp;$B2</f>
        <v>0195d18c-1c98-7e0b-0c91-8cafbdb2c852|0195d18c-1ca2-a23d-1f64-00271f63199c</v>
      </c>
    </row>
    <row r="3" spans="1:23" x14ac:dyDescent="0.3">
      <c r="A3" t="s">
        <v>69</v>
      </c>
      <c r="B3" t="s">
        <v>17</v>
      </c>
      <c r="C3" s="4" t="str">
        <f>INDEX(DataCollection!$B:$B,MATCH($B3,DataCollection!$A:$A,0))</f>
        <v>data_collection2</v>
      </c>
      <c r="D3" t="s">
        <v>65</v>
      </c>
      <c r="E3" s="4" t="str">
        <f>INDEX(CaseTypeSet!$B:$B,MATCH($D3,CaseTypeSet!$A:$A,0))</f>
        <v>case_type_set2</v>
      </c>
      <c r="F3" t="b">
        <v>1</v>
      </c>
      <c r="G3" t="b">
        <v>1</v>
      </c>
      <c r="H3" t="b">
        <v>1</v>
      </c>
      <c r="I3" t="s">
        <v>137</v>
      </c>
      <c r="J3" s="4" t="str">
        <f>IF($I3="","",INDEX(CaseTypeColSet!$B:$B,MATCH($I3,CaseTypeColSet!$A:$A,0)))</f>
        <v>case_type_col_set1_1and2</v>
      </c>
      <c r="K3" t="s">
        <v>137</v>
      </c>
      <c r="L3" s="4" t="str">
        <f>IF($K3="","",INDEX(CaseTypeColSet!$B:$B,MATCH($K3,CaseTypeColSet!$A:$A,0)))</f>
        <v>case_type_col_set1_1and2</v>
      </c>
      <c r="M3" t="b">
        <v>1</v>
      </c>
      <c r="N3" t="b">
        <v>1</v>
      </c>
      <c r="O3" t="b">
        <v>1</v>
      </c>
      <c r="P3" t="b">
        <v>1</v>
      </c>
      <c r="Q3" s="4" t="str">
        <f>INDEX(User!$G:$G,MATCH($U3,User!$A:$A,0))</f>
        <v>0195d18c-1c92-0ed4-2e94-b4f66d82baf3</v>
      </c>
      <c r="R3" s="4" t="str">
        <f>INDEX(Organization!$B:$B,MATCH($Q3,Organization!$A:$A,0))</f>
        <v>org2</v>
      </c>
      <c r="S3" s="4" t="str">
        <f t="shared" ref="S3:S11" si="0">$V3&amp;": "&amp;$C3&amp;", "&amp;$E3</f>
        <v>org_user2_1: data_collection2, case_type_set2</v>
      </c>
      <c r="T3" s="6" t="str">
        <f t="shared" ref="T3:T11" si="1">"user_case_policy"&amp;RIGHT($V3,LEN($V3)-8)&amp;"_"&amp;RIGHT($C3,LEN($C3)-15)</f>
        <v>user_case_policy2_1_2</v>
      </c>
      <c r="U3" t="s">
        <v>16</v>
      </c>
      <c r="V3" s="4" t="str">
        <f>INDEX(User!$D:$D,MATCH($U3,User!$A:$A,0))</f>
        <v>org_user2_1</v>
      </c>
      <c r="W3" s="6" t="str">
        <f t="shared" ref="W3:W11" si="2">$U3&amp;"|"&amp;$B3</f>
        <v>0195d18c-1c9a-1178-0519-9124131763a6|0195d18c-1ca2-2a29-96a5-37c6bf87f586</v>
      </c>
    </row>
    <row r="4" spans="1:23" x14ac:dyDescent="0.3">
      <c r="A4" t="s">
        <v>70</v>
      </c>
      <c r="B4" t="s">
        <v>23</v>
      </c>
      <c r="C4" s="4" t="str">
        <f>INDEX(DataCollection!$B:$B,MATCH($B4,DataCollection!$A:$A,0))</f>
        <v>data_collection3</v>
      </c>
      <c r="D4" t="s">
        <v>66</v>
      </c>
      <c r="E4" s="4" t="str">
        <f>INDEX(CaseTypeSet!$B:$B,MATCH($D4,CaseTypeSet!$A:$A,0))</f>
        <v>case_type_set3</v>
      </c>
      <c r="F4" t="b">
        <v>1</v>
      </c>
      <c r="G4" t="b">
        <v>1</v>
      </c>
      <c r="H4" t="b">
        <v>1</v>
      </c>
      <c r="I4" t="s">
        <v>137</v>
      </c>
      <c r="J4" s="4" t="str">
        <f>IF($I4="","",INDEX(CaseTypeColSet!$B:$B,MATCH($I4,CaseTypeColSet!$A:$A,0)))</f>
        <v>case_type_col_set1_1and2</v>
      </c>
      <c r="K4" t="s">
        <v>137</v>
      </c>
      <c r="L4" s="4" t="str">
        <f>IF($K4="","",INDEX(CaseTypeColSet!$B:$B,MATCH($K4,CaseTypeColSet!$A:$A,0)))</f>
        <v>case_type_col_set1_1and2</v>
      </c>
      <c r="M4" t="b">
        <v>1</v>
      </c>
      <c r="N4" t="b">
        <v>1</v>
      </c>
      <c r="O4" t="b">
        <v>1</v>
      </c>
      <c r="P4" t="b">
        <v>1</v>
      </c>
      <c r="Q4" s="4" t="str">
        <f>INDEX(User!$G:$G,MATCH($U4,User!$A:$A,0))</f>
        <v>0195d18c-1c92-52b3-93e0-43dc1f2aa037</v>
      </c>
      <c r="R4" s="4" t="str">
        <f>INDEX(Organization!$B:$B,MATCH($Q4,Organization!$A:$A,0))</f>
        <v>org3</v>
      </c>
      <c r="S4" s="4" t="str">
        <f t="shared" si="0"/>
        <v>org_user3_1: data_collection3, case_type_set3</v>
      </c>
      <c r="T4" s="6" t="str">
        <f t="shared" si="1"/>
        <v>user_case_policy3_1_3</v>
      </c>
      <c r="U4" t="s">
        <v>22</v>
      </c>
      <c r="V4" s="4" t="str">
        <f>INDEX(User!$D:$D,MATCH($U4,User!$A:$A,0))</f>
        <v>org_user3_1</v>
      </c>
      <c r="W4" s="6" t="str">
        <f t="shared" si="2"/>
        <v>0195d18c-1c9c-0d8f-435a-5ca8b45939b8|0195d18c-1ca2-3a4f-1878-fbe3282c9c76</v>
      </c>
    </row>
    <row r="5" spans="1:23" x14ac:dyDescent="0.3">
      <c r="A5" t="s">
        <v>71</v>
      </c>
      <c r="B5" t="s">
        <v>29</v>
      </c>
      <c r="C5" s="4" t="str">
        <f>INDEX(DataCollection!$B:$B,MATCH($B5,DataCollection!$A:$A,0))</f>
        <v>data_collection4</v>
      </c>
      <c r="D5" t="s">
        <v>67</v>
      </c>
      <c r="E5" s="4" t="str">
        <f>INDEX(CaseTypeSet!$B:$B,MATCH($D5,CaseTypeSet!$A:$A,0))</f>
        <v>case_type_set4</v>
      </c>
      <c r="F5" t="b">
        <v>1</v>
      </c>
      <c r="G5" t="b">
        <v>1</v>
      </c>
      <c r="H5" t="b">
        <v>1</v>
      </c>
      <c r="I5" t="s">
        <v>137</v>
      </c>
      <c r="J5" s="4" t="str">
        <f>IF($I5="","",INDEX(CaseTypeColSet!$B:$B,MATCH($I5,CaseTypeColSet!$A:$A,0)))</f>
        <v>case_type_col_set1_1and2</v>
      </c>
      <c r="K5" t="s">
        <v>137</v>
      </c>
      <c r="L5" s="4" t="str">
        <f>IF($K5="","",INDEX(CaseTypeColSet!$B:$B,MATCH($K5,CaseTypeColSet!$A:$A,0)))</f>
        <v>case_type_col_set1_1and2</v>
      </c>
      <c r="M5" t="b">
        <v>1</v>
      </c>
      <c r="N5" t="b">
        <v>1</v>
      </c>
      <c r="O5" t="b">
        <v>1</v>
      </c>
      <c r="P5" t="b">
        <v>1</v>
      </c>
      <c r="Q5" s="4" t="str">
        <f>INDEX(User!$G:$G,MATCH($U5,User!$A:$A,0))</f>
        <v>0195d18c-1c92-d419-4c71-a570f428499b</v>
      </c>
      <c r="R5" s="4" t="str">
        <f>INDEX(Organization!$B:$B,MATCH($Q5,Organization!$A:$A,0))</f>
        <v>org4</v>
      </c>
      <c r="S5" s="4" t="str">
        <f t="shared" si="0"/>
        <v>org_user4_1: data_collection4, case_type_set4</v>
      </c>
      <c r="T5" s="6" t="str">
        <f t="shared" si="1"/>
        <v>user_case_policy4_1_4</v>
      </c>
      <c r="U5" t="s">
        <v>28</v>
      </c>
      <c r="V5" s="4" t="str">
        <f>INDEX(User!$D:$D,MATCH($U5,User!$A:$A,0))</f>
        <v>org_user4_1</v>
      </c>
      <c r="W5" s="6" t="str">
        <f t="shared" si="2"/>
        <v>0195d18c-1c9e-1c4a-1311-4f22f0d59f61|0195d18c-1ca2-e55a-608d-a42fc6f948e1</v>
      </c>
    </row>
    <row r="6" spans="1:23" x14ac:dyDescent="0.3">
      <c r="A6" t="s">
        <v>72</v>
      </c>
      <c r="B6" t="s">
        <v>35</v>
      </c>
      <c r="C6" s="4" t="str">
        <f>INDEX(DataCollection!$B:$B,MATCH($B6,DataCollection!$A:$A,0))</f>
        <v>data_collection5</v>
      </c>
      <c r="D6" t="s">
        <v>68</v>
      </c>
      <c r="E6" s="4" t="str">
        <f>INDEX(CaseTypeSet!$B:$B,MATCH($D6,CaseTypeSet!$A:$A,0))</f>
        <v>case_type_set5</v>
      </c>
      <c r="F6" t="b">
        <v>1</v>
      </c>
      <c r="G6" t="b">
        <v>1</v>
      </c>
      <c r="H6" t="b">
        <v>1</v>
      </c>
      <c r="I6" t="s">
        <v>137</v>
      </c>
      <c r="J6" s="4" t="str">
        <f>IF($I6="","",INDEX(CaseTypeColSet!$B:$B,MATCH($I6,CaseTypeColSet!$A:$A,0)))</f>
        <v>case_type_col_set1_1and2</v>
      </c>
      <c r="K6" t="s">
        <v>137</v>
      </c>
      <c r="L6" s="4" t="str">
        <f>IF($K6="","",INDEX(CaseTypeColSet!$B:$B,MATCH($K6,CaseTypeColSet!$A:$A,0)))</f>
        <v>case_type_col_set1_1and2</v>
      </c>
      <c r="M6" t="b">
        <v>1</v>
      </c>
      <c r="N6" t="b">
        <v>1</v>
      </c>
      <c r="O6" t="b">
        <v>1</v>
      </c>
      <c r="P6" t="b">
        <v>1</v>
      </c>
      <c r="Q6" s="4" t="str">
        <f>INDEX(User!$G:$G,MATCH($U6,User!$A:$A,0))</f>
        <v>0195d18c-1c93-02a2-6920-7e4dbfb73ce0</v>
      </c>
      <c r="R6" s="4" t="str">
        <f>INDEX(Organization!$B:$B,MATCH($Q6,Organization!$A:$A,0))</f>
        <v>org5</v>
      </c>
      <c r="S6" s="4" t="str">
        <f t="shared" si="0"/>
        <v>org_user5_1: data_collection5, case_type_set5</v>
      </c>
      <c r="T6" s="6" t="str">
        <f t="shared" si="1"/>
        <v>user_case_policy5_1_5</v>
      </c>
      <c r="U6" t="s">
        <v>34</v>
      </c>
      <c r="V6" s="4" t="str">
        <f>INDEX(User!$D:$D,MATCH($U6,User!$A:$A,0))</f>
        <v>org_user5_1</v>
      </c>
      <c r="W6" s="6" t="str">
        <f t="shared" si="2"/>
        <v>0195d18c-1ca0-e0db-7a87-6237ad6380c8|0195d18c-1ca2-b728-a2a1-d2a4cf7b8eb8</v>
      </c>
    </row>
    <row r="7" spans="1:23" x14ac:dyDescent="0.3">
      <c r="A7" t="s">
        <v>73</v>
      </c>
      <c r="B7" t="s">
        <v>15</v>
      </c>
      <c r="C7" s="4" t="str">
        <f>INDEX(DataCollection!$B:$B,MATCH($B7,DataCollection!$A:$A,0))</f>
        <v>data_collection6</v>
      </c>
      <c r="D7" t="s">
        <v>63</v>
      </c>
      <c r="E7" s="4" t="str">
        <f>INDEX(CaseTypeSet!$B:$B,MATCH($D7,CaseTypeSet!$A:$A,0))</f>
        <v>case_type_set1</v>
      </c>
      <c r="F7" t="b">
        <v>1</v>
      </c>
      <c r="G7" t="b">
        <v>1</v>
      </c>
      <c r="H7" t="b">
        <v>1</v>
      </c>
      <c r="I7" t="s">
        <v>64</v>
      </c>
      <c r="J7" s="4" t="str">
        <f>IF($I7="","",INDEX(CaseTypeColSet!$B:$B,MATCH($I7,CaseTypeColSet!$A:$A,0)))</f>
        <v>case_type_col_set1_1</v>
      </c>
      <c r="K7" t="s">
        <v>64</v>
      </c>
      <c r="L7" s="4" t="str">
        <f>IF($K7="","",INDEX(CaseTypeColSet!$B:$B,MATCH($K7,CaseTypeColSet!$A:$A,0)))</f>
        <v>case_type_col_set1_1</v>
      </c>
      <c r="M7" t="b">
        <v>1</v>
      </c>
      <c r="N7" t="b">
        <v>1</v>
      </c>
      <c r="O7" t="b">
        <v>1</v>
      </c>
      <c r="P7" t="b">
        <v>1</v>
      </c>
      <c r="Q7" s="4" t="str">
        <f>INDEX(User!$G:$G,MATCH($U7,User!$A:$A,0))</f>
        <v>018d074d-ea0c-e942-07db-a3cc0ba1d653</v>
      </c>
      <c r="R7" s="4" t="str">
        <f>INDEX(Organization!$B:$B,MATCH($Q7,Organization!$A:$A,0))</f>
        <v>org1</v>
      </c>
      <c r="S7" s="4" t="str">
        <f t="shared" si="0"/>
        <v>org_user1_1: data_collection6, case_type_set1</v>
      </c>
      <c r="T7" s="6" t="str">
        <f t="shared" si="1"/>
        <v>user_case_policy1_1_6</v>
      </c>
      <c r="U7" t="s">
        <v>10</v>
      </c>
      <c r="V7" s="4" t="str">
        <f>INDEX(User!$D:$D,MATCH($U7,User!$A:$A,0))</f>
        <v>org_user1_1</v>
      </c>
      <c r="W7" s="6" t="str">
        <f t="shared" si="2"/>
        <v>0195d18c-1c98-7e0b-0c91-8cafbdb2c852|0195d18c-1ca3-f309-f6f1-e4807afe3802</v>
      </c>
    </row>
    <row r="8" spans="1:23" x14ac:dyDescent="0.3">
      <c r="A8" t="s">
        <v>74</v>
      </c>
      <c r="B8" t="s">
        <v>21</v>
      </c>
      <c r="C8" s="4" t="str">
        <f>INDEX(DataCollection!$B:$B,MATCH($B8,DataCollection!$A:$A,0))</f>
        <v>data_collection7</v>
      </c>
      <c r="D8" t="s">
        <v>65</v>
      </c>
      <c r="E8" s="4" t="str">
        <f>INDEX(CaseTypeSet!$B:$B,MATCH($D8,CaseTypeSet!$A:$A,0))</f>
        <v>case_type_set2</v>
      </c>
      <c r="F8" t="b">
        <v>1</v>
      </c>
      <c r="G8" t="b">
        <v>1</v>
      </c>
      <c r="H8" t="b">
        <v>1</v>
      </c>
      <c r="I8" t="s">
        <v>137</v>
      </c>
      <c r="J8" s="4" t="str">
        <f>IF($I8="","",INDEX(CaseTypeColSet!$B:$B,MATCH($I8,CaseTypeColSet!$A:$A,0)))</f>
        <v>case_type_col_set1_1and2</v>
      </c>
      <c r="K8" t="s">
        <v>137</v>
      </c>
      <c r="L8" s="4" t="str">
        <f>IF($K8="","",INDEX(CaseTypeColSet!$B:$B,MATCH($K8,CaseTypeColSet!$A:$A,0)))</f>
        <v>case_type_col_set1_1and2</v>
      </c>
      <c r="M8" t="b">
        <v>1</v>
      </c>
      <c r="N8" t="b">
        <v>1</v>
      </c>
      <c r="O8" t="b">
        <v>1</v>
      </c>
      <c r="P8" t="b">
        <v>1</v>
      </c>
      <c r="Q8" s="4" t="str">
        <f>INDEX(User!$G:$G,MATCH($U8,User!$A:$A,0))</f>
        <v>0195d18c-1c92-0ed4-2e94-b4f66d82baf3</v>
      </c>
      <c r="R8" s="4" t="str">
        <f>INDEX(Organization!$B:$B,MATCH($Q8,Organization!$A:$A,0))</f>
        <v>org2</v>
      </c>
      <c r="S8" s="4" t="str">
        <f t="shared" si="0"/>
        <v>org_user2_1: data_collection7, case_type_set2</v>
      </c>
      <c r="T8" s="6" t="str">
        <f t="shared" si="1"/>
        <v>user_case_policy2_1_7</v>
      </c>
      <c r="U8" t="s">
        <v>16</v>
      </c>
      <c r="V8" s="4" t="str">
        <f>INDEX(User!$D:$D,MATCH($U8,User!$A:$A,0))</f>
        <v>org_user2_1</v>
      </c>
      <c r="W8" s="6" t="str">
        <f t="shared" si="2"/>
        <v>0195d18c-1c9a-1178-0519-9124131763a6|0195d18c-1ca3-db40-a2a8-6dc905d6c1e9</v>
      </c>
    </row>
    <row r="9" spans="1:23" x14ac:dyDescent="0.3">
      <c r="A9" t="s">
        <v>75</v>
      </c>
      <c r="B9" t="s">
        <v>27</v>
      </c>
      <c r="C9" s="4" t="str">
        <f>INDEX(DataCollection!$B:$B,MATCH($B9,DataCollection!$A:$A,0))</f>
        <v>data_collection8</v>
      </c>
      <c r="D9" t="s">
        <v>66</v>
      </c>
      <c r="E9" s="4" t="str">
        <f>INDEX(CaseTypeSet!$B:$B,MATCH($D9,CaseTypeSet!$A:$A,0))</f>
        <v>case_type_set3</v>
      </c>
      <c r="F9" t="b">
        <v>1</v>
      </c>
      <c r="G9" t="b">
        <v>1</v>
      </c>
      <c r="H9" t="b">
        <v>1</v>
      </c>
      <c r="I9" t="s">
        <v>137</v>
      </c>
      <c r="J9" s="4" t="str">
        <f>IF($I9="","",INDEX(CaseTypeColSet!$B:$B,MATCH($I9,CaseTypeColSet!$A:$A,0)))</f>
        <v>case_type_col_set1_1and2</v>
      </c>
      <c r="K9" t="s">
        <v>137</v>
      </c>
      <c r="L9" s="4" t="str">
        <f>IF($K9="","",INDEX(CaseTypeColSet!$B:$B,MATCH($K9,CaseTypeColSet!$A:$A,0)))</f>
        <v>case_type_col_set1_1and2</v>
      </c>
      <c r="M9" t="b">
        <v>1</v>
      </c>
      <c r="N9" t="b">
        <v>1</v>
      </c>
      <c r="O9" t="b">
        <v>1</v>
      </c>
      <c r="P9" t="b">
        <v>1</v>
      </c>
      <c r="Q9" s="4" t="str">
        <f>INDEX(User!$G:$G,MATCH($U9,User!$A:$A,0))</f>
        <v>0195d18c-1c92-52b3-93e0-43dc1f2aa037</v>
      </c>
      <c r="R9" s="4" t="str">
        <f>INDEX(Organization!$B:$B,MATCH($Q9,Organization!$A:$A,0))</f>
        <v>org3</v>
      </c>
      <c r="S9" s="4" t="str">
        <f t="shared" si="0"/>
        <v>org_user3_1: data_collection8, case_type_set3</v>
      </c>
      <c r="T9" s="6" t="str">
        <f t="shared" si="1"/>
        <v>user_case_policy3_1_8</v>
      </c>
      <c r="U9" t="s">
        <v>22</v>
      </c>
      <c r="V9" s="4" t="str">
        <f>INDEX(User!$D:$D,MATCH($U9,User!$A:$A,0))</f>
        <v>org_user3_1</v>
      </c>
      <c r="W9" s="6" t="str">
        <f t="shared" si="2"/>
        <v>0195d18c-1c9c-0d8f-435a-5ca8b45939b8|0195d18c-1ca3-da0a-44bb-877b3a1eb73e</v>
      </c>
    </row>
    <row r="10" spans="1:23" x14ac:dyDescent="0.3">
      <c r="A10" t="s">
        <v>76</v>
      </c>
      <c r="B10" t="s">
        <v>33</v>
      </c>
      <c r="C10" s="4" t="str">
        <f>INDEX(DataCollection!$B:$B,MATCH($B10,DataCollection!$A:$A,0))</f>
        <v>data_collection9</v>
      </c>
      <c r="D10" t="s">
        <v>67</v>
      </c>
      <c r="E10" s="4" t="str">
        <f>INDEX(CaseTypeSet!$B:$B,MATCH($D10,CaseTypeSet!$A:$A,0))</f>
        <v>case_type_set4</v>
      </c>
      <c r="F10" t="b">
        <v>1</v>
      </c>
      <c r="G10" t="b">
        <v>1</v>
      </c>
      <c r="H10" t="b">
        <v>1</v>
      </c>
      <c r="I10" t="s">
        <v>137</v>
      </c>
      <c r="J10" s="4" t="str">
        <f>IF($I10="","",INDEX(CaseTypeColSet!$B:$B,MATCH($I10,CaseTypeColSet!$A:$A,0)))</f>
        <v>case_type_col_set1_1and2</v>
      </c>
      <c r="K10" t="s">
        <v>137</v>
      </c>
      <c r="L10" s="4" t="str">
        <f>IF($K10="","",INDEX(CaseTypeColSet!$B:$B,MATCH($K10,CaseTypeColSet!$A:$A,0)))</f>
        <v>case_type_col_set1_1and2</v>
      </c>
      <c r="M10" t="b">
        <v>1</v>
      </c>
      <c r="N10" t="b">
        <v>1</v>
      </c>
      <c r="O10" t="b">
        <v>1</v>
      </c>
      <c r="P10" t="b">
        <v>1</v>
      </c>
      <c r="Q10" s="4" t="str">
        <f>INDEX(User!$G:$G,MATCH($U10,User!$A:$A,0))</f>
        <v>0195d18c-1c92-d419-4c71-a570f428499b</v>
      </c>
      <c r="R10" s="4" t="str">
        <f>INDEX(Organization!$B:$B,MATCH($Q10,Organization!$A:$A,0))</f>
        <v>org4</v>
      </c>
      <c r="S10" s="4" t="str">
        <f t="shared" si="0"/>
        <v>org_user4_1: data_collection9, case_type_set4</v>
      </c>
      <c r="T10" s="6" t="str">
        <f t="shared" si="1"/>
        <v>user_case_policy4_1_9</v>
      </c>
      <c r="U10" t="s">
        <v>28</v>
      </c>
      <c r="V10" s="4" t="str">
        <f>INDEX(User!$D:$D,MATCH($U10,User!$A:$A,0))</f>
        <v>org_user4_1</v>
      </c>
      <c r="W10" s="6" t="str">
        <f t="shared" si="2"/>
        <v>0195d18c-1c9e-1c4a-1311-4f22f0d59f61|0195d18c-1ca3-4d34-d0e9-8f024ad8651a</v>
      </c>
    </row>
    <row r="11" spans="1:23" x14ac:dyDescent="0.3">
      <c r="A11" t="s">
        <v>77</v>
      </c>
      <c r="B11" t="s">
        <v>39</v>
      </c>
      <c r="C11" s="4" t="str">
        <f>INDEX(DataCollection!$B:$B,MATCH($B11,DataCollection!$A:$A,0))</f>
        <v>data_collection10</v>
      </c>
      <c r="D11" t="s">
        <v>68</v>
      </c>
      <c r="E11" s="4" t="str">
        <f>INDEX(CaseTypeSet!$B:$B,MATCH($D11,CaseTypeSet!$A:$A,0))</f>
        <v>case_type_set5</v>
      </c>
      <c r="F11" t="b">
        <v>1</v>
      </c>
      <c r="G11" t="b">
        <v>1</v>
      </c>
      <c r="H11" t="b">
        <v>1</v>
      </c>
      <c r="I11" t="s">
        <v>137</v>
      </c>
      <c r="J11" s="4" t="str">
        <f>IF($I11="","",INDEX(CaseTypeColSet!$B:$B,MATCH($I11,CaseTypeColSet!$A:$A,0)))</f>
        <v>case_type_col_set1_1and2</v>
      </c>
      <c r="K11" t="s">
        <v>137</v>
      </c>
      <c r="L11" s="4" t="str">
        <f>IF($K11="","",INDEX(CaseTypeColSet!$B:$B,MATCH($K11,CaseTypeColSet!$A:$A,0)))</f>
        <v>case_type_col_set1_1and2</v>
      </c>
      <c r="M11" t="b">
        <v>1</v>
      </c>
      <c r="N11" t="b">
        <v>1</v>
      </c>
      <c r="O11" t="b">
        <v>1</v>
      </c>
      <c r="P11" t="b">
        <v>1</v>
      </c>
      <c r="Q11" s="4" t="str">
        <f>INDEX(User!$G:$G,MATCH($U11,User!$A:$A,0))</f>
        <v>0195d18c-1c93-02a2-6920-7e4dbfb73ce0</v>
      </c>
      <c r="R11" s="4" t="str">
        <f>INDEX(Organization!$B:$B,MATCH($Q11,Organization!$A:$A,0))</f>
        <v>org5</v>
      </c>
      <c r="S11" s="4" t="str">
        <f t="shared" si="0"/>
        <v>org_user5_1: data_collection10, case_type_set5</v>
      </c>
      <c r="T11" s="6" t="str">
        <f t="shared" si="1"/>
        <v>user_case_policy5_1_10</v>
      </c>
      <c r="U11" t="s">
        <v>34</v>
      </c>
      <c r="V11" s="4" t="str">
        <f>INDEX(User!$D:$D,MATCH($U11,User!$A:$A,0))</f>
        <v>org_user5_1</v>
      </c>
      <c r="W11" s="6" t="str">
        <f t="shared" si="2"/>
        <v>0195d18c-1ca0-e0db-7a87-6237ad6380c8|0195d18c-1ca3-11a2-bf20-8eaaa09cc070</v>
      </c>
    </row>
  </sheetData>
  <autoFilter ref="A1:V11" xr:uid="{413B6EDF-4214-4325-A1BD-732A42D052EA}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1A0CE-352C-4E69-8986-540397C3CD9D}">
  <dimension ref="A1:P2"/>
  <sheetViews>
    <sheetView workbookViewId="0">
      <pane ySplit="1" topLeftCell="A2" activePane="bottomLeft" state="frozen"/>
      <selection pane="bottomLeft" activeCell="O1" sqref="O1"/>
    </sheetView>
  </sheetViews>
  <sheetFormatPr defaultColWidth="8.77734375" defaultRowHeight="14.4" x14ac:dyDescent="0.3"/>
  <cols>
    <col min="1" max="2" width="35.44140625" bestFit="1" customWidth="1"/>
    <col min="3" max="3" width="23.6640625" bestFit="1" customWidth="1"/>
    <col min="4" max="4" width="35.6640625" bestFit="1" customWidth="1"/>
    <col min="5" max="5" width="21" bestFit="1" customWidth="1"/>
    <col min="6" max="6" width="8" bestFit="1" customWidth="1"/>
    <col min="7" max="7" width="8.6640625" bestFit="1" customWidth="1"/>
    <col min="8" max="8" width="11.77734375" bestFit="1" customWidth="1"/>
    <col min="9" max="9" width="12" bestFit="1" customWidth="1"/>
    <col min="10" max="10" width="15.44140625" bestFit="1" customWidth="1"/>
    <col min="11" max="11" width="35.33203125" bestFit="1" customWidth="1"/>
    <col min="12" max="12" width="27.33203125" bestFit="1" customWidth="1"/>
    <col min="13" max="13" width="36" bestFit="1" customWidth="1"/>
    <col min="14" max="14" width="23.6640625" bestFit="1" customWidth="1"/>
    <col min="15" max="15" width="35.44140625" bestFit="1" customWidth="1"/>
    <col min="16" max="16" width="13.33203125" bestFit="1" customWidth="1"/>
  </cols>
  <sheetData>
    <row r="1" spans="1:16" x14ac:dyDescent="0.3">
      <c r="A1" t="s">
        <v>0</v>
      </c>
      <c r="B1" t="s">
        <v>2</v>
      </c>
      <c r="C1" s="3" t="s">
        <v>822</v>
      </c>
      <c r="D1" t="s">
        <v>58</v>
      </c>
      <c r="E1" s="3" t="s">
        <v>806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213</v>
      </c>
      <c r="L1" s="3" t="s">
        <v>828</v>
      </c>
      <c r="M1" s="6" t="s">
        <v>825</v>
      </c>
      <c r="N1" s="3" t="s">
        <v>826</v>
      </c>
      <c r="O1" s="7" t="s">
        <v>1</v>
      </c>
      <c r="P1" s="8" t="s">
        <v>827</v>
      </c>
    </row>
    <row r="2" spans="1:16" x14ac:dyDescent="0.3">
      <c r="A2" t="s">
        <v>279</v>
      </c>
      <c r="B2" t="s">
        <v>17</v>
      </c>
      <c r="C2" s="4" t="str">
        <f>INDEX(DataCollection!$B:$B,MATCH($B2,DataCollection!$A:$A,0))</f>
        <v>data_collection2</v>
      </c>
      <c r="D2" t="s">
        <v>63</v>
      </c>
      <c r="E2" s="4" t="str">
        <f>INDEX(CaseTypeSet!$B:$B,MATCH($D2,CaseTypeSet!$A:$A,0))</f>
        <v>case_type_set1</v>
      </c>
      <c r="F2">
        <v>1</v>
      </c>
      <c r="G2" t="b">
        <f>TRUE()</f>
        <v>1</v>
      </c>
      <c r="H2" t="b">
        <f>TRUE()</f>
        <v>1</v>
      </c>
      <c r="I2" t="b">
        <f>TRUE()</f>
        <v>1</v>
      </c>
      <c r="J2" t="b">
        <f>TRUE()</f>
        <v>1</v>
      </c>
      <c r="K2" t="s">
        <v>11</v>
      </c>
      <c r="L2" s="4" t="str">
        <f>INDEX(DataCollection!$B:$B,MATCH($K2,DataCollection!$A:$A,0))</f>
        <v>data_collection1</v>
      </c>
      <c r="M2" s="4" t="str">
        <f>INDEX(User!$G:$G,MATCH($O2,User!$A:$A,0))</f>
        <v>018d074d-ea0c-e942-07db-a3cc0ba1d653</v>
      </c>
      <c r="N2" s="4" t="str">
        <f>INDEX(Organization!$B:$B,MATCH($M2,Organization!$A:$A,0))</f>
        <v>org1</v>
      </c>
      <c r="O2" t="s">
        <v>10</v>
      </c>
      <c r="P2" s="4" t="str">
        <f>INDEX(User!$D:$D,MATCH($O2,User!$A:$A,0))</f>
        <v>org_user1_1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03A8B-A0A1-46B6-957F-B8B3E001E975}">
  <dimension ref="A1:N2"/>
  <sheetViews>
    <sheetView workbookViewId="0">
      <pane ySplit="1" topLeftCell="A2" activePane="bottomLeft" state="frozen"/>
      <selection pane="bottomLeft" sqref="A1:XFD1048576"/>
    </sheetView>
  </sheetViews>
  <sheetFormatPr defaultColWidth="8.77734375" defaultRowHeight="14.4" x14ac:dyDescent="0.3"/>
  <cols>
    <col min="1" max="1" width="35.44140625" bestFit="1" customWidth="1"/>
    <col min="2" max="2" width="35.33203125" bestFit="1" customWidth="1"/>
    <col min="3" max="3" width="22.109375" bestFit="1" customWidth="1"/>
    <col min="4" max="4" width="35.6640625" bestFit="1" customWidth="1"/>
    <col min="5" max="5" width="21" bestFit="1" customWidth="1"/>
    <col min="6" max="6" width="8" bestFit="1" customWidth="1"/>
    <col min="7" max="7" width="8.6640625" bestFit="1" customWidth="1"/>
    <col min="8" max="8" width="11.77734375" bestFit="1" customWidth="1"/>
    <col min="9" max="9" width="12" bestFit="1" customWidth="1"/>
    <col min="10" max="10" width="15.44140625" bestFit="1" customWidth="1"/>
    <col min="11" max="11" width="35.33203125" bestFit="1" customWidth="1"/>
    <col min="12" max="12" width="27.33203125" bestFit="1" customWidth="1"/>
    <col min="13" max="13" width="36" bestFit="1" customWidth="1"/>
    <col min="14" max="14" width="19.44140625" bestFit="1" customWidth="1"/>
  </cols>
  <sheetData>
    <row r="1" spans="1:14" x14ac:dyDescent="0.3">
      <c r="A1" t="s">
        <v>0</v>
      </c>
      <c r="B1" t="s">
        <v>2</v>
      </c>
      <c r="C1" s="3" t="s">
        <v>822</v>
      </c>
      <c r="D1" t="s">
        <v>58</v>
      </c>
      <c r="E1" s="3" t="s">
        <v>806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213</v>
      </c>
      <c r="L1" s="3" t="s">
        <v>828</v>
      </c>
      <c r="M1" t="s">
        <v>41</v>
      </c>
      <c r="N1" s="3" t="s">
        <v>798</v>
      </c>
    </row>
    <row r="2" spans="1:14" x14ac:dyDescent="0.3">
      <c r="A2" t="s">
        <v>279</v>
      </c>
      <c r="B2" t="s">
        <v>17</v>
      </c>
      <c r="C2" s="4" t="str">
        <f>INDEX(DataCollection!$B:$B,MATCH($B2,DataCollection!$A:$A,0))</f>
        <v>data_collection2</v>
      </c>
      <c r="D2" t="s">
        <v>63</v>
      </c>
      <c r="E2" s="4" t="str">
        <f>INDEX(CaseTypeSet!$B:$B,MATCH($D2,CaseTypeSet!$A:$A,0))</f>
        <v>case_type_set1</v>
      </c>
      <c r="F2">
        <v>1</v>
      </c>
      <c r="G2" t="b">
        <f>TRUE()</f>
        <v>1</v>
      </c>
      <c r="H2" t="b">
        <f>TRUE()</f>
        <v>1</v>
      </c>
      <c r="I2" t="b">
        <f>TRUE()</f>
        <v>1</v>
      </c>
      <c r="J2" t="b">
        <f>TRUE()</f>
        <v>1</v>
      </c>
      <c r="K2" t="s">
        <v>11</v>
      </c>
      <c r="L2" s="4" t="str">
        <f>INDEX(DataCollection!$B:$B,MATCH($K2,DataCollection!$A:$A,0))</f>
        <v>data_collection1</v>
      </c>
      <c r="M2" t="s">
        <v>43</v>
      </c>
      <c r="N2" s="4" t="str">
        <f>INDEX(Organization!$B:$B,MATCH($M2,Organization!$A:$A,0))</f>
        <v>org1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ConceptSet</vt:lpstr>
      <vt:lpstr>Concept</vt:lpstr>
      <vt:lpstr>ConceptRelation</vt:lpstr>
      <vt:lpstr>RegionSet</vt:lpstr>
      <vt:lpstr>Region</vt:lpstr>
      <vt:lpstr>RegionRelation</vt:lpstr>
      <vt:lpstr>Organization</vt:lpstr>
      <vt:lpstr>DataCollection</vt:lpstr>
      <vt:lpstr>User</vt:lpstr>
      <vt:lpstr>UserInvitation</vt:lpstr>
      <vt:lpstr>Dim</vt:lpstr>
      <vt:lpstr>Col</vt:lpstr>
      <vt:lpstr>Disease</vt:lpstr>
      <vt:lpstr>EtiologicalAgent</vt:lpstr>
      <vt:lpstr>CaseType</vt:lpstr>
      <vt:lpstr>CaseTypeSetCategory</vt:lpstr>
      <vt:lpstr>CaseTypeSet</vt:lpstr>
      <vt:lpstr>CaseTypeSetMember</vt:lpstr>
      <vt:lpstr>CaseTypeCol</vt:lpstr>
      <vt:lpstr>ValidateCasesCommand</vt:lpstr>
      <vt:lpstr>_CaseData</vt:lpstr>
      <vt:lpstr>_CaseContentData</vt:lpstr>
      <vt:lpstr>CaseTypeColSet</vt:lpstr>
      <vt:lpstr>CaseTypeColSetMember</vt:lpstr>
      <vt:lpstr>OrganizationAdminPolicy</vt:lpstr>
      <vt:lpstr>OrganizationAccessCasePolicy</vt:lpstr>
      <vt:lpstr>UserAccessCasePolicy</vt:lpstr>
      <vt:lpstr>UserShareCasePolicy</vt:lpstr>
      <vt:lpstr>OrganizationShareCasePolicy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Ivo Van Walle</cp:lastModifiedBy>
  <dcterms:created xsi:type="dcterms:W3CDTF">2025-03-26T08:22:55Z</dcterms:created>
  <dcterms:modified xsi:type="dcterms:W3CDTF">2025-11-04T12:42:45Z</dcterms:modified>
</cp:coreProperties>
</file>