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5171D89E-DF80-437B-94F2-667AC7209E03}" xr6:coauthVersionLast="47" xr6:coauthVersionMax="47" xr10:uidLastSave="{00000000-0000-0000-0000-000000000000}"/>
  <bookViews>
    <workbookView xWindow="-108" yWindow="-108" windowWidth="41496" windowHeight="16776" tabRatio="913" firstSheet="11" activeTab="24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G10" i="32" s="1"/>
  <c r="S11" i="32"/>
  <c r="G11" i="32" s="1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G44" i="32" s="1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L3" i="15"/>
  <c r="G3" i="24" s="1"/>
  <c r="L27" i="15"/>
  <c r="G31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G4" i="24" s="1"/>
  <c r="H5" i="15"/>
  <c r="L5" i="15" s="1"/>
  <c r="H6" i="15"/>
  <c r="L6" i="15" s="1"/>
  <c r="G10" i="24" s="1"/>
  <c r="H7" i="15"/>
  <c r="L7" i="15" s="1"/>
  <c r="G11" i="24" s="1"/>
  <c r="H8" i="15"/>
  <c r="L8" i="15" s="1"/>
  <c r="G12" i="24" s="1"/>
  <c r="H9" i="15"/>
  <c r="L9" i="15" s="1"/>
  <c r="G13" i="24" s="1"/>
  <c r="H10" i="15"/>
  <c r="L10" i="15" s="1"/>
  <c r="H11" i="15"/>
  <c r="L11" i="15" s="1"/>
  <c r="G15" i="24" s="1"/>
  <c r="H12" i="15"/>
  <c r="L12" i="15" s="1"/>
  <c r="G16" i="24" s="1"/>
  <c r="H13" i="15"/>
  <c r="L13" i="15" s="1"/>
  <c r="G17" i="24" s="1"/>
  <c r="H14" i="15"/>
  <c r="L14" i="15" s="1"/>
  <c r="G18" i="24" s="1"/>
  <c r="H15" i="15"/>
  <c r="L15" i="15" s="1"/>
  <c r="G19" i="24" s="1"/>
  <c r="H16" i="15"/>
  <c r="L16" i="15" s="1"/>
  <c r="G20" i="24" s="1"/>
  <c r="H17" i="15"/>
  <c r="L17" i="15" s="1"/>
  <c r="G21" i="24" s="1"/>
  <c r="H18" i="15"/>
  <c r="L18" i="15" s="1"/>
  <c r="G22" i="24" s="1"/>
  <c r="H19" i="15"/>
  <c r="L19" i="15" s="1"/>
  <c r="G23" i="24" s="1"/>
  <c r="H20" i="15"/>
  <c r="L20" i="15" s="1"/>
  <c r="G24" i="24" s="1"/>
  <c r="H21" i="15"/>
  <c r="L21" i="15" s="1"/>
  <c r="G25" i="24" s="1"/>
  <c r="H22" i="15"/>
  <c r="L22" i="15" s="1"/>
  <c r="G26" i="24" s="1"/>
  <c r="H23" i="15"/>
  <c r="L23" i="15" s="1"/>
  <c r="G27" i="24" s="1"/>
  <c r="H24" i="15"/>
  <c r="L24" i="15" s="1"/>
  <c r="G28" i="24" s="1"/>
  <c r="H25" i="15"/>
  <c r="L25" i="15" s="1"/>
  <c r="G29" i="24" s="1"/>
  <c r="H26" i="15"/>
  <c r="L26" i="15" s="1"/>
  <c r="G30" i="24" s="1"/>
  <c r="H27" i="15"/>
  <c r="H28" i="15"/>
  <c r="L28" i="15" s="1"/>
  <c r="G32" i="24" s="1"/>
  <c r="H29" i="15"/>
  <c r="L29" i="15" s="1"/>
  <c r="G33" i="24" s="1"/>
  <c r="H2" i="15"/>
  <c r="L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O28" i="13" l="1"/>
  <c r="E28" i="11" s="1"/>
  <c r="G28" i="11" s="1"/>
  <c r="O25" i="13"/>
  <c r="E25" i="11" s="1"/>
  <c r="G25" i="11" s="1"/>
  <c r="O30" i="13"/>
  <c r="E30" i="11" s="1"/>
  <c r="G30" i="11" s="1"/>
  <c r="F16" i="9" s="1"/>
  <c r="O9" i="13"/>
  <c r="E9" i="11" s="1"/>
  <c r="G9" i="11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28" i="32"/>
  <c r="D37" i="32"/>
  <c r="F75" i="9"/>
  <c r="F47" i="9"/>
  <c r="D9" i="32"/>
  <c r="F63" i="9"/>
  <c r="D25" i="32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I6" i="24" a="1"/>
  <c r="I5" i="24" a="1"/>
  <c r="J17" i="24" a="1"/>
  <c r="J5" i="24" a="1"/>
  <c r="K17" i="24" a="1"/>
  <c r="O6" i="24" a="1"/>
  <c r="N14" i="24" a="1"/>
  <c r="J14" i="24" a="1"/>
  <c r="I17" i="24" a="1"/>
  <c r="O14" i="24" a="1"/>
  <c r="M14" i="24" a="1"/>
  <c r="J8" i="24" a="1"/>
  <c r="K16" i="24" a="1"/>
  <c r="K7" i="24" a="1"/>
  <c r="J4" i="24" a="1"/>
  <c r="J16" i="24" a="1"/>
  <c r="I9" i="24" a="1"/>
  <c r="I14" i="24" a="1"/>
  <c r="K14" i="24" a="1"/>
  <c r="I2" i="24" a="1"/>
  <c r="K6" i="24" a="1"/>
  <c r="J9" i="24" a="1"/>
  <c r="K2" i="24" a="1"/>
  <c r="M6" i="24" a="1"/>
  <c r="K4" i="24" a="1"/>
  <c r="J6" i="24" a="1"/>
  <c r="K5" i="24" a="1"/>
  <c r="J2" i="24" a="1"/>
  <c r="I15" i="24" a="1"/>
  <c r="K3" i="24" a="1"/>
  <c r="I4" i="24" a="1"/>
  <c r="K9" i="24" a="1"/>
  <c r="K15" i="24" a="1"/>
  <c r="I16" i="24" a="1"/>
  <c r="J15" i="24" a="1"/>
  <c r="E54" i="11" l="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C3" i="15"/>
  <c r="D8" i="24" s="1"/>
  <c r="C4" i="15"/>
  <c r="D4" i="24" s="1"/>
  <c r="C5" i="15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E2" i="2"/>
  <c r="C3" i="2"/>
  <c r="C4" i="2"/>
  <c r="C5" i="2"/>
  <c r="C6" i="2"/>
  <c r="C2" i="2"/>
  <c r="K8" i="24" a="1"/>
  <c r="I3" i="24" a="1"/>
  <c r="I8" i="24" a="1"/>
  <c r="N6" i="24" a="1"/>
  <c r="J7" i="24" a="1"/>
  <c r="J3" i="24" a="1"/>
  <c r="I7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<sst xmlns="http://schemas.openxmlformats.org/spreadsheetml/2006/main" count="2409" uniqueCount="874">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</sst>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296</v>
      </c>
      <c r="E1" t="s">
        <v>305</v>
      </c>
      <c r="F1" t="s">
        <v>306</v>
      </c>
      <c r="G1" t="s">
        <v>307</v>
      </c>
      <c r="H1" t="s">
        <v>78</v>
      </c>
    </row>
    <row r="2" spans="1:8" x14ac:dyDescent="0.3">
      <c r="A2" t="s">
        <v>342</v>
      </c>
      <c r="B2" t="s">
        <v>729</v>
      </c>
      <c r="C2" t="s">
        <v>730</v>
      </c>
      <c r="D2" t="s">
        <v>309</v>
      </c>
      <c r="H2" t="s">
        <v>535</v>
      </c>
    </row>
    <row r="3" spans="1:8" x14ac:dyDescent="0.3">
      <c r="A3" t="s">
        <v>343</v>
      </c>
      <c r="B3" t="s">
        <v>731</v>
      </c>
      <c r="C3" t="s">
        <v>732</v>
      </c>
      <c r="D3" t="s">
        <v>309</v>
      </c>
      <c r="H3" t="s">
        <v>536</v>
      </c>
    </row>
    <row r="4" spans="1:8" x14ac:dyDescent="0.3">
      <c r="A4" t="s">
        <v>344</v>
      </c>
      <c r="B4" t="s">
        <v>733</v>
      </c>
      <c r="C4" t="s">
        <v>734</v>
      </c>
      <c r="D4" t="s">
        <v>308</v>
      </c>
      <c r="H4" t="s">
        <v>537</v>
      </c>
    </row>
    <row r="5" spans="1:8" x14ac:dyDescent="0.3">
      <c r="A5" t="s">
        <v>345</v>
      </c>
      <c r="B5" t="s">
        <v>735</v>
      </c>
      <c r="C5" t="s">
        <v>736</v>
      </c>
      <c r="D5" t="s">
        <v>308</v>
      </c>
      <c r="H5" t="s">
        <v>538</v>
      </c>
    </row>
    <row r="6" spans="1:8" x14ac:dyDescent="0.3">
      <c r="A6" t="s">
        <v>346</v>
      </c>
      <c r="B6" t="s">
        <v>737</v>
      </c>
      <c r="C6" t="s">
        <v>310</v>
      </c>
      <c r="D6" t="s">
        <v>353</v>
      </c>
      <c r="H6" t="s">
        <v>310</v>
      </c>
    </row>
    <row r="7" spans="1:8" x14ac:dyDescent="0.3">
      <c r="A7" t="s">
        <v>347</v>
      </c>
      <c r="B7" t="s">
        <v>738</v>
      </c>
      <c r="C7" t="s">
        <v>311</v>
      </c>
      <c r="D7" t="s">
        <v>353</v>
      </c>
      <c r="H7" t="s">
        <v>311</v>
      </c>
    </row>
    <row r="8" spans="1:8" x14ac:dyDescent="0.3">
      <c r="A8" t="s">
        <v>348</v>
      </c>
      <c r="B8" t="s">
        <v>739</v>
      </c>
      <c r="C8" t="s">
        <v>312</v>
      </c>
      <c r="D8" t="s">
        <v>353</v>
      </c>
      <c r="H8" t="s">
        <v>312</v>
      </c>
    </row>
    <row r="9" spans="1:8" x14ac:dyDescent="0.3">
      <c r="A9" t="s">
        <v>349</v>
      </c>
      <c r="B9" t="s">
        <v>740</v>
      </c>
      <c r="C9" t="s">
        <v>313</v>
      </c>
      <c r="D9" t="s">
        <v>353</v>
      </c>
      <c r="H9" t="s">
        <v>313</v>
      </c>
    </row>
    <row r="10" spans="1:8" x14ac:dyDescent="0.3">
      <c r="A10" t="s">
        <v>350</v>
      </c>
      <c r="B10" t="s">
        <v>741</v>
      </c>
      <c r="C10" t="s">
        <v>314</v>
      </c>
      <c r="D10" t="s">
        <v>353</v>
      </c>
      <c r="H10" t="s">
        <v>314</v>
      </c>
    </row>
    <row r="11" spans="1:8" x14ac:dyDescent="0.3">
      <c r="A11" t="s">
        <v>351</v>
      </c>
      <c r="B11" t="s">
        <v>742</v>
      </c>
      <c r="C11" t="s">
        <v>743</v>
      </c>
      <c r="D11" t="s">
        <v>315</v>
      </c>
      <c r="E11" t="s">
        <v>539</v>
      </c>
      <c r="H11" t="s">
        <v>539</v>
      </c>
    </row>
    <row r="12" spans="1:8" x14ac:dyDescent="0.3">
      <c r="A12" t="s">
        <v>352</v>
      </c>
      <c r="B12" t="s">
        <v>744</v>
      </c>
      <c r="C12" t="s">
        <v>745</v>
      </c>
      <c r="D12" t="s">
        <v>315</v>
      </c>
      <c r="E12" t="s">
        <v>540</v>
      </c>
      <c r="H12" t="s">
        <v>540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316</v>
      </c>
      <c r="H1" t="s">
        <v>317</v>
      </c>
      <c r="I1" s="6" t="s">
        <v>802</v>
      </c>
      <c r="J1" t="s">
        <v>184</v>
      </c>
      <c r="K1" s="6" t="s">
        <v>839</v>
      </c>
      <c r="L1" s="6" t="s">
        <v>837</v>
      </c>
      <c r="M1" s="6" t="s">
        <v>838</v>
      </c>
    </row>
    <row r="2" spans="1:13" x14ac:dyDescent="0.3">
      <c r="A2" t="s">
        <v>320</v>
      </c>
      <c r="B2" t="s">
        <v>337</v>
      </c>
      <c r="C2" t="s">
        <v>355</v>
      </c>
      <c r="F2" t="s">
        <v>154</v>
      </c>
      <c r="I2" s="6" t="str">
        <f>INDEX(ConceptSet!$B:$B,MATCH($J2,ConceptSet!$A:$A,0))</f>
        <v>NOMINAL_1</v>
      </c>
      <c r="J2" t="s">
        <v>342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319</v>
      </c>
      <c r="B3" t="s">
        <v>338</v>
      </c>
      <c r="C3" t="s">
        <v>356</v>
      </c>
      <c r="F3" t="s">
        <v>154</v>
      </c>
      <c r="I3" s="6" t="str">
        <f>INDEX(ConceptSet!$B:$B,MATCH($J3,ConceptSet!$A:$A,0))</f>
        <v>NOMINAL_1</v>
      </c>
      <c r="J3" t="s">
        <v>342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368</v>
      </c>
      <c r="B4" t="s">
        <v>357</v>
      </c>
      <c r="C4" t="s">
        <v>358</v>
      </c>
      <c r="F4" t="s">
        <v>154</v>
      </c>
      <c r="I4" s="6" t="str">
        <f>INDEX(ConceptSet!$B:$B,MATCH($J4,ConceptSet!$A:$A,0))</f>
        <v>NOMINAL_1</v>
      </c>
      <c r="J4" t="s">
        <v>342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369</v>
      </c>
      <c r="B5" t="s">
        <v>337</v>
      </c>
      <c r="C5" t="s">
        <v>359</v>
      </c>
      <c r="F5" t="s">
        <v>154</v>
      </c>
      <c r="I5" s="6" t="str">
        <f>INDEX(ConceptSet!$B:$B,MATCH($J5,ConceptSet!$A:$A,0))</f>
        <v>NOMINAL_2</v>
      </c>
      <c r="J5" t="s">
        <v>343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370</v>
      </c>
      <c r="B6" t="s">
        <v>338</v>
      </c>
      <c r="C6" t="s">
        <v>360</v>
      </c>
      <c r="F6" t="s">
        <v>154</v>
      </c>
      <c r="I6" s="6" t="str">
        <f>INDEX(ConceptSet!$B:$B,MATCH($J6,ConceptSet!$A:$A,0))</f>
        <v>NOMINAL_2</v>
      </c>
      <c r="J6" t="s">
        <v>343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371</v>
      </c>
      <c r="B7" t="s">
        <v>357</v>
      </c>
      <c r="C7" t="s">
        <v>361</v>
      </c>
      <c r="F7" t="s">
        <v>154</v>
      </c>
      <c r="I7" s="6" t="str">
        <f>INDEX(ConceptSet!$B:$B,MATCH($J7,ConceptSet!$A:$A,0))</f>
        <v>NOMINAL_2</v>
      </c>
      <c r="J7" t="s">
        <v>343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372</v>
      </c>
      <c r="B8" t="s">
        <v>339</v>
      </c>
      <c r="C8" t="s">
        <v>362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344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373</v>
      </c>
      <c r="B9" t="s">
        <v>340</v>
      </c>
      <c r="C9" t="s">
        <v>363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344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374</v>
      </c>
      <c r="B10" t="s">
        <v>341</v>
      </c>
      <c r="C10" t="s">
        <v>364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344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375</v>
      </c>
      <c r="B11" t="s">
        <v>339</v>
      </c>
      <c r="C11" t="s">
        <v>365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345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376</v>
      </c>
      <c r="B12" t="s">
        <v>340</v>
      </c>
      <c r="C12" t="s">
        <v>366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345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377</v>
      </c>
      <c r="B13" t="s">
        <v>341</v>
      </c>
      <c r="C13" t="s">
        <v>367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345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378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346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379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346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380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346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332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346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331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346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330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347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329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347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328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348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327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348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326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348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325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348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324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349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323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349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322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349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321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349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336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350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335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350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334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350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333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350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864</v>
      </c>
      <c r="C1" t="s">
        <v>865</v>
      </c>
      <c r="D1" s="6" t="s">
        <v>866</v>
      </c>
      <c r="E1" t="s">
        <v>871</v>
      </c>
      <c r="F1" t="s">
        <v>872</v>
      </c>
      <c r="G1" t="s">
        <v>867</v>
      </c>
      <c r="H1" t="s">
        <v>868</v>
      </c>
      <c r="I1" t="s">
        <v>421</v>
      </c>
    </row>
    <row r="2" spans="1:9" x14ac:dyDescent="0.3">
      <c r="A2" t="s">
        <v>869</v>
      </c>
      <c r="B2" t="s">
        <v>320</v>
      </c>
      <c r="C2" t="s">
        <v>369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422</v>
      </c>
    </row>
    <row r="3" spans="1:9" x14ac:dyDescent="0.3">
      <c r="A3" t="s">
        <v>870</v>
      </c>
      <c r="B3" t="s">
        <v>320</v>
      </c>
      <c r="C3" t="s">
        <v>370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381</v>
      </c>
    </row>
    <row r="2" spans="1:4" x14ac:dyDescent="0.3">
      <c r="A2" t="s">
        <v>392</v>
      </c>
      <c r="B2" t="s">
        <v>746</v>
      </c>
      <c r="C2" t="s">
        <v>382</v>
      </c>
      <c r="D2" t="b">
        <v>1</v>
      </c>
    </row>
    <row r="3" spans="1:4" x14ac:dyDescent="0.3">
      <c r="A3" t="s">
        <v>393</v>
      </c>
      <c r="B3" t="s">
        <v>747</v>
      </c>
      <c r="C3" t="s">
        <v>383</v>
      </c>
      <c r="D3" t="b">
        <v>1</v>
      </c>
    </row>
    <row r="4" spans="1:4" x14ac:dyDescent="0.3">
      <c r="A4" t="s">
        <v>394</v>
      </c>
      <c r="B4" t="s">
        <v>387</v>
      </c>
      <c r="C4" t="s">
        <v>384</v>
      </c>
      <c r="D4" t="b">
        <v>0</v>
      </c>
    </row>
    <row r="5" spans="1:4" x14ac:dyDescent="0.3">
      <c r="A5" t="s">
        <v>395</v>
      </c>
      <c r="B5" t="s">
        <v>386</v>
      </c>
      <c r="C5" t="s">
        <v>385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748</v>
      </c>
      <c r="D1" s="21" t="s">
        <v>142</v>
      </c>
      <c r="E1" s="21" t="s">
        <v>57</v>
      </c>
      <c r="F1" s="21" t="s">
        <v>388</v>
      </c>
      <c r="G1" s="21" t="s">
        <v>389</v>
      </c>
      <c r="H1" s="21" t="s">
        <v>390</v>
      </c>
      <c r="I1" s="21" t="s">
        <v>391</v>
      </c>
      <c r="J1" s="25" t="s">
        <v>840</v>
      </c>
      <c r="K1" s="25" t="s">
        <v>838</v>
      </c>
    </row>
    <row r="2" spans="1:11" x14ac:dyDescent="0.3">
      <c r="A2" t="s">
        <v>405</v>
      </c>
      <c r="B2" t="s">
        <v>392</v>
      </c>
      <c r="C2" t="str">
        <f>INDEX(RegionSet!$C:$C,MATCH($B2,RegionSet!$A:$A,0))</f>
        <v>Postal codes - Level 4</v>
      </c>
      <c r="D2" s="11" t="s">
        <v>397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406</v>
      </c>
      <c r="B3" t="s">
        <v>392</v>
      </c>
      <c r="C3" t="str">
        <f>INDEX(RegionSet!$C:$C,MATCH($B3,RegionSet!$A:$A,0))</f>
        <v>Postal codes - Level 4</v>
      </c>
      <c r="D3" s="11" t="s">
        <v>401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407</v>
      </c>
      <c r="B4" t="s">
        <v>392</v>
      </c>
      <c r="C4" t="str">
        <f>INDEX(RegionSet!$C:$C,MATCH($B4,RegionSet!$A:$A,0))</f>
        <v>Postal codes - Level 4</v>
      </c>
      <c r="D4" s="11" t="s">
        <v>402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408</v>
      </c>
      <c r="B5" t="s">
        <v>392</v>
      </c>
      <c r="C5" t="str">
        <f>INDEX(RegionSet!$C:$C,MATCH($B5,RegionSet!$A:$A,0))</f>
        <v>Postal codes - Level 4</v>
      </c>
      <c r="D5" s="11" t="s">
        <v>399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409</v>
      </c>
      <c r="B6" t="s">
        <v>392</v>
      </c>
      <c r="C6" t="str">
        <f>INDEX(RegionSet!$C:$C,MATCH($B6,RegionSet!$A:$A,0))</f>
        <v>Postal codes - Level 4</v>
      </c>
      <c r="D6" s="11" t="s">
        <v>398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410</v>
      </c>
      <c r="B7" t="s">
        <v>392</v>
      </c>
      <c r="C7" t="str">
        <f>INDEX(RegionSet!$C:$C,MATCH($B7,RegionSet!$A:$A,0))</f>
        <v>Postal codes - Level 4</v>
      </c>
      <c r="D7" s="11" t="s">
        <v>400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411</v>
      </c>
      <c r="B8" t="s">
        <v>393</v>
      </c>
      <c r="C8" t="str">
        <f>INDEX(RegionSet!$C:$C,MATCH($B8,RegionSet!$A:$A,0))</f>
        <v>Postal codes - Level 3</v>
      </c>
      <c r="D8" s="11" t="s">
        <v>403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412</v>
      </c>
      <c r="B9" t="s">
        <v>393</v>
      </c>
      <c r="C9" t="str">
        <f>INDEX(RegionSet!$C:$C,MATCH($B9,RegionSet!$A:$A,0))</f>
        <v>Postal codes - Level 3</v>
      </c>
      <c r="D9" s="11" t="s">
        <v>404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413</v>
      </c>
      <c r="B10" t="s">
        <v>394</v>
      </c>
      <c r="C10" t="str">
        <f>INDEX(RegionSet!$C:$C,MATCH($B10,RegionSet!$A:$A,0))</f>
        <v>Municipalities</v>
      </c>
      <c r="D10" t="s">
        <v>396</v>
      </c>
      <c r="E10" t="s">
        <v>749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414</v>
      </c>
      <c r="B11" t="s">
        <v>394</v>
      </c>
      <c r="C11" t="str">
        <f>INDEX(RegionSet!$C:$C,MATCH($B11,RegionSet!$A:$A,0))</f>
        <v>Municipalities</v>
      </c>
      <c r="D11" t="s">
        <v>841</v>
      </c>
      <c r="E11" t="s">
        <v>750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415</v>
      </c>
      <c r="B12" t="s">
        <v>394</v>
      </c>
      <c r="C12" t="str">
        <f>INDEX(RegionSet!$C:$C,MATCH($B12,RegionSet!$A:$A,0))</f>
        <v>Municipalities</v>
      </c>
      <c r="D12" t="s">
        <v>842</v>
      </c>
      <c r="E12" t="s">
        <v>751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416</v>
      </c>
      <c r="B13" t="s">
        <v>395</v>
      </c>
      <c r="C13" t="str">
        <f>INDEX(RegionSet!$C:$C,MATCH($B13,RegionSet!$A:$A,0))</f>
        <v>Provinces</v>
      </c>
      <c r="D13" t="s">
        <v>752</v>
      </c>
      <c r="E13" t="s">
        <v>843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417</v>
      </c>
      <c r="B14" t="s">
        <v>395</v>
      </c>
      <c r="C14" t="str">
        <f>INDEX(RegionSet!$C:$C,MATCH($B14,RegionSet!$A:$A,0))</f>
        <v>Provinces</v>
      </c>
      <c r="D14" t="s">
        <v>753</v>
      </c>
      <c r="E14" t="s">
        <v>844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418</v>
      </c>
      <c r="B15" t="s">
        <v>395</v>
      </c>
      <c r="C15" t="str">
        <f>INDEX(RegionSet!$C:$C,MATCH($B15,RegionSet!$A:$A,0))</f>
        <v>Provinces</v>
      </c>
      <c r="D15" t="s">
        <v>754</v>
      </c>
      <c r="E15" t="s">
        <v>845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419</v>
      </c>
      <c r="C1" s="21" t="s">
        <v>755</v>
      </c>
      <c r="D1" s="21" t="s">
        <v>420</v>
      </c>
      <c r="E1" s="21" t="s">
        <v>756</v>
      </c>
      <c r="F1" s="21" t="s">
        <v>421</v>
      </c>
    </row>
    <row r="2" spans="1:6" x14ac:dyDescent="0.3">
      <c r="A2" t="s">
        <v>423</v>
      </c>
      <c r="B2" t="s">
        <v>411</v>
      </c>
      <c r="C2" t="str">
        <f>INDEX(Region!$E:$E,MATCH($B2,Region!$A:$A,0))</f>
        <v>PC_101</v>
      </c>
      <c r="D2" t="s">
        <v>405</v>
      </c>
      <c r="E2" t="str">
        <f>INDEX(Region!$E:$E,MATCH($D2,Region!$A:$A,0))</f>
        <v>PC_1011</v>
      </c>
      <c r="F2" t="s">
        <v>422</v>
      </c>
    </row>
    <row r="3" spans="1:6" x14ac:dyDescent="0.3">
      <c r="A3" t="s">
        <v>424</v>
      </c>
      <c r="B3" t="s">
        <v>411</v>
      </c>
      <c r="C3" t="str">
        <f>INDEX(Region!$E:$E,MATCH($B3,Region!$A:$A,0))</f>
        <v>PC_101</v>
      </c>
      <c r="D3" t="s">
        <v>406</v>
      </c>
      <c r="E3" t="str">
        <f>INDEX(Region!$E:$E,MATCH($D3,Region!$A:$A,0))</f>
        <v>PC_1012</v>
      </c>
      <c r="F3" t="s">
        <v>422</v>
      </c>
    </row>
    <row r="4" spans="1:6" x14ac:dyDescent="0.3">
      <c r="A4" t="s">
        <v>425</v>
      </c>
      <c r="B4" t="s">
        <v>411</v>
      </c>
      <c r="C4" t="str">
        <f>INDEX(Region!$E:$E,MATCH($B4,Region!$A:$A,0))</f>
        <v>PC_101</v>
      </c>
      <c r="D4" t="s">
        <v>407</v>
      </c>
      <c r="E4" t="str">
        <f>INDEX(Region!$E:$E,MATCH($D4,Region!$A:$A,0))</f>
        <v>PC_1013</v>
      </c>
      <c r="F4" t="s">
        <v>422</v>
      </c>
    </row>
    <row r="5" spans="1:6" x14ac:dyDescent="0.3">
      <c r="A5" t="s">
        <v>426</v>
      </c>
      <c r="B5" t="s">
        <v>412</v>
      </c>
      <c r="C5" t="str">
        <f>INDEX(Region!$E:$E,MATCH($B5,Region!$A:$A,0))</f>
        <v>PC_102</v>
      </c>
      <c r="D5" t="s">
        <v>408</v>
      </c>
      <c r="E5" t="str">
        <f>INDEX(Region!$E:$E,MATCH($D5,Region!$A:$A,0))</f>
        <v>PC_1021</v>
      </c>
      <c r="F5" t="s">
        <v>422</v>
      </c>
    </row>
    <row r="6" spans="1:6" x14ac:dyDescent="0.3">
      <c r="A6" t="s">
        <v>427</v>
      </c>
      <c r="B6" t="s">
        <v>412</v>
      </c>
      <c r="C6" t="str">
        <f>INDEX(Region!$E:$E,MATCH($B6,Region!$A:$A,0))</f>
        <v>PC_102</v>
      </c>
      <c r="D6" t="s">
        <v>409</v>
      </c>
      <c r="E6" t="str">
        <f>INDEX(Region!$E:$E,MATCH($D6,Region!$A:$A,0))</f>
        <v>PC_1022</v>
      </c>
      <c r="F6" t="s">
        <v>422</v>
      </c>
    </row>
    <row r="7" spans="1:6" x14ac:dyDescent="0.3">
      <c r="A7" t="s">
        <v>428</v>
      </c>
      <c r="B7" t="s">
        <v>412</v>
      </c>
      <c r="C7" t="str">
        <f>INDEX(Region!$E:$E,MATCH($B7,Region!$A:$A,0))</f>
        <v>PC_102</v>
      </c>
      <c r="D7" t="s">
        <v>410</v>
      </c>
      <c r="E7" t="str">
        <f>INDEX(Region!$E:$E,MATCH($D7,Region!$A:$A,0))</f>
        <v>PC_1023</v>
      </c>
      <c r="F7" t="s">
        <v>422</v>
      </c>
    </row>
    <row r="8" spans="1:6" x14ac:dyDescent="0.3">
      <c r="A8" t="s">
        <v>429</v>
      </c>
      <c r="B8" t="s">
        <v>413</v>
      </c>
      <c r="C8" t="str">
        <f>INDEX(Region!$E:$E,MATCH($B8,Region!$A:$A,0))</f>
        <v>MUN_A</v>
      </c>
      <c r="D8" t="s">
        <v>405</v>
      </c>
      <c r="E8" t="str">
        <f>INDEX(Region!$E:$E,MATCH($D8,Region!$A:$A,0))</f>
        <v>PC_1011</v>
      </c>
      <c r="F8" t="s">
        <v>422</v>
      </c>
    </row>
    <row r="9" spans="1:6" x14ac:dyDescent="0.3">
      <c r="A9" t="s">
        <v>430</v>
      </c>
      <c r="B9" t="s">
        <v>413</v>
      </c>
      <c r="C9" t="str">
        <f>INDEX(Region!$E:$E,MATCH($B9,Region!$A:$A,0))</f>
        <v>MUN_A</v>
      </c>
      <c r="D9" t="s">
        <v>406</v>
      </c>
      <c r="E9" t="str">
        <f>INDEX(Region!$E:$E,MATCH($D9,Region!$A:$A,0))</f>
        <v>PC_1012</v>
      </c>
      <c r="F9" t="s">
        <v>422</v>
      </c>
    </row>
    <row r="10" spans="1:6" x14ac:dyDescent="0.3">
      <c r="A10" t="s">
        <v>431</v>
      </c>
      <c r="B10" t="s">
        <v>414</v>
      </c>
      <c r="C10" t="str">
        <f>INDEX(Region!$E:$E,MATCH($B10,Region!$A:$A,0))</f>
        <v>MUN_B</v>
      </c>
      <c r="D10" t="s">
        <v>407</v>
      </c>
      <c r="E10" t="str">
        <f>INDEX(Region!$E:$E,MATCH($D10,Region!$A:$A,0))</f>
        <v>PC_1013</v>
      </c>
      <c r="F10" t="s">
        <v>422</v>
      </c>
    </row>
    <row r="11" spans="1:6" x14ac:dyDescent="0.3">
      <c r="A11" t="s">
        <v>432</v>
      </c>
      <c r="B11" t="s">
        <v>414</v>
      </c>
      <c r="C11" t="str">
        <f>INDEX(Region!$E:$E,MATCH($B11,Region!$A:$A,0))</f>
        <v>MUN_B</v>
      </c>
      <c r="D11" t="s">
        <v>408</v>
      </c>
      <c r="E11" t="str">
        <f>INDEX(Region!$E:$E,MATCH($D11,Region!$A:$A,0))</f>
        <v>PC_1021</v>
      </c>
      <c r="F11" t="s">
        <v>422</v>
      </c>
    </row>
    <row r="12" spans="1:6" x14ac:dyDescent="0.3">
      <c r="A12" t="s">
        <v>433</v>
      </c>
      <c r="B12" t="s">
        <v>415</v>
      </c>
      <c r="C12" t="str">
        <f>INDEX(Region!$E:$E,MATCH($B12,Region!$A:$A,0))</f>
        <v>MUN_C</v>
      </c>
      <c r="D12" t="s">
        <v>409</v>
      </c>
      <c r="E12" t="str">
        <f>INDEX(Region!$E:$E,MATCH($D12,Region!$A:$A,0))</f>
        <v>PC_1022</v>
      </c>
      <c r="F12" t="s">
        <v>422</v>
      </c>
    </row>
    <row r="13" spans="1:6" x14ac:dyDescent="0.3">
      <c r="A13" t="s">
        <v>434</v>
      </c>
      <c r="B13" t="s">
        <v>415</v>
      </c>
      <c r="C13" t="str">
        <f>INDEX(Region!$E:$E,MATCH($B13,Region!$A:$A,0))</f>
        <v>MUN_C</v>
      </c>
      <c r="D13" t="s">
        <v>410</v>
      </c>
      <c r="E13" t="str">
        <f>INDEX(Region!$E:$E,MATCH($D13,Region!$A:$A,0))</f>
        <v>PC_1023</v>
      </c>
      <c r="F13" t="s">
        <v>422</v>
      </c>
    </row>
    <row r="14" spans="1:6" x14ac:dyDescent="0.3">
      <c r="A14" t="s">
        <v>435</v>
      </c>
      <c r="B14" t="s">
        <v>416</v>
      </c>
      <c r="C14" t="str">
        <f>INDEX(Region!$E:$E,MATCH($B14,Region!$A:$A,0))</f>
        <v>Province_1</v>
      </c>
      <c r="D14" t="s">
        <v>405</v>
      </c>
      <c r="E14" t="str">
        <f>INDEX(Region!$E:$E,MATCH($D14,Region!$A:$A,0))</f>
        <v>PC_1011</v>
      </c>
      <c r="F14" t="s">
        <v>422</v>
      </c>
    </row>
    <row r="15" spans="1:6" x14ac:dyDescent="0.3">
      <c r="A15" t="s">
        <v>436</v>
      </c>
      <c r="B15" t="s">
        <v>416</v>
      </c>
      <c r="C15" t="str">
        <f>INDEX(Region!$E:$E,MATCH($B15,Region!$A:$A,0))</f>
        <v>Province_1</v>
      </c>
      <c r="D15" t="s">
        <v>406</v>
      </c>
      <c r="E15" t="str">
        <f>INDEX(Region!$E:$E,MATCH($D15,Region!$A:$A,0))</f>
        <v>PC_1012</v>
      </c>
      <c r="F15" t="s">
        <v>422</v>
      </c>
    </row>
    <row r="16" spans="1:6" x14ac:dyDescent="0.3">
      <c r="A16" t="s">
        <v>437</v>
      </c>
      <c r="B16" t="s">
        <v>416</v>
      </c>
      <c r="C16" t="str">
        <f>INDEX(Region!$E:$E,MATCH($B16,Region!$A:$A,0))</f>
        <v>Province_1</v>
      </c>
      <c r="D16" t="s">
        <v>407</v>
      </c>
      <c r="E16" t="str">
        <f>INDEX(Region!$E:$E,MATCH($D16,Region!$A:$A,0))</f>
        <v>PC_1013</v>
      </c>
      <c r="F16" t="s">
        <v>422</v>
      </c>
    </row>
    <row r="17" spans="1:6" x14ac:dyDescent="0.3">
      <c r="A17" t="s">
        <v>438</v>
      </c>
      <c r="B17" t="s">
        <v>416</v>
      </c>
      <c r="C17" t="str">
        <f>INDEX(Region!$E:$E,MATCH($B17,Region!$A:$A,0))</f>
        <v>Province_1</v>
      </c>
      <c r="D17" t="s">
        <v>408</v>
      </c>
      <c r="E17" t="str">
        <f>INDEX(Region!$E:$E,MATCH($D17,Region!$A:$A,0))</f>
        <v>PC_1021</v>
      </c>
      <c r="F17" t="s">
        <v>422</v>
      </c>
    </row>
    <row r="18" spans="1:6" x14ac:dyDescent="0.3">
      <c r="A18" t="s">
        <v>439</v>
      </c>
      <c r="B18" t="s">
        <v>417</v>
      </c>
      <c r="C18" t="str">
        <f>INDEX(Region!$E:$E,MATCH($B18,Region!$A:$A,0))</f>
        <v>Province_2</v>
      </c>
      <c r="D18" t="s">
        <v>409</v>
      </c>
      <c r="E18" t="str">
        <f>INDEX(Region!$E:$E,MATCH($D18,Region!$A:$A,0))</f>
        <v>PC_1022</v>
      </c>
      <c r="F18" t="s">
        <v>422</v>
      </c>
    </row>
    <row r="19" spans="1:6" x14ac:dyDescent="0.3">
      <c r="A19" t="s">
        <v>440</v>
      </c>
      <c r="B19" t="s">
        <v>417</v>
      </c>
      <c r="C19" t="str">
        <f>INDEX(Region!$E:$E,MATCH($B19,Region!$A:$A,0))</f>
        <v>Province_2</v>
      </c>
      <c r="D19" t="s">
        <v>410</v>
      </c>
      <c r="E19" t="str">
        <f>INDEX(Region!$E:$E,MATCH($D19,Region!$A:$A,0))</f>
        <v>PC_1023</v>
      </c>
      <c r="F19" t="s">
        <v>422</v>
      </c>
    </row>
    <row r="20" spans="1:6" x14ac:dyDescent="0.3">
      <c r="A20" t="s">
        <v>441</v>
      </c>
      <c r="B20" t="s">
        <v>416</v>
      </c>
      <c r="C20" t="str">
        <f>INDEX(Region!$E:$E,MATCH($B20,Region!$A:$A,0))</f>
        <v>Province_1</v>
      </c>
      <c r="D20" t="s">
        <v>413</v>
      </c>
      <c r="E20" t="str">
        <f>INDEX(Region!$E:$E,MATCH($D20,Region!$A:$A,0))</f>
        <v>MUN_A</v>
      </c>
      <c r="F20" t="s">
        <v>422</v>
      </c>
    </row>
    <row r="21" spans="1:6" x14ac:dyDescent="0.3">
      <c r="A21" t="s">
        <v>442</v>
      </c>
      <c r="B21" t="s">
        <v>416</v>
      </c>
      <c r="C21" t="str">
        <f>INDEX(Region!$E:$E,MATCH($B21,Region!$A:$A,0))</f>
        <v>Province_1</v>
      </c>
      <c r="D21" t="s">
        <v>414</v>
      </c>
      <c r="E21" t="str">
        <f>INDEX(Region!$E:$E,MATCH($D21,Region!$A:$A,0))</f>
        <v>MUN_B</v>
      </c>
      <c r="F21" t="s">
        <v>422</v>
      </c>
    </row>
    <row r="22" spans="1:6" x14ac:dyDescent="0.3">
      <c r="A22" t="s">
        <v>443</v>
      </c>
      <c r="B22" t="s">
        <v>417</v>
      </c>
      <c r="C22" t="str">
        <f>INDEX(Region!$E:$E,MATCH($B22,Region!$A:$A,0))</f>
        <v>Province_2</v>
      </c>
      <c r="D22" t="s">
        <v>415</v>
      </c>
      <c r="E22" t="str">
        <f>INDEX(Region!$E:$E,MATCH($D22,Region!$A:$A,0))</f>
        <v>MUN_C</v>
      </c>
      <c r="F22" t="s">
        <v>422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205</v>
      </c>
      <c r="D1" s="1" t="s">
        <v>206</v>
      </c>
      <c r="E1" s="1" t="s">
        <v>207</v>
      </c>
    </row>
    <row r="2" spans="1:5" x14ac:dyDescent="0.3">
      <c r="A2" t="s">
        <v>43</v>
      </c>
      <c r="B2" t="s">
        <v>208</v>
      </c>
      <c r="C2" t="s">
        <v>208</v>
      </c>
    </row>
    <row r="3" spans="1:5" x14ac:dyDescent="0.3">
      <c r="A3" t="s">
        <v>46</v>
      </c>
      <c r="B3" t="s">
        <v>209</v>
      </c>
      <c r="C3" t="s">
        <v>209</v>
      </c>
    </row>
    <row r="4" spans="1:5" x14ac:dyDescent="0.3">
      <c r="A4" t="s">
        <v>49</v>
      </c>
      <c r="B4" t="s">
        <v>210</v>
      </c>
      <c r="C4" t="s">
        <v>210</v>
      </c>
    </row>
    <row r="5" spans="1:5" x14ac:dyDescent="0.3">
      <c r="A5" t="s">
        <v>52</v>
      </c>
      <c r="B5" t="s">
        <v>211</v>
      </c>
      <c r="C5" t="s">
        <v>211</v>
      </c>
    </row>
    <row r="6" spans="1:5" x14ac:dyDescent="0.3">
      <c r="A6" t="s">
        <v>55</v>
      </c>
      <c r="B6" t="s">
        <v>212</v>
      </c>
      <c r="C6" t="s">
        <v>212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194</v>
      </c>
      <c r="C2" s="6" t="str">
        <f>"dc"&amp;RIGHT($B2,LEN($B2)-15)</f>
        <v>dc1</v>
      </c>
    </row>
    <row r="3" spans="1:3" x14ac:dyDescent="0.3">
      <c r="A3" t="s">
        <v>17</v>
      </c>
      <c r="B3" t="s">
        <v>195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196</v>
      </c>
      <c r="C4" s="6" t="str">
        <f t="shared" si="0"/>
        <v>dc3</v>
      </c>
    </row>
    <row r="5" spans="1:3" x14ac:dyDescent="0.3">
      <c r="A5" t="s">
        <v>29</v>
      </c>
      <c r="B5" t="s">
        <v>197</v>
      </c>
      <c r="C5" s="6" t="str">
        <f t="shared" si="0"/>
        <v>dc4</v>
      </c>
    </row>
    <row r="6" spans="1:3" x14ac:dyDescent="0.3">
      <c r="A6" t="s">
        <v>35</v>
      </c>
      <c r="B6" t="s">
        <v>198</v>
      </c>
      <c r="C6" s="6" t="str">
        <f t="shared" si="0"/>
        <v>dc5</v>
      </c>
    </row>
    <row r="7" spans="1:3" x14ac:dyDescent="0.3">
      <c r="A7" t="s">
        <v>15</v>
      </c>
      <c r="B7" t="s">
        <v>199</v>
      </c>
      <c r="C7" s="6" t="str">
        <f t="shared" si="0"/>
        <v>dc6</v>
      </c>
    </row>
    <row r="8" spans="1:3" x14ac:dyDescent="0.3">
      <c r="A8" t="s">
        <v>21</v>
      </c>
      <c r="B8" t="s">
        <v>200</v>
      </c>
      <c r="C8" s="6" t="str">
        <f t="shared" si="0"/>
        <v>dc7</v>
      </c>
    </row>
    <row r="9" spans="1:3" x14ac:dyDescent="0.3">
      <c r="A9" t="s">
        <v>27</v>
      </c>
      <c r="B9" t="s">
        <v>201</v>
      </c>
      <c r="C9" s="6" t="str">
        <f t="shared" si="0"/>
        <v>dc8</v>
      </c>
    </row>
    <row r="10" spans="1:3" x14ac:dyDescent="0.3">
      <c r="A10" t="s">
        <v>33</v>
      </c>
      <c r="B10" t="s">
        <v>202</v>
      </c>
      <c r="C10" s="6" t="str">
        <f t="shared" si="0"/>
        <v>dc9</v>
      </c>
    </row>
    <row r="11" spans="1:3" x14ac:dyDescent="0.3">
      <c r="A11" t="s">
        <v>39</v>
      </c>
      <c r="B11" t="s">
        <v>203</v>
      </c>
      <c r="C11" s="6" t="str">
        <f t="shared" si="0"/>
        <v>dc10</v>
      </c>
    </row>
    <row r="12" spans="1:3" x14ac:dyDescent="0.3">
      <c r="A12" t="s">
        <v>40</v>
      </c>
      <c r="B12" t="s">
        <v>204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A2" sqref="A2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190</v>
      </c>
      <c r="C1" s="1" t="s">
        <v>57</v>
      </c>
      <c r="D1" s="1" t="s">
        <v>3</v>
      </c>
      <c r="E1" s="1" t="s">
        <v>191</v>
      </c>
      <c r="F1" s="1" t="s">
        <v>41</v>
      </c>
      <c r="G1" s="5" t="s">
        <v>803</v>
      </c>
      <c r="H1" s="5" t="s">
        <v>804</v>
      </c>
      <c r="I1" s="5" t="s">
        <v>805</v>
      </c>
      <c r="J1" s="5" t="s">
        <v>806</v>
      </c>
      <c r="K1" s="5" t="s">
        <v>807</v>
      </c>
      <c r="L1" s="17" t="s">
        <v>289</v>
      </c>
    </row>
    <row r="2" spans="1:12" x14ac:dyDescent="0.3">
      <c r="A2" t="s">
        <v>873</v>
      </c>
      <c r="B2" t="s">
        <v>757</v>
      </c>
      <c r="C2" t="str">
        <f>LEFT(B2,FIND("@",B2)-1)</f>
        <v>root1_1</v>
      </c>
      <c r="D2" t="b">
        <v>1</v>
      </c>
      <c r="E2" t="s">
        <v>274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192</v>
      </c>
      <c r="B3" t="s">
        <v>758</v>
      </c>
      <c r="C3" t="str">
        <f t="shared" ref="C3:C29" si="0">LEFT(B3,FIND("@",B3)-1)</f>
        <v>app_admin1_1</v>
      </c>
      <c r="D3" t="b">
        <v>1</v>
      </c>
      <c r="E3" t="s">
        <v>275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193</v>
      </c>
      <c r="B4" s="20" t="s">
        <v>759</v>
      </c>
      <c r="C4" t="str">
        <f t="shared" si="0"/>
        <v>refdata_admin1_1</v>
      </c>
      <c r="D4" t="b">
        <v>1</v>
      </c>
      <c r="E4" t="s">
        <v>304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760</v>
      </c>
      <c r="C5" t="str">
        <f t="shared" si="0"/>
        <v>org_admin1_1</v>
      </c>
      <c r="D5" t="b">
        <v>1</v>
      </c>
      <c r="E5" t="s">
        <v>276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761</v>
      </c>
      <c r="C6" t="str">
        <f t="shared" si="0"/>
        <v>org_admin2_1</v>
      </c>
      <c r="D6" t="b">
        <v>1</v>
      </c>
      <c r="E6" t="s">
        <v>276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762</v>
      </c>
      <c r="C7" t="str">
        <f t="shared" si="0"/>
        <v>org_admin3_1</v>
      </c>
      <c r="D7" t="b">
        <v>1</v>
      </c>
      <c r="E7" t="s">
        <v>276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763</v>
      </c>
      <c r="C8" t="str">
        <f t="shared" si="0"/>
        <v>org_admin4_1</v>
      </c>
      <c r="D8" t="b">
        <v>1</v>
      </c>
      <c r="E8" t="s">
        <v>276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764</v>
      </c>
      <c r="C9" t="str">
        <f t="shared" si="0"/>
        <v>org_admin5_1</v>
      </c>
      <c r="D9" t="b">
        <v>1</v>
      </c>
      <c r="E9" t="s">
        <v>276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765</v>
      </c>
      <c r="C10" t="str">
        <f t="shared" si="0"/>
        <v>org_user1_1</v>
      </c>
      <c r="D10" t="b">
        <v>1</v>
      </c>
      <c r="E10" t="s">
        <v>277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766</v>
      </c>
      <c r="C11" t="str">
        <f t="shared" si="0"/>
        <v>org_user1_2</v>
      </c>
      <c r="D11" t="b">
        <v>1</v>
      </c>
      <c r="E11" t="s">
        <v>277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767</v>
      </c>
      <c r="C12" t="str">
        <f t="shared" si="0"/>
        <v>org_user1_3</v>
      </c>
      <c r="D12" t="b">
        <v>1</v>
      </c>
      <c r="E12" t="s">
        <v>277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768</v>
      </c>
      <c r="C13" t="str">
        <f t="shared" si="0"/>
        <v>org_user1_4</v>
      </c>
      <c r="D13" t="b">
        <v>1</v>
      </c>
      <c r="E13" t="s">
        <v>277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769</v>
      </c>
      <c r="C14" t="str">
        <f t="shared" si="0"/>
        <v>org_user2_1</v>
      </c>
      <c r="D14" t="b">
        <v>1</v>
      </c>
      <c r="E14" t="s">
        <v>277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770</v>
      </c>
      <c r="C15" t="str">
        <f t="shared" si="0"/>
        <v>org_user2_2</v>
      </c>
      <c r="D15" t="b">
        <v>1</v>
      </c>
      <c r="E15" t="s">
        <v>277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771</v>
      </c>
      <c r="C16" t="str">
        <f t="shared" si="0"/>
        <v>org_user2_3</v>
      </c>
      <c r="D16" t="b">
        <v>1</v>
      </c>
      <c r="E16" t="s">
        <v>277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772</v>
      </c>
      <c r="C17" t="str">
        <f t="shared" si="0"/>
        <v>org_user2_4</v>
      </c>
      <c r="D17" t="b">
        <v>1</v>
      </c>
      <c r="E17" t="s">
        <v>277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773</v>
      </c>
      <c r="C18" t="str">
        <f t="shared" si="0"/>
        <v>org_user3_1</v>
      </c>
      <c r="D18" t="b">
        <v>1</v>
      </c>
      <c r="E18" t="s">
        <v>277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774</v>
      </c>
      <c r="C19" t="str">
        <f t="shared" si="0"/>
        <v>org_user3_2</v>
      </c>
      <c r="D19" t="b">
        <v>1</v>
      </c>
      <c r="E19" t="s">
        <v>277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775</v>
      </c>
      <c r="C20" t="str">
        <f t="shared" si="0"/>
        <v>org_user3_3</v>
      </c>
      <c r="D20" t="b">
        <v>1</v>
      </c>
      <c r="E20" t="s">
        <v>277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776</v>
      </c>
      <c r="C21" t="str">
        <f t="shared" si="0"/>
        <v>org_user3_4</v>
      </c>
      <c r="D21" t="b">
        <v>1</v>
      </c>
      <c r="E21" t="s">
        <v>277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777</v>
      </c>
      <c r="C22" t="str">
        <f t="shared" si="0"/>
        <v>org_user4_1</v>
      </c>
      <c r="D22" t="b">
        <v>1</v>
      </c>
      <c r="E22" t="s">
        <v>277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778</v>
      </c>
      <c r="C23" t="str">
        <f t="shared" si="0"/>
        <v>org_user4_2</v>
      </c>
      <c r="D23" t="b">
        <v>1</v>
      </c>
      <c r="E23" t="s">
        <v>277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779</v>
      </c>
      <c r="C24" t="str">
        <f t="shared" si="0"/>
        <v>org_user4_3</v>
      </c>
      <c r="D24" t="b">
        <v>1</v>
      </c>
      <c r="E24" t="s">
        <v>277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780</v>
      </c>
      <c r="C25" t="str">
        <f t="shared" si="0"/>
        <v>org_user4_4</v>
      </c>
      <c r="D25" t="b">
        <v>1</v>
      </c>
      <c r="E25" t="s">
        <v>277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781</v>
      </c>
      <c r="C26" t="str">
        <f t="shared" si="0"/>
        <v>org_user5_1</v>
      </c>
      <c r="D26" t="b">
        <v>1</v>
      </c>
      <c r="E26" t="s">
        <v>277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782</v>
      </c>
      <c r="C27" t="str">
        <f t="shared" si="0"/>
        <v>org_user5_2</v>
      </c>
      <c r="D27" t="b">
        <v>1</v>
      </c>
      <c r="E27" t="s">
        <v>277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783</v>
      </c>
      <c r="C28" t="str">
        <f t="shared" si="0"/>
        <v>org_user5_3</v>
      </c>
      <c r="D28" t="b">
        <v>1</v>
      </c>
      <c r="E28" t="s">
        <v>277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784</v>
      </c>
      <c r="C29" t="str">
        <f t="shared" si="0"/>
        <v>org_user5_4</v>
      </c>
      <c r="D29" t="b">
        <v>1</v>
      </c>
      <c r="E29" t="s">
        <v>277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display="refdata_admin1_1@org1.org" xr:uid="{6720259D-8B8B-404B-BBFC-255A858BC201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G1" sqref="G1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190</v>
      </c>
      <c r="C1" s="10" t="s">
        <v>281</v>
      </c>
      <c r="D1" s="1" t="s">
        <v>214</v>
      </c>
      <c r="E1" s="1" t="s">
        <v>215</v>
      </c>
      <c r="F1" s="1" t="s">
        <v>191</v>
      </c>
      <c r="G1" s="1" t="s">
        <v>216</v>
      </c>
      <c r="H1" s="10" t="s">
        <v>284</v>
      </c>
      <c r="I1" s="1" t="s">
        <v>41</v>
      </c>
      <c r="J1" s="10" t="s">
        <v>273</v>
      </c>
    </row>
    <row r="2" spans="1:10" x14ac:dyDescent="0.3">
      <c r="A2" t="s">
        <v>217</v>
      </c>
      <c r="B2" t="s">
        <v>758</v>
      </c>
      <c r="C2" s="6" t="str">
        <f>LEFT($B2,LEN($B2)-9)</f>
        <v>app_admin1_1</v>
      </c>
      <c r="D2" t="s">
        <v>218</v>
      </c>
      <c r="E2" s="2">
        <v>45743.390918726589</v>
      </c>
      <c r="F2" t="s">
        <v>275</v>
      </c>
      <c r="G2" t="s">
        <v>873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219</v>
      </c>
      <c r="B3" s="20" t="s">
        <v>759</v>
      </c>
      <c r="C3" s="6" t="str">
        <f t="shared" ref="C3:C28" si="0">LEFT($B3,LEN($B3)-9)</f>
        <v>refdata_admin1_1</v>
      </c>
      <c r="D3" t="s">
        <v>220</v>
      </c>
      <c r="E3" s="2">
        <v>45743.390918741461</v>
      </c>
      <c r="F3" t="s">
        <v>304</v>
      </c>
      <c r="G3" t="s">
        <v>192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221</v>
      </c>
      <c r="B4" t="s">
        <v>760</v>
      </c>
      <c r="C4" s="6" t="str">
        <f t="shared" si="0"/>
        <v>org_admin1_1</v>
      </c>
      <c r="D4" t="s">
        <v>222</v>
      </c>
      <c r="E4" s="2">
        <v>45743.390918746562</v>
      </c>
      <c r="F4" t="s">
        <v>276</v>
      </c>
      <c r="G4" t="s">
        <v>192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223</v>
      </c>
      <c r="B5" t="s">
        <v>761</v>
      </c>
      <c r="C5" s="6" t="str">
        <f t="shared" si="0"/>
        <v>org_admin2_1</v>
      </c>
      <c r="D5" t="s">
        <v>224</v>
      </c>
      <c r="E5" s="2">
        <v>45743.390918763551</v>
      </c>
      <c r="F5" t="s">
        <v>276</v>
      </c>
      <c r="G5" t="s">
        <v>192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225</v>
      </c>
      <c r="B6" t="s">
        <v>762</v>
      </c>
      <c r="C6" s="6" t="str">
        <f t="shared" si="0"/>
        <v>org_admin3_1</v>
      </c>
      <c r="D6" t="s">
        <v>226</v>
      </c>
      <c r="E6" s="2">
        <v>45743.390918772537</v>
      </c>
      <c r="F6" t="s">
        <v>276</v>
      </c>
      <c r="G6" t="s">
        <v>192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227</v>
      </c>
      <c r="B7" t="s">
        <v>763</v>
      </c>
      <c r="C7" s="6" t="str">
        <f t="shared" si="0"/>
        <v>org_admin4_1</v>
      </c>
      <c r="D7" t="s">
        <v>228</v>
      </c>
      <c r="E7" s="2">
        <v>45743.390918781181</v>
      </c>
      <c r="F7" t="s">
        <v>276</v>
      </c>
      <c r="G7" t="s">
        <v>192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229</v>
      </c>
      <c r="B8" t="s">
        <v>764</v>
      </c>
      <c r="C8" s="6" t="str">
        <f t="shared" si="0"/>
        <v>org_admin5_1</v>
      </c>
      <c r="D8" t="s">
        <v>230</v>
      </c>
      <c r="E8" s="2">
        <v>45743.3909187889</v>
      </c>
      <c r="F8" t="s">
        <v>276</v>
      </c>
      <c r="G8" t="s">
        <v>192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231</v>
      </c>
      <c r="B9" t="s">
        <v>765</v>
      </c>
      <c r="C9" s="6" t="str">
        <f t="shared" si="0"/>
        <v>org_user1_1</v>
      </c>
      <c r="D9" t="s">
        <v>232</v>
      </c>
      <c r="E9" s="2">
        <v>45743.390918796598</v>
      </c>
      <c r="F9" t="s">
        <v>277</v>
      </c>
      <c r="G9" t="s">
        <v>192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233</v>
      </c>
      <c r="B10" t="s">
        <v>766</v>
      </c>
      <c r="C10" s="6" t="str">
        <f t="shared" si="0"/>
        <v>org_user1_2</v>
      </c>
      <c r="D10" t="s">
        <v>234</v>
      </c>
      <c r="E10" s="2">
        <v>45743.390918801953</v>
      </c>
      <c r="F10" t="s">
        <v>277</v>
      </c>
      <c r="G10" t="s">
        <v>192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235</v>
      </c>
      <c r="B11" t="s">
        <v>767</v>
      </c>
      <c r="C11" s="6" t="str">
        <f t="shared" si="0"/>
        <v>org_user1_3</v>
      </c>
      <c r="D11" t="s">
        <v>236</v>
      </c>
      <c r="E11" s="2">
        <v>45743.390918807163</v>
      </c>
      <c r="F11" t="s">
        <v>277</v>
      </c>
      <c r="G11" t="s">
        <v>192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237</v>
      </c>
      <c r="B12" t="s">
        <v>768</v>
      </c>
      <c r="C12" s="6" t="str">
        <f t="shared" si="0"/>
        <v>org_user1_4</v>
      </c>
      <c r="D12" t="s">
        <v>238</v>
      </c>
      <c r="E12" s="2">
        <v>45743.3909188123</v>
      </c>
      <c r="F12" t="s">
        <v>277</v>
      </c>
      <c r="G12" t="s">
        <v>192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239</v>
      </c>
      <c r="B13" t="s">
        <v>769</v>
      </c>
      <c r="C13" s="6" t="str">
        <f t="shared" si="0"/>
        <v>org_user2_1</v>
      </c>
      <c r="D13" t="s">
        <v>240</v>
      </c>
      <c r="E13" s="2">
        <v>45743.390918817633</v>
      </c>
      <c r="F13" t="s">
        <v>277</v>
      </c>
      <c r="G13" t="s">
        <v>192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241</v>
      </c>
      <c r="B14" t="s">
        <v>770</v>
      </c>
      <c r="C14" s="6" t="str">
        <f t="shared" si="0"/>
        <v>org_user2_2</v>
      </c>
      <c r="D14" t="s">
        <v>242</v>
      </c>
      <c r="E14" s="2">
        <v>45743.390918822908</v>
      </c>
      <c r="F14" t="s">
        <v>277</v>
      </c>
      <c r="G14" t="s">
        <v>192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243</v>
      </c>
      <c r="B15" t="s">
        <v>771</v>
      </c>
      <c r="C15" s="6" t="str">
        <f t="shared" si="0"/>
        <v>org_user2_3</v>
      </c>
      <c r="D15" t="s">
        <v>244</v>
      </c>
      <c r="E15" s="2">
        <v>45743.390918828743</v>
      </c>
      <c r="F15" t="s">
        <v>277</v>
      </c>
      <c r="G15" t="s">
        <v>192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245</v>
      </c>
      <c r="B16" t="s">
        <v>772</v>
      </c>
      <c r="C16" s="6" t="str">
        <f t="shared" si="0"/>
        <v>org_user2_4</v>
      </c>
      <c r="D16" t="s">
        <v>246</v>
      </c>
      <c r="E16" s="2">
        <v>45743.390918834302</v>
      </c>
      <c r="F16" t="s">
        <v>277</v>
      </c>
      <c r="G16" t="s">
        <v>192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247</v>
      </c>
      <c r="B17" t="s">
        <v>773</v>
      </c>
      <c r="C17" s="6" t="str">
        <f t="shared" si="0"/>
        <v>org_user3_1</v>
      </c>
      <c r="D17" t="s">
        <v>248</v>
      </c>
      <c r="E17" s="2">
        <v>45743.390918839839</v>
      </c>
      <c r="F17" t="s">
        <v>277</v>
      </c>
      <c r="G17" t="s">
        <v>192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249</v>
      </c>
      <c r="B18" t="s">
        <v>774</v>
      </c>
      <c r="C18" s="6" t="str">
        <f t="shared" si="0"/>
        <v>org_user3_2</v>
      </c>
      <c r="D18" t="s">
        <v>250</v>
      </c>
      <c r="E18" s="2">
        <v>45743.390918845187</v>
      </c>
      <c r="F18" t="s">
        <v>277</v>
      </c>
      <c r="G18" t="s">
        <v>192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251</v>
      </c>
      <c r="B19" t="s">
        <v>775</v>
      </c>
      <c r="C19" s="6" t="str">
        <f t="shared" si="0"/>
        <v>org_user3_3</v>
      </c>
      <c r="D19" t="s">
        <v>252</v>
      </c>
      <c r="E19" s="2">
        <v>45743.390918851088</v>
      </c>
      <c r="F19" t="s">
        <v>277</v>
      </c>
      <c r="G19" t="s">
        <v>192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253</v>
      </c>
      <c r="B20" t="s">
        <v>776</v>
      </c>
      <c r="C20" s="6" t="str">
        <f t="shared" si="0"/>
        <v>org_user3_4</v>
      </c>
      <c r="D20" t="s">
        <v>254</v>
      </c>
      <c r="E20" s="2">
        <v>45743.39091885696</v>
      </c>
      <c r="F20" t="s">
        <v>277</v>
      </c>
      <c r="G20" t="s">
        <v>192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255</v>
      </c>
      <c r="B21" t="s">
        <v>777</v>
      </c>
      <c r="C21" s="6" t="str">
        <f t="shared" si="0"/>
        <v>org_user4_1</v>
      </c>
      <c r="D21" t="s">
        <v>256</v>
      </c>
      <c r="E21" s="2">
        <v>45743.390918862962</v>
      </c>
      <c r="F21" t="s">
        <v>277</v>
      </c>
      <c r="G21" t="s">
        <v>192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257</v>
      </c>
      <c r="B22" t="s">
        <v>778</v>
      </c>
      <c r="C22" s="6" t="str">
        <f t="shared" si="0"/>
        <v>org_user4_2</v>
      </c>
      <c r="D22" t="s">
        <v>258</v>
      </c>
      <c r="E22" s="2">
        <v>45743.390918868739</v>
      </c>
      <c r="F22" t="s">
        <v>277</v>
      </c>
      <c r="G22" t="s">
        <v>192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259</v>
      </c>
      <c r="B23" t="s">
        <v>779</v>
      </c>
      <c r="C23" s="6" t="str">
        <f t="shared" si="0"/>
        <v>org_user4_3</v>
      </c>
      <c r="D23" t="s">
        <v>260</v>
      </c>
      <c r="E23" s="2">
        <v>45743.390918874728</v>
      </c>
      <c r="F23" t="s">
        <v>277</v>
      </c>
      <c r="G23" t="s">
        <v>192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261</v>
      </c>
      <c r="B24" t="s">
        <v>780</v>
      </c>
      <c r="C24" s="6" t="str">
        <f t="shared" si="0"/>
        <v>org_user4_4</v>
      </c>
      <c r="D24" t="s">
        <v>262</v>
      </c>
      <c r="E24" s="2">
        <v>45743.390918881109</v>
      </c>
      <c r="F24" t="s">
        <v>277</v>
      </c>
      <c r="G24" t="s">
        <v>192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263</v>
      </c>
      <c r="B25" t="s">
        <v>781</v>
      </c>
      <c r="C25" s="6" t="str">
        <f t="shared" si="0"/>
        <v>org_user5_1</v>
      </c>
      <c r="D25" t="s">
        <v>264</v>
      </c>
      <c r="E25" s="2">
        <v>45743.390918887373</v>
      </c>
      <c r="F25" t="s">
        <v>277</v>
      </c>
      <c r="G25" t="s">
        <v>192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265</v>
      </c>
      <c r="B26" t="s">
        <v>782</v>
      </c>
      <c r="C26" s="6" t="str">
        <f t="shared" si="0"/>
        <v>org_user5_2</v>
      </c>
      <c r="D26" t="s">
        <v>266</v>
      </c>
      <c r="E26" s="2">
        <v>45743.39091889358</v>
      </c>
      <c r="F26" t="s">
        <v>277</v>
      </c>
      <c r="G26" t="s">
        <v>192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267</v>
      </c>
      <c r="B27" t="s">
        <v>783</v>
      </c>
      <c r="C27" s="6" t="str">
        <f t="shared" si="0"/>
        <v>org_user5_3</v>
      </c>
      <c r="D27" t="s">
        <v>268</v>
      </c>
      <c r="E27" s="2">
        <v>45743.390918900091</v>
      </c>
      <c r="F27" t="s">
        <v>277</v>
      </c>
      <c r="G27" t="s">
        <v>192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269</v>
      </c>
      <c r="B28" t="s">
        <v>784</v>
      </c>
      <c r="C28" s="6" t="str">
        <f t="shared" si="0"/>
        <v>org_user5_4</v>
      </c>
      <c r="D28" t="s">
        <v>270</v>
      </c>
      <c r="E28" s="2">
        <v>45743.390918906553</v>
      </c>
      <c r="F28" t="s">
        <v>277</v>
      </c>
      <c r="G28" t="s">
        <v>192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display="refdata_admin1_1@org1.org" xr:uid="{C6CE08DD-189A-544E-9566-622F7BE1E7EA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468</v>
      </c>
      <c r="B2" t="s">
        <v>271</v>
      </c>
      <c r="C2" t="s">
        <v>444</v>
      </c>
      <c r="D2" t="s">
        <v>444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469</v>
      </c>
      <c r="B3" t="s">
        <v>271</v>
      </c>
      <c r="C3" t="s">
        <v>445</v>
      </c>
      <c r="D3" t="s">
        <v>445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470</v>
      </c>
      <c r="B4" t="s">
        <v>271</v>
      </c>
      <c r="C4" t="s">
        <v>446</v>
      </c>
      <c r="D4" t="s">
        <v>446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471</v>
      </c>
      <c r="B5" t="s">
        <v>271</v>
      </c>
      <c r="C5" t="s">
        <v>448</v>
      </c>
      <c r="D5" t="s">
        <v>448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472</v>
      </c>
      <c r="B6" t="s">
        <v>271</v>
      </c>
      <c r="C6" t="s">
        <v>454</v>
      </c>
      <c r="D6" t="s">
        <v>454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473</v>
      </c>
      <c r="B7" t="s">
        <v>271</v>
      </c>
      <c r="C7" t="s">
        <v>455</v>
      </c>
      <c r="D7" t="s">
        <v>455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474</v>
      </c>
      <c r="B8" t="s">
        <v>271</v>
      </c>
      <c r="C8" t="s">
        <v>462</v>
      </c>
      <c r="D8" t="s">
        <v>462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475</v>
      </c>
      <c r="B9" t="s">
        <v>271</v>
      </c>
      <c r="C9" t="s">
        <v>458</v>
      </c>
      <c r="D9" t="s">
        <v>458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476</v>
      </c>
      <c r="B10" t="s">
        <v>449</v>
      </c>
      <c r="C10" t="s">
        <v>208</v>
      </c>
      <c r="D10" t="s">
        <v>208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477</v>
      </c>
      <c r="B11" t="s">
        <v>449</v>
      </c>
      <c r="C11" t="s">
        <v>209</v>
      </c>
      <c r="D11" t="s">
        <v>209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478</v>
      </c>
      <c r="B12" t="s">
        <v>450</v>
      </c>
      <c r="C12" t="s">
        <v>456</v>
      </c>
      <c r="D12" t="s">
        <v>456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479</v>
      </c>
      <c r="B13" t="s">
        <v>450</v>
      </c>
      <c r="C13" t="s">
        <v>457</v>
      </c>
      <c r="D13" t="s">
        <v>457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480</v>
      </c>
      <c r="B14" t="s">
        <v>447</v>
      </c>
      <c r="C14" t="s">
        <v>463</v>
      </c>
      <c r="D14" t="s">
        <v>463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481</v>
      </c>
      <c r="B15" t="s">
        <v>447</v>
      </c>
      <c r="C15" t="s">
        <v>459</v>
      </c>
      <c r="D15" t="s">
        <v>459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482</v>
      </c>
      <c r="B16" t="s">
        <v>451</v>
      </c>
      <c r="C16" t="s">
        <v>466</v>
      </c>
      <c r="D16" t="s">
        <v>466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483</v>
      </c>
      <c r="B17" t="s">
        <v>451</v>
      </c>
      <c r="C17" t="s">
        <v>467</v>
      </c>
      <c r="D17" t="s">
        <v>467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484</v>
      </c>
      <c r="B18" t="s">
        <v>452</v>
      </c>
      <c r="C18" t="s">
        <v>464</v>
      </c>
      <c r="D18" t="s">
        <v>464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485</v>
      </c>
      <c r="B19" t="s">
        <v>452</v>
      </c>
      <c r="C19" t="s">
        <v>460</v>
      </c>
      <c r="D19" t="s">
        <v>460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486</v>
      </c>
      <c r="B20" t="s">
        <v>453</v>
      </c>
      <c r="C20" t="s">
        <v>465</v>
      </c>
      <c r="D20" t="s">
        <v>465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487</v>
      </c>
      <c r="B21" t="s">
        <v>453</v>
      </c>
      <c r="C21" t="s">
        <v>461</v>
      </c>
      <c r="D21" t="s">
        <v>461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785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786</v>
      </c>
      <c r="K1" s="1" t="s">
        <v>185</v>
      </c>
      <c r="L1" s="10" t="s">
        <v>748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488</v>
      </c>
      <c r="B2" t="s">
        <v>468</v>
      </c>
      <c r="C2" s="6" t="str">
        <f>INDEX(Dim!$C:$C,MATCH($B2,Dim!$A:$A,0))</f>
        <v>nominal1</v>
      </c>
      <c r="D2" s="11" t="s">
        <v>787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309</v>
      </c>
      <c r="I2" t="s">
        <v>342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489</v>
      </c>
      <c r="B3" t="s">
        <v>469</v>
      </c>
      <c r="C3" s="6" t="str">
        <f>INDEX(Dim!$C:$C,MATCH($B3,Dim!$A:$A,0))</f>
        <v>nominal2</v>
      </c>
      <c r="D3" s="11" t="s">
        <v>787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309</v>
      </c>
      <c r="I3" t="s">
        <v>343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490</v>
      </c>
      <c r="B4" t="s">
        <v>470</v>
      </c>
      <c r="C4" s="6" t="str">
        <f>INDEX(Dim!$C:$C,MATCH($B4,Dim!$A:$A,0))</f>
        <v>ordinal1</v>
      </c>
      <c r="D4" s="11" t="s">
        <v>787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308</v>
      </c>
      <c r="I4" t="s">
        <v>344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491</v>
      </c>
      <c r="B5" t="s">
        <v>471</v>
      </c>
      <c r="C5" s="6" t="str">
        <f>INDEX(Dim!$C:$C,MATCH($B5,Dim!$A:$A,0))</f>
        <v>ordinal2</v>
      </c>
      <c r="D5" s="11" t="s">
        <v>787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308</v>
      </c>
      <c r="I5" t="s">
        <v>345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492</v>
      </c>
      <c r="B6" t="s">
        <v>472</v>
      </c>
      <c r="C6" s="6" t="str">
        <f>INDEX(Dim!$C:$C,MATCH($B6,Dim!$A:$A,0))</f>
        <v>regex1</v>
      </c>
      <c r="D6" s="11" t="s">
        <v>787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315</v>
      </c>
      <c r="I6" t="s">
        <v>351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493</v>
      </c>
      <c r="B7" t="s">
        <v>473</v>
      </c>
      <c r="C7" s="6" t="str">
        <f>INDEX(Dim!$C:$C,MATCH($B7,Dim!$A:$A,0))</f>
        <v>regex2</v>
      </c>
      <c r="D7" s="11" t="s">
        <v>787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315</v>
      </c>
      <c r="I7" t="s">
        <v>352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494</v>
      </c>
      <c r="B8" t="s">
        <v>474</v>
      </c>
      <c r="C8" s="6" t="str">
        <f>INDEX(Dim!$C:$C,MATCH($B8,Dim!$A:$A,0))</f>
        <v>text1</v>
      </c>
      <c r="D8" s="11" t="s">
        <v>787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271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495</v>
      </c>
      <c r="B9" t="s">
        <v>475</v>
      </c>
      <c r="C9" s="6" t="str">
        <f>INDEX(Dim!$C:$C,MATCH($B9,Dim!$A:$A,0))</f>
        <v>text2</v>
      </c>
      <c r="D9" s="11" t="s">
        <v>787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271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496</v>
      </c>
      <c r="B10" t="s">
        <v>476</v>
      </c>
      <c r="C10" s="6" t="str">
        <f>INDEX(Dim!$C:$C,MATCH($B10,Dim!$A:$A,0))</f>
        <v>org1</v>
      </c>
      <c r="D10" s="11" t="s">
        <v>787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449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497</v>
      </c>
      <c r="B11" t="s">
        <v>477</v>
      </c>
      <c r="C11" s="6" t="str">
        <f>INDEX(Dim!$C:$C,MATCH($B11,Dim!$A:$A,0))</f>
        <v>org2</v>
      </c>
      <c r="D11" s="11" t="s">
        <v>787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449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498</v>
      </c>
      <c r="B12" t="s">
        <v>478</v>
      </c>
      <c r="C12" s="6" t="str">
        <f>INDEX(Dim!$C:$C,MATCH($B12,Dim!$A:$A,0))</f>
        <v>geo1</v>
      </c>
      <c r="D12" s="11" t="s">
        <v>787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522</v>
      </c>
      <c r="J12" s="6" t="str">
        <f>IF($I12="","",INDEX(ConceptSet!$C:$C,MATCH($I12,ConceptSet!$A:$A,0)))</f>
        <v/>
      </c>
      <c r="K12" t="s">
        <v>392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499</v>
      </c>
      <c r="B13" t="s">
        <v>478</v>
      </c>
      <c r="C13" s="6" t="str">
        <f>INDEX(Dim!$C:$C,MATCH($B13,Dim!$A:$A,0))</f>
        <v>geo1</v>
      </c>
      <c r="D13" s="11" t="s">
        <v>788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522</v>
      </c>
      <c r="J13" s="6" t="str">
        <f>IF($I13="","",INDEX(ConceptSet!$C:$C,MATCH($I13,ConceptSet!$A:$A,0)))</f>
        <v/>
      </c>
      <c r="K13" t="s">
        <v>393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500</v>
      </c>
      <c r="B14" t="s">
        <v>478</v>
      </c>
      <c r="C14" s="6" t="str">
        <f>INDEX(Dim!$C:$C,MATCH($B14,Dim!$A:$A,0))</f>
        <v>geo1</v>
      </c>
      <c r="D14" s="11" t="s">
        <v>789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522</v>
      </c>
      <c r="J14" s="6" t="str">
        <f>IF($I14="","",INDEX(ConceptSet!$C:$C,MATCH($I14,ConceptSet!$A:$A,0)))</f>
        <v/>
      </c>
      <c r="K14" t="s">
        <v>394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501</v>
      </c>
      <c r="B15" t="s">
        <v>478</v>
      </c>
      <c r="C15" s="6" t="str">
        <f>INDEX(Dim!$C:$C,MATCH($B15,Dim!$A:$A,0))</f>
        <v>geo1</v>
      </c>
      <c r="D15" s="11" t="s">
        <v>790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522</v>
      </c>
      <c r="J15" s="6" t="str">
        <f>IF($I15="","",INDEX(ConceptSet!$C:$C,MATCH($I15,ConceptSet!$A:$A,0)))</f>
        <v/>
      </c>
      <c r="K15" t="s">
        <v>395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502</v>
      </c>
      <c r="B16" t="s">
        <v>479</v>
      </c>
      <c r="C16" s="6" t="str">
        <f>INDEX(Dim!$C:$C,MATCH($B16,Dim!$A:$A,0))</f>
        <v>geo2</v>
      </c>
      <c r="D16" s="11" t="s">
        <v>787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522</v>
      </c>
      <c r="J16" s="6" t="str">
        <f>IF($I16="","",INDEX(ConceptSet!$C:$C,MATCH($I16,ConceptSet!$A:$A,0)))</f>
        <v/>
      </c>
      <c r="K16" t="s">
        <v>392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503</v>
      </c>
      <c r="B17" t="s">
        <v>479</v>
      </c>
      <c r="C17" s="6" t="str">
        <f>INDEX(Dim!$C:$C,MATCH($B17,Dim!$A:$A,0))</f>
        <v>geo2</v>
      </c>
      <c r="D17" s="11" t="s">
        <v>788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522</v>
      </c>
      <c r="J17" s="6" t="str">
        <f>IF($I17="","",INDEX(ConceptSet!$C:$C,MATCH($I17,ConceptSet!$A:$A,0)))</f>
        <v/>
      </c>
      <c r="K17" t="s">
        <v>393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504</v>
      </c>
      <c r="B18" t="s">
        <v>479</v>
      </c>
      <c r="C18" s="6" t="str">
        <f>INDEX(Dim!$C:$C,MATCH($B18,Dim!$A:$A,0))</f>
        <v>geo2</v>
      </c>
      <c r="D18" s="11" t="s">
        <v>789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522</v>
      </c>
      <c r="J18" s="6" t="str">
        <f>IF($I18="","",INDEX(ConceptSet!$C:$C,MATCH($I18,ConceptSet!$A:$A,0)))</f>
        <v/>
      </c>
      <c r="K18" t="s">
        <v>394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505</v>
      </c>
      <c r="B19" t="s">
        <v>479</v>
      </c>
      <c r="C19" s="6" t="str">
        <f>INDEX(Dim!$C:$C,MATCH($B19,Dim!$A:$A,0))</f>
        <v>geo2</v>
      </c>
      <c r="D19" s="11" t="s">
        <v>790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522</v>
      </c>
      <c r="J19" s="6" t="str">
        <f>IF($I19="","",INDEX(ConceptSet!$C:$C,MATCH($I19,ConceptSet!$A:$A,0)))</f>
        <v/>
      </c>
      <c r="K19" t="s">
        <v>395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506</v>
      </c>
      <c r="B20" t="s">
        <v>480</v>
      </c>
      <c r="C20" s="6" t="str">
        <f>INDEX(Dim!$C:$C,MATCH($B20,Dim!$A:$A,0))</f>
        <v>time1</v>
      </c>
      <c r="D20" s="11" t="s">
        <v>787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523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507</v>
      </c>
      <c r="B21" t="s">
        <v>480</v>
      </c>
      <c r="C21" s="6" t="str">
        <f>INDEX(Dim!$C:$C,MATCH($B21,Dim!$A:$A,0))</f>
        <v>time1</v>
      </c>
      <c r="D21" s="11" t="s">
        <v>788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524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508</v>
      </c>
      <c r="B22" t="s">
        <v>480</v>
      </c>
      <c r="C22" s="6" t="str">
        <f>INDEX(Dim!$C:$C,MATCH($B22,Dim!$A:$A,0))</f>
        <v>time1</v>
      </c>
      <c r="D22" s="11" t="s">
        <v>789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525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509</v>
      </c>
      <c r="B23" t="s">
        <v>480</v>
      </c>
      <c r="C23" s="6" t="str">
        <f>INDEX(Dim!$C:$C,MATCH($B23,Dim!$A:$A,0))</f>
        <v>time1</v>
      </c>
      <c r="D23" s="11" t="s">
        <v>790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526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510</v>
      </c>
      <c r="B24" t="s">
        <v>480</v>
      </c>
      <c r="C24" s="6" t="str">
        <f>INDEX(Dim!$C:$C,MATCH($B24,Dim!$A:$A,0))</f>
        <v>time1</v>
      </c>
      <c r="D24" s="11" t="s">
        <v>791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527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511</v>
      </c>
      <c r="B25" t="s">
        <v>481</v>
      </c>
      <c r="C25" s="6" t="str">
        <f>INDEX(Dim!$C:$C,MATCH($B25,Dim!$A:$A,0))</f>
        <v>time2</v>
      </c>
      <c r="D25" s="11" t="s">
        <v>787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523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512</v>
      </c>
      <c r="B26" t="s">
        <v>481</v>
      </c>
      <c r="C26" s="6" t="str">
        <f>INDEX(Dim!$C:$C,MATCH($B26,Dim!$A:$A,0))</f>
        <v>time2</v>
      </c>
      <c r="D26" s="11" t="s">
        <v>788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524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513</v>
      </c>
      <c r="B27" t="s">
        <v>481</v>
      </c>
      <c r="C27" s="6" t="str">
        <f>INDEX(Dim!$C:$C,MATCH($B27,Dim!$A:$A,0))</f>
        <v>time2</v>
      </c>
      <c r="D27" s="11" t="s">
        <v>789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525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514</v>
      </c>
      <c r="B28" t="s">
        <v>481</v>
      </c>
      <c r="C28" s="6" t="str">
        <f>INDEX(Dim!$C:$C,MATCH($B28,Dim!$A:$A,0))</f>
        <v>time2</v>
      </c>
      <c r="D28" s="11" t="s">
        <v>790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526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515</v>
      </c>
      <c r="B29" t="s">
        <v>481</v>
      </c>
      <c r="C29" s="6" t="str">
        <f>INDEX(Dim!$C:$C,MATCH($B29,Dim!$A:$A,0))</f>
        <v>time2</v>
      </c>
      <c r="D29" s="11" t="s">
        <v>791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527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516</v>
      </c>
      <c r="B30" t="s">
        <v>482</v>
      </c>
      <c r="C30" s="6" t="str">
        <f>INDEX(Dim!$C:$C,MATCH($B30,Dim!$A:$A,0))</f>
        <v>id1</v>
      </c>
      <c r="D30" s="11" t="s">
        <v>787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528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517</v>
      </c>
      <c r="B31" t="s">
        <v>483</v>
      </c>
      <c r="C31" s="6" t="str">
        <f>INDEX(Dim!$C:$C,MATCH($B31,Dim!$A:$A,0))</f>
        <v>id2</v>
      </c>
      <c r="D31" s="11" t="s">
        <v>787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528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518</v>
      </c>
      <c r="B32" t="s">
        <v>484</v>
      </c>
      <c r="C32" s="6" t="str">
        <f>INDEX(Dim!$C:$C,MATCH($B32,Dim!$A:$A,0))</f>
        <v>number1</v>
      </c>
      <c r="D32" s="11" t="s">
        <v>787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533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529</v>
      </c>
      <c r="B33" t="s">
        <v>484</v>
      </c>
      <c r="C33" s="6" t="str">
        <f>INDEX(Dim!$C:$C,MATCH($B33,Dim!$A:$A,0))</f>
        <v>number1</v>
      </c>
      <c r="D33" s="11" t="s">
        <v>787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353</v>
      </c>
      <c r="I33" t="s">
        <v>346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530</v>
      </c>
      <c r="B34" t="s">
        <v>484</v>
      </c>
      <c r="C34" s="6" t="str">
        <f>INDEX(Dim!$C:$C,MATCH($B34,Dim!$A:$A,0))</f>
        <v>number1</v>
      </c>
      <c r="D34" s="11" t="s">
        <v>787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353</v>
      </c>
      <c r="I34" t="s">
        <v>347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519</v>
      </c>
      <c r="B35" t="s">
        <v>485</v>
      </c>
      <c r="C35" s="6" t="str">
        <f>INDEX(Dim!$C:$C,MATCH($B35,Dim!$A:$A,0))</f>
        <v>number2</v>
      </c>
      <c r="D35" s="11" t="s">
        <v>787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534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531</v>
      </c>
      <c r="B36" t="s">
        <v>485</v>
      </c>
      <c r="C36" s="6" t="str">
        <f>INDEX(Dim!$C:$C,MATCH($B36,Dim!$A:$A,0))</f>
        <v>number2</v>
      </c>
      <c r="D36" s="11" t="s">
        <v>787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353</v>
      </c>
      <c r="I36" t="s">
        <v>350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532</v>
      </c>
      <c r="B37" t="s">
        <v>485</v>
      </c>
      <c r="C37" s="6" t="str">
        <f>INDEX(Dim!$C:$C,MATCH($B37,Dim!$A:$A,0))</f>
        <v>number2</v>
      </c>
      <c r="D37" s="11" t="s">
        <v>787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353</v>
      </c>
      <c r="I37" t="s">
        <v>348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520</v>
      </c>
      <c r="B38" t="s">
        <v>486</v>
      </c>
      <c r="C38" s="6" t="str">
        <f>INDEX(Dim!$C:$C,MATCH($B38,Dim!$A:$A,0))</f>
        <v>other1</v>
      </c>
      <c r="D38" s="11" t="s">
        <v>787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453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521</v>
      </c>
      <c r="B39" t="s">
        <v>487</v>
      </c>
      <c r="C39" s="6" t="str">
        <f>INDEX(Dim!$C:$C,MATCH($B39,Dim!$A:$A,0))</f>
        <v>other2</v>
      </c>
      <c r="D39" s="11" t="s">
        <v>787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453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290</v>
      </c>
    </row>
    <row r="2" spans="1:3" x14ac:dyDescent="0.3">
      <c r="A2" t="s">
        <v>117</v>
      </c>
      <c r="B2" t="s">
        <v>291</v>
      </c>
    </row>
    <row r="3" spans="1:3" x14ac:dyDescent="0.3">
      <c r="A3" t="s">
        <v>121</v>
      </c>
      <c r="B3" t="s">
        <v>292</v>
      </c>
    </row>
    <row r="4" spans="1:3" x14ac:dyDescent="0.3">
      <c r="A4" t="s">
        <v>125</v>
      </c>
      <c r="B4" t="s">
        <v>293</v>
      </c>
    </row>
    <row r="5" spans="1:3" x14ac:dyDescent="0.3">
      <c r="A5" t="s">
        <v>129</v>
      </c>
      <c r="B5" t="s">
        <v>294</v>
      </c>
    </row>
    <row r="6" spans="1:3" x14ac:dyDescent="0.3">
      <c r="A6" t="s">
        <v>133</v>
      </c>
      <c r="B6" t="s">
        <v>295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296</v>
      </c>
    </row>
    <row r="2" spans="1:3" x14ac:dyDescent="0.3">
      <c r="A2" t="s">
        <v>118</v>
      </c>
      <c r="B2" t="s">
        <v>297</v>
      </c>
      <c r="C2" t="s">
        <v>302</v>
      </c>
    </row>
    <row r="3" spans="1:3" x14ac:dyDescent="0.3">
      <c r="A3" t="s">
        <v>122</v>
      </c>
      <c r="B3" t="s">
        <v>298</v>
      </c>
      <c r="C3" t="s">
        <v>302</v>
      </c>
    </row>
    <row r="4" spans="1:3" x14ac:dyDescent="0.3">
      <c r="A4" t="s">
        <v>126</v>
      </c>
      <c r="B4" t="s">
        <v>299</v>
      </c>
      <c r="C4" t="s">
        <v>302</v>
      </c>
    </row>
    <row r="5" spans="1:3" x14ac:dyDescent="0.3">
      <c r="A5" t="s">
        <v>130</v>
      </c>
      <c r="B5" t="s">
        <v>300</v>
      </c>
      <c r="C5" t="s">
        <v>302</v>
      </c>
    </row>
    <row r="6" spans="1:3" x14ac:dyDescent="0.3">
      <c r="A6" t="s">
        <v>134</v>
      </c>
      <c r="B6" t="s">
        <v>301</v>
      </c>
      <c r="C6" t="s">
        <v>302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808</v>
      </c>
      <c r="F1" s="1" t="s">
        <v>112</v>
      </c>
      <c r="G1" s="1" t="s">
        <v>113</v>
      </c>
      <c r="H1" s="12" t="s">
        <v>809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810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811</v>
      </c>
      <c r="D1" s="1" t="s">
        <v>59</v>
      </c>
      <c r="E1" s="1" t="s">
        <v>138</v>
      </c>
      <c r="F1" s="10" t="s">
        <v>812</v>
      </c>
      <c r="G1" s="1" t="s">
        <v>139</v>
      </c>
      <c r="H1" s="16" t="s">
        <v>288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792</v>
      </c>
      <c r="D1" s="1" t="s">
        <v>140</v>
      </c>
      <c r="E1" s="10" t="s">
        <v>793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541</v>
      </c>
      <c r="B2" t="s">
        <v>115</v>
      </c>
      <c r="C2" t="str">
        <f>INDEX(CaseType!$B:$B,MATCH($B2,CaseType!$A:$A,0))</f>
        <v>case_type1</v>
      </c>
      <c r="D2" t="s">
        <v>488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542</v>
      </c>
      <c r="B3" t="s">
        <v>115</v>
      </c>
      <c r="C3" t="str">
        <f>INDEX(CaseType!$B:$B,MATCH($B3,CaseType!$A:$A,0))</f>
        <v>case_type1</v>
      </c>
      <c r="D3" t="s">
        <v>489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543</v>
      </c>
      <c r="B4" t="s">
        <v>115</v>
      </c>
      <c r="C4" t="str">
        <f>INDEX(CaseType!$B:$B,MATCH($B4,CaseType!$A:$A,0))</f>
        <v>case_type1</v>
      </c>
      <c r="D4" t="s">
        <v>490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544</v>
      </c>
      <c r="B5" t="s">
        <v>115</v>
      </c>
      <c r="C5" t="str">
        <f>INDEX(CaseType!$B:$B,MATCH($B5,CaseType!$A:$A,0))</f>
        <v>case_type1</v>
      </c>
      <c r="D5" t="s">
        <v>491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545</v>
      </c>
      <c r="B6" t="s">
        <v>115</v>
      </c>
      <c r="C6" t="str">
        <f>INDEX(CaseType!$B:$B,MATCH($B6,CaseType!$A:$A,0))</f>
        <v>case_type1</v>
      </c>
      <c r="D6" t="s">
        <v>492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546</v>
      </c>
      <c r="B7" t="s">
        <v>115</v>
      </c>
      <c r="C7" t="str">
        <f>INDEX(CaseType!$B:$B,MATCH($B7,CaseType!$A:$A,0))</f>
        <v>case_type1</v>
      </c>
      <c r="D7" t="s">
        <v>493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547</v>
      </c>
      <c r="B8" t="s">
        <v>115</v>
      </c>
      <c r="C8" t="str">
        <f>INDEX(CaseType!$B:$B,MATCH($B8,CaseType!$A:$A,0))</f>
        <v>case_type1</v>
      </c>
      <c r="D8" t="s">
        <v>494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548</v>
      </c>
      <c r="B9" t="s">
        <v>115</v>
      </c>
      <c r="C9" t="str">
        <f>INDEX(CaseType!$B:$B,MATCH($B9,CaseType!$A:$A,0))</f>
        <v>case_type1</v>
      </c>
      <c r="D9" t="s">
        <v>495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549</v>
      </c>
      <c r="B10" t="s">
        <v>115</v>
      </c>
      <c r="C10" t="str">
        <f>INDEX(CaseType!$B:$B,MATCH($B10,CaseType!$A:$A,0))</f>
        <v>case_type1</v>
      </c>
      <c r="D10" t="s">
        <v>496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550</v>
      </c>
      <c r="B11" t="s">
        <v>115</v>
      </c>
      <c r="C11" t="str">
        <f>INDEX(CaseType!$B:$B,MATCH($B11,CaseType!$A:$A,0))</f>
        <v>case_type1</v>
      </c>
      <c r="D11" t="s">
        <v>497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551</v>
      </c>
      <c r="B12" t="s">
        <v>115</v>
      </c>
      <c r="C12" t="str">
        <f>INDEX(CaseType!$B:$B,MATCH($B12,CaseType!$A:$A,0))</f>
        <v>case_type1</v>
      </c>
      <c r="D12" t="s">
        <v>498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552</v>
      </c>
      <c r="B13" t="s">
        <v>115</v>
      </c>
      <c r="C13" t="str">
        <f>INDEX(CaseType!$B:$B,MATCH($B13,CaseType!$A:$A,0))</f>
        <v>case_type1</v>
      </c>
      <c r="D13" t="s">
        <v>499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553</v>
      </c>
      <c r="B14" t="s">
        <v>115</v>
      </c>
      <c r="C14" t="str">
        <f>INDEX(CaseType!$B:$B,MATCH($B14,CaseType!$A:$A,0))</f>
        <v>case_type1</v>
      </c>
      <c r="D14" t="s">
        <v>500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554</v>
      </c>
      <c r="B15" t="s">
        <v>115</v>
      </c>
      <c r="C15" t="str">
        <f>INDEX(CaseType!$B:$B,MATCH($B15,CaseType!$A:$A,0))</f>
        <v>case_type1</v>
      </c>
      <c r="D15" t="s">
        <v>501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555</v>
      </c>
      <c r="B16" t="s">
        <v>115</v>
      </c>
      <c r="C16" t="str">
        <f>INDEX(CaseType!$B:$B,MATCH($B16,CaseType!$A:$A,0))</f>
        <v>case_type1</v>
      </c>
      <c r="D16" t="s">
        <v>502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556</v>
      </c>
      <c r="B17" t="s">
        <v>115</v>
      </c>
      <c r="C17" t="str">
        <f>INDEX(CaseType!$B:$B,MATCH($B17,CaseType!$A:$A,0))</f>
        <v>case_type1</v>
      </c>
      <c r="D17" t="s">
        <v>503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557</v>
      </c>
      <c r="B18" t="s">
        <v>115</v>
      </c>
      <c r="C18" t="str">
        <f>INDEX(CaseType!$B:$B,MATCH($B18,CaseType!$A:$A,0))</f>
        <v>case_type1</v>
      </c>
      <c r="D18" t="s">
        <v>504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558</v>
      </c>
      <c r="B19" t="s">
        <v>115</v>
      </c>
      <c r="C19" t="str">
        <f>INDEX(CaseType!$B:$B,MATCH($B19,CaseType!$A:$A,0))</f>
        <v>case_type1</v>
      </c>
      <c r="D19" t="s">
        <v>505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559</v>
      </c>
      <c r="B20" t="s">
        <v>115</v>
      </c>
      <c r="C20" t="str">
        <f>INDEX(CaseType!$B:$B,MATCH($B20,CaseType!$A:$A,0))</f>
        <v>case_type1</v>
      </c>
      <c r="D20" t="s">
        <v>506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560</v>
      </c>
      <c r="B21" t="s">
        <v>115</v>
      </c>
      <c r="C21" t="str">
        <f>INDEX(CaseType!$B:$B,MATCH($B21,CaseType!$A:$A,0))</f>
        <v>case_type1</v>
      </c>
      <c r="D21" t="s">
        <v>507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561</v>
      </c>
      <c r="B22" t="s">
        <v>115</v>
      </c>
      <c r="C22" t="str">
        <f>INDEX(CaseType!$B:$B,MATCH($B22,CaseType!$A:$A,0))</f>
        <v>case_type1</v>
      </c>
      <c r="D22" t="s">
        <v>508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562</v>
      </c>
      <c r="B23" t="s">
        <v>115</v>
      </c>
      <c r="C23" t="str">
        <f>INDEX(CaseType!$B:$B,MATCH($B23,CaseType!$A:$A,0))</f>
        <v>case_type1</v>
      </c>
      <c r="D23" t="s">
        <v>509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563</v>
      </c>
      <c r="B24" t="s">
        <v>115</v>
      </c>
      <c r="C24" t="str">
        <f>INDEX(CaseType!$B:$B,MATCH($B24,CaseType!$A:$A,0))</f>
        <v>case_type1</v>
      </c>
      <c r="D24" t="s">
        <v>510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564</v>
      </c>
      <c r="B25" t="s">
        <v>115</v>
      </c>
      <c r="C25" t="str">
        <f>INDEX(CaseType!$B:$B,MATCH($B25,CaseType!$A:$A,0))</f>
        <v>case_type1</v>
      </c>
      <c r="D25" t="s">
        <v>511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565</v>
      </c>
      <c r="B26" t="s">
        <v>115</v>
      </c>
      <c r="C26" t="str">
        <f>INDEX(CaseType!$B:$B,MATCH($B26,CaseType!$A:$A,0))</f>
        <v>case_type1</v>
      </c>
      <c r="D26" t="s">
        <v>512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566</v>
      </c>
      <c r="B27" t="s">
        <v>115</v>
      </c>
      <c r="C27" t="str">
        <f>INDEX(CaseType!$B:$B,MATCH($B27,CaseType!$A:$A,0))</f>
        <v>case_type1</v>
      </c>
      <c r="D27" t="s">
        <v>513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567</v>
      </c>
      <c r="B28" t="s">
        <v>115</v>
      </c>
      <c r="C28" t="str">
        <f>INDEX(CaseType!$B:$B,MATCH($B28,CaseType!$A:$A,0))</f>
        <v>case_type1</v>
      </c>
      <c r="D28" t="s">
        <v>514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568</v>
      </c>
      <c r="B29" t="s">
        <v>115</v>
      </c>
      <c r="C29" t="str">
        <f>INDEX(CaseType!$B:$B,MATCH($B29,CaseType!$A:$A,0))</f>
        <v>case_type1</v>
      </c>
      <c r="D29" t="s">
        <v>515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569</v>
      </c>
      <c r="B30" t="s">
        <v>115</v>
      </c>
      <c r="C30" t="str">
        <f>INDEX(CaseType!$B:$B,MATCH($B30,CaseType!$A:$A,0))</f>
        <v>case_type1</v>
      </c>
      <c r="D30" t="s">
        <v>516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570</v>
      </c>
      <c r="B31" t="s">
        <v>115</v>
      </c>
      <c r="C31" t="str">
        <f>INDEX(CaseType!$B:$B,MATCH($B31,CaseType!$A:$A,0))</f>
        <v>case_type1</v>
      </c>
      <c r="D31" t="s">
        <v>517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571</v>
      </c>
      <c r="B32" t="s">
        <v>115</v>
      </c>
      <c r="C32" t="str">
        <f>INDEX(CaseType!$B:$B,MATCH($B32,CaseType!$A:$A,0))</f>
        <v>case_type1</v>
      </c>
      <c r="D32" t="s">
        <v>518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572</v>
      </c>
      <c r="B33" t="s">
        <v>115</v>
      </c>
      <c r="C33" t="str">
        <f>INDEX(CaseType!$B:$B,MATCH($B33,CaseType!$A:$A,0))</f>
        <v>case_type1</v>
      </c>
      <c r="D33" t="s">
        <v>529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573</v>
      </c>
      <c r="B34" t="s">
        <v>115</v>
      </c>
      <c r="C34" t="str">
        <f>INDEX(CaseType!$B:$B,MATCH($B34,CaseType!$A:$A,0))</f>
        <v>case_type1</v>
      </c>
      <c r="D34" t="s">
        <v>530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574</v>
      </c>
      <c r="B35" t="s">
        <v>115</v>
      </c>
      <c r="C35" t="str">
        <f>INDEX(CaseType!$B:$B,MATCH($B35,CaseType!$A:$A,0))</f>
        <v>case_type1</v>
      </c>
      <c r="D35" t="s">
        <v>519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575</v>
      </c>
      <c r="B36" t="s">
        <v>115</v>
      </c>
      <c r="C36" t="str">
        <f>INDEX(CaseType!$B:$B,MATCH($B36,CaseType!$A:$A,0))</f>
        <v>case_type1</v>
      </c>
      <c r="D36" t="s">
        <v>531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576</v>
      </c>
      <c r="B37" t="s">
        <v>115</v>
      </c>
      <c r="C37" t="str">
        <f>INDEX(CaseType!$B:$B,MATCH($B37,CaseType!$A:$A,0))</f>
        <v>case_type1</v>
      </c>
      <c r="D37" t="s">
        <v>532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577</v>
      </c>
      <c r="B38" t="s">
        <v>115</v>
      </c>
      <c r="C38" t="str">
        <f>INDEX(CaseType!$B:$B,MATCH($B38,CaseType!$A:$A,0))</f>
        <v>case_type1</v>
      </c>
      <c r="D38" t="s">
        <v>520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578</v>
      </c>
      <c r="B39" t="s">
        <v>115</v>
      </c>
      <c r="C39" t="str">
        <f>INDEX(CaseType!$B:$B,MATCH($B39,CaseType!$A:$A,0))</f>
        <v>case_type1</v>
      </c>
      <c r="D39" t="s">
        <v>521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579</v>
      </c>
      <c r="B40" t="s">
        <v>119</v>
      </c>
      <c r="C40" t="str">
        <f>INDEX(CaseType!$B:$B,MATCH($B40,CaseType!$A:$A,0))</f>
        <v>case_type2</v>
      </c>
      <c r="D40" t="s">
        <v>488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580</v>
      </c>
      <c r="B41" t="s">
        <v>119</v>
      </c>
      <c r="C41" t="str">
        <f>INDEX(CaseType!$B:$B,MATCH($B41,CaseType!$A:$A,0))</f>
        <v>case_type2</v>
      </c>
      <c r="D41" t="s">
        <v>490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581</v>
      </c>
      <c r="B42" t="s">
        <v>119</v>
      </c>
      <c r="C42" t="str">
        <f>INDEX(CaseType!$B:$B,MATCH($B42,CaseType!$A:$A,0))</f>
        <v>case_type2</v>
      </c>
      <c r="D42" t="s">
        <v>492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582</v>
      </c>
      <c r="B43" t="s">
        <v>119</v>
      </c>
      <c r="C43" t="str">
        <f>INDEX(CaseType!$B:$B,MATCH($B43,CaseType!$A:$A,0))</f>
        <v>case_type2</v>
      </c>
      <c r="D43" t="s">
        <v>494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583</v>
      </c>
      <c r="B44" t="s">
        <v>119</v>
      </c>
      <c r="C44" t="str">
        <f>INDEX(CaseType!$B:$B,MATCH($B44,CaseType!$A:$A,0))</f>
        <v>case_type2</v>
      </c>
      <c r="D44" t="s">
        <v>496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584</v>
      </c>
      <c r="B45" t="s">
        <v>119</v>
      </c>
      <c r="C45" t="str">
        <f>INDEX(CaseType!$B:$B,MATCH($B45,CaseType!$A:$A,0))</f>
        <v>case_type2</v>
      </c>
      <c r="D45" t="s">
        <v>498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585</v>
      </c>
      <c r="B46" t="s">
        <v>119</v>
      </c>
      <c r="C46" t="str">
        <f>INDEX(CaseType!$B:$B,MATCH($B46,CaseType!$A:$A,0))</f>
        <v>case_type2</v>
      </c>
      <c r="D46" t="s">
        <v>499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586</v>
      </c>
      <c r="B47" t="s">
        <v>119</v>
      </c>
      <c r="C47" t="str">
        <f>INDEX(CaseType!$B:$B,MATCH($B47,CaseType!$A:$A,0))</f>
        <v>case_type2</v>
      </c>
      <c r="D47" t="s">
        <v>500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587</v>
      </c>
      <c r="B48" t="s">
        <v>119</v>
      </c>
      <c r="C48" t="str">
        <f>INDEX(CaseType!$B:$B,MATCH($B48,CaseType!$A:$A,0))</f>
        <v>case_type2</v>
      </c>
      <c r="D48" t="s">
        <v>501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588</v>
      </c>
      <c r="B49" t="s">
        <v>119</v>
      </c>
      <c r="C49" t="str">
        <f>INDEX(CaseType!$B:$B,MATCH($B49,CaseType!$A:$A,0))</f>
        <v>case_type2</v>
      </c>
      <c r="D49" t="s">
        <v>506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589</v>
      </c>
      <c r="B50" t="s">
        <v>119</v>
      </c>
      <c r="C50" t="str">
        <f>INDEX(CaseType!$B:$B,MATCH($B50,CaseType!$A:$A,0))</f>
        <v>case_type2</v>
      </c>
      <c r="D50" t="s">
        <v>507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590</v>
      </c>
      <c r="B51" t="s">
        <v>119</v>
      </c>
      <c r="C51" t="str">
        <f>INDEX(CaseType!$B:$B,MATCH($B51,CaseType!$A:$A,0))</f>
        <v>case_type2</v>
      </c>
      <c r="D51" t="s">
        <v>508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591</v>
      </c>
      <c r="B52" t="s">
        <v>119</v>
      </c>
      <c r="C52" t="str">
        <f>INDEX(CaseType!$B:$B,MATCH($B52,CaseType!$A:$A,0))</f>
        <v>case_type2</v>
      </c>
      <c r="D52" t="s">
        <v>509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592</v>
      </c>
      <c r="B53" t="s">
        <v>119</v>
      </c>
      <c r="C53" t="str">
        <f>INDEX(CaseType!$B:$B,MATCH($B53,CaseType!$A:$A,0))</f>
        <v>case_type2</v>
      </c>
      <c r="D53" t="s">
        <v>510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593</v>
      </c>
      <c r="B54" t="s">
        <v>119</v>
      </c>
      <c r="C54" t="str">
        <f>INDEX(CaseType!$B:$B,MATCH($B54,CaseType!$A:$A,0))</f>
        <v>case_type2</v>
      </c>
      <c r="D54" t="s">
        <v>516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594</v>
      </c>
      <c r="B55" t="s">
        <v>119</v>
      </c>
      <c r="C55" t="str">
        <f>INDEX(CaseType!$B:$B,MATCH($B55,CaseType!$A:$A,0))</f>
        <v>case_type2</v>
      </c>
      <c r="D55" t="s">
        <v>518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595</v>
      </c>
      <c r="B56" t="s">
        <v>119</v>
      </c>
      <c r="C56" t="str">
        <f>INDEX(CaseType!$B:$B,MATCH($B56,CaseType!$A:$A,0))</f>
        <v>case_type2</v>
      </c>
      <c r="D56" t="s">
        <v>529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596</v>
      </c>
      <c r="B57" t="s">
        <v>119</v>
      </c>
      <c r="C57" t="str">
        <f>INDEX(CaseType!$B:$B,MATCH($B57,CaseType!$A:$A,0))</f>
        <v>case_type2</v>
      </c>
      <c r="D57" t="s">
        <v>530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597</v>
      </c>
      <c r="B58" t="s">
        <v>119</v>
      </c>
      <c r="C58" t="str">
        <f>INDEX(CaseType!$B:$B,MATCH($B58,CaseType!$A:$A,0))</f>
        <v>case_type2</v>
      </c>
      <c r="D58" t="s">
        <v>520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861</v>
      </c>
      <c r="B59" t="s">
        <v>123</v>
      </c>
      <c r="C59" t="str">
        <f>INDEX(CaseType!$B:$B,MATCH($B59,CaseType!$A:$A,0))</f>
        <v>case_type3</v>
      </c>
      <c r="D59" t="s">
        <v>488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862</v>
      </c>
      <c r="B60" t="s">
        <v>127</v>
      </c>
      <c r="C60" t="str">
        <f>INDEX(CaseType!$B:$B,MATCH($B60,CaseType!$A:$A,0))</f>
        <v>case_type4</v>
      </c>
      <c r="D60" t="s">
        <v>488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863</v>
      </c>
      <c r="B61" t="s">
        <v>131</v>
      </c>
      <c r="C61" t="str">
        <f>INDEX(CaseType!$B:$B,MATCH($B61,CaseType!$A:$A,0))</f>
        <v>case_type5</v>
      </c>
      <c r="D61" t="s">
        <v>488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C7" sqref="C7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285</v>
      </c>
      <c r="B1" t="s">
        <v>860</v>
      </c>
      <c r="C1" t="s">
        <v>286</v>
      </c>
      <c r="D1" s="6" t="s">
        <v>303</v>
      </c>
      <c r="E1" s="19" t="s">
        <v>287</v>
      </c>
      <c r="F1" s="6" t="s">
        <v>813</v>
      </c>
      <c r="G1" s="6" t="s">
        <v>814</v>
      </c>
      <c r="H1" s="6" t="s">
        <v>815</v>
      </c>
      <c r="I1" s="6" t="s">
        <v>816</v>
      </c>
      <c r="J1" s="6" t="s">
        <v>817</v>
      </c>
      <c r="K1" s="6" t="s">
        <v>818</v>
      </c>
      <c r="L1" s="6" t="s">
        <v>819</v>
      </c>
      <c r="M1" s="6" t="s">
        <v>820</v>
      </c>
      <c r="N1" s="6" t="s">
        <v>821</v>
      </c>
      <c r="O1" s="6" t="s">
        <v>822</v>
      </c>
      <c r="P1" t="s">
        <v>138</v>
      </c>
      <c r="Q1" s="6" t="s">
        <v>800</v>
      </c>
      <c r="R1" t="s">
        <v>722</v>
      </c>
      <c r="S1" s="6" t="s">
        <v>823</v>
      </c>
      <c r="T1" t="s">
        <v>859</v>
      </c>
      <c r="U1" t="s">
        <v>721</v>
      </c>
      <c r="V1" s="6" t="s">
        <v>794</v>
      </c>
      <c r="W1" t="s">
        <v>795</v>
      </c>
      <c r="X1" s="6" t="s">
        <v>824</v>
      </c>
      <c r="Y1" s="6" t="s">
        <v>825</v>
      </c>
    </row>
    <row r="2" spans="1:25" x14ac:dyDescent="0.3">
      <c r="A2">
        <v>1</v>
      </c>
      <c r="B2" t="b">
        <v>1</v>
      </c>
      <c r="C2" t="s">
        <v>873</v>
      </c>
      <c r="D2" s="6" t="str">
        <f>INDEX(User!$C:$C,MATCH($C2,User!$A:$A,0))</f>
        <v>root1_1</v>
      </c>
      <c r="E2" s="19" t="b">
        <f ca="1">OR($G2,AND($I2,$J2,$M2,$N2))</f>
        <v>1</v>
      </c>
      <c r="F2" s="6" t="str">
        <f>INDEX(User!$F:$F,MATCH($C2,User!$A:$A,0))</f>
        <v>018d074d-ea0c-e942-07db-a3cc0ba1d653</v>
      </c>
      <c r="G2" s="6" t="b">
        <f>INDEX(User!$L:$L,MATCH($C2,User!$A:$A,0))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698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192</v>
      </c>
      <c r="D3" s="6" t="str">
        <f>INDEX(User!$C:$C,MATCH($C3,User!$A:$A,0))</f>
        <v>app_admin1_1</v>
      </c>
      <c r="E3" s="19" t="b">
        <f t="shared" ref="E3:E33" ca="1" si="1">OR($G3,AND($I3,$J3,$M3,$N3))</f>
        <v>1</v>
      </c>
      <c r="F3" s="6" t="str">
        <f>INDEX(User!$F:$F,MATCH($C3,User!$A:$A,0))</f>
        <v>018d074d-ea0c-e942-07db-a3cc0ba1d653</v>
      </c>
      <c r="G3" s="6" t="b">
        <f>INDEX(User!$L:$L,MATCH($C3,User!$A:$A,0))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698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193</v>
      </c>
      <c r="D4" s="6" t="str">
        <f>INDEX(User!$C:$C,MATCH($C4,User!$A:$A,0))</f>
        <v>refdata_admin1_1</v>
      </c>
      <c r="E4" s="19" t="b">
        <f t="shared" ca="1" si="1"/>
        <v>0</v>
      </c>
      <c r="F4" s="6" t="str">
        <f>INDEX(User!$F:$F,MATCH($C4,User!$A:$A,0))</f>
        <v>018d074d-ea0c-e942-07db-a3cc0ba1d653</v>
      </c>
      <c r="G4" s="6" t="b">
        <f>INDEX(User!$L:$L,MATCH($C4,User!$A:$A,0))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698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INDEX(User!$C:$C,MATCH($C5,User!$A:$A,0))</f>
        <v>org_admin1_1</v>
      </c>
      <c r="E5" s="19" t="b">
        <f t="shared" ca="1" si="1"/>
        <v>0</v>
      </c>
      <c r="F5" s="6" t="str">
        <f>INDEX(User!$F:$F,MATCH($C5,User!$A:$A,0))</f>
        <v>018d074d-ea0c-e942-07db-a3cc0ba1d653</v>
      </c>
      <c r="G5" s="6" t="b">
        <f>INDEX(User!$L:$L,MATCH($C5,User!$A:$A,0))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698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INDEX(User!$C:$C,MATCH($C6,User!$A:$A,0))</f>
        <v>org_user1_1</v>
      </c>
      <c r="E6" s="19" t="b">
        <f t="shared" ca="1" si="1"/>
        <v>1</v>
      </c>
      <c r="F6" s="6" t="str">
        <f>INDEX(User!$F:$F,MATCH($C6,User!$A:$A,0))</f>
        <v>018d074d-ea0c-e942-07db-a3cc0ba1d653</v>
      </c>
      <c r="G6" s="6" t="b">
        <f>INDEX(User!$L:$L,MATCH($C6,User!$A:$A,0))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698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873</v>
      </c>
      <c r="D7" s="6" t="str">
        <f>INDEX(User!$C:$C,MATCH($C7,User!$A:$A,0))</f>
        <v>root1_1</v>
      </c>
      <c r="E7" s="19" t="b">
        <f t="shared" ca="1" si="1"/>
        <v>1</v>
      </c>
      <c r="F7" s="6" t="str">
        <f>INDEX(User!$F:$F,MATCH($C7,User!$A:$A,0))</f>
        <v>018d074d-ea0c-e942-07db-a3cc0ba1d653</v>
      </c>
      <c r="G7" s="6" t="b">
        <f>INDEX(User!$L:$L,MATCH($C7,User!$A:$A,0))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698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192</v>
      </c>
      <c r="D8" s="6" t="str">
        <f>INDEX(User!$C:$C,MATCH($C8,User!$A:$A,0))</f>
        <v>app_admin1_1</v>
      </c>
      <c r="E8" s="19" t="b">
        <f t="shared" ca="1" si="1"/>
        <v>1</v>
      </c>
      <c r="F8" s="6" t="str">
        <f>INDEX(User!$F:$F,MATCH($C8,User!$A:$A,0))</f>
        <v>018d074d-ea0c-e942-07db-a3cc0ba1d653</v>
      </c>
      <c r="G8" s="6" t="b">
        <f>INDEX(User!$L:$L,MATCH($C8,User!$A:$A,0))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698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INDEX(User!$C:$C,MATCH($C9,User!$A:$A,0))</f>
        <v>org_admin1_1</v>
      </c>
      <c r="E9" s="19" t="b">
        <f t="shared" ca="1" si="1"/>
        <v>0</v>
      </c>
      <c r="F9" s="6" t="str">
        <f>INDEX(User!$F:$F,MATCH($C9,User!$A:$A,0))</f>
        <v>018d074d-ea0c-e942-07db-a3cc0ba1d653</v>
      </c>
      <c r="G9" s="6" t="b">
        <f>INDEX(User!$L:$L,MATCH($C9,User!$A:$A,0))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698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INDEX(User!$C:$C,MATCH($C10,User!$A:$A,0))</f>
        <v>org_admin2_1</v>
      </c>
      <c r="E10" s="19" t="b">
        <f t="shared" ca="1" si="1"/>
        <v>0</v>
      </c>
      <c r="F10" s="6" t="str">
        <f>INDEX(User!$F:$F,MATCH($C10,User!$A:$A,0))</f>
        <v>0195d18c-1c92-0ed4-2e94-b4f66d82baf3</v>
      </c>
      <c r="G10" s="6" t="b">
        <f>INDEX(User!$L:$L,MATCH($C10,User!$A:$A,0))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698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INDEX(User!$C:$C,MATCH($C11,User!$A:$A,0))</f>
        <v>org_admin3_1</v>
      </c>
      <c r="E11" s="19" t="b">
        <f t="shared" ca="1" si="1"/>
        <v>0</v>
      </c>
      <c r="F11" s="6" t="str">
        <f>INDEX(User!$F:$F,MATCH($C11,User!$A:$A,0))</f>
        <v>0195d18c-1c92-52b3-93e0-43dc1f2aa037</v>
      </c>
      <c r="G11" s="6" t="b">
        <f>INDEX(User!$L:$L,MATCH($C11,User!$A:$A,0))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698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INDEX(User!$C:$C,MATCH($C12,User!$A:$A,0))</f>
        <v>org_admin4_1</v>
      </c>
      <c r="E12" s="19" t="b">
        <f t="shared" ca="1" si="1"/>
        <v>0</v>
      </c>
      <c r="F12" s="6" t="str">
        <f>INDEX(User!$F:$F,MATCH($C12,User!$A:$A,0))</f>
        <v>0195d18c-1c92-d419-4c71-a570f428499b</v>
      </c>
      <c r="G12" s="6" t="b">
        <f>INDEX(User!$L:$L,MATCH($C12,User!$A:$A,0))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698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INDEX(User!$C:$C,MATCH($C13,User!$A:$A,0))</f>
        <v>org_admin5_1</v>
      </c>
      <c r="E13" s="19" t="b">
        <f t="shared" ca="1" si="1"/>
        <v>0</v>
      </c>
      <c r="F13" s="6" t="str">
        <f>INDEX(User!$F:$F,MATCH($C13,User!$A:$A,0))</f>
        <v>0195d18c-1c93-02a2-6920-7e4dbfb73ce0</v>
      </c>
      <c r="G13" s="6" t="b">
        <f>INDEX(User!$L:$L,MATCH($C13,User!$A:$A,0))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698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INDEX(User!$C:$C,MATCH($C14,User!$A:$A,0))</f>
        <v>org_user1_1</v>
      </c>
      <c r="E14" s="19" t="b">
        <f t="shared" ca="1" si="1"/>
        <v>1</v>
      </c>
      <c r="F14" s="6" t="str">
        <f>INDEX(User!$F:$F,MATCH($C14,User!$A:$A,0))</f>
        <v>018d074d-ea0c-e942-07db-a3cc0ba1d653</v>
      </c>
      <c r="G14" s="6" t="b">
        <f>INDEX(User!$L:$L,MATCH($C14,User!$A:$A,0))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698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INDEX(User!$C:$C,MATCH($C15,User!$A:$A,0))</f>
        <v>org_user1_2</v>
      </c>
      <c r="E15" s="19" t="b">
        <f t="shared" ca="1" si="1"/>
        <v>0</v>
      </c>
      <c r="F15" s="6" t="str">
        <f>INDEX(User!$F:$F,MATCH($C15,User!$A:$A,0))</f>
        <v>018d074d-ea0c-e942-07db-a3cc0ba1d653</v>
      </c>
      <c r="G15" s="6" t="b">
        <f>INDEX(User!$L:$L,MATCH($C15,User!$A:$A,0))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698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INDEX(User!$C:$C,MATCH($C16,User!$A:$A,0))</f>
        <v>org_user1_3</v>
      </c>
      <c r="E16" s="19" t="b">
        <f t="shared" ca="1" si="1"/>
        <v>0</v>
      </c>
      <c r="F16" s="6" t="str">
        <f>INDEX(User!$F:$F,MATCH($C16,User!$A:$A,0))</f>
        <v>018d074d-ea0c-e942-07db-a3cc0ba1d653</v>
      </c>
      <c r="G16" s="6" t="b">
        <f>INDEX(User!$L:$L,MATCH($C16,User!$A:$A,0))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698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INDEX(User!$C:$C,MATCH($C17,User!$A:$A,0))</f>
        <v>org_user1_4</v>
      </c>
      <c r="E17" s="19" t="b">
        <f t="shared" ca="1" si="1"/>
        <v>0</v>
      </c>
      <c r="F17" s="6" t="str">
        <f>INDEX(User!$F:$F,MATCH($C17,User!$A:$A,0))</f>
        <v>018d074d-ea0c-e942-07db-a3cc0ba1d653</v>
      </c>
      <c r="G17" s="6" t="b">
        <f>INDEX(User!$L:$L,MATCH($C17,User!$A:$A,0))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698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INDEX(User!$C:$C,MATCH($C18,User!$A:$A,0))</f>
        <v>org_user2_1</v>
      </c>
      <c r="E18" s="19" t="b">
        <f t="shared" ca="1" si="1"/>
        <v>0</v>
      </c>
      <c r="F18" s="6" t="str">
        <f>INDEX(User!$F:$F,MATCH($C18,User!$A:$A,0))</f>
        <v>0195d18c-1c92-0ed4-2e94-b4f66d82baf3</v>
      </c>
      <c r="G18" s="6" t="b">
        <f>INDEX(User!$L:$L,MATCH($C18,User!$A:$A,0))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698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INDEX(User!$C:$C,MATCH($C19,User!$A:$A,0))</f>
        <v>org_user2_2</v>
      </c>
      <c r="E19" s="19" t="b">
        <f t="shared" ca="1" si="1"/>
        <v>0</v>
      </c>
      <c r="F19" s="6" t="str">
        <f>INDEX(User!$F:$F,MATCH($C19,User!$A:$A,0))</f>
        <v>0195d18c-1c92-0ed4-2e94-b4f66d82baf3</v>
      </c>
      <c r="G19" s="6" t="b">
        <f>INDEX(User!$L:$L,MATCH($C19,User!$A:$A,0))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698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INDEX(User!$C:$C,MATCH($C20,User!$A:$A,0))</f>
        <v>org_user2_3</v>
      </c>
      <c r="E20" s="19" t="b">
        <f t="shared" ca="1" si="1"/>
        <v>0</v>
      </c>
      <c r="F20" s="6" t="str">
        <f>INDEX(User!$F:$F,MATCH($C20,User!$A:$A,0))</f>
        <v>0195d18c-1c92-0ed4-2e94-b4f66d82baf3</v>
      </c>
      <c r="G20" s="6" t="b">
        <f>INDEX(User!$L:$L,MATCH($C20,User!$A:$A,0))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698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INDEX(User!$C:$C,MATCH($C21,User!$A:$A,0))</f>
        <v>org_user2_4</v>
      </c>
      <c r="E21" s="19" t="b">
        <f t="shared" ca="1" si="1"/>
        <v>0</v>
      </c>
      <c r="F21" s="6" t="str">
        <f>INDEX(User!$F:$F,MATCH($C21,User!$A:$A,0))</f>
        <v>0195d18c-1c92-0ed4-2e94-b4f66d82baf3</v>
      </c>
      <c r="G21" s="6" t="b">
        <f>INDEX(User!$L:$L,MATCH($C21,User!$A:$A,0))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698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INDEX(User!$C:$C,MATCH($C22,User!$A:$A,0))</f>
        <v>org_user3_1</v>
      </c>
      <c r="E22" s="19" t="b">
        <f t="shared" ca="1" si="1"/>
        <v>0</v>
      </c>
      <c r="F22" s="6" t="str">
        <f>INDEX(User!$F:$F,MATCH($C22,User!$A:$A,0))</f>
        <v>0195d18c-1c92-52b3-93e0-43dc1f2aa037</v>
      </c>
      <c r="G22" s="6" t="b">
        <f>INDEX(User!$L:$L,MATCH($C22,User!$A:$A,0))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698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INDEX(User!$C:$C,MATCH($C23,User!$A:$A,0))</f>
        <v>org_user3_2</v>
      </c>
      <c r="E23" s="19" t="b">
        <f t="shared" ca="1" si="1"/>
        <v>0</v>
      </c>
      <c r="F23" s="6" t="str">
        <f>INDEX(User!$F:$F,MATCH($C23,User!$A:$A,0))</f>
        <v>0195d18c-1c92-52b3-93e0-43dc1f2aa037</v>
      </c>
      <c r="G23" s="6" t="b">
        <f>INDEX(User!$L:$L,MATCH($C23,User!$A:$A,0))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698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INDEX(User!$C:$C,MATCH($C24,User!$A:$A,0))</f>
        <v>org_user3_3</v>
      </c>
      <c r="E24" s="19" t="b">
        <f t="shared" ca="1" si="1"/>
        <v>0</v>
      </c>
      <c r="F24" s="6" t="str">
        <f>INDEX(User!$F:$F,MATCH($C24,User!$A:$A,0))</f>
        <v>0195d18c-1c92-52b3-93e0-43dc1f2aa037</v>
      </c>
      <c r="G24" s="6" t="b">
        <f>INDEX(User!$L:$L,MATCH($C24,User!$A:$A,0))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698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INDEX(User!$C:$C,MATCH($C25,User!$A:$A,0))</f>
        <v>org_user3_4</v>
      </c>
      <c r="E25" s="19" t="b">
        <f t="shared" ca="1" si="1"/>
        <v>0</v>
      </c>
      <c r="F25" s="6" t="str">
        <f>INDEX(User!$F:$F,MATCH($C25,User!$A:$A,0))</f>
        <v>0195d18c-1c92-52b3-93e0-43dc1f2aa037</v>
      </c>
      <c r="G25" s="6" t="b">
        <f>INDEX(User!$L:$L,MATCH($C25,User!$A:$A,0))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698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INDEX(User!$C:$C,MATCH($C26,User!$A:$A,0))</f>
        <v>org_user4_1</v>
      </c>
      <c r="E26" s="19" t="b">
        <f t="shared" ca="1" si="1"/>
        <v>0</v>
      </c>
      <c r="F26" s="6" t="str">
        <f>INDEX(User!$F:$F,MATCH($C26,User!$A:$A,0))</f>
        <v>0195d18c-1c92-d419-4c71-a570f428499b</v>
      </c>
      <c r="G26" s="6" t="b">
        <f>INDEX(User!$L:$L,MATCH($C26,User!$A:$A,0))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698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INDEX(User!$C:$C,MATCH($C27,User!$A:$A,0))</f>
        <v>org_user4_2</v>
      </c>
      <c r="E27" s="19" t="b">
        <f t="shared" ca="1" si="1"/>
        <v>0</v>
      </c>
      <c r="F27" s="6" t="str">
        <f>INDEX(User!$F:$F,MATCH($C27,User!$A:$A,0))</f>
        <v>0195d18c-1c92-d419-4c71-a570f428499b</v>
      </c>
      <c r="G27" s="6" t="b">
        <f>INDEX(User!$L:$L,MATCH($C27,User!$A:$A,0))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698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INDEX(User!$C:$C,MATCH($C28,User!$A:$A,0))</f>
        <v>org_user4_3</v>
      </c>
      <c r="E28" s="19" t="b">
        <f t="shared" ca="1" si="1"/>
        <v>0</v>
      </c>
      <c r="F28" s="6" t="str">
        <f>INDEX(User!$F:$F,MATCH($C28,User!$A:$A,0))</f>
        <v>0195d18c-1c92-d419-4c71-a570f428499b</v>
      </c>
      <c r="G28" s="6" t="b">
        <f>INDEX(User!$L:$L,MATCH($C28,User!$A:$A,0))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698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INDEX(User!$C:$C,MATCH($C29,User!$A:$A,0))</f>
        <v>org_user4_4</v>
      </c>
      <c r="E29" s="19" t="b">
        <f t="shared" ca="1" si="1"/>
        <v>0</v>
      </c>
      <c r="F29" s="6" t="str">
        <f>INDEX(User!$F:$F,MATCH($C29,User!$A:$A,0))</f>
        <v>0195d18c-1c92-d419-4c71-a570f428499b</v>
      </c>
      <c r="G29" s="6" t="b">
        <f>INDEX(User!$L:$L,MATCH($C29,User!$A:$A,0))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698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INDEX(User!$C:$C,MATCH($C30,User!$A:$A,0))</f>
        <v>org_user5_1</v>
      </c>
      <c r="E30" s="19" t="b">
        <f t="shared" ca="1" si="1"/>
        <v>0</v>
      </c>
      <c r="F30" s="6" t="str">
        <f>INDEX(User!$F:$F,MATCH($C30,User!$A:$A,0))</f>
        <v>0195d18c-1c93-02a2-6920-7e4dbfb73ce0</v>
      </c>
      <c r="G30" s="6" t="b">
        <f>INDEX(User!$L:$L,MATCH($C30,User!$A:$A,0))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698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INDEX(User!$C:$C,MATCH($C31,User!$A:$A,0))</f>
        <v>org_user5_2</v>
      </c>
      <c r="E31" s="19" t="b">
        <f t="shared" ca="1" si="1"/>
        <v>0</v>
      </c>
      <c r="F31" s="6" t="str">
        <f>INDEX(User!$F:$F,MATCH($C31,User!$A:$A,0))</f>
        <v>0195d18c-1c93-02a2-6920-7e4dbfb73ce0</v>
      </c>
      <c r="G31" s="6" t="b">
        <f>INDEX(User!$L:$L,MATCH($C31,User!$A:$A,0))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698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INDEX(User!$C:$C,MATCH($C32,User!$A:$A,0))</f>
        <v>org_user5_3</v>
      </c>
      <c r="E32" s="19" t="b">
        <f t="shared" ca="1" si="1"/>
        <v>0</v>
      </c>
      <c r="F32" s="6" t="str">
        <f>INDEX(User!$F:$F,MATCH($C32,User!$A:$A,0))</f>
        <v>0195d18c-1c93-02a2-6920-7e4dbfb73ce0</v>
      </c>
      <c r="G32" s="6" t="b">
        <f>INDEX(User!$L:$L,MATCH($C32,User!$A:$A,0))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698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INDEX(User!$C:$C,MATCH($C33,User!$A:$A,0))</f>
        <v>org_user5_4</v>
      </c>
      <c r="E33" s="19" t="b">
        <f t="shared" ca="1" si="1"/>
        <v>0</v>
      </c>
      <c r="F33" s="6" t="str">
        <f>INDEX(User!$F:$F,MATCH($C33,User!$A:$A,0))</f>
        <v>0195d18c-1c93-02a2-6920-7e4dbfb73ce0</v>
      </c>
      <c r="G33" s="6" t="b">
        <f>INDEX(User!$L:$L,MATCH($C33,User!$A:$A,0))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698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722</v>
      </c>
      <c r="D1" s="24" t="s">
        <v>723</v>
      </c>
      <c r="E1" s="22" t="s">
        <v>726</v>
      </c>
      <c r="F1" s="22" t="s">
        <v>727</v>
      </c>
      <c r="G1" s="24" t="s">
        <v>800</v>
      </c>
      <c r="H1" s="24" t="s">
        <v>287</v>
      </c>
      <c r="I1" s="24" t="s">
        <v>801</v>
      </c>
    </row>
    <row r="2" spans="1:9" x14ac:dyDescent="0.3">
      <c r="A2" t="s">
        <v>698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720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796</v>
      </c>
      <c r="B1" s="6" t="s">
        <v>799</v>
      </c>
      <c r="C1" t="s">
        <v>135</v>
      </c>
      <c r="D1" s="6" t="s">
        <v>798</v>
      </c>
      <c r="E1" t="s">
        <v>697</v>
      </c>
      <c r="F1" t="s">
        <v>719</v>
      </c>
      <c r="G1" s="6" t="s">
        <v>850</v>
      </c>
      <c r="H1" s="6" t="s">
        <v>287</v>
      </c>
      <c r="I1" t="s">
        <v>797</v>
      </c>
      <c r="J1" s="6" t="s">
        <v>728</v>
      </c>
      <c r="K1" s="6" t="s">
        <v>724</v>
      </c>
      <c r="L1" s="6" t="s">
        <v>725</v>
      </c>
      <c r="M1" s="6" t="s">
        <v>834</v>
      </c>
      <c r="N1" s="6" t="s">
        <v>849</v>
      </c>
      <c r="O1" s="6" t="s">
        <v>835</v>
      </c>
      <c r="P1" s="6" t="s">
        <v>836</v>
      </c>
      <c r="Q1" s="6" t="s">
        <v>846</v>
      </c>
      <c r="R1" s="6" t="s">
        <v>847</v>
      </c>
      <c r="S1" s="6" t="s">
        <v>813</v>
      </c>
      <c r="T1" s="6" t="s">
        <v>856</v>
      </c>
      <c r="U1" s="6" t="s">
        <v>857</v>
      </c>
      <c r="V1" s="6" t="s">
        <v>858</v>
      </c>
      <c r="W1" t="s">
        <v>851</v>
      </c>
      <c r="X1" t="s">
        <v>852</v>
      </c>
    </row>
    <row r="2" spans="1:24" x14ac:dyDescent="0.3">
      <c r="A2" t="s">
        <v>698</v>
      </c>
      <c r="B2" s="6" t="str">
        <f>INDEX(_CaseData!$G:$G,MATCH($A2,_CaseData!$A:$A,0))</f>
        <v>case_type1</v>
      </c>
      <c r="C2" t="s">
        <v>541</v>
      </c>
      <c r="D2" s="6" t="str">
        <f>INDEX(CaseTypeCol!$G:$G,MATCH($C2,CaseTypeCol!$A:$A,0))</f>
        <v>case_type1.nominal1_1 (NOMINAL;Nominal_1)</v>
      </c>
      <c r="E2" t="s">
        <v>354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698</v>
      </c>
      <c r="B3" s="6" t="str">
        <f>INDEX(_CaseData!$G:$G,MATCH($A3,_CaseData!$A:$A,0))</f>
        <v>case_type1</v>
      </c>
      <c r="C3" t="s">
        <v>542</v>
      </c>
      <c r="D3" s="6" t="str">
        <f>INDEX(CaseTypeCol!$G:$G,MATCH($C3,CaseTypeCol!$A:$A,0))</f>
        <v>case_type1.nominal2_1 (NOMINAL;Nominal_2)</v>
      </c>
      <c r="E3" t="s">
        <v>699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698</v>
      </c>
      <c r="B4" s="6" t="str">
        <f>INDEX(_CaseData!$G:$G,MATCH($A4,_CaseData!$A:$A,0))</f>
        <v>case_type1</v>
      </c>
      <c r="C4" t="s">
        <v>543</v>
      </c>
      <c r="D4" s="6" t="str">
        <f>INDEX(CaseTypeCol!$G:$G,MATCH($C4,CaseTypeCol!$A:$A,0))</f>
        <v>case_type1.ordinal1_1 (ORDINAL;Ordinal_1)</v>
      </c>
      <c r="E4" t="s">
        <v>700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698</v>
      </c>
      <c r="B5" s="6" t="str">
        <f>INDEX(_CaseData!$G:$G,MATCH($A5,_CaseData!$A:$A,0))</f>
        <v>case_type1</v>
      </c>
      <c r="C5" t="s">
        <v>544</v>
      </c>
      <c r="D5" s="6" t="str">
        <f>INDEX(CaseTypeCol!$G:$G,MATCH($C5,CaseTypeCol!$A:$A,0))</f>
        <v>case_type1.ordinal2_1 (ORDINAL;Ordinal_2)</v>
      </c>
      <c r="E5" t="s">
        <v>848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698</v>
      </c>
      <c r="B6" s="6" t="str">
        <f>INDEX(_CaseData!$G:$G,MATCH($A6,_CaseData!$A:$A,0))</f>
        <v>case_type1</v>
      </c>
      <c r="C6" t="s">
        <v>545</v>
      </c>
      <c r="D6" s="6" t="str">
        <f>INDEX(CaseTypeCol!$G:$G,MATCH($C6,CaseTypeCol!$A:$A,0))</f>
        <v>case_type1.regex1_1 (REGULAR_LANGUAGE;Regex_1)</v>
      </c>
      <c r="E6" t="s">
        <v>701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698</v>
      </c>
      <c r="B7" s="6" t="str">
        <f>INDEX(_CaseData!$G:$G,MATCH($A7,_CaseData!$A:$A,0))</f>
        <v>case_type1</v>
      </c>
      <c r="C7" t="s">
        <v>546</v>
      </c>
      <c r="D7" s="6" t="str">
        <f>INDEX(CaseTypeCol!$G:$G,MATCH($C7,CaseTypeCol!$A:$A,0))</f>
        <v>case_type1.regex2_1 (REGULAR_LANGUAGE;Regex_2)</v>
      </c>
      <c r="E7" t="s">
        <v>702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698</v>
      </c>
      <c r="B8" s="6" t="str">
        <f>INDEX(_CaseData!$G:$G,MATCH($A8,_CaseData!$A:$A,0))</f>
        <v>case_type1</v>
      </c>
      <c r="C8" t="s">
        <v>547</v>
      </c>
      <c r="D8" s="6" t="str">
        <f>INDEX(CaseTypeCol!$G:$G,MATCH($C8,CaseTypeCol!$A:$A,0))</f>
        <v>case_type1.text1_1 (TEXT)</v>
      </c>
      <c r="E8" t="s">
        <v>703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698</v>
      </c>
      <c r="B9" s="6" t="str">
        <f>INDEX(_CaseData!$G:$G,MATCH($A9,_CaseData!$A:$A,0))</f>
        <v>case_type1</v>
      </c>
      <c r="C9" t="s">
        <v>548</v>
      </c>
      <c r="D9" s="6" t="str">
        <f>INDEX(CaseTypeCol!$G:$G,MATCH($C9,CaseTypeCol!$A:$A,0))</f>
        <v>case_type1.text2_1 (TEXT)</v>
      </c>
      <c r="E9" t="s">
        <v>318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698</v>
      </c>
      <c r="B10" s="6" t="str">
        <f>INDEX(_CaseData!$G:$G,MATCH($A10,_CaseData!$A:$A,0))</f>
        <v>case_type1</v>
      </c>
      <c r="C10" t="s">
        <v>549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698</v>
      </c>
      <c r="B11" s="6" t="str">
        <f>INDEX(_CaseData!$G:$G,MATCH($A11,_CaseData!$A:$A,0))</f>
        <v>case_type1</v>
      </c>
      <c r="C11" t="s">
        <v>550</v>
      </c>
      <c r="D11" s="6" t="str">
        <f>INDEX(CaseTypeCol!$G:$G,MATCH($C11,CaseTypeCol!$A:$A,0))</f>
        <v>case_type1.org2_1 (ORGANIZATION)</v>
      </c>
      <c r="E11" t="s">
        <v>209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698</v>
      </c>
      <c r="B12" s="6" t="str">
        <f>INDEX(_CaseData!$G:$G,MATCH($A12,_CaseData!$A:$A,0))</f>
        <v>case_type1</v>
      </c>
      <c r="C12" t="s">
        <v>551</v>
      </c>
      <c r="D12" s="6" t="str">
        <f>INDEX(CaseTypeCol!$G:$G,MATCH($C12,CaseTypeCol!$A:$A,0))</f>
        <v>case_type1.geo1_1 (GEO_REGION;PC_L4)</v>
      </c>
      <c r="E12" s="11" t="s">
        <v>397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698</v>
      </c>
      <c r="B13" s="6" t="str">
        <f>INDEX(_CaseData!$G:$G,MATCH($A13,_CaseData!$A:$A,0))</f>
        <v>case_type1</v>
      </c>
      <c r="C13" t="s">
        <v>552</v>
      </c>
      <c r="D13" s="6" t="str">
        <f>INDEX(CaseTypeCol!$G:$G,MATCH($C13,CaseTypeCol!$A:$A,0))</f>
        <v>case_type1.geo1_2 (GEO_REGION;PC_L3)</v>
      </c>
      <c r="E13" s="11" t="s">
        <v>403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698</v>
      </c>
      <c r="B14" s="6" t="str">
        <f>INDEX(_CaseData!$G:$G,MATCH($A14,_CaseData!$A:$A,0))</f>
        <v>case_type1</v>
      </c>
      <c r="C14" t="s">
        <v>553</v>
      </c>
      <c r="D14" s="6" t="str">
        <f>INDEX(CaseTypeCol!$G:$G,MATCH($C14,CaseTypeCol!$A:$A,0))</f>
        <v>case_type1.geo1_3 (GEO_REGION;MUN)</v>
      </c>
      <c r="E14" t="s">
        <v>749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698</v>
      </c>
      <c r="B15" s="6" t="str">
        <f>INDEX(_CaseData!$G:$G,MATCH($A15,_CaseData!$A:$A,0))</f>
        <v>case_type1</v>
      </c>
      <c r="C15" t="s">
        <v>554</v>
      </c>
      <c r="D15" s="6" t="str">
        <f>INDEX(CaseTypeCol!$G:$G,MATCH($C15,CaseTypeCol!$A:$A,0))</f>
        <v>case_type1.geo1_4 (GEO_REGION;PV)</v>
      </c>
      <c r="E15" t="s">
        <v>752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698</v>
      </c>
      <c r="B16" s="6" t="str">
        <f>INDEX(_CaseData!$G:$G,MATCH($A16,_CaseData!$A:$A,0))</f>
        <v>case_type1</v>
      </c>
      <c r="C16" t="s">
        <v>555</v>
      </c>
      <c r="D16" s="6" t="str">
        <f>INDEX(CaseTypeCol!$G:$G,MATCH($C16,CaseTypeCol!$A:$A,0))</f>
        <v>case_type1.geo2_1 (GEO_REGION;PC_L4)</v>
      </c>
      <c r="E16" s="11" t="s">
        <v>399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698</v>
      </c>
      <c r="B17" s="6" t="str">
        <f>INDEX(_CaseData!$G:$G,MATCH($A17,_CaseData!$A:$A,0))</f>
        <v>case_type1</v>
      </c>
      <c r="C17" t="s">
        <v>556</v>
      </c>
      <c r="D17" s="6" t="str">
        <f>INDEX(CaseTypeCol!$G:$G,MATCH($C17,CaseTypeCol!$A:$A,0))</f>
        <v>case_type1.geo2_2 (GEO_REGION;PC_L3)</v>
      </c>
      <c r="E17" s="11" t="s">
        <v>404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698</v>
      </c>
      <c r="B18" s="6" t="str">
        <f>INDEX(_CaseData!$G:$G,MATCH($A18,_CaseData!$A:$A,0))</f>
        <v>case_type1</v>
      </c>
      <c r="C18" t="s">
        <v>557</v>
      </c>
      <c r="D18" s="6" t="str">
        <f>INDEX(CaseTypeCol!$G:$G,MATCH($C18,CaseTypeCol!$A:$A,0))</f>
        <v>case_type1.geo2_3 (GEO_REGION;MUN)</v>
      </c>
      <c r="E18" t="s">
        <v>750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698</v>
      </c>
      <c r="B19" s="6" t="str">
        <f>INDEX(_CaseData!$G:$G,MATCH($A19,_CaseData!$A:$A,0))</f>
        <v>case_type1</v>
      </c>
      <c r="C19" t="s">
        <v>558</v>
      </c>
      <c r="D19" s="6" t="str">
        <f>INDEX(CaseTypeCol!$G:$G,MATCH($C19,CaseTypeCol!$A:$A,0))</f>
        <v>case_type1.geo2_4 (GEO_REGION;PV)</v>
      </c>
      <c r="E19" t="s">
        <v>752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698</v>
      </c>
      <c r="B20" s="6" t="str">
        <f>INDEX(_CaseData!$G:$G,MATCH($A20,_CaseData!$A:$A,0))</f>
        <v>case_type1</v>
      </c>
      <c r="C20" t="s">
        <v>559</v>
      </c>
      <c r="D20" s="6" t="str">
        <f>INDEX(CaseTypeCol!$G:$G,MATCH($C20,CaseTypeCol!$A:$A,0))</f>
        <v>case_type1.time1_1 (TIME_DAY)</v>
      </c>
      <c r="E20" s="11" t="s">
        <v>704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698</v>
      </c>
      <c r="B21" s="6" t="str">
        <f>INDEX(_CaseData!$G:$G,MATCH($A21,_CaseData!$A:$A,0))</f>
        <v>case_type1</v>
      </c>
      <c r="C21" t="s">
        <v>560</v>
      </c>
      <c r="D21" s="6" t="str">
        <f>INDEX(CaseTypeCol!$G:$G,MATCH($C21,CaseTypeCol!$A:$A,0))</f>
        <v>case_type1.time1_2 (TIME_WEEK)</v>
      </c>
      <c r="E21" s="11" t="s">
        <v>706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698</v>
      </c>
      <c r="B22" s="6" t="str">
        <f>INDEX(_CaseData!$G:$G,MATCH($A22,_CaseData!$A:$A,0))</f>
        <v>case_type1</v>
      </c>
      <c r="C22" t="s">
        <v>561</v>
      </c>
      <c r="D22" s="6" t="str">
        <f>INDEX(CaseTypeCol!$G:$G,MATCH($C22,CaseTypeCol!$A:$A,0))</f>
        <v>case_type1.time1_3 (TIME_MONTH)</v>
      </c>
      <c r="E22" s="23" t="s">
        <v>705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698</v>
      </c>
      <c r="B23" s="6" t="str">
        <f>INDEX(_CaseData!$G:$G,MATCH($A23,_CaseData!$A:$A,0))</f>
        <v>case_type1</v>
      </c>
      <c r="C23" t="s">
        <v>562</v>
      </c>
      <c r="D23" s="6" t="str">
        <f>INDEX(CaseTypeCol!$G:$G,MATCH($C23,CaseTypeCol!$A:$A,0))</f>
        <v>case_type1.time1_4 (TIME_QUARTER)</v>
      </c>
      <c r="E23" s="11" t="s">
        <v>707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698</v>
      </c>
      <c r="B24" s="6" t="str">
        <f>INDEX(_CaseData!$G:$G,MATCH($A24,_CaseData!$A:$A,0))</f>
        <v>case_type1</v>
      </c>
      <c r="C24" t="s">
        <v>563</v>
      </c>
      <c r="D24" s="6" t="str">
        <f>INDEX(CaseTypeCol!$G:$G,MATCH($C24,CaseTypeCol!$A:$A,0))</f>
        <v>case_type1.time1_5 (TIME_YEAR)</v>
      </c>
      <c r="E24" s="11" t="s">
        <v>708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698</v>
      </c>
      <c r="B25" s="6" t="str">
        <f>INDEX(_CaseData!$G:$G,MATCH($A25,_CaseData!$A:$A,0))</f>
        <v>case_type1</v>
      </c>
      <c r="C25" t="s">
        <v>564</v>
      </c>
      <c r="D25" s="6" t="str">
        <f>INDEX(CaseTypeCol!$G:$G,MATCH($C25,CaseTypeCol!$A:$A,0))</f>
        <v>case_type1.time2_1 (TIME_DAY)</v>
      </c>
      <c r="E25" s="11" t="s">
        <v>709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698</v>
      </c>
      <c r="B26" s="6" t="str">
        <f>INDEX(_CaseData!$G:$G,MATCH($A26,_CaseData!$A:$A,0))</f>
        <v>case_type1</v>
      </c>
      <c r="C26" t="s">
        <v>565</v>
      </c>
      <c r="D26" s="6" t="str">
        <f>INDEX(CaseTypeCol!$G:$G,MATCH($C26,CaseTypeCol!$A:$A,0))</f>
        <v>case_type1.time2_2 (TIME_WEEK)</v>
      </c>
      <c r="E26" s="11" t="s">
        <v>710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698</v>
      </c>
      <c r="B27" s="6" t="str">
        <f>INDEX(_CaseData!$G:$G,MATCH($A27,_CaseData!$A:$A,0))</f>
        <v>case_type1</v>
      </c>
      <c r="C27" t="s">
        <v>566</v>
      </c>
      <c r="D27" s="6" t="str">
        <f>INDEX(CaseTypeCol!$G:$G,MATCH($C27,CaseTypeCol!$A:$A,0))</f>
        <v>case_type1.time2_3 (TIME_MONTH)</v>
      </c>
      <c r="E27" s="11" t="s">
        <v>711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698</v>
      </c>
      <c r="B28" s="6" t="str">
        <f>INDEX(_CaseData!$G:$G,MATCH($A28,_CaseData!$A:$A,0))</f>
        <v>case_type1</v>
      </c>
      <c r="C28" t="s">
        <v>567</v>
      </c>
      <c r="D28" s="6" t="str">
        <f>INDEX(CaseTypeCol!$G:$G,MATCH($C28,CaseTypeCol!$A:$A,0))</f>
        <v>case_type1.time2_4 (TIME_QUARTER)</v>
      </c>
      <c r="E28" s="11" t="s">
        <v>712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698</v>
      </c>
      <c r="B29" s="6" t="str">
        <f>INDEX(_CaseData!$G:$G,MATCH($A29,_CaseData!$A:$A,0))</f>
        <v>case_type1</v>
      </c>
      <c r="C29" t="s">
        <v>568</v>
      </c>
      <c r="D29" s="6" t="str">
        <f>INDEX(CaseTypeCol!$G:$G,MATCH($C29,CaseTypeCol!$A:$A,0))</f>
        <v>case_type1.time2_5 (TIME_YEAR)</v>
      </c>
      <c r="E29" s="11" t="s">
        <v>713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698</v>
      </c>
      <c r="B30" s="6" t="str">
        <f>INDEX(_CaseData!$G:$G,MATCH($A30,_CaseData!$A:$A,0))</f>
        <v>case_type1</v>
      </c>
      <c r="C30" t="s">
        <v>569</v>
      </c>
      <c r="D30" s="6" t="str">
        <f>INDEX(CaseTypeCol!$G:$G,MATCH($C30,CaseTypeCol!$A:$A,0))</f>
        <v>case_type1.id1_1 (ID_PSEUDONYMISED)</v>
      </c>
      <c r="E30" t="s">
        <v>714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698</v>
      </c>
      <c r="B31" s="6" t="str">
        <f>INDEX(_CaseData!$G:$G,MATCH($A31,_CaseData!$A:$A,0))</f>
        <v>case_type1</v>
      </c>
      <c r="C31" t="s">
        <v>570</v>
      </c>
      <c r="D31" s="6" t="str">
        <f>INDEX(CaseTypeCol!$G:$G,MATCH($C31,CaseTypeCol!$A:$A,0))</f>
        <v>case_type1.id2_1 (ID_PSEUDONYMISED)</v>
      </c>
      <c r="E31" t="s">
        <v>715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698</v>
      </c>
      <c r="B32" s="6" t="str">
        <f>INDEX(_CaseData!$G:$G,MATCH($A32,_CaseData!$A:$A,0))</f>
        <v>case_type1</v>
      </c>
      <c r="C32" t="s">
        <v>571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698</v>
      </c>
      <c r="B33" s="6" t="str">
        <f>INDEX(_CaseData!$G:$G,MATCH($A33,_CaseData!$A:$A,0))</f>
        <v>case_type1</v>
      </c>
      <c r="C33" t="s">
        <v>572</v>
      </c>
      <c r="D33" s="6" t="str">
        <f>INDEX(CaseTypeCol!$G:$G,MATCH($C33,CaseTypeCol!$A:$A,0))</f>
        <v>case_type1.number1_1 (INTERVAL;Age in years, intervals 0, 5, 15, 25, 45, 65)</v>
      </c>
      <c r="E33" s="11" t="s">
        <v>853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698</v>
      </c>
      <c r="B34" s="6" t="str">
        <f>INDEX(_CaseData!$G:$G,MATCH($A34,_CaseData!$A:$A,0))</f>
        <v>case_type1</v>
      </c>
      <c r="C34" t="s">
        <v>573</v>
      </c>
      <c r="D34" s="6" t="str">
        <f>INDEX(CaseTypeCol!$G:$G,MATCH($C34,CaseTypeCol!$A:$A,0))</f>
        <v>case_type1.number1_1 (INTERVAL;Age in years, intervals 0, 5, 19, 65)</v>
      </c>
      <c r="E34" s="11" t="s">
        <v>854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698</v>
      </c>
      <c r="B35" s="6" t="str">
        <f>INDEX(_CaseData!$G:$G,MATCH($A35,_CaseData!$A:$A,0))</f>
        <v>case_type1</v>
      </c>
      <c r="C35" t="s">
        <v>574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698</v>
      </c>
      <c r="B36" s="6" t="str">
        <f>INDEX(_CaseData!$G:$G,MATCH($A36,_CaseData!$A:$A,0))</f>
        <v>case_type1</v>
      </c>
      <c r="C36" t="s">
        <v>575</v>
      </c>
      <c r="D36" s="6" t="str">
        <f>INDEX(CaseTypeCol!$G:$G,MATCH($C36,CaseTypeCol!$A:$A,0))</f>
        <v>case_type1.number2_1 (INTERVAL;Age in months, intervals 0, 1, 2, 3)</v>
      </c>
      <c r="E36" s="11" t="s">
        <v>855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698</v>
      </c>
      <c r="B37" s="6" t="str">
        <f>INDEX(_CaseData!$G:$G,MATCH($A37,_CaseData!$A:$A,0))</f>
        <v>case_type1</v>
      </c>
      <c r="C37" t="s">
        <v>576</v>
      </c>
      <c r="D37" s="6" t="str">
        <f>INDEX(CaseTypeCol!$G:$G,MATCH($C37,CaseTypeCol!$A:$A,0))</f>
        <v>case_type1.number2_1 (INTERVAL;Age in years, intervals 0, 15, 25, 35, 45)</v>
      </c>
      <c r="E37" s="11" t="s">
        <v>716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698</v>
      </c>
      <c r="B38" s="6" t="str">
        <f>INDEX(_CaseData!$G:$G,MATCH($A38,_CaseData!$A:$A,0))</f>
        <v>case_type1</v>
      </c>
      <c r="C38" t="s">
        <v>577</v>
      </c>
      <c r="D38" s="6" t="str">
        <f>INDEX(CaseTypeCol!$G:$G,MATCH($C38,CaseTypeCol!$A:$A,0))</f>
        <v>case_type1.other1_1 (OTHER)</v>
      </c>
      <c r="E38" t="s">
        <v>717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698</v>
      </c>
      <c r="B39" s="6" t="str">
        <f>INDEX(_CaseData!$G:$G,MATCH($A39,_CaseData!$A:$A,0))</f>
        <v>case_type1</v>
      </c>
      <c r="C39" t="s">
        <v>578</v>
      </c>
      <c r="D39" s="6" t="str">
        <f>INDEX(CaseTypeCol!$G:$G,MATCH($C39,CaseTypeCol!$A:$A,0))</f>
        <v>case_type1.other2_1 (OTHER)</v>
      </c>
      <c r="E39" t="s">
        <v>718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720</v>
      </c>
      <c r="B40" s="6" t="str">
        <f>INDEX(_CaseData!$G:$G,MATCH($A40,_CaseData!$A:$A,0))</f>
        <v>case_type2</v>
      </c>
      <c r="C40" t="s">
        <v>579</v>
      </c>
      <c r="D40" s="6" t="str">
        <f>INDEX(CaseTypeCol!$G:$G,MATCH($C40,CaseTypeCol!$A:$A,0))</f>
        <v>case_type2.nominal1_1 (NOMINAL;Nominal_1)</v>
      </c>
      <c r="E40" t="s">
        <v>354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720</v>
      </c>
      <c r="B41" s="6" t="str">
        <f>INDEX(_CaseData!$G:$G,MATCH($A41,_CaseData!$A:$A,0))</f>
        <v>case_type2</v>
      </c>
      <c r="C41" t="s">
        <v>580</v>
      </c>
      <c r="D41" s="6" t="str">
        <f>INDEX(CaseTypeCol!$G:$G,MATCH($C41,CaseTypeCol!$A:$A,0))</f>
        <v>case_type2.ordinal1_1 (ORDINAL;Ordinal_1)</v>
      </c>
      <c r="E41" t="s">
        <v>700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720</v>
      </c>
      <c r="B42" s="6" t="str">
        <f>INDEX(_CaseData!$G:$G,MATCH($A42,_CaseData!$A:$A,0))</f>
        <v>case_type2</v>
      </c>
      <c r="C42" t="s">
        <v>581</v>
      </c>
      <c r="D42" s="6" t="str">
        <f>INDEX(CaseTypeCol!$G:$G,MATCH($C42,CaseTypeCol!$A:$A,0))</f>
        <v>case_type2.regex1_1 (REGULAR_LANGUAGE;Regex_1)</v>
      </c>
      <c r="E42" t="s">
        <v>701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720</v>
      </c>
      <c r="B43" s="6" t="str">
        <f>INDEX(_CaseData!$G:$G,MATCH($A43,_CaseData!$A:$A,0))</f>
        <v>case_type2</v>
      </c>
      <c r="C43" t="s">
        <v>582</v>
      </c>
      <c r="D43" s="6" t="str">
        <f>INDEX(CaseTypeCol!$G:$G,MATCH($C43,CaseTypeCol!$A:$A,0))</f>
        <v>case_type2.text1_1 (TEXT)</v>
      </c>
      <c r="E43" t="s">
        <v>703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720</v>
      </c>
      <c r="B44" s="6" t="str">
        <f>INDEX(_CaseData!$G:$G,MATCH($A44,_CaseData!$A:$A,0))</f>
        <v>case_type2</v>
      </c>
      <c r="C44" t="s">
        <v>583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720</v>
      </c>
      <c r="B45" s="6" t="str">
        <f>INDEX(_CaseData!$G:$G,MATCH($A45,_CaseData!$A:$A,0))</f>
        <v>case_type2</v>
      </c>
      <c r="C45" t="s">
        <v>584</v>
      </c>
      <c r="D45" s="6" t="str">
        <f>INDEX(CaseTypeCol!$G:$G,MATCH($C45,CaseTypeCol!$A:$A,0))</f>
        <v>case_type2.geo1_1 (GEO_REGION;PC_L4)</v>
      </c>
      <c r="E45" s="11" t="s">
        <v>397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720</v>
      </c>
      <c r="B46" s="6" t="str">
        <f>INDEX(_CaseData!$G:$G,MATCH($A46,_CaseData!$A:$A,0))</f>
        <v>case_type2</v>
      </c>
      <c r="C46" t="s">
        <v>585</v>
      </c>
      <c r="D46" s="6" t="str">
        <f>INDEX(CaseTypeCol!$G:$G,MATCH($C46,CaseTypeCol!$A:$A,0))</f>
        <v>case_type2.geo1_2 (GEO_REGION;PC_L3)</v>
      </c>
      <c r="E46" s="11" t="s">
        <v>403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720</v>
      </c>
      <c r="B47" s="6" t="str">
        <f>INDEX(_CaseData!$G:$G,MATCH($A47,_CaseData!$A:$A,0))</f>
        <v>case_type2</v>
      </c>
      <c r="C47" t="s">
        <v>586</v>
      </c>
      <c r="D47" s="6" t="str">
        <f>INDEX(CaseTypeCol!$G:$G,MATCH($C47,CaseTypeCol!$A:$A,0))</f>
        <v>case_type2.geo1_3 (GEO_REGION;MUN)</v>
      </c>
      <c r="E47" t="s">
        <v>749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720</v>
      </c>
      <c r="B48" s="6" t="str">
        <f>INDEX(_CaseData!$G:$G,MATCH($A48,_CaseData!$A:$A,0))</f>
        <v>case_type2</v>
      </c>
      <c r="C48" t="s">
        <v>587</v>
      </c>
      <c r="D48" s="6" t="str">
        <f>INDEX(CaseTypeCol!$G:$G,MATCH($C48,CaseTypeCol!$A:$A,0))</f>
        <v>case_type2.geo1_4 (GEO_REGION;PV)</v>
      </c>
      <c r="E48" t="s">
        <v>752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720</v>
      </c>
      <c r="B49" s="6" t="str">
        <f>INDEX(_CaseData!$G:$G,MATCH($A49,_CaseData!$A:$A,0))</f>
        <v>case_type2</v>
      </c>
      <c r="C49" t="s">
        <v>588</v>
      </c>
      <c r="D49" s="6" t="str">
        <f>INDEX(CaseTypeCol!$G:$G,MATCH($C49,CaseTypeCol!$A:$A,0))</f>
        <v>case_type2.time1_1 (TIME_DAY)</v>
      </c>
      <c r="E49" s="11" t="s">
        <v>704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720</v>
      </c>
      <c r="B50" s="6" t="str">
        <f>INDEX(_CaseData!$G:$G,MATCH($A50,_CaseData!$A:$A,0))</f>
        <v>case_type2</v>
      </c>
      <c r="C50" t="s">
        <v>589</v>
      </c>
      <c r="D50" s="6" t="str">
        <f>INDEX(CaseTypeCol!$G:$G,MATCH($C50,CaseTypeCol!$A:$A,0))</f>
        <v>case_type2.time1_2 (TIME_WEEK)</v>
      </c>
      <c r="E50" s="11" t="s">
        <v>706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720</v>
      </c>
      <c r="B51" s="6" t="str">
        <f>INDEX(_CaseData!$G:$G,MATCH($A51,_CaseData!$A:$A,0))</f>
        <v>case_type2</v>
      </c>
      <c r="C51" t="s">
        <v>590</v>
      </c>
      <c r="D51" s="6" t="str">
        <f>INDEX(CaseTypeCol!$G:$G,MATCH($C51,CaseTypeCol!$A:$A,0))</f>
        <v>case_type2.time1_3 (TIME_MONTH)</v>
      </c>
      <c r="E51" s="23" t="s">
        <v>705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720</v>
      </c>
      <c r="B52" s="6" t="str">
        <f>INDEX(_CaseData!$G:$G,MATCH($A52,_CaseData!$A:$A,0))</f>
        <v>case_type2</v>
      </c>
      <c r="C52" t="s">
        <v>591</v>
      </c>
      <c r="D52" s="6" t="str">
        <f>INDEX(CaseTypeCol!$G:$G,MATCH($C52,CaseTypeCol!$A:$A,0))</f>
        <v>case_type2.time1_4 (TIME_QUARTER)</v>
      </c>
      <c r="E52" s="11" t="s">
        <v>707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720</v>
      </c>
      <c r="B53" s="6" t="str">
        <f>INDEX(_CaseData!$G:$G,MATCH($A53,_CaseData!$A:$A,0))</f>
        <v>case_type2</v>
      </c>
      <c r="C53" t="s">
        <v>592</v>
      </c>
      <c r="D53" s="6" t="str">
        <f>INDEX(CaseTypeCol!$G:$G,MATCH($C53,CaseTypeCol!$A:$A,0))</f>
        <v>case_type2.time1_5 (TIME_YEAR)</v>
      </c>
      <c r="E53" s="11" t="s">
        <v>708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720</v>
      </c>
      <c r="B54" s="6" t="str">
        <f>INDEX(_CaseData!$G:$G,MATCH($A54,_CaseData!$A:$A,0))</f>
        <v>case_type2</v>
      </c>
      <c r="C54" t="s">
        <v>593</v>
      </c>
      <c r="D54" s="6" t="str">
        <f>INDEX(CaseTypeCol!$G:$G,MATCH($C54,CaseTypeCol!$A:$A,0))</f>
        <v>case_type2.id1_1 (ID_PSEUDONYMISED)</v>
      </c>
      <c r="E54" t="s">
        <v>714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720</v>
      </c>
      <c r="B55" s="6" t="str">
        <f>INDEX(_CaseData!$G:$G,MATCH($A55,_CaseData!$A:$A,0))</f>
        <v>case_type2</v>
      </c>
      <c r="C55" t="s">
        <v>594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720</v>
      </c>
      <c r="B56" s="6" t="str">
        <f>INDEX(_CaseData!$G:$G,MATCH($A56,_CaseData!$A:$A,0))</f>
        <v>case_type2</v>
      </c>
      <c r="C56" t="s">
        <v>595</v>
      </c>
      <c r="D56" s="6" t="str">
        <f>INDEX(CaseTypeCol!$G:$G,MATCH($C56,CaseTypeCol!$A:$A,0))</f>
        <v>case_type2.number1_1 (INTERVAL;Age in years, intervals 0, 5, 15, 25, 45, 65)</v>
      </c>
      <c r="E56" s="11" t="s">
        <v>853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720</v>
      </c>
      <c r="B57" s="6" t="str">
        <f>INDEX(_CaseData!$G:$G,MATCH($A57,_CaseData!$A:$A,0))</f>
        <v>case_type2</v>
      </c>
      <c r="C57" t="s">
        <v>596</v>
      </c>
      <c r="D57" s="6" t="str">
        <f>INDEX(CaseTypeCol!$G:$G,MATCH($C57,CaseTypeCol!$A:$A,0))</f>
        <v>case_type2.number1_1 (INTERVAL;Age in years, intervals 0, 5, 19, 65)</v>
      </c>
      <c r="E57" s="11" t="s">
        <v>854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720</v>
      </c>
      <c r="B58" s="6" t="str">
        <f>INDEX(_CaseData!$G:$G,MATCH($A58,_CaseData!$A:$A,0))</f>
        <v>case_type2</v>
      </c>
      <c r="C58" t="s">
        <v>597</v>
      </c>
      <c r="D58" s="6" t="str">
        <f>INDEX(CaseTypeCol!$G:$G,MATCH($C58,CaseTypeCol!$A:$A,0))</f>
        <v>case_type2.other1_1 (OTHER)</v>
      </c>
      <c r="E58" t="s">
        <v>717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598</v>
      </c>
      <c r="C2" t="s">
        <v>601</v>
      </c>
    </row>
    <row r="3" spans="1:3" x14ac:dyDescent="0.3">
      <c r="A3" t="s">
        <v>137</v>
      </c>
      <c r="B3" t="s">
        <v>599</v>
      </c>
      <c r="C3" t="s">
        <v>600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826</v>
      </c>
      <c r="D1" s="1" t="s">
        <v>61</v>
      </c>
      <c r="E1" s="1" t="s">
        <v>135</v>
      </c>
      <c r="F1" s="10" t="s">
        <v>798</v>
      </c>
      <c r="G1" s="1" t="s">
        <v>136</v>
      </c>
      <c r="H1" s="16" t="s">
        <v>288</v>
      </c>
    </row>
    <row r="2" spans="1:8" x14ac:dyDescent="0.3">
      <c r="A2" t="s">
        <v>602</v>
      </c>
      <c r="B2" t="s">
        <v>64</v>
      </c>
      <c r="C2" s="6" t="str">
        <f>INDEX(CaseTypeColSet!$B:$B,MATCH($B2,CaseTypeColSet!$A:$A,0))</f>
        <v>case_type_col_set1_1</v>
      </c>
      <c r="E2" t="s">
        <v>541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603</v>
      </c>
      <c r="B3" t="s">
        <v>64</v>
      </c>
      <c r="C3" s="6" t="str">
        <f>INDEX(CaseTypeColSet!$B:$B,MATCH($B3,CaseTypeColSet!$A:$A,0))</f>
        <v>case_type_col_set1_1</v>
      </c>
      <c r="E3" t="s">
        <v>543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604</v>
      </c>
      <c r="B4" t="s">
        <v>64</v>
      </c>
      <c r="C4" s="6" t="str">
        <f>INDEX(CaseTypeColSet!$B:$B,MATCH($B4,CaseTypeColSet!$A:$A,0))</f>
        <v>case_type_col_set1_1</v>
      </c>
      <c r="E4" t="s">
        <v>545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605</v>
      </c>
      <c r="B5" t="s">
        <v>64</v>
      </c>
      <c r="C5" s="6" t="str">
        <f>INDEX(CaseTypeColSet!$B:$B,MATCH($B5,CaseTypeColSet!$A:$A,0))</f>
        <v>case_type_col_set1_1</v>
      </c>
      <c r="E5" t="s">
        <v>547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606</v>
      </c>
      <c r="B6" t="s">
        <v>64</v>
      </c>
      <c r="C6" s="6" t="str">
        <f>INDEX(CaseTypeColSet!$B:$B,MATCH($B6,CaseTypeColSet!$A:$A,0))</f>
        <v>case_type_col_set1_1</v>
      </c>
      <c r="E6" t="s">
        <v>549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607</v>
      </c>
      <c r="B7" t="s">
        <v>64</v>
      </c>
      <c r="C7" s="6" t="str">
        <f>INDEX(CaseTypeColSet!$B:$B,MATCH($B7,CaseTypeColSet!$A:$A,0))</f>
        <v>case_type_col_set1_1</v>
      </c>
      <c r="E7" t="s">
        <v>551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608</v>
      </c>
      <c r="B8" t="s">
        <v>64</v>
      </c>
      <c r="C8" s="6" t="str">
        <f>INDEX(CaseTypeColSet!$B:$B,MATCH($B8,CaseTypeColSet!$A:$A,0))</f>
        <v>case_type_col_set1_1</v>
      </c>
      <c r="E8" t="s">
        <v>552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609</v>
      </c>
      <c r="B9" t="s">
        <v>64</v>
      </c>
      <c r="C9" s="6" t="str">
        <f>INDEX(CaseTypeColSet!$B:$B,MATCH($B9,CaseTypeColSet!$A:$A,0))</f>
        <v>case_type_col_set1_1</v>
      </c>
      <c r="E9" t="s">
        <v>553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610</v>
      </c>
      <c r="B10" t="s">
        <v>64</v>
      </c>
      <c r="C10" s="6" t="str">
        <f>INDEX(CaseTypeColSet!$B:$B,MATCH($B10,CaseTypeColSet!$A:$A,0))</f>
        <v>case_type_col_set1_1</v>
      </c>
      <c r="E10" t="s">
        <v>554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611</v>
      </c>
      <c r="B11" t="s">
        <v>64</v>
      </c>
      <c r="C11" s="6" t="str">
        <f>INDEX(CaseTypeColSet!$B:$B,MATCH($B11,CaseTypeColSet!$A:$A,0))</f>
        <v>case_type_col_set1_1</v>
      </c>
      <c r="E11" t="s">
        <v>559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612</v>
      </c>
      <c r="B12" t="s">
        <v>64</v>
      </c>
      <c r="C12" s="6" t="str">
        <f>INDEX(CaseTypeColSet!$B:$B,MATCH($B12,CaseTypeColSet!$A:$A,0))</f>
        <v>case_type_col_set1_1</v>
      </c>
      <c r="E12" t="s">
        <v>560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613</v>
      </c>
      <c r="B13" t="s">
        <v>64</v>
      </c>
      <c r="C13" s="6" t="str">
        <f>INDEX(CaseTypeColSet!$B:$B,MATCH($B13,CaseTypeColSet!$A:$A,0))</f>
        <v>case_type_col_set1_1</v>
      </c>
      <c r="E13" t="s">
        <v>561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614</v>
      </c>
      <c r="B14" t="s">
        <v>64</v>
      </c>
      <c r="C14" s="6" t="str">
        <f>INDEX(CaseTypeColSet!$B:$B,MATCH($B14,CaseTypeColSet!$A:$A,0))</f>
        <v>case_type_col_set1_1</v>
      </c>
      <c r="E14" t="s">
        <v>562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615</v>
      </c>
      <c r="B15" t="s">
        <v>64</v>
      </c>
      <c r="C15" s="6" t="str">
        <f>INDEX(CaseTypeColSet!$B:$B,MATCH($B15,CaseTypeColSet!$A:$A,0))</f>
        <v>case_type_col_set1_1</v>
      </c>
      <c r="E15" t="s">
        <v>563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616</v>
      </c>
      <c r="B16" t="s">
        <v>64</v>
      </c>
      <c r="C16" s="6" t="str">
        <f>INDEX(CaseTypeColSet!$B:$B,MATCH($B16,CaseTypeColSet!$A:$A,0))</f>
        <v>case_type_col_set1_1</v>
      </c>
      <c r="E16" t="s">
        <v>569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617</v>
      </c>
      <c r="B17" t="s">
        <v>64</v>
      </c>
      <c r="C17" s="6" t="str">
        <f>INDEX(CaseTypeColSet!$B:$B,MATCH($B17,CaseTypeColSet!$A:$A,0))</f>
        <v>case_type_col_set1_1</v>
      </c>
      <c r="E17" t="s">
        <v>571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618</v>
      </c>
      <c r="B18" t="s">
        <v>64</v>
      </c>
      <c r="C18" s="6" t="str">
        <f>INDEX(CaseTypeColSet!$B:$B,MATCH($B18,CaseTypeColSet!$A:$A,0))</f>
        <v>case_type_col_set1_1</v>
      </c>
      <c r="E18" t="s">
        <v>572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619</v>
      </c>
      <c r="B19" t="s">
        <v>64</v>
      </c>
      <c r="C19" s="6" t="str">
        <f>INDEX(CaseTypeColSet!$B:$B,MATCH($B19,CaseTypeColSet!$A:$A,0))</f>
        <v>case_type_col_set1_1</v>
      </c>
      <c r="E19" t="s">
        <v>573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620</v>
      </c>
      <c r="B20" t="s">
        <v>64</v>
      </c>
      <c r="C20" s="6" t="str">
        <f>INDEX(CaseTypeColSet!$B:$B,MATCH($B20,CaseTypeColSet!$A:$A,0))</f>
        <v>case_type_col_set1_1</v>
      </c>
      <c r="E20" t="s">
        <v>577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621</v>
      </c>
      <c r="B21" t="s">
        <v>64</v>
      </c>
      <c r="C21" s="6" t="str">
        <f>INDEX(CaseTypeColSet!$B:$B,MATCH($B21,CaseTypeColSet!$A:$A,0))</f>
        <v>case_type_col_set1_1</v>
      </c>
      <c r="E21" t="s">
        <v>579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622</v>
      </c>
      <c r="B22" t="s">
        <v>64</v>
      </c>
      <c r="C22" s="6" t="str">
        <f>INDEX(CaseTypeColSet!$B:$B,MATCH($B22,CaseTypeColSet!$A:$A,0))</f>
        <v>case_type_col_set1_1</v>
      </c>
      <c r="E22" t="s">
        <v>580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623</v>
      </c>
      <c r="B23" t="s">
        <v>64</v>
      </c>
      <c r="C23" s="6" t="str">
        <f>INDEX(CaseTypeColSet!$B:$B,MATCH($B23,CaseTypeColSet!$A:$A,0))</f>
        <v>case_type_col_set1_1</v>
      </c>
      <c r="E23" t="s">
        <v>581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624</v>
      </c>
      <c r="B24" t="s">
        <v>64</v>
      </c>
      <c r="C24" s="6" t="str">
        <f>INDEX(CaseTypeColSet!$B:$B,MATCH($B24,CaseTypeColSet!$A:$A,0))</f>
        <v>case_type_col_set1_1</v>
      </c>
      <c r="E24" t="s">
        <v>582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625</v>
      </c>
      <c r="B25" t="s">
        <v>64</v>
      </c>
      <c r="C25" s="6" t="str">
        <f>INDEX(CaseTypeColSet!$B:$B,MATCH($B25,CaseTypeColSet!$A:$A,0))</f>
        <v>case_type_col_set1_1</v>
      </c>
      <c r="E25" t="s">
        <v>583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626</v>
      </c>
      <c r="B26" t="s">
        <v>64</v>
      </c>
      <c r="C26" s="6" t="str">
        <f>INDEX(CaseTypeColSet!$B:$B,MATCH($B26,CaseTypeColSet!$A:$A,0))</f>
        <v>case_type_col_set1_1</v>
      </c>
      <c r="E26" t="s">
        <v>584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627</v>
      </c>
      <c r="B27" t="s">
        <v>64</v>
      </c>
      <c r="C27" s="6" t="str">
        <f>INDEX(CaseTypeColSet!$B:$B,MATCH($B27,CaseTypeColSet!$A:$A,0))</f>
        <v>case_type_col_set1_1</v>
      </c>
      <c r="E27" t="s">
        <v>585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628</v>
      </c>
      <c r="B28" t="s">
        <v>64</v>
      </c>
      <c r="C28" s="6" t="str">
        <f>INDEX(CaseTypeColSet!$B:$B,MATCH($B28,CaseTypeColSet!$A:$A,0))</f>
        <v>case_type_col_set1_1</v>
      </c>
      <c r="E28" t="s">
        <v>586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629</v>
      </c>
      <c r="B29" t="s">
        <v>64</v>
      </c>
      <c r="C29" s="6" t="str">
        <f>INDEX(CaseTypeColSet!$B:$B,MATCH($B29,CaseTypeColSet!$A:$A,0))</f>
        <v>case_type_col_set1_1</v>
      </c>
      <c r="E29" t="s">
        <v>587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630</v>
      </c>
      <c r="B30" t="s">
        <v>64</v>
      </c>
      <c r="C30" s="6" t="str">
        <f>INDEX(CaseTypeColSet!$B:$B,MATCH($B30,CaseTypeColSet!$A:$A,0))</f>
        <v>case_type_col_set1_1</v>
      </c>
      <c r="E30" t="s">
        <v>588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631</v>
      </c>
      <c r="B31" t="s">
        <v>64</v>
      </c>
      <c r="C31" s="6" t="str">
        <f>INDEX(CaseTypeColSet!$B:$B,MATCH($B31,CaseTypeColSet!$A:$A,0))</f>
        <v>case_type_col_set1_1</v>
      </c>
      <c r="E31" t="s">
        <v>589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632</v>
      </c>
      <c r="B32" t="s">
        <v>64</v>
      </c>
      <c r="C32" s="6" t="str">
        <f>INDEX(CaseTypeColSet!$B:$B,MATCH($B32,CaseTypeColSet!$A:$A,0))</f>
        <v>case_type_col_set1_1</v>
      </c>
      <c r="E32" t="s">
        <v>590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633</v>
      </c>
      <c r="B33" t="s">
        <v>64</v>
      </c>
      <c r="C33" s="6" t="str">
        <f>INDEX(CaseTypeColSet!$B:$B,MATCH($B33,CaseTypeColSet!$A:$A,0))</f>
        <v>case_type_col_set1_1</v>
      </c>
      <c r="E33" t="s">
        <v>591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634</v>
      </c>
      <c r="B34" t="s">
        <v>64</v>
      </c>
      <c r="C34" s="6" t="str">
        <f>INDEX(CaseTypeColSet!$B:$B,MATCH($B34,CaseTypeColSet!$A:$A,0))</f>
        <v>case_type_col_set1_1</v>
      </c>
      <c r="E34" t="s">
        <v>592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635</v>
      </c>
      <c r="B35" t="s">
        <v>64</v>
      </c>
      <c r="C35" s="6" t="str">
        <f>INDEX(CaseTypeColSet!$B:$B,MATCH($B35,CaseTypeColSet!$A:$A,0))</f>
        <v>case_type_col_set1_1</v>
      </c>
      <c r="E35" t="s">
        <v>593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636</v>
      </c>
      <c r="B36" t="s">
        <v>64</v>
      </c>
      <c r="C36" s="6" t="str">
        <f>INDEX(CaseTypeColSet!$B:$B,MATCH($B36,CaseTypeColSet!$A:$A,0))</f>
        <v>case_type_col_set1_1</v>
      </c>
      <c r="E36" t="s">
        <v>594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637</v>
      </c>
      <c r="B37" t="s">
        <v>64</v>
      </c>
      <c r="C37" s="6" t="str">
        <f>INDEX(CaseTypeColSet!$B:$B,MATCH($B37,CaseTypeColSet!$A:$A,0))</f>
        <v>case_type_col_set1_1</v>
      </c>
      <c r="E37" t="s">
        <v>595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638</v>
      </c>
      <c r="B38" t="s">
        <v>64</v>
      </c>
      <c r="C38" s="6" t="str">
        <f>INDEX(CaseTypeColSet!$B:$B,MATCH($B38,CaseTypeColSet!$A:$A,0))</f>
        <v>case_type_col_set1_1</v>
      </c>
      <c r="E38" t="s">
        <v>596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639</v>
      </c>
      <c r="B39" t="s">
        <v>64</v>
      </c>
      <c r="C39" s="6" t="str">
        <f>INDEX(CaseTypeColSet!$B:$B,MATCH($B39,CaseTypeColSet!$A:$A,0))</f>
        <v>case_type_col_set1_1</v>
      </c>
      <c r="E39" t="s">
        <v>597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640</v>
      </c>
      <c r="B40" t="s">
        <v>137</v>
      </c>
      <c r="C40" s="6" t="str">
        <f>INDEX(CaseTypeColSet!$B:$B,MATCH($B40,CaseTypeColSet!$A:$A,0))</f>
        <v>case_type_col_set1_1and2</v>
      </c>
      <c r="E40" t="s">
        <v>541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641</v>
      </c>
      <c r="B41" t="s">
        <v>137</v>
      </c>
      <c r="C41" s="6" t="str">
        <f>INDEX(CaseTypeColSet!$B:$B,MATCH($B41,CaseTypeColSet!$A:$A,0))</f>
        <v>case_type_col_set1_1and2</v>
      </c>
      <c r="E41" t="s">
        <v>542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642</v>
      </c>
      <c r="B42" t="s">
        <v>137</v>
      </c>
      <c r="C42" s="6" t="str">
        <f>INDEX(CaseTypeColSet!$B:$B,MATCH($B42,CaseTypeColSet!$A:$A,0))</f>
        <v>case_type_col_set1_1and2</v>
      </c>
      <c r="E42" t="s">
        <v>543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643</v>
      </c>
      <c r="B43" t="s">
        <v>137</v>
      </c>
      <c r="C43" s="6" t="str">
        <f>INDEX(CaseTypeColSet!$B:$B,MATCH($B43,CaseTypeColSet!$A:$A,0))</f>
        <v>case_type_col_set1_1and2</v>
      </c>
      <c r="E43" t="s">
        <v>544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644</v>
      </c>
      <c r="B44" t="s">
        <v>137</v>
      </c>
      <c r="C44" s="6" t="str">
        <f>INDEX(CaseTypeColSet!$B:$B,MATCH($B44,CaseTypeColSet!$A:$A,0))</f>
        <v>case_type_col_set1_1and2</v>
      </c>
      <c r="E44" t="s">
        <v>545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645</v>
      </c>
      <c r="B45" t="s">
        <v>137</v>
      </c>
      <c r="C45" s="6" t="str">
        <f>INDEX(CaseTypeColSet!$B:$B,MATCH($B45,CaseTypeColSet!$A:$A,0))</f>
        <v>case_type_col_set1_1and2</v>
      </c>
      <c r="E45" t="s">
        <v>546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646</v>
      </c>
      <c r="B46" t="s">
        <v>137</v>
      </c>
      <c r="C46" s="6" t="str">
        <f>INDEX(CaseTypeColSet!$B:$B,MATCH($B46,CaseTypeColSet!$A:$A,0))</f>
        <v>case_type_col_set1_1and2</v>
      </c>
      <c r="E46" t="s">
        <v>547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647</v>
      </c>
      <c r="B47" t="s">
        <v>137</v>
      </c>
      <c r="C47" s="6" t="str">
        <f>INDEX(CaseTypeColSet!$B:$B,MATCH($B47,CaseTypeColSet!$A:$A,0))</f>
        <v>case_type_col_set1_1and2</v>
      </c>
      <c r="E47" t="s">
        <v>548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648</v>
      </c>
      <c r="B48" t="s">
        <v>137</v>
      </c>
      <c r="C48" s="6" t="str">
        <f>INDEX(CaseTypeColSet!$B:$B,MATCH($B48,CaseTypeColSet!$A:$A,0))</f>
        <v>case_type_col_set1_1and2</v>
      </c>
      <c r="E48" t="s">
        <v>549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649</v>
      </c>
      <c r="B49" t="s">
        <v>137</v>
      </c>
      <c r="C49" s="6" t="str">
        <f>INDEX(CaseTypeColSet!$B:$B,MATCH($B49,CaseTypeColSet!$A:$A,0))</f>
        <v>case_type_col_set1_1and2</v>
      </c>
      <c r="E49" t="s">
        <v>550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650</v>
      </c>
      <c r="B50" t="s">
        <v>137</v>
      </c>
      <c r="C50" s="6" t="str">
        <f>INDEX(CaseTypeColSet!$B:$B,MATCH($B50,CaseTypeColSet!$A:$A,0))</f>
        <v>case_type_col_set1_1and2</v>
      </c>
      <c r="E50" t="s">
        <v>551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651</v>
      </c>
      <c r="B51" t="s">
        <v>137</v>
      </c>
      <c r="C51" s="6" t="str">
        <f>INDEX(CaseTypeColSet!$B:$B,MATCH($B51,CaseTypeColSet!$A:$A,0))</f>
        <v>case_type_col_set1_1and2</v>
      </c>
      <c r="E51" t="s">
        <v>552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652</v>
      </c>
      <c r="B52" t="s">
        <v>137</v>
      </c>
      <c r="C52" s="6" t="str">
        <f>INDEX(CaseTypeColSet!$B:$B,MATCH($B52,CaseTypeColSet!$A:$A,0))</f>
        <v>case_type_col_set1_1and2</v>
      </c>
      <c r="E52" t="s">
        <v>553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653</v>
      </c>
      <c r="B53" t="s">
        <v>137</v>
      </c>
      <c r="C53" s="6" t="str">
        <f>INDEX(CaseTypeColSet!$B:$B,MATCH($B53,CaseTypeColSet!$A:$A,0))</f>
        <v>case_type_col_set1_1and2</v>
      </c>
      <c r="E53" t="s">
        <v>554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654</v>
      </c>
      <c r="B54" t="s">
        <v>137</v>
      </c>
      <c r="C54" s="6" t="str">
        <f>INDEX(CaseTypeColSet!$B:$B,MATCH($B54,CaseTypeColSet!$A:$A,0))</f>
        <v>case_type_col_set1_1and2</v>
      </c>
      <c r="E54" t="s">
        <v>555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655</v>
      </c>
      <c r="B55" t="s">
        <v>137</v>
      </c>
      <c r="C55" s="6" t="str">
        <f>INDEX(CaseTypeColSet!$B:$B,MATCH($B55,CaseTypeColSet!$A:$A,0))</f>
        <v>case_type_col_set1_1and2</v>
      </c>
      <c r="E55" t="s">
        <v>556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656</v>
      </c>
      <c r="B56" t="s">
        <v>137</v>
      </c>
      <c r="C56" s="6" t="str">
        <f>INDEX(CaseTypeColSet!$B:$B,MATCH($B56,CaseTypeColSet!$A:$A,0))</f>
        <v>case_type_col_set1_1and2</v>
      </c>
      <c r="E56" t="s">
        <v>557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657</v>
      </c>
      <c r="B57" t="s">
        <v>137</v>
      </c>
      <c r="C57" s="6" t="str">
        <f>INDEX(CaseTypeColSet!$B:$B,MATCH($B57,CaseTypeColSet!$A:$A,0))</f>
        <v>case_type_col_set1_1and2</v>
      </c>
      <c r="E57" t="s">
        <v>558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658</v>
      </c>
      <c r="B58" t="s">
        <v>137</v>
      </c>
      <c r="C58" s="6" t="str">
        <f>INDEX(CaseTypeColSet!$B:$B,MATCH($B58,CaseTypeColSet!$A:$A,0))</f>
        <v>case_type_col_set1_1and2</v>
      </c>
      <c r="E58" t="s">
        <v>559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659</v>
      </c>
      <c r="B59" t="s">
        <v>137</v>
      </c>
      <c r="C59" s="6" t="str">
        <f>INDEX(CaseTypeColSet!$B:$B,MATCH($B59,CaseTypeColSet!$A:$A,0))</f>
        <v>case_type_col_set1_1and2</v>
      </c>
      <c r="E59" t="s">
        <v>560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660</v>
      </c>
      <c r="B60" t="s">
        <v>137</v>
      </c>
      <c r="C60" s="6" t="str">
        <f>INDEX(CaseTypeColSet!$B:$B,MATCH($B60,CaseTypeColSet!$A:$A,0))</f>
        <v>case_type_col_set1_1and2</v>
      </c>
      <c r="E60" t="s">
        <v>561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661</v>
      </c>
      <c r="B61" t="s">
        <v>137</v>
      </c>
      <c r="C61" s="6" t="str">
        <f>INDEX(CaseTypeColSet!$B:$B,MATCH($B61,CaseTypeColSet!$A:$A,0))</f>
        <v>case_type_col_set1_1and2</v>
      </c>
      <c r="E61" t="s">
        <v>562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662</v>
      </c>
      <c r="B62" t="s">
        <v>137</v>
      </c>
      <c r="C62" s="6" t="str">
        <f>INDEX(CaseTypeColSet!$B:$B,MATCH($B62,CaseTypeColSet!$A:$A,0))</f>
        <v>case_type_col_set1_1and2</v>
      </c>
      <c r="E62" t="s">
        <v>563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663</v>
      </c>
      <c r="B63" t="s">
        <v>137</v>
      </c>
      <c r="C63" s="6" t="str">
        <f>INDEX(CaseTypeColSet!$B:$B,MATCH($B63,CaseTypeColSet!$A:$A,0))</f>
        <v>case_type_col_set1_1and2</v>
      </c>
      <c r="E63" t="s">
        <v>564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664</v>
      </c>
      <c r="B64" t="s">
        <v>137</v>
      </c>
      <c r="C64" s="6" t="str">
        <f>INDEX(CaseTypeColSet!$B:$B,MATCH($B64,CaseTypeColSet!$A:$A,0))</f>
        <v>case_type_col_set1_1and2</v>
      </c>
      <c r="E64" t="s">
        <v>565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665</v>
      </c>
      <c r="B65" t="s">
        <v>137</v>
      </c>
      <c r="C65" s="6" t="str">
        <f>INDEX(CaseTypeColSet!$B:$B,MATCH($B65,CaseTypeColSet!$A:$A,0))</f>
        <v>case_type_col_set1_1and2</v>
      </c>
      <c r="E65" t="s">
        <v>566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666</v>
      </c>
      <c r="B66" t="s">
        <v>137</v>
      </c>
      <c r="C66" s="6" t="str">
        <f>INDEX(CaseTypeColSet!$B:$B,MATCH($B66,CaseTypeColSet!$A:$A,0))</f>
        <v>case_type_col_set1_1and2</v>
      </c>
      <c r="E66" t="s">
        <v>567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667</v>
      </c>
      <c r="B67" t="s">
        <v>137</v>
      </c>
      <c r="C67" s="6" t="str">
        <f>INDEX(CaseTypeColSet!$B:$B,MATCH($B67,CaseTypeColSet!$A:$A,0))</f>
        <v>case_type_col_set1_1and2</v>
      </c>
      <c r="E67" t="s">
        <v>568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668</v>
      </c>
      <c r="B68" t="s">
        <v>137</v>
      </c>
      <c r="C68" s="6" t="str">
        <f>INDEX(CaseTypeColSet!$B:$B,MATCH($B68,CaseTypeColSet!$A:$A,0))</f>
        <v>case_type_col_set1_1and2</v>
      </c>
      <c r="E68" t="s">
        <v>569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669</v>
      </c>
      <c r="B69" t="s">
        <v>137</v>
      </c>
      <c r="C69" s="6" t="str">
        <f>INDEX(CaseTypeColSet!$B:$B,MATCH($B69,CaseTypeColSet!$A:$A,0))</f>
        <v>case_type_col_set1_1and2</v>
      </c>
      <c r="E69" t="s">
        <v>570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670</v>
      </c>
      <c r="B70" t="s">
        <v>137</v>
      </c>
      <c r="C70" s="6" t="str">
        <f>INDEX(CaseTypeColSet!$B:$B,MATCH($B70,CaseTypeColSet!$A:$A,0))</f>
        <v>case_type_col_set1_1and2</v>
      </c>
      <c r="E70" t="s">
        <v>571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671</v>
      </c>
      <c r="B71" t="s">
        <v>137</v>
      </c>
      <c r="C71" s="6" t="str">
        <f>INDEX(CaseTypeColSet!$B:$B,MATCH($B71,CaseTypeColSet!$A:$A,0))</f>
        <v>case_type_col_set1_1and2</v>
      </c>
      <c r="E71" t="s">
        <v>572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672</v>
      </c>
      <c r="B72" t="s">
        <v>137</v>
      </c>
      <c r="C72" s="6" t="str">
        <f>INDEX(CaseTypeColSet!$B:$B,MATCH($B72,CaseTypeColSet!$A:$A,0))</f>
        <v>case_type_col_set1_1and2</v>
      </c>
      <c r="E72" t="s">
        <v>573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673</v>
      </c>
      <c r="B73" t="s">
        <v>137</v>
      </c>
      <c r="C73" s="6" t="str">
        <f>INDEX(CaseTypeColSet!$B:$B,MATCH($B73,CaseTypeColSet!$A:$A,0))</f>
        <v>case_type_col_set1_1and2</v>
      </c>
      <c r="E73" t="s">
        <v>574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674</v>
      </c>
      <c r="B74" t="s">
        <v>137</v>
      </c>
      <c r="C74" s="6" t="str">
        <f>INDEX(CaseTypeColSet!$B:$B,MATCH($B74,CaseTypeColSet!$A:$A,0))</f>
        <v>case_type_col_set1_1and2</v>
      </c>
      <c r="E74" t="s">
        <v>575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675</v>
      </c>
      <c r="B75" t="s">
        <v>137</v>
      </c>
      <c r="C75" s="6" t="str">
        <f>INDEX(CaseTypeColSet!$B:$B,MATCH($B75,CaseTypeColSet!$A:$A,0))</f>
        <v>case_type_col_set1_1and2</v>
      </c>
      <c r="E75" t="s">
        <v>576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676</v>
      </c>
      <c r="B76" t="s">
        <v>137</v>
      </c>
      <c r="C76" s="6" t="str">
        <f>INDEX(CaseTypeColSet!$B:$B,MATCH($B76,CaseTypeColSet!$A:$A,0))</f>
        <v>case_type_col_set1_1and2</v>
      </c>
      <c r="E76" t="s">
        <v>577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677</v>
      </c>
      <c r="B77" t="s">
        <v>137</v>
      </c>
      <c r="C77" s="6" t="str">
        <f>INDEX(CaseTypeColSet!$B:$B,MATCH($B77,CaseTypeColSet!$A:$A,0))</f>
        <v>case_type_col_set1_1and2</v>
      </c>
      <c r="E77" t="s">
        <v>578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678</v>
      </c>
      <c r="B78" t="s">
        <v>137</v>
      </c>
      <c r="C78" s="6" t="str">
        <f>INDEX(CaseTypeColSet!$B:$B,MATCH($B78,CaseTypeColSet!$A:$A,0))</f>
        <v>case_type_col_set1_1and2</v>
      </c>
      <c r="E78" t="s">
        <v>579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679</v>
      </c>
      <c r="B79" t="s">
        <v>137</v>
      </c>
      <c r="C79" s="6" t="str">
        <f>INDEX(CaseTypeColSet!$B:$B,MATCH($B79,CaseTypeColSet!$A:$A,0))</f>
        <v>case_type_col_set1_1and2</v>
      </c>
      <c r="E79" t="s">
        <v>580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680</v>
      </c>
      <c r="B80" t="s">
        <v>137</v>
      </c>
      <c r="C80" s="6" t="str">
        <f>INDEX(CaseTypeColSet!$B:$B,MATCH($B80,CaseTypeColSet!$A:$A,0))</f>
        <v>case_type_col_set1_1and2</v>
      </c>
      <c r="E80" t="s">
        <v>581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681</v>
      </c>
      <c r="B81" t="s">
        <v>137</v>
      </c>
      <c r="C81" s="6" t="str">
        <f>INDEX(CaseTypeColSet!$B:$B,MATCH($B81,CaseTypeColSet!$A:$A,0))</f>
        <v>case_type_col_set1_1and2</v>
      </c>
      <c r="E81" t="s">
        <v>582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682</v>
      </c>
      <c r="B82" t="s">
        <v>137</v>
      </c>
      <c r="C82" s="6" t="str">
        <f>INDEX(CaseTypeColSet!$B:$B,MATCH($B82,CaseTypeColSet!$A:$A,0))</f>
        <v>case_type_col_set1_1and2</v>
      </c>
      <c r="E82" t="s">
        <v>583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683</v>
      </c>
      <c r="B83" t="s">
        <v>137</v>
      </c>
      <c r="C83" s="6" t="str">
        <f>INDEX(CaseTypeColSet!$B:$B,MATCH($B83,CaseTypeColSet!$A:$A,0))</f>
        <v>case_type_col_set1_1and2</v>
      </c>
      <c r="E83" t="s">
        <v>584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684</v>
      </c>
      <c r="B84" t="s">
        <v>137</v>
      </c>
      <c r="C84" s="6" t="str">
        <f>INDEX(CaseTypeColSet!$B:$B,MATCH($B84,CaseTypeColSet!$A:$A,0))</f>
        <v>case_type_col_set1_1and2</v>
      </c>
      <c r="E84" t="s">
        <v>585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685</v>
      </c>
      <c r="B85" t="s">
        <v>137</v>
      </c>
      <c r="C85" s="6" t="str">
        <f>INDEX(CaseTypeColSet!$B:$B,MATCH($B85,CaseTypeColSet!$A:$A,0))</f>
        <v>case_type_col_set1_1and2</v>
      </c>
      <c r="E85" t="s">
        <v>586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686</v>
      </c>
      <c r="B86" t="s">
        <v>137</v>
      </c>
      <c r="C86" s="6" t="str">
        <f>INDEX(CaseTypeColSet!$B:$B,MATCH($B86,CaseTypeColSet!$A:$A,0))</f>
        <v>case_type_col_set1_1and2</v>
      </c>
      <c r="E86" t="s">
        <v>587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687</v>
      </c>
      <c r="B87" t="s">
        <v>137</v>
      </c>
      <c r="C87" s="6" t="str">
        <f>INDEX(CaseTypeColSet!$B:$B,MATCH($B87,CaseTypeColSet!$A:$A,0))</f>
        <v>case_type_col_set1_1and2</v>
      </c>
      <c r="E87" t="s">
        <v>588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688</v>
      </c>
      <c r="B88" t="s">
        <v>137</v>
      </c>
      <c r="C88" s="6" t="str">
        <f>INDEX(CaseTypeColSet!$B:$B,MATCH($B88,CaseTypeColSet!$A:$A,0))</f>
        <v>case_type_col_set1_1and2</v>
      </c>
      <c r="E88" t="s">
        <v>589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689</v>
      </c>
      <c r="B89" t="s">
        <v>137</v>
      </c>
      <c r="C89" s="6" t="str">
        <f>INDEX(CaseTypeColSet!$B:$B,MATCH($B89,CaseTypeColSet!$A:$A,0))</f>
        <v>case_type_col_set1_1and2</v>
      </c>
      <c r="E89" t="s">
        <v>590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690</v>
      </c>
      <c r="B90" t="s">
        <v>137</v>
      </c>
      <c r="C90" s="6" t="str">
        <f>INDEX(CaseTypeColSet!$B:$B,MATCH($B90,CaseTypeColSet!$A:$A,0))</f>
        <v>case_type_col_set1_1and2</v>
      </c>
      <c r="E90" t="s">
        <v>591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691</v>
      </c>
      <c r="B91" t="s">
        <v>137</v>
      </c>
      <c r="C91" s="6" t="str">
        <f>INDEX(CaseTypeColSet!$B:$B,MATCH($B91,CaseTypeColSet!$A:$A,0))</f>
        <v>case_type_col_set1_1and2</v>
      </c>
      <c r="E91" t="s">
        <v>592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692</v>
      </c>
      <c r="B92" t="s">
        <v>137</v>
      </c>
      <c r="C92" s="6" t="str">
        <f>INDEX(CaseTypeColSet!$B:$B,MATCH($B92,CaseTypeColSet!$A:$A,0))</f>
        <v>case_type_col_set1_1and2</v>
      </c>
      <c r="E92" t="s">
        <v>593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693</v>
      </c>
      <c r="B93" t="s">
        <v>137</v>
      </c>
      <c r="C93" s="6" t="str">
        <f>INDEX(CaseTypeColSet!$B:$B,MATCH($B93,CaseTypeColSet!$A:$A,0))</f>
        <v>case_type_col_set1_1and2</v>
      </c>
      <c r="E93" t="s">
        <v>594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694</v>
      </c>
      <c r="B94" t="s">
        <v>137</v>
      </c>
      <c r="C94" s="6" t="str">
        <f>INDEX(CaseTypeColSet!$B:$B,MATCH($B94,CaseTypeColSet!$A:$A,0))</f>
        <v>case_type_col_set1_1and2</v>
      </c>
      <c r="E94" t="s">
        <v>595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695</v>
      </c>
      <c r="B95" t="s">
        <v>137</v>
      </c>
      <c r="C95" s="6" t="str">
        <f>INDEX(CaseTypeColSet!$B:$B,MATCH($B95,CaseTypeColSet!$A:$A,0))</f>
        <v>case_type_col_set1_1and2</v>
      </c>
      <c r="E95" t="s">
        <v>596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696</v>
      </c>
      <c r="B96" t="s">
        <v>137</v>
      </c>
      <c r="C96" s="6" t="str">
        <f>INDEX(CaseTypeColSet!$B:$B,MATCH($B96,CaseTypeColSet!$A:$A,0))</f>
        <v>case_type_col_set1_1and2</v>
      </c>
      <c r="E96" t="s">
        <v>597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tabSelected="1"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273</v>
      </c>
      <c r="D1" s="7" t="s">
        <v>1</v>
      </c>
      <c r="E1" s="7" t="s">
        <v>272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278</v>
      </c>
      <c r="H1" s="7" t="s">
        <v>4</v>
      </c>
      <c r="I1" s="7" t="s">
        <v>5</v>
      </c>
      <c r="J1" s="7" t="s">
        <v>279</v>
      </c>
      <c r="K1" s="8" t="s">
        <v>828</v>
      </c>
      <c r="L1" s="7" t="s">
        <v>280</v>
      </c>
      <c r="M1" s="8" t="s">
        <v>829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803</v>
      </c>
      <c r="T1" s="4" t="s">
        <v>281</v>
      </c>
      <c r="U1" s="8" t="s">
        <v>282</v>
      </c>
      <c r="V1" s="8" t="s">
        <v>288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4</v>
      </c>
      <c r="H1" s="7" t="s">
        <v>5</v>
      </c>
      <c r="I1" s="7" t="s">
        <v>279</v>
      </c>
      <c r="J1" s="8" t="s">
        <v>828</v>
      </c>
      <c r="K1" s="7" t="s">
        <v>280</v>
      </c>
      <c r="L1" s="8" t="s">
        <v>829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830</v>
      </c>
      <c r="R1" s="8" t="s">
        <v>831</v>
      </c>
      <c r="S1" s="4" t="s">
        <v>281</v>
      </c>
      <c r="T1" s="8" t="s">
        <v>282</v>
      </c>
      <c r="U1" s="7" t="s">
        <v>1</v>
      </c>
      <c r="V1" s="8" t="s">
        <v>832</v>
      </c>
      <c r="W1" s="15" t="s">
        <v>288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s="6" t="s">
        <v>830</v>
      </c>
      <c r="N1" s="3" t="s">
        <v>831</v>
      </c>
      <c r="O1" s="7" t="s">
        <v>1</v>
      </c>
      <c r="P1" s="8" t="s">
        <v>832</v>
      </c>
    </row>
    <row r="2" spans="1:16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t="s">
        <v>41</v>
      </c>
      <c r="N1" s="3" t="s">
        <v>803</v>
      </c>
    </row>
    <row r="2" spans="1:14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2025-10-08T07:17:51Z</dcterms:modified>
</cp:coreProperties>
</file>