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vo_v\Documents\gen-epix-api\test\casedb\integration\case_upload\"/>
    </mc:Choice>
  </mc:AlternateContent>
  <xr:revisionPtr revIDLastSave="0" documentId="13_ncr:1_{05BBC205-3CB8-4821-B304-8186431C4FF1}" xr6:coauthVersionLast="47" xr6:coauthVersionMax="47" xr10:uidLastSave="{00000000-0000-0000-0000-000000000000}"/>
  <bookViews>
    <workbookView xWindow="-108" yWindow="-108" windowWidth="41496" windowHeight="16776" tabRatio="913" firstSheet="7" activeTab="25" xr2:uid="{00000000-000D-0000-FFFF-FFFF00000000}"/>
  </bookViews>
  <sheets>
    <sheet name="ConceptSet" sheetId="30" r:id="rId1"/>
    <sheet name="Concept" sheetId="29" r:id="rId2"/>
    <sheet name="ConceptRelation" sheetId="35" r:id="rId3"/>
    <sheet name="RegionSet" sheetId="28" r:id="rId4"/>
    <sheet name="Region" sheetId="27" r:id="rId5"/>
    <sheet name="RegionRelation" sheetId="31" r:id="rId6"/>
    <sheet name="GeneticDistanceProtocol" sheetId="38" r:id="rId7"/>
    <sheet name="AssemblyProtocol" sheetId="40" r:id="rId8"/>
    <sheet name="SequencingProtocol" sheetId="41" r:id="rId9"/>
    <sheet name="Organization" sheetId="17" r:id="rId10"/>
    <sheet name="DataCollection" sheetId="16" r:id="rId11"/>
    <sheet name="IdentifierIssuer" sheetId="39" r:id="rId12"/>
    <sheet name="User" sheetId="15" r:id="rId13"/>
    <sheet name="UserInvitation" sheetId="19" r:id="rId14"/>
    <sheet name="Dim" sheetId="14" r:id="rId15"/>
    <sheet name="Col" sheetId="13" r:id="rId16"/>
    <sheet name="Disease" sheetId="25" r:id="rId17"/>
    <sheet name="EtiologicalAgent" sheetId="26" r:id="rId18"/>
    <sheet name="CaseType" sheetId="8" r:id="rId19"/>
    <sheet name="CaseTypeSetCategory" sheetId="7" r:id="rId20"/>
    <sheet name="CaseTypeSet" sheetId="6" r:id="rId21"/>
    <sheet name="CaseTypeSetMember" sheetId="12" r:id="rId22"/>
    <sheet name="CaseTypeDim" sheetId="36" r:id="rId23"/>
    <sheet name="CaseTypeCol" sheetId="11" r:id="rId24"/>
    <sheet name="ValidateCasesCommand" sheetId="24" r:id="rId25"/>
    <sheet name="UploadCasesCommand" sheetId="37" r:id="rId26"/>
    <sheet name="_CaseData" sheetId="33" r:id="rId27"/>
    <sheet name="_CaseContentData" sheetId="32" r:id="rId28"/>
    <sheet name="CaseTypeColSet" sheetId="10" r:id="rId29"/>
    <sheet name="CaseTypeColSetMember" sheetId="9" r:id="rId30"/>
    <sheet name="OrganizationAdminPolicy" sheetId="2" r:id="rId31"/>
    <sheet name="OrganizationAccessCasePolicy" sheetId="20" r:id="rId32"/>
    <sheet name="UserAccessCasePolicy" sheetId="21" r:id="rId33"/>
    <sheet name="UserShareCasePolicy" sheetId="23" r:id="rId34"/>
    <sheet name="OrganizationShareCasePolicy" sheetId="22" r:id="rId35"/>
  </sheets>
  <externalReferences>
    <externalReference r:id="rId36"/>
    <externalReference r:id="rId37"/>
    <externalReference r:id="rId38"/>
  </externalReferences>
  <definedNames>
    <definedName name="_xlnm._FilterDatabase" localSheetId="27" hidden="1">_CaseContentData!$A$1:$R$58</definedName>
    <definedName name="_xlnm._FilterDatabase" localSheetId="26" hidden="1">_CaseData!$A$1:$A$33</definedName>
    <definedName name="_xlnm._FilterDatabase" localSheetId="23" hidden="1">CaseTypeCol!$A$1:$U$82</definedName>
    <definedName name="_xlnm._FilterDatabase" localSheetId="29" hidden="1">CaseTypeColSetMember!$A$1:$H$116</definedName>
    <definedName name="_xlnm._FilterDatabase" localSheetId="21" hidden="1">CaseTypeSetMember!$A$1:$G$26</definedName>
    <definedName name="_xlnm._FilterDatabase" localSheetId="6">GeneticDistanceProtocol!$A$1:$D$18</definedName>
    <definedName name="_xlnm._FilterDatabase" localSheetId="31" hidden="1">OrganizationAccessCasePolicy!$A$1:$U$11</definedName>
    <definedName name="_xlnm._FilterDatabase" localSheetId="25" hidden="1">UploadCasesCommand!$A$1:$BD$34</definedName>
    <definedName name="_xlnm._FilterDatabase" localSheetId="32" hidden="1">UserAccessCasePolicy!$A$1:$V$11</definedName>
    <definedName name="_xlnm._FilterDatabase" localSheetId="24" hidden="1">ValidateCasesCommand!$A$1:$Y$33</definedName>
    <definedName name="_FilterDatabase_0" localSheetId="6">GeneticDistanceProtocol!$A$1:$D$18</definedName>
    <definedName name="map_status_list" localSheetId="7">#REF!</definedName>
    <definedName name="map_status_list" localSheetId="6">#REF!</definedName>
    <definedName name="map_status_list" localSheetId="11">#REF!</definedName>
    <definedName name="map_status_list" localSheetId="8">#REF!</definedName>
    <definedName name="map_status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37" l="1"/>
  <c r="AC4" i="37"/>
  <c r="AC5" i="37"/>
  <c r="AC6" i="37"/>
  <c r="AC7" i="37"/>
  <c r="AC8" i="37"/>
  <c r="AC9" i="37"/>
  <c r="AC10" i="37"/>
  <c r="AC11" i="37"/>
  <c r="AC12" i="37"/>
  <c r="AC13" i="37"/>
  <c r="AC14" i="37"/>
  <c r="AC15" i="37"/>
  <c r="AC16" i="37"/>
  <c r="AC17" i="37"/>
  <c r="AC18" i="37"/>
  <c r="AC19" i="37"/>
  <c r="AC20" i="37"/>
  <c r="AC21" i="37"/>
  <c r="AC22" i="37"/>
  <c r="AC23" i="37"/>
  <c r="AC24" i="37"/>
  <c r="AC25" i="37"/>
  <c r="AC26" i="37"/>
  <c r="AC27" i="37"/>
  <c r="AC28" i="37"/>
  <c r="AC29" i="37"/>
  <c r="AC30" i="37"/>
  <c r="AC31" i="37"/>
  <c r="AC32" i="37"/>
  <c r="AC33" i="37"/>
  <c r="AC34" i="37"/>
  <c r="AC35" i="37"/>
  <c r="AC36" i="37"/>
  <c r="AC37" i="37"/>
  <c r="AC38" i="37"/>
  <c r="AC39" i="37"/>
  <c r="AC40" i="37"/>
  <c r="AC41" i="37"/>
  <c r="AC42" i="37"/>
  <c r="AC43" i="37"/>
  <c r="AC44" i="37"/>
  <c r="AC45" i="37"/>
  <c r="AC46" i="37"/>
  <c r="AC47" i="37"/>
  <c r="AC48" i="37"/>
  <c r="AC49" i="37"/>
  <c r="AC50" i="37"/>
  <c r="AC51" i="37"/>
  <c r="AC52" i="37"/>
  <c r="AC53" i="37"/>
  <c r="AC54" i="37"/>
  <c r="AC55" i="37"/>
  <c r="AC56" i="37"/>
  <c r="AC57" i="37"/>
  <c r="AC58" i="37"/>
  <c r="AC59" i="37"/>
  <c r="AC60" i="37"/>
  <c r="AC61" i="37"/>
  <c r="AC62" i="37"/>
  <c r="AC63" i="37"/>
  <c r="AC64" i="37"/>
  <c r="AC65" i="37"/>
  <c r="AC66" i="37"/>
  <c r="AC67" i="37"/>
  <c r="AC68" i="37"/>
  <c r="AC69" i="37"/>
  <c r="AC70" i="37"/>
  <c r="AC71" i="37"/>
  <c r="AC72" i="37"/>
  <c r="AC73" i="37"/>
  <c r="AC74" i="37"/>
  <c r="AC75" i="37"/>
  <c r="AC76" i="37"/>
  <c r="AC2" i="37"/>
  <c r="AG3" i="37"/>
  <c r="AG4" i="37"/>
  <c r="AG5" i="37"/>
  <c r="AG6" i="37"/>
  <c r="AG7" i="37"/>
  <c r="AG8" i="37"/>
  <c r="AG9" i="37"/>
  <c r="AG10" i="37"/>
  <c r="AG11" i="37"/>
  <c r="AG12" i="37"/>
  <c r="AG13" i="37"/>
  <c r="AG14" i="37"/>
  <c r="AG15" i="37"/>
  <c r="AG16" i="37"/>
  <c r="AG17" i="37"/>
  <c r="AG18" i="37"/>
  <c r="AG19" i="37"/>
  <c r="AG20" i="37"/>
  <c r="AG21" i="37"/>
  <c r="AG22" i="37"/>
  <c r="AG23" i="37"/>
  <c r="AG24" i="37"/>
  <c r="AG25" i="37"/>
  <c r="AG26" i="37"/>
  <c r="AG27" i="37"/>
  <c r="AG28" i="37"/>
  <c r="AG29" i="37"/>
  <c r="AG30" i="37"/>
  <c r="AG31" i="37"/>
  <c r="AG32" i="37"/>
  <c r="AG33" i="37"/>
  <c r="AG34" i="37"/>
  <c r="AG35" i="37"/>
  <c r="AG36" i="37"/>
  <c r="AG37" i="37"/>
  <c r="AG38" i="37"/>
  <c r="AG39" i="37"/>
  <c r="AG40" i="37"/>
  <c r="AG41" i="37"/>
  <c r="AG42" i="37"/>
  <c r="AG43" i="37"/>
  <c r="AG44" i="37"/>
  <c r="AG45" i="37"/>
  <c r="AG46" i="37"/>
  <c r="AG47" i="37"/>
  <c r="AG48" i="37"/>
  <c r="AG49" i="37"/>
  <c r="AG50" i="37"/>
  <c r="AG51" i="37"/>
  <c r="AG52" i="37"/>
  <c r="AG53" i="37"/>
  <c r="AG54" i="37"/>
  <c r="AG55" i="37"/>
  <c r="AG56" i="37"/>
  <c r="AG57" i="37"/>
  <c r="AG58" i="37"/>
  <c r="AG59" i="37"/>
  <c r="AG60" i="37"/>
  <c r="AG61" i="37"/>
  <c r="AG62" i="37"/>
  <c r="AG63" i="37"/>
  <c r="AG64" i="37"/>
  <c r="AG65" i="37"/>
  <c r="AG66" i="37"/>
  <c r="AG67" i="37"/>
  <c r="AG68" i="37"/>
  <c r="AG69" i="37"/>
  <c r="AG70" i="37"/>
  <c r="AG71" i="37"/>
  <c r="AG72" i="37"/>
  <c r="AG73" i="37"/>
  <c r="AG74" i="37"/>
  <c r="AG75" i="37"/>
  <c r="AG76" i="37"/>
  <c r="AG2" i="37"/>
  <c r="AE3" i="37"/>
  <c r="AE4" i="37"/>
  <c r="AE5" i="37"/>
  <c r="AE6" i="37"/>
  <c r="AE7" i="37"/>
  <c r="AE8" i="37"/>
  <c r="AE9" i="37"/>
  <c r="AE10" i="37"/>
  <c r="AE11" i="37"/>
  <c r="AE12" i="37"/>
  <c r="AE13" i="37"/>
  <c r="AE14" i="37"/>
  <c r="AE15" i="37"/>
  <c r="AE16" i="37"/>
  <c r="AE17" i="37"/>
  <c r="AE18" i="37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41" i="37"/>
  <c r="AE42" i="37"/>
  <c r="AE43" i="37"/>
  <c r="AE44" i="37"/>
  <c r="AE45" i="37"/>
  <c r="AE46" i="37"/>
  <c r="AE47" i="37"/>
  <c r="AE48" i="37"/>
  <c r="AE49" i="37"/>
  <c r="AE50" i="37"/>
  <c r="AE51" i="37"/>
  <c r="AE52" i="37"/>
  <c r="AE53" i="37"/>
  <c r="AE54" i="37"/>
  <c r="AE55" i="37"/>
  <c r="AE56" i="37"/>
  <c r="AE57" i="37"/>
  <c r="AE58" i="37"/>
  <c r="AE59" i="37"/>
  <c r="AE60" i="37"/>
  <c r="AE61" i="37"/>
  <c r="AE62" i="37"/>
  <c r="AE63" i="37"/>
  <c r="AE64" i="37"/>
  <c r="AE65" i="37"/>
  <c r="AE66" i="37"/>
  <c r="AE67" i="37"/>
  <c r="AE68" i="37"/>
  <c r="AE69" i="37"/>
  <c r="AE70" i="37"/>
  <c r="AE71" i="37"/>
  <c r="AE72" i="37"/>
  <c r="AE73" i="37"/>
  <c r="AE74" i="37"/>
  <c r="AE75" i="37"/>
  <c r="AE76" i="37"/>
  <c r="AE2" i="37"/>
  <c r="G4" i="41"/>
  <c r="G3" i="41"/>
  <c r="G2" i="41"/>
  <c r="G2" i="40"/>
  <c r="AK8" i="37" l="1"/>
  <c r="AA3" i="37"/>
  <c r="AA4" i="37"/>
  <c r="AA5" i="37"/>
  <c r="AA6" i="37"/>
  <c r="AA7" i="37"/>
  <c r="AA8" i="37"/>
  <c r="AA9" i="37"/>
  <c r="AA10" i="37"/>
  <c r="AA11" i="37"/>
  <c r="AA12" i="37"/>
  <c r="AA13" i="37"/>
  <c r="AA14" i="37"/>
  <c r="AA15" i="37"/>
  <c r="AA16" i="37"/>
  <c r="AA17" i="37"/>
  <c r="AA18" i="37"/>
  <c r="AA19" i="37"/>
  <c r="AA20" i="37"/>
  <c r="AA21" i="37"/>
  <c r="AA22" i="37"/>
  <c r="AA23" i="37"/>
  <c r="AA24" i="37"/>
  <c r="AA25" i="37"/>
  <c r="AA26" i="37"/>
  <c r="AA27" i="37"/>
  <c r="AA28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48" i="37"/>
  <c r="AA49" i="37"/>
  <c r="AA50" i="37"/>
  <c r="AA51" i="37"/>
  <c r="AA52" i="37"/>
  <c r="AA53" i="37"/>
  <c r="AA54" i="37"/>
  <c r="AA55" i="37"/>
  <c r="AA56" i="37"/>
  <c r="AA57" i="37"/>
  <c r="AA58" i="37"/>
  <c r="AA59" i="37"/>
  <c r="AA60" i="37"/>
  <c r="AA61" i="37"/>
  <c r="AA62" i="37"/>
  <c r="AA63" i="37"/>
  <c r="AA64" i="37"/>
  <c r="AA65" i="37"/>
  <c r="AA66" i="37"/>
  <c r="AA67" i="37"/>
  <c r="AA68" i="37"/>
  <c r="AA69" i="37"/>
  <c r="AA70" i="37"/>
  <c r="AA71" i="37"/>
  <c r="AA72" i="37"/>
  <c r="AA73" i="37"/>
  <c r="AA74" i="37"/>
  <c r="AA75" i="37"/>
  <c r="AA76" i="37"/>
  <c r="AA2" i="37"/>
  <c r="G74" i="11"/>
  <c r="H74" i="11" s="1"/>
  <c r="E74" i="11"/>
  <c r="C74" i="11"/>
  <c r="G73" i="11"/>
  <c r="H73" i="11" s="1"/>
  <c r="E73" i="11"/>
  <c r="C73" i="11"/>
  <c r="G72" i="11"/>
  <c r="H72" i="11" s="1"/>
  <c r="E72" i="11"/>
  <c r="C72" i="11"/>
  <c r="G71" i="11"/>
  <c r="H71" i="11" s="1"/>
  <c r="E71" i="11"/>
  <c r="C71" i="11"/>
  <c r="G39" i="11"/>
  <c r="H39" i="11" s="1"/>
  <c r="E39" i="11"/>
  <c r="C39" i="11"/>
  <c r="G38" i="11"/>
  <c r="H38" i="11" s="1"/>
  <c r="E38" i="11"/>
  <c r="C38" i="11"/>
  <c r="G37" i="11"/>
  <c r="H37" i="11" s="1"/>
  <c r="E37" i="11"/>
  <c r="C37" i="11"/>
  <c r="G36" i="11"/>
  <c r="H36" i="11" s="1"/>
  <c r="E36" i="11"/>
  <c r="C36" i="11"/>
  <c r="G34" i="11"/>
  <c r="H34" i="11" s="1"/>
  <c r="E34" i="11"/>
  <c r="C34" i="11"/>
  <c r="G33" i="11"/>
  <c r="H33" i="11" s="1"/>
  <c r="E33" i="11"/>
  <c r="C33" i="11"/>
  <c r="G32" i="11"/>
  <c r="H32" i="11" s="1"/>
  <c r="E32" i="11"/>
  <c r="C32" i="11"/>
  <c r="G31" i="11"/>
  <c r="H31" i="11" s="1"/>
  <c r="E31" i="11"/>
  <c r="C31" i="11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N39" i="13"/>
  <c r="L39" i="13"/>
  <c r="J39" i="13"/>
  <c r="C39" i="13"/>
  <c r="E39" i="13" s="1"/>
  <c r="N38" i="13"/>
  <c r="L38" i="13"/>
  <c r="J38" i="13"/>
  <c r="C38" i="13"/>
  <c r="E38" i="13" s="1"/>
  <c r="N37" i="13"/>
  <c r="L37" i="13"/>
  <c r="J37" i="13"/>
  <c r="C37" i="13"/>
  <c r="E37" i="13" s="1"/>
  <c r="N36" i="13"/>
  <c r="L36" i="13"/>
  <c r="J36" i="13"/>
  <c r="C36" i="13"/>
  <c r="E36" i="13" s="1"/>
  <c r="C34" i="13"/>
  <c r="E34" i="13" s="1"/>
  <c r="G34" i="13" s="1"/>
  <c r="C33" i="13"/>
  <c r="E33" i="13" s="1"/>
  <c r="G33" i="13" s="1"/>
  <c r="C32" i="13"/>
  <c r="E32" i="13" s="1"/>
  <c r="G32" i="13" s="1"/>
  <c r="C31" i="13"/>
  <c r="E31" i="13" s="1"/>
  <c r="G31" i="13" s="1"/>
  <c r="C3" i="39"/>
  <c r="C4" i="39"/>
  <c r="D4" i="39" s="1"/>
  <c r="C5" i="39"/>
  <c r="D5" i="39" s="1"/>
  <c r="C6" i="39"/>
  <c r="D6" i="39" s="1"/>
  <c r="C2" i="39"/>
  <c r="D2" i="39" s="1"/>
  <c r="D3" i="39"/>
  <c r="J71" i="11" l="1"/>
  <c r="J72" i="11"/>
  <c r="J73" i="11"/>
  <c r="J74" i="11"/>
  <c r="J36" i="11"/>
  <c r="J37" i="11"/>
  <c r="J38" i="11"/>
  <c r="J39" i="11"/>
  <c r="J31" i="11"/>
  <c r="J32" i="11"/>
  <c r="J33" i="11"/>
  <c r="J34" i="11"/>
  <c r="O37" i="13"/>
  <c r="G37" i="13"/>
  <c r="O38" i="13"/>
  <c r="G38" i="13"/>
  <c r="O39" i="13"/>
  <c r="G39" i="13"/>
  <c r="O36" i="13"/>
  <c r="G36" i="13"/>
  <c r="O31" i="13"/>
  <c r="O32" i="13"/>
  <c r="O33" i="13"/>
  <c r="O34" i="13"/>
  <c r="H115" i="9" l="1"/>
  <c r="C115" i="9"/>
  <c r="H114" i="9"/>
  <c r="C114" i="9"/>
  <c r="H113" i="9"/>
  <c r="C113" i="9"/>
  <c r="H112" i="9"/>
  <c r="C112" i="9"/>
  <c r="H91" i="9"/>
  <c r="C91" i="9"/>
  <c r="H90" i="9"/>
  <c r="C90" i="9"/>
  <c r="H89" i="9"/>
  <c r="C89" i="9"/>
  <c r="H88" i="9"/>
  <c r="C88" i="9"/>
  <c r="H87" i="9"/>
  <c r="C87" i="9"/>
  <c r="H86" i="9"/>
  <c r="C86" i="9"/>
  <c r="H85" i="9"/>
  <c r="C85" i="9"/>
  <c r="H84" i="9"/>
  <c r="C84" i="9"/>
  <c r="H46" i="9"/>
  <c r="C46" i="9"/>
  <c r="H45" i="9"/>
  <c r="C45" i="9"/>
  <c r="H44" i="9"/>
  <c r="C44" i="9"/>
  <c r="H43" i="9"/>
  <c r="C43" i="9"/>
  <c r="H23" i="9"/>
  <c r="C23" i="9"/>
  <c r="H22" i="9"/>
  <c r="C22" i="9"/>
  <c r="H21" i="9"/>
  <c r="C21" i="9"/>
  <c r="H20" i="9"/>
  <c r="C20" i="9"/>
  <c r="G81" i="11"/>
  <c r="H81" i="11" s="1"/>
  <c r="F115" i="9" s="1"/>
  <c r="E81" i="11"/>
  <c r="C81" i="11"/>
  <c r="G80" i="11"/>
  <c r="H80" i="11" s="1"/>
  <c r="F114" i="9" s="1"/>
  <c r="E80" i="11"/>
  <c r="C80" i="11"/>
  <c r="G79" i="11"/>
  <c r="H79" i="11" s="1"/>
  <c r="F113" i="9" s="1"/>
  <c r="E79" i="11"/>
  <c r="C79" i="11"/>
  <c r="G78" i="11"/>
  <c r="H78" i="11" s="1"/>
  <c r="F84" i="9" s="1"/>
  <c r="E78" i="11"/>
  <c r="C78" i="11"/>
  <c r="G53" i="11"/>
  <c r="H53" i="11" s="1"/>
  <c r="F91" i="9" s="1"/>
  <c r="E53" i="11"/>
  <c r="C53" i="11"/>
  <c r="G52" i="11"/>
  <c r="H52" i="11" s="1"/>
  <c r="F90" i="9" s="1"/>
  <c r="E52" i="11"/>
  <c r="C52" i="11"/>
  <c r="G51" i="11"/>
  <c r="H51" i="11" s="1"/>
  <c r="F89" i="9" s="1"/>
  <c r="E51" i="11"/>
  <c r="C51" i="11"/>
  <c r="G50" i="11"/>
  <c r="H50" i="11" s="1"/>
  <c r="F88" i="9" s="1"/>
  <c r="E50" i="11"/>
  <c r="C50" i="11"/>
  <c r="F85" i="9" l="1"/>
  <c r="F43" i="9"/>
  <c r="F86" i="9"/>
  <c r="F44" i="9"/>
  <c r="F112" i="9"/>
  <c r="F87" i="9"/>
  <c r="F45" i="9"/>
  <c r="F46" i="9"/>
  <c r="J80" i="11"/>
  <c r="J81" i="11"/>
  <c r="J78" i="11"/>
  <c r="J79" i="11"/>
  <c r="J51" i="11"/>
  <c r="J50" i="11"/>
  <c r="J52" i="11"/>
  <c r="J53" i="11"/>
  <c r="G49" i="11"/>
  <c r="H49" i="11" s="1"/>
  <c r="F23" i="9" s="1"/>
  <c r="E49" i="11"/>
  <c r="C49" i="11"/>
  <c r="G48" i="11"/>
  <c r="H48" i="11" s="1"/>
  <c r="F22" i="9" s="1"/>
  <c r="E48" i="11"/>
  <c r="C48" i="11"/>
  <c r="G47" i="11"/>
  <c r="H47" i="11" s="1"/>
  <c r="F21" i="9" s="1"/>
  <c r="E47" i="11"/>
  <c r="C47" i="11"/>
  <c r="G46" i="11"/>
  <c r="H46" i="11" s="1"/>
  <c r="F20" i="9" s="1"/>
  <c r="E46" i="11"/>
  <c r="C46" i="11"/>
  <c r="H43" i="36"/>
  <c r="G43" i="36"/>
  <c r="C43" i="36"/>
  <c r="H42" i="36"/>
  <c r="G42" i="36"/>
  <c r="C42" i="36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5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2" i="13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J46" i="11" l="1"/>
  <c r="J47" i="11"/>
  <c r="J48" i="11"/>
  <c r="J49" i="11"/>
  <c r="I42" i="36"/>
  <c r="K42" i="36" s="1"/>
  <c r="I43" i="36"/>
  <c r="K43" i="36" s="1"/>
  <c r="L55" i="13"/>
  <c r="J55" i="13"/>
  <c r="C55" i="13"/>
  <c r="E55" i="13" s="1"/>
  <c r="L54" i="13"/>
  <c r="J54" i="13"/>
  <c r="C54" i="13"/>
  <c r="E54" i="13" s="1"/>
  <c r="L51" i="13"/>
  <c r="J51" i="13"/>
  <c r="C51" i="13"/>
  <c r="E51" i="13" s="1"/>
  <c r="L50" i="13"/>
  <c r="J50" i="13"/>
  <c r="C50" i="13"/>
  <c r="E50" i="13" s="1"/>
  <c r="L53" i="13"/>
  <c r="J53" i="13"/>
  <c r="C53" i="13"/>
  <c r="E53" i="13" s="1"/>
  <c r="L52" i="13"/>
  <c r="J52" i="13"/>
  <c r="C52" i="13"/>
  <c r="E52" i="13" s="1"/>
  <c r="L49" i="13"/>
  <c r="J49" i="13"/>
  <c r="C49" i="13"/>
  <c r="E49" i="13" s="1"/>
  <c r="L48" i="13"/>
  <c r="J48" i="13"/>
  <c r="C48" i="13"/>
  <c r="E48" i="13" s="1"/>
  <c r="L47" i="13"/>
  <c r="J47" i="13"/>
  <c r="L46" i="13"/>
  <c r="J46" i="13"/>
  <c r="G21" i="36"/>
  <c r="C21" i="36"/>
  <c r="G20" i="36"/>
  <c r="C20" i="36"/>
  <c r="BD8" i="37" a="1"/>
  <c r="BD8" i="37" s="1"/>
  <c r="BC8" i="37" a="1"/>
  <c r="BC8" i="37" s="1"/>
  <c r="BB8" i="37" a="1"/>
  <c r="BB8" i="37" s="1"/>
  <c r="BA8" i="37" a="1"/>
  <c r="BA8" i="37" s="1"/>
  <c r="AZ8" i="37"/>
  <c r="AS8" i="37"/>
  <c r="Y8" i="37"/>
  <c r="V8" i="37"/>
  <c r="U8" i="37"/>
  <c r="S8" i="37"/>
  <c r="N8" i="37"/>
  <c r="Q8" i="37" s="1" a="1"/>
  <c r="Q8" i="37" s="1"/>
  <c r="I8" i="37"/>
  <c r="H8" i="37"/>
  <c r="J8" i="37" s="1"/>
  <c r="E8" i="37"/>
  <c r="S3" i="37"/>
  <c r="S4" i="37"/>
  <c r="S5" i="37"/>
  <c r="S6" i="37"/>
  <c r="S7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22" i="37"/>
  <c r="S23" i="37"/>
  <c r="S24" i="37"/>
  <c r="S25" i="37"/>
  <c r="S26" i="37"/>
  <c r="S27" i="37"/>
  <c r="S28" i="37"/>
  <c r="S29" i="37"/>
  <c r="S30" i="37"/>
  <c r="S31" i="37"/>
  <c r="S32" i="37"/>
  <c r="S33" i="37"/>
  <c r="S34" i="37"/>
  <c r="S35" i="37"/>
  <c r="S36" i="37"/>
  <c r="S37" i="37"/>
  <c r="S38" i="37"/>
  <c r="S39" i="37"/>
  <c r="S40" i="37"/>
  <c r="S41" i="37"/>
  <c r="S42" i="37"/>
  <c r="S43" i="37"/>
  <c r="S44" i="37"/>
  <c r="S45" i="37"/>
  <c r="S46" i="37"/>
  <c r="S47" i="37"/>
  <c r="S48" i="37"/>
  <c r="S49" i="37"/>
  <c r="S50" i="37"/>
  <c r="S51" i="37"/>
  <c r="S52" i="37"/>
  <c r="S53" i="37"/>
  <c r="S54" i="37"/>
  <c r="S55" i="37"/>
  <c r="S56" i="37"/>
  <c r="S57" i="37"/>
  <c r="S58" i="37"/>
  <c r="S59" i="37"/>
  <c r="S60" i="37"/>
  <c r="S61" i="37"/>
  <c r="S62" i="37"/>
  <c r="S63" i="37"/>
  <c r="S64" i="37"/>
  <c r="S65" i="37"/>
  <c r="S66" i="37"/>
  <c r="S67" i="37"/>
  <c r="S68" i="37"/>
  <c r="S69" i="37"/>
  <c r="S70" i="37"/>
  <c r="S71" i="37"/>
  <c r="S72" i="37"/>
  <c r="S73" i="37"/>
  <c r="S74" i="37"/>
  <c r="S75" i="37"/>
  <c r="S76" i="37"/>
  <c r="S2" i="37"/>
  <c r="AZ3" i="37"/>
  <c r="AZ4" i="37"/>
  <c r="AZ5" i="37"/>
  <c r="AZ6" i="37"/>
  <c r="AZ7" i="37"/>
  <c r="AZ9" i="37"/>
  <c r="AZ10" i="37"/>
  <c r="AZ11" i="37"/>
  <c r="AZ12" i="37"/>
  <c r="AZ13" i="37"/>
  <c r="AZ14" i="37"/>
  <c r="AZ15" i="37"/>
  <c r="AZ16" i="37"/>
  <c r="AZ17" i="37"/>
  <c r="AZ18" i="37"/>
  <c r="AZ19" i="37"/>
  <c r="AZ20" i="37"/>
  <c r="AZ21" i="37"/>
  <c r="AZ22" i="37"/>
  <c r="AZ23" i="37"/>
  <c r="AZ24" i="37"/>
  <c r="AZ25" i="37"/>
  <c r="AZ26" i="37"/>
  <c r="AZ27" i="37"/>
  <c r="AZ28" i="37"/>
  <c r="AZ29" i="37"/>
  <c r="AZ30" i="37"/>
  <c r="AZ31" i="37"/>
  <c r="AZ32" i="37"/>
  <c r="AZ33" i="37"/>
  <c r="AZ34" i="37"/>
  <c r="AZ35" i="37"/>
  <c r="AZ36" i="37"/>
  <c r="AZ37" i="37"/>
  <c r="AZ38" i="37"/>
  <c r="AZ39" i="37"/>
  <c r="AZ40" i="37"/>
  <c r="AZ41" i="37"/>
  <c r="AZ42" i="37"/>
  <c r="AZ43" i="37"/>
  <c r="AZ44" i="37"/>
  <c r="AZ45" i="37"/>
  <c r="AZ46" i="37"/>
  <c r="AZ47" i="37"/>
  <c r="AZ48" i="37"/>
  <c r="AZ49" i="37"/>
  <c r="AZ50" i="37"/>
  <c r="AZ51" i="37"/>
  <c r="AZ52" i="37"/>
  <c r="AZ53" i="37"/>
  <c r="AZ54" i="37"/>
  <c r="AZ55" i="37"/>
  <c r="AZ56" i="37"/>
  <c r="AZ57" i="37"/>
  <c r="AZ58" i="37"/>
  <c r="AZ59" i="37"/>
  <c r="AZ60" i="37"/>
  <c r="AZ61" i="37"/>
  <c r="AZ62" i="37"/>
  <c r="AZ63" i="37"/>
  <c r="AZ64" i="37"/>
  <c r="AZ65" i="37"/>
  <c r="AZ66" i="37"/>
  <c r="AZ67" i="37"/>
  <c r="AZ68" i="37"/>
  <c r="AZ69" i="37"/>
  <c r="AZ70" i="37"/>
  <c r="AZ71" i="37"/>
  <c r="AZ72" i="37"/>
  <c r="AZ73" i="37"/>
  <c r="AZ74" i="37"/>
  <c r="AZ75" i="37"/>
  <c r="AZ76" i="37"/>
  <c r="AZ2" i="37"/>
  <c r="AS3" i="37"/>
  <c r="AS4" i="37"/>
  <c r="AS5" i="37"/>
  <c r="AS6" i="37"/>
  <c r="AS7" i="37"/>
  <c r="AS9" i="37"/>
  <c r="AS10" i="37"/>
  <c r="AS11" i="37"/>
  <c r="AS12" i="37"/>
  <c r="AS13" i="37"/>
  <c r="AS14" i="37"/>
  <c r="AS15" i="37"/>
  <c r="AS16" i="37"/>
  <c r="AS17" i="37"/>
  <c r="AS18" i="37"/>
  <c r="AS19" i="37"/>
  <c r="AS20" i="37"/>
  <c r="AS21" i="37"/>
  <c r="AS22" i="37"/>
  <c r="AS23" i="37"/>
  <c r="AS24" i="37"/>
  <c r="AS25" i="37"/>
  <c r="AS26" i="37"/>
  <c r="AS27" i="37"/>
  <c r="AS28" i="37"/>
  <c r="AS29" i="37"/>
  <c r="AS30" i="37"/>
  <c r="AS31" i="37"/>
  <c r="AS32" i="37"/>
  <c r="AS33" i="37"/>
  <c r="AS34" i="37"/>
  <c r="AS36" i="37"/>
  <c r="AS37" i="37"/>
  <c r="AS38" i="37"/>
  <c r="AS39" i="37"/>
  <c r="AS40" i="37"/>
  <c r="AS41" i="37"/>
  <c r="AS42" i="37"/>
  <c r="AS43" i="37"/>
  <c r="AS44" i="37"/>
  <c r="AS45" i="37"/>
  <c r="AS46" i="37"/>
  <c r="AS47" i="37"/>
  <c r="AS48" i="37"/>
  <c r="AS49" i="37"/>
  <c r="AS50" i="37"/>
  <c r="AS51" i="37"/>
  <c r="AS52" i="37"/>
  <c r="AS53" i="37"/>
  <c r="AS54" i="37"/>
  <c r="AS55" i="37"/>
  <c r="AS57" i="37"/>
  <c r="AS58" i="37"/>
  <c r="AS59" i="37"/>
  <c r="AS60" i="37"/>
  <c r="AS61" i="37"/>
  <c r="AS62" i="37"/>
  <c r="AS63" i="37"/>
  <c r="AS64" i="37"/>
  <c r="AS65" i="37"/>
  <c r="AS66" i="37"/>
  <c r="AS67" i="37"/>
  <c r="AS68" i="37"/>
  <c r="AS69" i="37"/>
  <c r="AS70" i="37"/>
  <c r="AS71" i="37"/>
  <c r="AS72" i="37"/>
  <c r="AS73" i="37"/>
  <c r="AS74" i="37"/>
  <c r="AS75" i="37"/>
  <c r="AS76" i="37"/>
  <c r="AS2" i="37"/>
  <c r="BD76" i="37" a="1"/>
  <c r="BD76" i="37" s="1"/>
  <c r="BC76" i="37" a="1"/>
  <c r="BC76" i="37" s="1"/>
  <c r="BB76" i="37" a="1"/>
  <c r="BB76" i="37" s="1"/>
  <c r="BA76" i="37" a="1"/>
  <c r="BA76" i="37" s="1"/>
  <c r="AW76" i="37" a="1"/>
  <c r="AW76" i="37" s="1"/>
  <c r="AV76" i="37" a="1"/>
  <c r="AV76" i="37" s="1"/>
  <c r="AU76" i="37" a="1"/>
  <c r="AU76" i="37" s="1"/>
  <c r="AT76" i="37" a="1"/>
  <c r="AT76" i="37" s="1"/>
  <c r="Y76" i="37"/>
  <c r="V76" i="37"/>
  <c r="U76" i="37"/>
  <c r="N76" i="37"/>
  <c r="P76" i="37" s="1" a="1"/>
  <c r="P76" i="37" s="1"/>
  <c r="I76" i="37"/>
  <c r="H76" i="37"/>
  <c r="J76" i="37" s="1"/>
  <c r="E76" i="37"/>
  <c r="BD75" i="37" a="1"/>
  <c r="BD75" i="37" s="1"/>
  <c r="BC75" i="37" a="1"/>
  <c r="BC75" i="37" s="1"/>
  <c r="BB75" i="37" a="1"/>
  <c r="BB75" i="37" s="1"/>
  <c r="BA75" i="37" a="1"/>
  <c r="BA75" i="37" s="1"/>
  <c r="AW75" i="37" a="1"/>
  <c r="AW75" i="37" s="1"/>
  <c r="AV75" i="37" a="1"/>
  <c r="AV75" i="37" s="1"/>
  <c r="AU75" i="37" a="1"/>
  <c r="AU75" i="37" s="1"/>
  <c r="AT75" i="37" a="1"/>
  <c r="AT75" i="37" s="1"/>
  <c r="Y75" i="37"/>
  <c r="V75" i="37"/>
  <c r="U75" i="37"/>
  <c r="N75" i="37"/>
  <c r="P75" i="37" s="1" a="1"/>
  <c r="P75" i="37" s="1"/>
  <c r="I75" i="37"/>
  <c r="H75" i="37"/>
  <c r="J75" i="37" s="1"/>
  <c r="E75" i="37"/>
  <c r="BD74" i="37" a="1"/>
  <c r="BD74" i="37" s="1"/>
  <c r="BC74" i="37" a="1"/>
  <c r="BC74" i="37" s="1"/>
  <c r="BB74" i="37" a="1"/>
  <c r="BB74" i="37" s="1"/>
  <c r="BA74" i="37" a="1"/>
  <c r="BA74" i="37" s="1"/>
  <c r="AW74" i="37" a="1"/>
  <c r="AW74" i="37" s="1"/>
  <c r="AV74" i="37" a="1"/>
  <c r="AV74" i="37" s="1"/>
  <c r="AU74" i="37" a="1"/>
  <c r="AU74" i="37" s="1"/>
  <c r="AT74" i="37" a="1"/>
  <c r="AT74" i="37" s="1"/>
  <c r="Y74" i="37"/>
  <c r="V74" i="37"/>
  <c r="U74" i="37"/>
  <c r="N74" i="37"/>
  <c r="AP74" i="37" s="1" a="1"/>
  <c r="AP74" i="37" s="1"/>
  <c r="I74" i="37"/>
  <c r="H74" i="37"/>
  <c r="J74" i="37" s="1"/>
  <c r="E74" i="37"/>
  <c r="BD73" i="37" a="1"/>
  <c r="BD73" i="37" s="1"/>
  <c r="BC73" i="37" a="1"/>
  <c r="BC73" i="37" s="1"/>
  <c r="BB73" i="37" a="1"/>
  <c r="BB73" i="37" s="1"/>
  <c r="BA73" i="37" a="1"/>
  <c r="BA73" i="37" s="1"/>
  <c r="AW73" i="37" a="1"/>
  <c r="AW73" i="37" s="1"/>
  <c r="AV73" i="37" a="1"/>
  <c r="AV73" i="37" s="1"/>
  <c r="AU73" i="37" a="1"/>
  <c r="AU73" i="37" s="1"/>
  <c r="AT73" i="37" a="1"/>
  <c r="AT73" i="37" s="1"/>
  <c r="Y73" i="37"/>
  <c r="V73" i="37"/>
  <c r="U73" i="37"/>
  <c r="N73" i="37"/>
  <c r="I73" i="37"/>
  <c r="H73" i="37"/>
  <c r="J73" i="37" s="1"/>
  <c r="E73" i="37"/>
  <c r="BD72" i="37" a="1"/>
  <c r="BD72" i="37" s="1"/>
  <c r="BC72" i="37" a="1"/>
  <c r="BC72" i="37" s="1"/>
  <c r="BB72" i="37" a="1"/>
  <c r="BB72" i="37" s="1"/>
  <c r="BA72" i="37" a="1"/>
  <c r="BA72" i="37" s="1"/>
  <c r="AW72" i="37" a="1"/>
  <c r="AW72" i="37" s="1"/>
  <c r="AV72" i="37" a="1"/>
  <c r="AV72" i="37" s="1"/>
  <c r="AU72" i="37" a="1"/>
  <c r="AU72" i="37" s="1"/>
  <c r="AT72" i="37" a="1"/>
  <c r="AT72" i="37" s="1"/>
  <c r="Y72" i="37"/>
  <c r="V72" i="37"/>
  <c r="U72" i="37"/>
  <c r="N72" i="37"/>
  <c r="Q72" i="37" s="1" a="1"/>
  <c r="Q72" i="37" s="1"/>
  <c r="I72" i="37"/>
  <c r="H72" i="37"/>
  <c r="J72" i="37" s="1"/>
  <c r="E72" i="37"/>
  <c r="BD71" i="37" a="1"/>
  <c r="BD71" i="37" s="1"/>
  <c r="BC71" i="37" a="1"/>
  <c r="BC71" i="37" s="1"/>
  <c r="BB71" i="37" a="1"/>
  <c r="BB71" i="37" s="1"/>
  <c r="BA71" i="37" a="1"/>
  <c r="BA71" i="37" s="1"/>
  <c r="AW71" i="37" a="1"/>
  <c r="AW71" i="37" s="1"/>
  <c r="AV71" i="37" a="1"/>
  <c r="AV71" i="37" s="1"/>
  <c r="AU71" i="37" a="1"/>
  <c r="AU71" i="37" s="1"/>
  <c r="AT71" i="37" a="1"/>
  <c r="AT71" i="37" s="1"/>
  <c r="Y71" i="37"/>
  <c r="V71" i="37"/>
  <c r="U71" i="37"/>
  <c r="N71" i="37"/>
  <c r="AO71" i="37" s="1" a="1"/>
  <c r="AO71" i="37" s="1"/>
  <c r="I71" i="37"/>
  <c r="H71" i="37"/>
  <c r="J71" i="37" s="1"/>
  <c r="E71" i="37"/>
  <c r="BD70" i="37" a="1"/>
  <c r="BD70" i="37" s="1"/>
  <c r="BC70" i="37" a="1"/>
  <c r="BC70" i="37" s="1"/>
  <c r="BB70" i="37" a="1"/>
  <c r="BB70" i="37" s="1"/>
  <c r="BA70" i="37" a="1"/>
  <c r="BA70" i="37" s="1"/>
  <c r="AW70" i="37" a="1"/>
  <c r="AW70" i="37" s="1"/>
  <c r="AV70" i="37" a="1"/>
  <c r="AV70" i="37" s="1"/>
  <c r="AU70" i="37" a="1"/>
  <c r="AU70" i="37" s="1"/>
  <c r="AT70" i="37" a="1"/>
  <c r="AT70" i="37" s="1"/>
  <c r="Y70" i="37"/>
  <c r="V70" i="37"/>
  <c r="U70" i="37"/>
  <c r="N70" i="37"/>
  <c r="AP70" i="37" s="1" a="1"/>
  <c r="AP70" i="37" s="1"/>
  <c r="I70" i="37"/>
  <c r="H70" i="37"/>
  <c r="J70" i="37" s="1"/>
  <c r="E70" i="37"/>
  <c r="BD69" i="37" a="1"/>
  <c r="BD69" i="37" s="1"/>
  <c r="BC69" i="37" a="1"/>
  <c r="BC69" i="37" s="1"/>
  <c r="BB69" i="37" a="1"/>
  <c r="BB69" i="37" s="1"/>
  <c r="BA69" i="37" a="1"/>
  <c r="BA69" i="37" s="1"/>
  <c r="AW69" i="37" a="1"/>
  <c r="AW69" i="37" s="1"/>
  <c r="AV69" i="37" a="1"/>
  <c r="AV69" i="37" s="1"/>
  <c r="AU69" i="37" a="1"/>
  <c r="AU69" i="37" s="1"/>
  <c r="AT69" i="37" a="1"/>
  <c r="AT69" i="37" s="1"/>
  <c r="Y69" i="37"/>
  <c r="V69" i="37"/>
  <c r="U69" i="37"/>
  <c r="N69" i="37"/>
  <c r="I69" i="37"/>
  <c r="H69" i="37"/>
  <c r="J69" i="37" s="1"/>
  <c r="E69" i="37"/>
  <c r="BD68" i="37" a="1"/>
  <c r="BD68" i="37" s="1"/>
  <c r="BC68" i="37" a="1"/>
  <c r="BC68" i="37" s="1"/>
  <c r="BB68" i="37" a="1"/>
  <c r="BB68" i="37" s="1"/>
  <c r="BA68" i="37" a="1"/>
  <c r="BA68" i="37" s="1"/>
  <c r="AW68" i="37" a="1"/>
  <c r="AW68" i="37" s="1"/>
  <c r="AV68" i="37" a="1"/>
  <c r="AV68" i="37" s="1"/>
  <c r="AU68" i="37" a="1"/>
  <c r="AU68" i="37" s="1"/>
  <c r="AT68" i="37" a="1"/>
  <c r="AT68" i="37" s="1"/>
  <c r="Y68" i="37"/>
  <c r="V68" i="37"/>
  <c r="U68" i="37"/>
  <c r="N68" i="37"/>
  <c r="AP68" i="37" s="1" a="1"/>
  <c r="AP68" i="37" s="1"/>
  <c r="I68" i="37"/>
  <c r="H68" i="37"/>
  <c r="J68" i="37" s="1"/>
  <c r="E68" i="37"/>
  <c r="BD67" i="37" a="1"/>
  <c r="BD67" i="37" s="1"/>
  <c r="BC67" i="37" a="1"/>
  <c r="BC67" i="37" s="1"/>
  <c r="BB67" i="37" a="1"/>
  <c r="BB67" i="37" s="1"/>
  <c r="BA67" i="37" a="1"/>
  <c r="BA67" i="37" s="1"/>
  <c r="AW67" i="37" a="1"/>
  <c r="AW67" i="37" s="1"/>
  <c r="AV67" i="37" a="1"/>
  <c r="AV67" i="37" s="1"/>
  <c r="AU67" i="37" a="1"/>
  <c r="AU67" i="37" s="1"/>
  <c r="AT67" i="37" a="1"/>
  <c r="AT67" i="37" s="1"/>
  <c r="Y67" i="37"/>
  <c r="V67" i="37"/>
  <c r="U67" i="37"/>
  <c r="N67" i="37"/>
  <c r="AO67" i="37" s="1" a="1"/>
  <c r="AO67" i="37" s="1"/>
  <c r="I67" i="37"/>
  <c r="H67" i="37"/>
  <c r="J67" i="37" s="1"/>
  <c r="E67" i="37"/>
  <c r="BD66" i="37" a="1"/>
  <c r="BD66" i="37" s="1"/>
  <c r="BC66" i="37" a="1"/>
  <c r="BC66" i="37" s="1"/>
  <c r="BB66" i="37" a="1"/>
  <c r="BB66" i="37" s="1"/>
  <c r="BA66" i="37" a="1"/>
  <c r="BA66" i="37" s="1"/>
  <c r="AW66" i="37" a="1"/>
  <c r="AW66" i="37" s="1"/>
  <c r="AV66" i="37" a="1"/>
  <c r="AV66" i="37" s="1"/>
  <c r="AU66" i="37" a="1"/>
  <c r="AU66" i="37" s="1"/>
  <c r="AT66" i="37" a="1"/>
  <c r="AT66" i="37" s="1"/>
  <c r="Y66" i="37"/>
  <c r="V66" i="37"/>
  <c r="U66" i="37"/>
  <c r="N66" i="37"/>
  <c r="I66" i="37"/>
  <c r="H66" i="37"/>
  <c r="J66" i="37" s="1"/>
  <c r="E66" i="37"/>
  <c r="BD65" i="37" a="1"/>
  <c r="BD65" i="37" s="1"/>
  <c r="BC65" i="37" a="1"/>
  <c r="BC65" i="37" s="1"/>
  <c r="BB65" i="37" a="1"/>
  <c r="BB65" i="37" s="1"/>
  <c r="BA65" i="37" a="1"/>
  <c r="BA65" i="37" s="1"/>
  <c r="AW65" i="37" a="1"/>
  <c r="AW65" i="37" s="1"/>
  <c r="AV65" i="37" a="1"/>
  <c r="AV65" i="37" s="1"/>
  <c r="AU65" i="37" a="1"/>
  <c r="AU65" i="37" s="1"/>
  <c r="AT65" i="37" a="1"/>
  <c r="AT65" i="37" s="1"/>
  <c r="Y65" i="37"/>
  <c r="V65" i="37"/>
  <c r="U65" i="37"/>
  <c r="N65" i="37"/>
  <c r="I65" i="37"/>
  <c r="H65" i="37"/>
  <c r="J65" i="37" s="1"/>
  <c r="E65" i="37"/>
  <c r="BD64" i="37" a="1"/>
  <c r="BD64" i="37" s="1"/>
  <c r="BC64" i="37" a="1"/>
  <c r="BC64" i="37" s="1"/>
  <c r="BB64" i="37" a="1"/>
  <c r="BB64" i="37" s="1"/>
  <c r="BA64" i="37" a="1"/>
  <c r="BA64" i="37" s="1"/>
  <c r="AW64" i="37" a="1"/>
  <c r="AW64" i="37" s="1"/>
  <c r="AV64" i="37" a="1"/>
  <c r="AV64" i="37" s="1"/>
  <c r="AU64" i="37" a="1"/>
  <c r="AU64" i="37" s="1"/>
  <c r="AT64" i="37" a="1"/>
  <c r="AT64" i="37" s="1"/>
  <c r="Y64" i="37"/>
  <c r="V64" i="37"/>
  <c r="U64" i="37"/>
  <c r="N64" i="37"/>
  <c r="P64" i="37" s="1" a="1"/>
  <c r="P64" i="37" s="1"/>
  <c r="I64" i="37"/>
  <c r="H64" i="37"/>
  <c r="J64" i="37" s="1"/>
  <c r="E64" i="37"/>
  <c r="BD63" i="37" a="1"/>
  <c r="BD63" i="37" s="1"/>
  <c r="BC63" i="37" a="1"/>
  <c r="BC63" i="37" s="1"/>
  <c r="BB63" i="37" a="1"/>
  <c r="BB63" i="37" s="1"/>
  <c r="BA63" i="37" a="1"/>
  <c r="BA63" i="37" s="1"/>
  <c r="AW63" i="37" a="1"/>
  <c r="AW63" i="37" s="1"/>
  <c r="AV63" i="37" a="1"/>
  <c r="AV63" i="37" s="1"/>
  <c r="AU63" i="37" a="1"/>
  <c r="AU63" i="37" s="1"/>
  <c r="AT63" i="37" a="1"/>
  <c r="AT63" i="37" s="1"/>
  <c r="Y63" i="37"/>
  <c r="V63" i="37"/>
  <c r="U63" i="37"/>
  <c r="N63" i="37"/>
  <c r="Q63" i="37" s="1" a="1"/>
  <c r="Q63" i="37" s="1"/>
  <c r="I63" i="37"/>
  <c r="H63" i="37"/>
  <c r="J63" i="37" s="1"/>
  <c r="E63" i="37"/>
  <c r="BD62" i="37" a="1"/>
  <c r="BD62" i="37" s="1"/>
  <c r="BC62" i="37" a="1"/>
  <c r="BC62" i="37" s="1"/>
  <c r="BB62" i="37" a="1"/>
  <c r="BB62" i="37" s="1"/>
  <c r="BA62" i="37" a="1"/>
  <c r="BA62" i="37" s="1"/>
  <c r="AW62" i="37" a="1"/>
  <c r="AW62" i="37" s="1"/>
  <c r="AV62" i="37" a="1"/>
  <c r="AV62" i="37" s="1"/>
  <c r="AU62" i="37" a="1"/>
  <c r="AU62" i="37" s="1"/>
  <c r="AT62" i="37" a="1"/>
  <c r="AT62" i="37" s="1"/>
  <c r="Y62" i="37"/>
  <c r="V62" i="37"/>
  <c r="U62" i="37"/>
  <c r="N62" i="37"/>
  <c r="Q62" i="37" s="1" a="1"/>
  <c r="Q62" i="37" s="1"/>
  <c r="I62" i="37"/>
  <c r="H62" i="37"/>
  <c r="J62" i="37" s="1"/>
  <c r="E62" i="37"/>
  <c r="BD61" i="37" a="1"/>
  <c r="BD61" i="37" s="1"/>
  <c r="BC61" i="37" a="1"/>
  <c r="BC61" i="37" s="1"/>
  <c r="BB61" i="37" a="1"/>
  <c r="BB61" i="37" s="1"/>
  <c r="BA61" i="37" a="1"/>
  <c r="BA61" i="37" s="1"/>
  <c r="AW61" i="37" a="1"/>
  <c r="AW61" i="37" s="1"/>
  <c r="AV61" i="37" a="1"/>
  <c r="AV61" i="37" s="1"/>
  <c r="AU61" i="37" a="1"/>
  <c r="AU61" i="37" s="1"/>
  <c r="AT61" i="37" a="1"/>
  <c r="AT61" i="37" s="1"/>
  <c r="Y61" i="37"/>
  <c r="V61" i="37"/>
  <c r="U61" i="37"/>
  <c r="N61" i="37"/>
  <c r="I61" i="37"/>
  <c r="H61" i="37"/>
  <c r="J61" i="37" s="1"/>
  <c r="E61" i="37"/>
  <c r="BC60" i="37" a="1"/>
  <c r="BC60" i="37" s="1"/>
  <c r="AW60" i="37" a="1"/>
  <c r="AW60" i="37" s="1"/>
  <c r="AV60" i="37" a="1"/>
  <c r="AV60" i="37" s="1"/>
  <c r="AU60" i="37" a="1"/>
  <c r="AU60" i="37" s="1"/>
  <c r="AT60" i="37" a="1"/>
  <c r="AT60" i="37" s="1"/>
  <c r="Y60" i="37"/>
  <c r="V60" i="37"/>
  <c r="U60" i="37"/>
  <c r="N60" i="37"/>
  <c r="BD60" i="37" s="1" a="1"/>
  <c r="BD60" i="37" s="1"/>
  <c r="I60" i="37"/>
  <c r="H60" i="37"/>
  <c r="J60" i="37" s="1"/>
  <c r="E60" i="37"/>
  <c r="AW59" i="37" a="1"/>
  <c r="AW59" i="37" s="1"/>
  <c r="AV59" i="37" a="1"/>
  <c r="AV59" i="37" s="1"/>
  <c r="AU59" i="37" a="1"/>
  <c r="AU59" i="37" s="1"/>
  <c r="AT59" i="37" a="1"/>
  <c r="AT59" i="37" s="1"/>
  <c r="Y59" i="37"/>
  <c r="V59" i="37"/>
  <c r="U59" i="37"/>
  <c r="N59" i="37"/>
  <c r="BD59" i="37" s="1" a="1"/>
  <c r="BD59" i="37" s="1"/>
  <c r="I59" i="37"/>
  <c r="H59" i="37"/>
  <c r="J59" i="37" s="1"/>
  <c r="AM59" i="37" s="1" a="1"/>
  <c r="AM59" i="37" s="1"/>
  <c r="E59" i="37"/>
  <c r="BD58" i="37" a="1"/>
  <c r="BD58" i="37" s="1"/>
  <c r="AW58" i="37" a="1"/>
  <c r="AW58" i="37" s="1"/>
  <c r="AV58" i="37" a="1"/>
  <c r="AV58" i="37" s="1"/>
  <c r="AU58" i="37" a="1"/>
  <c r="AU58" i="37" s="1"/>
  <c r="AT58" i="37" a="1"/>
  <c r="AT58" i="37" s="1"/>
  <c r="Y58" i="37"/>
  <c r="V58" i="37"/>
  <c r="U58" i="37"/>
  <c r="N58" i="37"/>
  <c r="BC58" i="37" s="1" a="1"/>
  <c r="BC58" i="37" s="1"/>
  <c r="I58" i="37"/>
  <c r="H58" i="37"/>
  <c r="J58" i="37" s="1"/>
  <c r="E58" i="37"/>
  <c r="BD57" i="37" a="1"/>
  <c r="BD57" i="37" s="1"/>
  <c r="AW57" i="37" a="1"/>
  <c r="AW57" i="37" s="1"/>
  <c r="AV57" i="37" a="1"/>
  <c r="AV57" i="37" s="1"/>
  <c r="Y57" i="37"/>
  <c r="V57" i="37"/>
  <c r="U57" i="37"/>
  <c r="N57" i="37"/>
  <c r="BC57" i="37" s="1" a="1"/>
  <c r="BC57" i="37" s="1"/>
  <c r="I57" i="37"/>
  <c r="H57" i="37"/>
  <c r="J57" i="37" s="1"/>
  <c r="E57" i="37"/>
  <c r="Y56" i="37"/>
  <c r="V56" i="37"/>
  <c r="U56" i="37"/>
  <c r="N56" i="37"/>
  <c r="I56" i="37"/>
  <c r="H56" i="37"/>
  <c r="J56" i="37" s="1"/>
  <c r="E56" i="37"/>
  <c r="Y55" i="37"/>
  <c r="V55" i="37"/>
  <c r="U55" i="37"/>
  <c r="N55" i="37"/>
  <c r="I55" i="37"/>
  <c r="H55" i="37"/>
  <c r="J55" i="37" s="1"/>
  <c r="E55" i="37"/>
  <c r="BD54" i="37" a="1"/>
  <c r="BD54" i="37" s="1"/>
  <c r="BC54" i="37" a="1"/>
  <c r="BC54" i="37" s="1"/>
  <c r="BB54" i="37" a="1"/>
  <c r="BB54" i="37" s="1"/>
  <c r="BA54" i="37" a="1"/>
  <c r="BA54" i="37" s="1"/>
  <c r="AW54" i="37" a="1"/>
  <c r="AW54" i="37" s="1"/>
  <c r="AV54" i="37" a="1"/>
  <c r="AV54" i="37" s="1"/>
  <c r="AU54" i="37" a="1"/>
  <c r="AU54" i="37" s="1"/>
  <c r="AT54" i="37" a="1"/>
  <c r="AT54" i="37" s="1"/>
  <c r="Y54" i="37"/>
  <c r="V54" i="37"/>
  <c r="U54" i="37"/>
  <c r="N54" i="37"/>
  <c r="P54" i="37" s="1" a="1"/>
  <c r="P54" i="37" s="1"/>
  <c r="I54" i="37"/>
  <c r="H54" i="37"/>
  <c r="J54" i="37" s="1"/>
  <c r="E54" i="37"/>
  <c r="BD53" i="37" a="1"/>
  <c r="BD53" i="37" s="1"/>
  <c r="BC53" i="37" a="1"/>
  <c r="BC53" i="37" s="1"/>
  <c r="BB53" i="37" a="1"/>
  <c r="BB53" i="37" s="1"/>
  <c r="BA53" i="37" a="1"/>
  <c r="BA53" i="37" s="1"/>
  <c r="AW53" i="37" a="1"/>
  <c r="AW53" i="37" s="1"/>
  <c r="AV53" i="37" a="1"/>
  <c r="AV53" i="37" s="1"/>
  <c r="AU53" i="37" a="1"/>
  <c r="AU53" i="37" s="1"/>
  <c r="AT53" i="37" a="1"/>
  <c r="AT53" i="37" s="1"/>
  <c r="Y53" i="37"/>
  <c r="V53" i="37"/>
  <c r="U53" i="37"/>
  <c r="N53" i="37"/>
  <c r="AO53" i="37" s="1" a="1"/>
  <c r="AO53" i="37" s="1"/>
  <c r="I53" i="37"/>
  <c r="H53" i="37"/>
  <c r="J53" i="37" s="1"/>
  <c r="E53" i="37"/>
  <c r="BD52" i="37" a="1"/>
  <c r="BD52" i="37" s="1"/>
  <c r="BC52" i="37" a="1"/>
  <c r="BC52" i="37" s="1"/>
  <c r="BB52" i="37" a="1"/>
  <c r="BB52" i="37" s="1"/>
  <c r="BA52" i="37" a="1"/>
  <c r="BA52" i="37" s="1"/>
  <c r="AW52" i="37" a="1"/>
  <c r="AW52" i="37" s="1"/>
  <c r="AV52" i="37" a="1"/>
  <c r="AV52" i="37" s="1"/>
  <c r="AU52" i="37" a="1"/>
  <c r="AU52" i="37" s="1"/>
  <c r="AT52" i="37" a="1"/>
  <c r="AT52" i="37" s="1"/>
  <c r="Y52" i="37"/>
  <c r="V52" i="37"/>
  <c r="U52" i="37"/>
  <c r="N52" i="37"/>
  <c r="AP52" i="37" s="1" a="1"/>
  <c r="AP52" i="37" s="1"/>
  <c r="I52" i="37"/>
  <c r="H52" i="37"/>
  <c r="J52" i="37" s="1"/>
  <c r="E52" i="37"/>
  <c r="BD51" i="37" a="1"/>
  <c r="BD51" i="37" s="1"/>
  <c r="BC51" i="37" a="1"/>
  <c r="BC51" i="37" s="1"/>
  <c r="BB51" i="37" a="1"/>
  <c r="BB51" i="37" s="1"/>
  <c r="BA51" i="37" a="1"/>
  <c r="BA51" i="37" s="1"/>
  <c r="AW51" i="37" a="1"/>
  <c r="AW51" i="37" s="1"/>
  <c r="AV51" i="37" a="1"/>
  <c r="AV51" i="37" s="1"/>
  <c r="AU51" i="37" a="1"/>
  <c r="AU51" i="37" s="1"/>
  <c r="AT51" i="37" a="1"/>
  <c r="AT51" i="37" s="1"/>
  <c r="Y51" i="37"/>
  <c r="V51" i="37"/>
  <c r="U51" i="37"/>
  <c r="N51" i="37"/>
  <c r="I51" i="37"/>
  <c r="H51" i="37"/>
  <c r="J51" i="37" s="1"/>
  <c r="E51" i="37"/>
  <c r="BD50" i="37" a="1"/>
  <c r="BD50" i="37" s="1"/>
  <c r="BC50" i="37" a="1"/>
  <c r="BC50" i="37" s="1"/>
  <c r="BB50" i="37" a="1"/>
  <c r="BB50" i="37" s="1"/>
  <c r="BA50" i="37" a="1"/>
  <c r="BA50" i="37" s="1"/>
  <c r="AW50" i="37" a="1"/>
  <c r="AW50" i="37" s="1"/>
  <c r="AV50" i="37" a="1"/>
  <c r="AV50" i="37" s="1"/>
  <c r="AU50" i="37" a="1"/>
  <c r="AU50" i="37" s="1"/>
  <c r="AT50" i="37" a="1"/>
  <c r="AT50" i="37" s="1"/>
  <c r="Y50" i="37"/>
  <c r="V50" i="37"/>
  <c r="U50" i="37"/>
  <c r="N50" i="37"/>
  <c r="I50" i="37"/>
  <c r="H50" i="37"/>
  <c r="J50" i="37" s="1"/>
  <c r="E50" i="37"/>
  <c r="BD49" i="37" a="1"/>
  <c r="BD49" i="37" s="1"/>
  <c r="BC49" i="37" a="1"/>
  <c r="BC49" i="37" s="1"/>
  <c r="BB49" i="37" a="1"/>
  <c r="BB49" i="37" s="1"/>
  <c r="BA49" i="37" a="1"/>
  <c r="BA49" i="37" s="1"/>
  <c r="AW49" i="37" a="1"/>
  <c r="AW49" i="37" s="1"/>
  <c r="AV49" i="37" a="1"/>
  <c r="AV49" i="37" s="1"/>
  <c r="AU49" i="37" a="1"/>
  <c r="AU49" i="37" s="1"/>
  <c r="AT49" i="37" a="1"/>
  <c r="AT49" i="37" s="1"/>
  <c r="Y49" i="37"/>
  <c r="V49" i="37"/>
  <c r="U49" i="37"/>
  <c r="N49" i="37"/>
  <c r="Q49" i="37" s="1" a="1"/>
  <c r="Q49" i="37" s="1"/>
  <c r="I49" i="37"/>
  <c r="H49" i="37"/>
  <c r="J49" i="37" s="1"/>
  <c r="E49" i="37"/>
  <c r="BD48" i="37" a="1"/>
  <c r="BD48" i="37" s="1"/>
  <c r="BC48" i="37" a="1"/>
  <c r="BC48" i="37" s="1"/>
  <c r="BB48" i="37" a="1"/>
  <c r="BB48" i="37" s="1"/>
  <c r="BA48" i="37" a="1"/>
  <c r="BA48" i="37" s="1"/>
  <c r="AW48" i="37" a="1"/>
  <c r="AW48" i="37" s="1"/>
  <c r="AV48" i="37" a="1"/>
  <c r="AV48" i="37" s="1"/>
  <c r="AU48" i="37" a="1"/>
  <c r="AU48" i="37" s="1"/>
  <c r="AT48" i="37" a="1"/>
  <c r="AT48" i="37" s="1"/>
  <c r="Y48" i="37"/>
  <c r="V48" i="37"/>
  <c r="U48" i="37"/>
  <c r="N48" i="37"/>
  <c r="P48" i="37" s="1" a="1"/>
  <c r="P48" i="37" s="1"/>
  <c r="I48" i="37"/>
  <c r="H48" i="37"/>
  <c r="J48" i="37" s="1"/>
  <c r="E48" i="37"/>
  <c r="BD47" i="37" a="1"/>
  <c r="BD47" i="37" s="1"/>
  <c r="BC47" i="37" a="1"/>
  <c r="BC47" i="37" s="1"/>
  <c r="BB47" i="37" a="1"/>
  <c r="BB47" i="37" s="1"/>
  <c r="BA47" i="37" a="1"/>
  <c r="BA47" i="37" s="1"/>
  <c r="AW47" i="37" a="1"/>
  <c r="AW47" i="37" s="1"/>
  <c r="AV47" i="37" a="1"/>
  <c r="AV47" i="37" s="1"/>
  <c r="AU47" i="37" a="1"/>
  <c r="AU47" i="37" s="1"/>
  <c r="AT47" i="37" a="1"/>
  <c r="AT47" i="37" s="1"/>
  <c r="Y47" i="37"/>
  <c r="V47" i="37"/>
  <c r="U47" i="37"/>
  <c r="N47" i="37"/>
  <c r="I47" i="37"/>
  <c r="H47" i="37"/>
  <c r="J47" i="37" s="1"/>
  <c r="E47" i="37"/>
  <c r="BD46" i="37" a="1"/>
  <c r="BD46" i="37" s="1"/>
  <c r="BC46" i="37" a="1"/>
  <c r="BC46" i="37" s="1"/>
  <c r="BB46" i="37" a="1"/>
  <c r="BB46" i="37" s="1"/>
  <c r="BA46" i="37" a="1"/>
  <c r="BA46" i="37" s="1"/>
  <c r="AW46" i="37" a="1"/>
  <c r="AW46" i="37" s="1"/>
  <c r="AV46" i="37" a="1"/>
  <c r="AV46" i="37" s="1"/>
  <c r="AU46" i="37" a="1"/>
  <c r="AU46" i="37" s="1"/>
  <c r="AT46" i="37" a="1"/>
  <c r="AT46" i="37" s="1"/>
  <c r="Y46" i="37"/>
  <c r="V46" i="37"/>
  <c r="U46" i="37"/>
  <c r="N46" i="37"/>
  <c r="Q46" i="37" s="1" a="1"/>
  <c r="Q46" i="37" s="1"/>
  <c r="I46" i="37"/>
  <c r="H46" i="37"/>
  <c r="J46" i="37" s="1"/>
  <c r="E46" i="37"/>
  <c r="BD45" i="37" a="1"/>
  <c r="BD45" i="37" s="1"/>
  <c r="BC45" i="37" a="1"/>
  <c r="BC45" i="37" s="1"/>
  <c r="BB45" i="37" a="1"/>
  <c r="BB45" i="37" s="1"/>
  <c r="BA45" i="37" a="1"/>
  <c r="BA45" i="37" s="1"/>
  <c r="AW45" i="37" a="1"/>
  <c r="AW45" i="37" s="1"/>
  <c r="AV45" i="37" a="1"/>
  <c r="AV45" i="37" s="1"/>
  <c r="AU45" i="37" a="1"/>
  <c r="AU45" i="37" s="1"/>
  <c r="AT45" i="37" a="1"/>
  <c r="AT45" i="37" s="1"/>
  <c r="Y45" i="37"/>
  <c r="V45" i="37"/>
  <c r="U45" i="37"/>
  <c r="N45" i="37"/>
  <c r="I45" i="37"/>
  <c r="H45" i="37"/>
  <c r="J45" i="37" s="1"/>
  <c r="E45" i="37"/>
  <c r="BD44" i="37" a="1"/>
  <c r="BD44" i="37" s="1"/>
  <c r="BC44" i="37" a="1"/>
  <c r="BC44" i="37" s="1"/>
  <c r="BB44" i="37" a="1"/>
  <c r="BB44" i="37" s="1"/>
  <c r="BA44" i="37" a="1"/>
  <c r="BA44" i="37" s="1"/>
  <c r="AW44" i="37" a="1"/>
  <c r="AW44" i="37" s="1"/>
  <c r="AV44" i="37" a="1"/>
  <c r="AV44" i="37" s="1"/>
  <c r="AU44" i="37" a="1"/>
  <c r="AU44" i="37" s="1"/>
  <c r="AT44" i="37" a="1"/>
  <c r="AT44" i="37" s="1"/>
  <c r="Y44" i="37"/>
  <c r="V44" i="37"/>
  <c r="U44" i="37"/>
  <c r="N44" i="37"/>
  <c r="P44" i="37" s="1" a="1"/>
  <c r="P44" i="37" s="1"/>
  <c r="I44" i="37"/>
  <c r="H44" i="37"/>
  <c r="J44" i="37" s="1"/>
  <c r="E44" i="37"/>
  <c r="BD43" i="37" a="1"/>
  <c r="BD43" i="37" s="1"/>
  <c r="BC43" i="37" a="1"/>
  <c r="BC43" i="37" s="1"/>
  <c r="BB43" i="37" a="1"/>
  <c r="BB43" i="37" s="1"/>
  <c r="BA43" i="37" a="1"/>
  <c r="BA43" i="37" s="1"/>
  <c r="AW43" i="37" a="1"/>
  <c r="AW43" i="37" s="1"/>
  <c r="AV43" i="37" a="1"/>
  <c r="AV43" i="37" s="1"/>
  <c r="AU43" i="37" a="1"/>
  <c r="AU43" i="37" s="1"/>
  <c r="AT43" i="37" a="1"/>
  <c r="AT43" i="37" s="1"/>
  <c r="Y43" i="37"/>
  <c r="V43" i="37"/>
  <c r="U43" i="37"/>
  <c r="N43" i="37"/>
  <c r="I43" i="37"/>
  <c r="H43" i="37"/>
  <c r="J43" i="37" s="1"/>
  <c r="E43" i="37"/>
  <c r="BD42" i="37" a="1"/>
  <c r="BD42" i="37" s="1"/>
  <c r="BC42" i="37" a="1"/>
  <c r="BC42" i="37" s="1"/>
  <c r="BB42" i="37" a="1"/>
  <c r="BB42" i="37" s="1"/>
  <c r="BA42" i="37" a="1"/>
  <c r="BA42" i="37" s="1"/>
  <c r="AW42" i="37" a="1"/>
  <c r="AW42" i="37" s="1"/>
  <c r="AV42" i="37" a="1"/>
  <c r="AV42" i="37" s="1"/>
  <c r="AU42" i="37" a="1"/>
  <c r="AU42" i="37" s="1"/>
  <c r="AT42" i="37" a="1"/>
  <c r="AT42" i="37" s="1"/>
  <c r="Y42" i="37"/>
  <c r="V42" i="37"/>
  <c r="U42" i="37"/>
  <c r="N42" i="37"/>
  <c r="AP42" i="37" s="1" a="1"/>
  <c r="AP42" i="37" s="1"/>
  <c r="I42" i="37"/>
  <c r="H42" i="37"/>
  <c r="J42" i="37" s="1"/>
  <c r="E42" i="37"/>
  <c r="BD41" i="37" a="1"/>
  <c r="BD41" i="37" s="1"/>
  <c r="BC41" i="37" a="1"/>
  <c r="BC41" i="37" s="1"/>
  <c r="BB41" i="37" a="1"/>
  <c r="BB41" i="37" s="1"/>
  <c r="BA41" i="37" a="1"/>
  <c r="BA41" i="37" s="1"/>
  <c r="AW41" i="37" a="1"/>
  <c r="AW41" i="37" s="1"/>
  <c r="AV41" i="37" a="1"/>
  <c r="AV41" i="37" s="1"/>
  <c r="AU41" i="37" a="1"/>
  <c r="AU41" i="37" s="1"/>
  <c r="AT41" i="37" a="1"/>
  <c r="AT41" i="37" s="1"/>
  <c r="Y41" i="37"/>
  <c r="V41" i="37"/>
  <c r="U41" i="37"/>
  <c r="N41" i="37"/>
  <c r="AP41" i="37" s="1" a="1"/>
  <c r="AP41" i="37" s="1"/>
  <c r="I41" i="37"/>
  <c r="H41" i="37"/>
  <c r="J41" i="37" s="1"/>
  <c r="E41" i="37"/>
  <c r="BD40" i="37" a="1"/>
  <c r="BD40" i="37" s="1"/>
  <c r="BC40" i="37" a="1"/>
  <c r="BC40" i="37" s="1"/>
  <c r="BB40" i="37" a="1"/>
  <c r="BB40" i="37" s="1"/>
  <c r="BA40" i="37" a="1"/>
  <c r="BA40" i="37" s="1"/>
  <c r="AW40" i="37" a="1"/>
  <c r="AW40" i="37" s="1"/>
  <c r="AV40" i="37" a="1"/>
  <c r="AV40" i="37" s="1"/>
  <c r="AU40" i="37" a="1"/>
  <c r="AU40" i="37" s="1"/>
  <c r="AT40" i="37" a="1"/>
  <c r="AT40" i="37" s="1"/>
  <c r="Y40" i="37"/>
  <c r="V40" i="37"/>
  <c r="U40" i="37"/>
  <c r="N40" i="37"/>
  <c r="AO40" i="37" s="1" a="1"/>
  <c r="AO40" i="37" s="1"/>
  <c r="I40" i="37"/>
  <c r="H40" i="37"/>
  <c r="J40" i="37" s="1"/>
  <c r="E40" i="37"/>
  <c r="BD39" i="37" a="1"/>
  <c r="BD39" i="37" s="1"/>
  <c r="BC39" i="37" a="1"/>
  <c r="BC39" i="37" s="1"/>
  <c r="BB39" i="37" a="1"/>
  <c r="BB39" i="37" s="1"/>
  <c r="BA39" i="37" a="1"/>
  <c r="BA39" i="37" s="1"/>
  <c r="AW39" i="37" a="1"/>
  <c r="AW39" i="37" s="1"/>
  <c r="AV39" i="37" a="1"/>
  <c r="AV39" i="37" s="1"/>
  <c r="AU39" i="37" a="1"/>
  <c r="AU39" i="37" s="1"/>
  <c r="AT39" i="37" a="1"/>
  <c r="AT39" i="37" s="1"/>
  <c r="Y39" i="37"/>
  <c r="V39" i="37"/>
  <c r="U39" i="37"/>
  <c r="N39" i="37"/>
  <c r="I39" i="37"/>
  <c r="H39" i="37"/>
  <c r="J39" i="37" s="1"/>
  <c r="E39" i="37"/>
  <c r="BD38" i="37" a="1"/>
  <c r="BD38" i="37" s="1"/>
  <c r="BC38" i="37" a="1"/>
  <c r="BC38" i="37" s="1"/>
  <c r="BB38" i="37" a="1"/>
  <c r="BB38" i="37" s="1"/>
  <c r="BA38" i="37" a="1"/>
  <c r="BA38" i="37" s="1"/>
  <c r="AW38" i="37" a="1"/>
  <c r="AW38" i="37" s="1"/>
  <c r="AV38" i="37" a="1"/>
  <c r="AV38" i="37" s="1"/>
  <c r="AU38" i="37" a="1"/>
  <c r="AU38" i="37" s="1"/>
  <c r="AT38" i="37" a="1"/>
  <c r="AT38" i="37" s="1"/>
  <c r="Y38" i="37"/>
  <c r="V38" i="37"/>
  <c r="U38" i="37"/>
  <c r="N38" i="37"/>
  <c r="AP38" i="37" s="1" a="1"/>
  <c r="AP38" i="37" s="1"/>
  <c r="I38" i="37"/>
  <c r="H38" i="37"/>
  <c r="J38" i="37" s="1"/>
  <c r="E38" i="37"/>
  <c r="BD37" i="37" a="1"/>
  <c r="BD37" i="37" s="1"/>
  <c r="BC37" i="37" a="1"/>
  <c r="BC37" i="37" s="1"/>
  <c r="BB37" i="37" a="1"/>
  <c r="BB37" i="37" s="1"/>
  <c r="BA37" i="37" a="1"/>
  <c r="BA37" i="37" s="1"/>
  <c r="AW37" i="37" a="1"/>
  <c r="AW37" i="37" s="1"/>
  <c r="AV37" i="37" a="1"/>
  <c r="AV37" i="37" s="1"/>
  <c r="AU37" i="37" a="1"/>
  <c r="AU37" i="37" s="1"/>
  <c r="AT37" i="37" a="1"/>
  <c r="AT37" i="37" s="1"/>
  <c r="Y37" i="37"/>
  <c r="V37" i="37"/>
  <c r="U37" i="37"/>
  <c r="N37" i="37"/>
  <c r="AP37" i="37" s="1" a="1"/>
  <c r="AP37" i="37" s="1"/>
  <c r="I37" i="37"/>
  <c r="H37" i="37"/>
  <c r="J37" i="37" s="1"/>
  <c r="E37" i="37"/>
  <c r="BD36" i="37" a="1"/>
  <c r="BD36" i="37" s="1"/>
  <c r="BC36" i="37" a="1"/>
  <c r="BC36" i="37" s="1"/>
  <c r="BB36" i="37" a="1"/>
  <c r="BB36" i="37" s="1"/>
  <c r="BA36" i="37" a="1"/>
  <c r="BA36" i="37" s="1"/>
  <c r="AW36" i="37" a="1"/>
  <c r="AW36" i="37" s="1"/>
  <c r="AV36" i="37" a="1"/>
  <c r="AV36" i="37" s="1"/>
  <c r="AU36" i="37" a="1"/>
  <c r="AU36" i="37" s="1"/>
  <c r="AT36" i="37" a="1"/>
  <c r="AT36" i="37" s="1"/>
  <c r="Y36" i="37"/>
  <c r="V36" i="37"/>
  <c r="U36" i="37"/>
  <c r="N36" i="37"/>
  <c r="AP36" i="37" s="1" a="1"/>
  <c r="AP36" i="37" s="1"/>
  <c r="I36" i="37"/>
  <c r="H36" i="37"/>
  <c r="J36" i="37" s="1"/>
  <c r="E36" i="37"/>
  <c r="Y35" i="37"/>
  <c r="V35" i="37"/>
  <c r="U35" i="37"/>
  <c r="N35" i="37"/>
  <c r="I35" i="37"/>
  <c r="H35" i="37"/>
  <c r="J35" i="37" s="1"/>
  <c r="E35" i="37"/>
  <c r="BD34" i="37" a="1"/>
  <c r="BD34" i="37" s="1"/>
  <c r="BC34" i="37" a="1"/>
  <c r="BC34" i="37" s="1"/>
  <c r="BB34" i="37" a="1"/>
  <c r="BB34" i="37" s="1"/>
  <c r="BA34" i="37" a="1"/>
  <c r="BA34" i="37" s="1"/>
  <c r="AW34" i="37" a="1"/>
  <c r="AW34" i="37" s="1"/>
  <c r="AV34" i="37" a="1"/>
  <c r="AV34" i="37" s="1"/>
  <c r="AU34" i="37" a="1"/>
  <c r="AU34" i="37" s="1"/>
  <c r="AT34" i="37" a="1"/>
  <c r="AT34" i="37" s="1"/>
  <c r="Y34" i="37"/>
  <c r="V34" i="37"/>
  <c r="U34" i="37"/>
  <c r="N34" i="37"/>
  <c r="AO34" i="37" s="1" a="1"/>
  <c r="AO34" i="37" s="1"/>
  <c r="I34" i="37"/>
  <c r="H34" i="37"/>
  <c r="J34" i="37" s="1"/>
  <c r="E34" i="37"/>
  <c r="BD33" i="37" a="1"/>
  <c r="BD33" i="37" s="1"/>
  <c r="BC33" i="37" a="1"/>
  <c r="BC33" i="37" s="1"/>
  <c r="BB33" i="37" a="1"/>
  <c r="BB33" i="37" s="1"/>
  <c r="BA33" i="37" a="1"/>
  <c r="BA33" i="37" s="1"/>
  <c r="AW33" i="37" a="1"/>
  <c r="AW33" i="37" s="1"/>
  <c r="AV33" i="37" a="1"/>
  <c r="AV33" i="37" s="1"/>
  <c r="AU33" i="37" a="1"/>
  <c r="AU33" i="37" s="1"/>
  <c r="AT33" i="37" a="1"/>
  <c r="AT33" i="37" s="1"/>
  <c r="Y33" i="37"/>
  <c r="V33" i="37"/>
  <c r="U33" i="37"/>
  <c r="N33" i="37"/>
  <c r="O33" i="37" s="1" a="1"/>
  <c r="O33" i="37" s="1"/>
  <c r="I33" i="37"/>
  <c r="H33" i="37"/>
  <c r="J33" i="37" s="1"/>
  <c r="E33" i="37"/>
  <c r="BD32" i="37" a="1"/>
  <c r="BD32" i="37" s="1"/>
  <c r="BC32" i="37" a="1"/>
  <c r="BC32" i="37" s="1"/>
  <c r="BB32" i="37" a="1"/>
  <c r="BB32" i="37" s="1"/>
  <c r="BA32" i="37" a="1"/>
  <c r="BA32" i="37" s="1"/>
  <c r="AW32" i="37" a="1"/>
  <c r="AW32" i="37" s="1"/>
  <c r="AV32" i="37" a="1"/>
  <c r="AV32" i="37" s="1"/>
  <c r="AU32" i="37" a="1"/>
  <c r="AU32" i="37" s="1"/>
  <c r="AT32" i="37" a="1"/>
  <c r="AT32" i="37" s="1"/>
  <c r="Y32" i="37"/>
  <c r="V32" i="37"/>
  <c r="U32" i="37"/>
  <c r="N32" i="37"/>
  <c r="Q32" i="37" s="1" a="1"/>
  <c r="Q32" i="37" s="1"/>
  <c r="I32" i="37"/>
  <c r="H32" i="37"/>
  <c r="J32" i="37" s="1"/>
  <c r="E32" i="37"/>
  <c r="BD31" i="37" a="1"/>
  <c r="BD31" i="37" s="1"/>
  <c r="BC31" i="37" a="1"/>
  <c r="BC31" i="37" s="1"/>
  <c r="BB31" i="37" a="1"/>
  <c r="BB31" i="37" s="1"/>
  <c r="BA31" i="37" a="1"/>
  <c r="BA31" i="37" s="1"/>
  <c r="AW31" i="37" a="1"/>
  <c r="AW31" i="37" s="1"/>
  <c r="AV31" i="37" a="1"/>
  <c r="AV31" i="37" s="1"/>
  <c r="AU31" i="37" a="1"/>
  <c r="AU31" i="37" s="1"/>
  <c r="AT31" i="37" a="1"/>
  <c r="AT31" i="37" s="1"/>
  <c r="Y31" i="37"/>
  <c r="V31" i="37"/>
  <c r="U31" i="37"/>
  <c r="N31" i="37"/>
  <c r="Q31" i="37" s="1" a="1"/>
  <c r="Q31" i="37" s="1"/>
  <c r="I31" i="37"/>
  <c r="H31" i="37"/>
  <c r="J31" i="37" s="1"/>
  <c r="E31" i="37"/>
  <c r="BD30" i="37" a="1"/>
  <c r="BD30" i="37" s="1"/>
  <c r="BC30" i="37" a="1"/>
  <c r="BC30" i="37" s="1"/>
  <c r="BB30" i="37" a="1"/>
  <c r="BB30" i="37" s="1"/>
  <c r="BA30" i="37" a="1"/>
  <c r="BA30" i="37" s="1"/>
  <c r="AW30" i="37" a="1"/>
  <c r="AW30" i="37" s="1"/>
  <c r="AV30" i="37" a="1"/>
  <c r="AV30" i="37" s="1"/>
  <c r="AU30" i="37" a="1"/>
  <c r="AU30" i="37" s="1"/>
  <c r="AT30" i="37" a="1"/>
  <c r="AT30" i="37" s="1"/>
  <c r="Y30" i="37"/>
  <c r="V30" i="37"/>
  <c r="U30" i="37"/>
  <c r="N30" i="37"/>
  <c r="Q30" i="37" s="1" a="1"/>
  <c r="Q30" i="37" s="1"/>
  <c r="I30" i="37"/>
  <c r="H30" i="37"/>
  <c r="J30" i="37" s="1"/>
  <c r="L30" i="37" s="1" a="1"/>
  <c r="L30" i="37" s="1"/>
  <c r="E30" i="37"/>
  <c r="BD29" i="37" a="1"/>
  <c r="BD29" i="37" s="1"/>
  <c r="BC29" i="37" a="1"/>
  <c r="BC29" i="37" s="1"/>
  <c r="BB29" i="37" a="1"/>
  <c r="BB29" i="37" s="1"/>
  <c r="BA29" i="37" a="1"/>
  <c r="BA29" i="37" s="1"/>
  <c r="AW29" i="37" a="1"/>
  <c r="AW29" i="37" s="1"/>
  <c r="AV29" i="37" a="1"/>
  <c r="AV29" i="37" s="1"/>
  <c r="AU29" i="37" a="1"/>
  <c r="AU29" i="37" s="1"/>
  <c r="AT29" i="37" a="1"/>
  <c r="AT29" i="37" s="1"/>
  <c r="Y29" i="37"/>
  <c r="V29" i="37"/>
  <c r="U29" i="37"/>
  <c r="N29" i="37"/>
  <c r="P29" i="37" s="1" a="1"/>
  <c r="P29" i="37" s="1"/>
  <c r="I29" i="37"/>
  <c r="H29" i="37"/>
  <c r="J29" i="37" s="1"/>
  <c r="E29" i="37"/>
  <c r="BD28" i="37" a="1"/>
  <c r="BD28" i="37" s="1"/>
  <c r="BC28" i="37" a="1"/>
  <c r="BC28" i="37" s="1"/>
  <c r="BB28" i="37" a="1"/>
  <c r="BB28" i="37" s="1"/>
  <c r="BA28" i="37" a="1"/>
  <c r="BA28" i="37" s="1"/>
  <c r="AW28" i="37" a="1"/>
  <c r="AW28" i="37" s="1"/>
  <c r="AV28" i="37" a="1"/>
  <c r="AV28" i="37" s="1"/>
  <c r="AU28" i="37" a="1"/>
  <c r="AU28" i="37" s="1"/>
  <c r="AT28" i="37" a="1"/>
  <c r="AT28" i="37" s="1"/>
  <c r="Y28" i="37"/>
  <c r="V28" i="37"/>
  <c r="U28" i="37"/>
  <c r="N28" i="37"/>
  <c r="Q28" i="37" s="1" a="1"/>
  <c r="Q28" i="37" s="1"/>
  <c r="I28" i="37"/>
  <c r="H28" i="37"/>
  <c r="J28" i="37" s="1"/>
  <c r="E28" i="37"/>
  <c r="BD27" i="37" a="1"/>
  <c r="BD27" i="37" s="1"/>
  <c r="BC27" i="37" a="1"/>
  <c r="BC27" i="37" s="1"/>
  <c r="BB27" i="37" a="1"/>
  <c r="BB27" i="37" s="1"/>
  <c r="BA27" i="37" a="1"/>
  <c r="BA27" i="37" s="1"/>
  <c r="AW27" i="37" a="1"/>
  <c r="AW27" i="37" s="1"/>
  <c r="AV27" i="37" a="1"/>
  <c r="AV27" i="37" s="1"/>
  <c r="AU27" i="37" a="1"/>
  <c r="AU27" i="37" s="1"/>
  <c r="AT27" i="37" a="1"/>
  <c r="AT27" i="37" s="1"/>
  <c r="Y27" i="37"/>
  <c r="V27" i="37"/>
  <c r="U27" i="37"/>
  <c r="N27" i="37"/>
  <c r="AP27" i="37" s="1" a="1"/>
  <c r="AP27" i="37" s="1"/>
  <c r="I27" i="37"/>
  <c r="H27" i="37"/>
  <c r="J27" i="37" s="1"/>
  <c r="M27" i="37" s="1" a="1"/>
  <c r="M27" i="37" s="1"/>
  <c r="E27" i="37"/>
  <c r="BD26" i="37" a="1"/>
  <c r="BD26" i="37" s="1"/>
  <c r="BC26" i="37" a="1"/>
  <c r="BC26" i="37" s="1"/>
  <c r="BB26" i="37" a="1"/>
  <c r="BB26" i="37" s="1"/>
  <c r="BA26" i="37" a="1"/>
  <c r="BA26" i="37" s="1"/>
  <c r="AW26" i="37" a="1"/>
  <c r="AW26" i="37" s="1"/>
  <c r="AV26" i="37" a="1"/>
  <c r="AV26" i="37" s="1"/>
  <c r="AU26" i="37" a="1"/>
  <c r="AU26" i="37" s="1"/>
  <c r="AT26" i="37" a="1"/>
  <c r="AT26" i="37" s="1"/>
  <c r="Y26" i="37"/>
  <c r="V26" i="37"/>
  <c r="U26" i="37"/>
  <c r="N26" i="37"/>
  <c r="P26" i="37" s="1" a="1"/>
  <c r="P26" i="37" s="1"/>
  <c r="I26" i="37"/>
  <c r="H26" i="37"/>
  <c r="J26" i="37" s="1"/>
  <c r="M26" i="37" s="1" a="1"/>
  <c r="M26" i="37" s="1"/>
  <c r="E26" i="37"/>
  <c r="BD25" i="37" a="1"/>
  <c r="BD25" i="37" s="1"/>
  <c r="BC25" i="37" a="1"/>
  <c r="BC25" i="37" s="1"/>
  <c r="BB25" i="37" a="1"/>
  <c r="BB25" i="37" s="1"/>
  <c r="BA25" i="37" a="1"/>
  <c r="BA25" i="37" s="1"/>
  <c r="AW25" i="37" a="1"/>
  <c r="AW25" i="37" s="1"/>
  <c r="AV25" i="37" a="1"/>
  <c r="AV25" i="37" s="1"/>
  <c r="AU25" i="37" a="1"/>
  <c r="AU25" i="37" s="1"/>
  <c r="AT25" i="37" a="1"/>
  <c r="AT25" i="37" s="1"/>
  <c r="Y25" i="37"/>
  <c r="V25" i="37"/>
  <c r="U25" i="37"/>
  <c r="N25" i="37"/>
  <c r="AO25" i="37" s="1" a="1"/>
  <c r="AO25" i="37" s="1"/>
  <c r="I25" i="37"/>
  <c r="H25" i="37"/>
  <c r="J25" i="37" s="1"/>
  <c r="E25" i="37"/>
  <c r="BD24" i="37" a="1"/>
  <c r="BD24" i="37" s="1"/>
  <c r="BC24" i="37" a="1"/>
  <c r="BC24" i="37" s="1"/>
  <c r="BB24" i="37" a="1"/>
  <c r="BB24" i="37" s="1"/>
  <c r="BA24" i="37" a="1"/>
  <c r="BA24" i="37" s="1"/>
  <c r="AW24" i="37" a="1"/>
  <c r="AW24" i="37" s="1"/>
  <c r="AV24" i="37" a="1"/>
  <c r="AV24" i="37" s="1"/>
  <c r="AU24" i="37" a="1"/>
  <c r="AU24" i="37" s="1"/>
  <c r="AT24" i="37" a="1"/>
  <c r="AT24" i="37" s="1"/>
  <c r="Y24" i="37"/>
  <c r="V24" i="37"/>
  <c r="U24" i="37"/>
  <c r="N24" i="37"/>
  <c r="Q24" i="37" s="1" a="1"/>
  <c r="Q24" i="37" s="1"/>
  <c r="I24" i="37"/>
  <c r="H24" i="37"/>
  <c r="J24" i="37" s="1"/>
  <c r="E24" i="37"/>
  <c r="BD23" i="37" a="1"/>
  <c r="BD23" i="37" s="1"/>
  <c r="BC23" i="37" a="1"/>
  <c r="BC23" i="37" s="1"/>
  <c r="BB23" i="37" a="1"/>
  <c r="BB23" i="37" s="1"/>
  <c r="BA23" i="37" a="1"/>
  <c r="BA23" i="37" s="1"/>
  <c r="AW23" i="37" a="1"/>
  <c r="AW23" i="37" s="1"/>
  <c r="AV23" i="37" a="1"/>
  <c r="AV23" i="37" s="1"/>
  <c r="AU23" i="37" a="1"/>
  <c r="AU23" i="37" s="1"/>
  <c r="AT23" i="37" a="1"/>
  <c r="AT23" i="37" s="1"/>
  <c r="Y23" i="37"/>
  <c r="V23" i="37"/>
  <c r="U23" i="37"/>
  <c r="N23" i="37"/>
  <c r="AP23" i="37" s="1" a="1"/>
  <c r="AP23" i="37" s="1"/>
  <c r="I23" i="37"/>
  <c r="H23" i="37"/>
  <c r="J23" i="37" s="1"/>
  <c r="E23" i="37"/>
  <c r="BD22" i="37" a="1"/>
  <c r="BD22" i="37" s="1"/>
  <c r="BC22" i="37" a="1"/>
  <c r="BC22" i="37" s="1"/>
  <c r="BB22" i="37" a="1"/>
  <c r="BB22" i="37" s="1"/>
  <c r="BA22" i="37" a="1"/>
  <c r="BA22" i="37" s="1"/>
  <c r="AW22" i="37" a="1"/>
  <c r="AW22" i="37" s="1"/>
  <c r="AV22" i="37" a="1"/>
  <c r="AV22" i="37" s="1"/>
  <c r="AU22" i="37" a="1"/>
  <c r="AU22" i="37" s="1"/>
  <c r="AT22" i="37" a="1"/>
  <c r="AT22" i="37" s="1"/>
  <c r="Y22" i="37"/>
  <c r="V22" i="37"/>
  <c r="U22" i="37"/>
  <c r="N22" i="37"/>
  <c r="P22" i="37" s="1" a="1"/>
  <c r="P22" i="37" s="1"/>
  <c r="I22" i="37"/>
  <c r="H22" i="37"/>
  <c r="J22" i="37" s="1"/>
  <c r="E22" i="37"/>
  <c r="BD21" i="37" a="1"/>
  <c r="BD21" i="37" s="1"/>
  <c r="BC21" i="37" a="1"/>
  <c r="BC21" i="37" s="1"/>
  <c r="BB21" i="37" a="1"/>
  <c r="BB21" i="37" s="1"/>
  <c r="BA21" i="37" a="1"/>
  <c r="BA21" i="37" s="1"/>
  <c r="AW21" i="37" a="1"/>
  <c r="AW21" i="37" s="1"/>
  <c r="AV21" i="37" a="1"/>
  <c r="AV21" i="37" s="1"/>
  <c r="AU21" i="37" a="1"/>
  <c r="AU21" i="37" s="1"/>
  <c r="AT21" i="37" a="1"/>
  <c r="AT21" i="37" s="1"/>
  <c r="Y21" i="37"/>
  <c r="V21" i="37"/>
  <c r="U21" i="37"/>
  <c r="N21" i="37"/>
  <c r="AP21" i="37" s="1" a="1"/>
  <c r="AP21" i="37" s="1"/>
  <c r="I21" i="37"/>
  <c r="H21" i="37"/>
  <c r="J21" i="37" s="1"/>
  <c r="E21" i="37"/>
  <c r="BD20" i="37" a="1"/>
  <c r="BD20" i="37" s="1"/>
  <c r="BC20" i="37" a="1"/>
  <c r="BC20" i="37" s="1"/>
  <c r="BB20" i="37" a="1"/>
  <c r="BB20" i="37" s="1"/>
  <c r="BA20" i="37" a="1"/>
  <c r="BA20" i="37" s="1"/>
  <c r="AW20" i="37" a="1"/>
  <c r="AW20" i="37" s="1"/>
  <c r="AV20" i="37" a="1"/>
  <c r="AV20" i="37" s="1"/>
  <c r="AU20" i="37" a="1"/>
  <c r="AU20" i="37" s="1"/>
  <c r="AT20" i="37" a="1"/>
  <c r="AT20" i="37" s="1"/>
  <c r="Y20" i="37"/>
  <c r="V20" i="37"/>
  <c r="U20" i="37"/>
  <c r="N20" i="37"/>
  <c r="AP20" i="37" s="1" a="1"/>
  <c r="AP20" i="37" s="1"/>
  <c r="I20" i="37"/>
  <c r="H20" i="37"/>
  <c r="J20" i="37" s="1"/>
  <c r="E20" i="37"/>
  <c r="BD19" i="37" a="1"/>
  <c r="BD19" i="37" s="1"/>
  <c r="BC19" i="37" a="1"/>
  <c r="BC19" i="37" s="1"/>
  <c r="BB19" i="37" a="1"/>
  <c r="BB19" i="37" s="1"/>
  <c r="BA19" i="37" a="1"/>
  <c r="BA19" i="37" s="1"/>
  <c r="AW19" i="37" a="1"/>
  <c r="AW19" i="37" s="1"/>
  <c r="AV19" i="37" a="1"/>
  <c r="AV19" i="37" s="1"/>
  <c r="AU19" i="37" a="1"/>
  <c r="AU19" i="37" s="1"/>
  <c r="AT19" i="37" a="1"/>
  <c r="AT19" i="37" s="1"/>
  <c r="Y19" i="37"/>
  <c r="V19" i="37"/>
  <c r="U19" i="37"/>
  <c r="N19" i="37"/>
  <c r="O19" i="37" s="1" a="1"/>
  <c r="O19" i="37" s="1"/>
  <c r="I19" i="37"/>
  <c r="H19" i="37"/>
  <c r="J19" i="37" s="1"/>
  <c r="E19" i="37"/>
  <c r="BD18" i="37" a="1"/>
  <c r="BD18" i="37" s="1"/>
  <c r="BC18" i="37" a="1"/>
  <c r="BC18" i="37" s="1"/>
  <c r="BB18" i="37" a="1"/>
  <c r="BB18" i="37" s="1"/>
  <c r="BA18" i="37" a="1"/>
  <c r="BA18" i="37" s="1"/>
  <c r="AW18" i="37" a="1"/>
  <c r="AW18" i="37" s="1"/>
  <c r="AV18" i="37" a="1"/>
  <c r="AV18" i="37" s="1"/>
  <c r="AU18" i="37" a="1"/>
  <c r="AU18" i="37" s="1"/>
  <c r="AT18" i="37" a="1"/>
  <c r="AT18" i="37" s="1"/>
  <c r="Y18" i="37"/>
  <c r="V18" i="37"/>
  <c r="U18" i="37"/>
  <c r="N18" i="37"/>
  <c r="I18" i="37"/>
  <c r="H18" i="37"/>
  <c r="J18" i="37" s="1"/>
  <c r="E18" i="37"/>
  <c r="BD17" i="37" a="1"/>
  <c r="BD17" i="37" s="1"/>
  <c r="BC17" i="37" a="1"/>
  <c r="BC17" i="37" s="1"/>
  <c r="BB17" i="37" a="1"/>
  <c r="BB17" i="37" s="1"/>
  <c r="BA17" i="37" a="1"/>
  <c r="BA17" i="37" s="1"/>
  <c r="AW17" i="37" a="1"/>
  <c r="AW17" i="37" s="1"/>
  <c r="AV17" i="37" a="1"/>
  <c r="AV17" i="37" s="1"/>
  <c r="AU17" i="37" a="1"/>
  <c r="AU17" i="37" s="1"/>
  <c r="AT17" i="37" a="1"/>
  <c r="AT17" i="37" s="1"/>
  <c r="Y17" i="37"/>
  <c r="V17" i="37"/>
  <c r="U17" i="37"/>
  <c r="N17" i="37"/>
  <c r="Q17" i="37" s="1" a="1"/>
  <c r="Q17" i="37" s="1"/>
  <c r="I17" i="37"/>
  <c r="H17" i="37"/>
  <c r="J17" i="37" s="1"/>
  <c r="E17" i="37"/>
  <c r="BD16" i="37" a="1"/>
  <c r="BD16" i="37" s="1"/>
  <c r="BC16" i="37" a="1"/>
  <c r="BC16" i="37" s="1"/>
  <c r="BB16" i="37" a="1"/>
  <c r="BB16" i="37" s="1"/>
  <c r="BA16" i="37" a="1"/>
  <c r="BA16" i="37" s="1"/>
  <c r="AW16" i="37" a="1"/>
  <c r="AW16" i="37" s="1"/>
  <c r="AV16" i="37" a="1"/>
  <c r="AV16" i="37" s="1"/>
  <c r="AU16" i="37" a="1"/>
  <c r="AU16" i="37" s="1"/>
  <c r="AT16" i="37" a="1"/>
  <c r="AT16" i="37" s="1"/>
  <c r="Y16" i="37"/>
  <c r="V16" i="37"/>
  <c r="U16" i="37"/>
  <c r="N16" i="37"/>
  <c r="Q16" i="37" s="1" a="1"/>
  <c r="Q16" i="37" s="1"/>
  <c r="I16" i="37"/>
  <c r="H16" i="37"/>
  <c r="J16" i="37" s="1"/>
  <c r="E16" i="37"/>
  <c r="BD15" i="37" a="1"/>
  <c r="BD15" i="37" s="1"/>
  <c r="BC15" i="37" a="1"/>
  <c r="BC15" i="37" s="1"/>
  <c r="BB15" i="37" a="1"/>
  <c r="BB15" i="37" s="1"/>
  <c r="BA15" i="37" a="1"/>
  <c r="BA15" i="37" s="1"/>
  <c r="AW15" i="37" a="1"/>
  <c r="AW15" i="37" s="1"/>
  <c r="AV15" i="37" a="1"/>
  <c r="AV15" i="37" s="1"/>
  <c r="AU15" i="37" a="1"/>
  <c r="AU15" i="37" s="1"/>
  <c r="AT15" i="37" a="1"/>
  <c r="AT15" i="37" s="1"/>
  <c r="Y15" i="37"/>
  <c r="V15" i="37"/>
  <c r="U15" i="37"/>
  <c r="N15" i="37"/>
  <c r="I15" i="37"/>
  <c r="H15" i="37"/>
  <c r="J15" i="37" s="1"/>
  <c r="E15" i="37"/>
  <c r="BD14" i="37" a="1"/>
  <c r="BD14" i="37" s="1"/>
  <c r="BC14" i="37" a="1"/>
  <c r="BC14" i="37" s="1"/>
  <c r="BB14" i="37" a="1"/>
  <c r="BB14" i="37" s="1"/>
  <c r="BA14" i="37" a="1"/>
  <c r="BA14" i="37" s="1"/>
  <c r="AW14" i="37" a="1"/>
  <c r="AW14" i="37" s="1"/>
  <c r="AV14" i="37" a="1"/>
  <c r="AV14" i="37" s="1"/>
  <c r="AU14" i="37" a="1"/>
  <c r="AU14" i="37" s="1"/>
  <c r="AT14" i="37" a="1"/>
  <c r="AT14" i="37" s="1"/>
  <c r="Y14" i="37"/>
  <c r="V14" i="37"/>
  <c r="U14" i="37"/>
  <c r="N14" i="37"/>
  <c r="Q14" i="37" s="1" a="1"/>
  <c r="Q14" i="37" s="1"/>
  <c r="I14" i="37"/>
  <c r="H14" i="37"/>
  <c r="J14" i="37" s="1"/>
  <c r="E14" i="37"/>
  <c r="BD13" i="37" a="1"/>
  <c r="BD13" i="37" s="1"/>
  <c r="BC13" i="37" a="1"/>
  <c r="BC13" i="37" s="1"/>
  <c r="BB13" i="37" a="1"/>
  <c r="BB13" i="37" s="1"/>
  <c r="BA13" i="37" a="1"/>
  <c r="BA13" i="37" s="1"/>
  <c r="AW13" i="37" a="1"/>
  <c r="AW13" i="37" s="1"/>
  <c r="AV13" i="37" a="1"/>
  <c r="AV13" i="37" s="1"/>
  <c r="AU13" i="37" a="1"/>
  <c r="AU13" i="37" s="1"/>
  <c r="AT13" i="37" a="1"/>
  <c r="AT13" i="37" s="1"/>
  <c r="Y13" i="37"/>
  <c r="V13" i="37"/>
  <c r="U13" i="37"/>
  <c r="N13" i="37"/>
  <c r="P13" i="37" s="1" a="1"/>
  <c r="P13" i="37" s="1"/>
  <c r="I13" i="37"/>
  <c r="H13" i="37"/>
  <c r="J13" i="37" s="1"/>
  <c r="K13" i="37" s="1" a="1"/>
  <c r="K13" i="37" s="1"/>
  <c r="E13" i="37"/>
  <c r="BD12" i="37" a="1"/>
  <c r="BD12" i="37" s="1"/>
  <c r="BC12" i="37" a="1"/>
  <c r="BC12" i="37" s="1"/>
  <c r="BB12" i="37" a="1"/>
  <c r="BB12" i="37" s="1"/>
  <c r="BA12" i="37" a="1"/>
  <c r="BA12" i="37" s="1"/>
  <c r="AW12" i="37" a="1"/>
  <c r="AW12" i="37" s="1"/>
  <c r="AV12" i="37" a="1"/>
  <c r="AV12" i="37" s="1"/>
  <c r="AU12" i="37" a="1"/>
  <c r="AU12" i="37" s="1"/>
  <c r="AT12" i="37" a="1"/>
  <c r="AT12" i="37" s="1"/>
  <c r="Y12" i="37"/>
  <c r="V12" i="37"/>
  <c r="U12" i="37"/>
  <c r="N12" i="37"/>
  <c r="Q12" i="37" s="1" a="1"/>
  <c r="Q12" i="37" s="1"/>
  <c r="I12" i="37"/>
  <c r="H12" i="37"/>
  <c r="J12" i="37" s="1"/>
  <c r="E12" i="37"/>
  <c r="BD11" i="37" a="1"/>
  <c r="BD11" i="37" s="1"/>
  <c r="BC11" i="37" a="1"/>
  <c r="BC11" i="37" s="1"/>
  <c r="BB11" i="37" a="1"/>
  <c r="BB11" i="37" s="1"/>
  <c r="BA11" i="37" a="1"/>
  <c r="BA11" i="37" s="1"/>
  <c r="AW11" i="37" a="1"/>
  <c r="AW11" i="37" s="1"/>
  <c r="AV11" i="37" a="1"/>
  <c r="AV11" i="37" s="1"/>
  <c r="AU11" i="37" a="1"/>
  <c r="AU11" i="37" s="1"/>
  <c r="AT11" i="37" a="1"/>
  <c r="AT11" i="37" s="1"/>
  <c r="Y11" i="37"/>
  <c r="V11" i="37"/>
  <c r="U11" i="37"/>
  <c r="N11" i="37"/>
  <c r="AP11" i="37" s="1" a="1"/>
  <c r="AP11" i="37" s="1"/>
  <c r="I11" i="37"/>
  <c r="H11" i="37"/>
  <c r="J11" i="37" s="1"/>
  <c r="E11" i="37"/>
  <c r="BD10" i="37" a="1"/>
  <c r="BD10" i="37" s="1"/>
  <c r="BC10" i="37" a="1"/>
  <c r="BC10" i="37" s="1"/>
  <c r="BB10" i="37" a="1"/>
  <c r="BB10" i="37" s="1"/>
  <c r="BA10" i="37" a="1"/>
  <c r="BA10" i="37" s="1"/>
  <c r="AW10" i="37" a="1"/>
  <c r="AW10" i="37" s="1"/>
  <c r="AV10" i="37" a="1"/>
  <c r="AV10" i="37" s="1"/>
  <c r="AU10" i="37" a="1"/>
  <c r="AU10" i="37" s="1"/>
  <c r="AT10" i="37" a="1"/>
  <c r="AT10" i="37" s="1"/>
  <c r="Y10" i="37"/>
  <c r="V10" i="37"/>
  <c r="U10" i="37"/>
  <c r="N10" i="37"/>
  <c r="Q10" i="37" s="1" a="1"/>
  <c r="Q10" i="37" s="1"/>
  <c r="I10" i="37"/>
  <c r="H10" i="37"/>
  <c r="J10" i="37" s="1"/>
  <c r="E10" i="37"/>
  <c r="BD9" i="37" a="1"/>
  <c r="BD9" i="37" s="1"/>
  <c r="BC9" i="37" a="1"/>
  <c r="BC9" i="37" s="1"/>
  <c r="BB9" i="37" a="1"/>
  <c r="BB9" i="37" s="1"/>
  <c r="BA9" i="37" a="1"/>
  <c r="BA9" i="37" s="1"/>
  <c r="AW9" i="37" a="1"/>
  <c r="AW9" i="37" s="1"/>
  <c r="AV9" i="37" a="1"/>
  <c r="AV9" i="37" s="1"/>
  <c r="AU9" i="37" a="1"/>
  <c r="AU9" i="37" s="1"/>
  <c r="AT9" i="37" a="1"/>
  <c r="AT9" i="37" s="1"/>
  <c r="Y9" i="37"/>
  <c r="V9" i="37"/>
  <c r="U9" i="37"/>
  <c r="N9" i="37"/>
  <c r="AO9" i="37" s="1" a="1"/>
  <c r="AO9" i="37" s="1"/>
  <c r="I9" i="37"/>
  <c r="H9" i="37"/>
  <c r="J9" i="37" s="1"/>
  <c r="E9" i="37"/>
  <c r="BD7" i="37" a="1"/>
  <c r="BD7" i="37" s="1"/>
  <c r="BC7" i="37" a="1"/>
  <c r="BC7" i="37" s="1"/>
  <c r="BB7" i="37" a="1"/>
  <c r="BB7" i="37" s="1"/>
  <c r="BA7" i="37" a="1"/>
  <c r="BA7" i="37" s="1"/>
  <c r="AW7" i="37" a="1"/>
  <c r="AW7" i="37" s="1"/>
  <c r="AV7" i="37" a="1"/>
  <c r="AV7" i="37" s="1"/>
  <c r="AU7" i="37" a="1"/>
  <c r="AU7" i="37" s="1"/>
  <c r="AT7" i="37" a="1"/>
  <c r="AT7" i="37" s="1"/>
  <c r="Y7" i="37"/>
  <c r="V7" i="37"/>
  <c r="U7" i="37"/>
  <c r="N7" i="37"/>
  <c r="Q7" i="37" s="1" a="1"/>
  <c r="Q7" i="37" s="1"/>
  <c r="I7" i="37"/>
  <c r="H7" i="37"/>
  <c r="J7" i="37" s="1"/>
  <c r="E7" i="37"/>
  <c r="BD6" i="37" a="1"/>
  <c r="BD6" i="37" s="1"/>
  <c r="BC6" i="37" a="1"/>
  <c r="BC6" i="37" s="1"/>
  <c r="BB6" i="37" a="1"/>
  <c r="BB6" i="37" s="1"/>
  <c r="BA6" i="37" a="1"/>
  <c r="BA6" i="37" s="1"/>
  <c r="AW6" i="37" a="1"/>
  <c r="AW6" i="37" s="1"/>
  <c r="AV6" i="37" a="1"/>
  <c r="AV6" i="37" s="1"/>
  <c r="AU6" i="37" a="1"/>
  <c r="AU6" i="37" s="1"/>
  <c r="AT6" i="37" a="1"/>
  <c r="AT6" i="37" s="1"/>
  <c r="Y6" i="37"/>
  <c r="V6" i="37"/>
  <c r="U6" i="37"/>
  <c r="N6" i="37"/>
  <c r="I6" i="37"/>
  <c r="G6" i="37" s="1"/>
  <c r="H6" i="37"/>
  <c r="J6" i="37" s="1"/>
  <c r="E6" i="37"/>
  <c r="BD5" i="37" a="1"/>
  <c r="BD5" i="37" s="1"/>
  <c r="BC5" i="37" a="1"/>
  <c r="BC5" i="37" s="1"/>
  <c r="BB5" i="37" a="1"/>
  <c r="BB5" i="37" s="1"/>
  <c r="BA5" i="37" a="1"/>
  <c r="BA5" i="37" s="1"/>
  <c r="AW5" i="37" a="1"/>
  <c r="AW5" i="37" s="1"/>
  <c r="AV5" i="37" a="1"/>
  <c r="AV5" i="37" s="1"/>
  <c r="AU5" i="37" a="1"/>
  <c r="AU5" i="37" s="1"/>
  <c r="AT5" i="37" a="1"/>
  <c r="AT5" i="37" s="1"/>
  <c r="Y5" i="37"/>
  <c r="V5" i="37"/>
  <c r="U5" i="37"/>
  <c r="N5" i="37"/>
  <c r="P5" i="37" s="1" a="1"/>
  <c r="P5" i="37" s="1"/>
  <c r="I5" i="37"/>
  <c r="G5" i="37" s="1"/>
  <c r="H5" i="37"/>
  <c r="J5" i="37" s="1"/>
  <c r="E5" i="37"/>
  <c r="BD4" i="37" a="1"/>
  <c r="BD4" i="37" s="1"/>
  <c r="BC4" i="37" a="1"/>
  <c r="BC4" i="37" s="1"/>
  <c r="BB4" i="37" a="1"/>
  <c r="BB4" i="37" s="1"/>
  <c r="BA4" i="37" a="1"/>
  <c r="BA4" i="37" s="1"/>
  <c r="AW4" i="37" a="1"/>
  <c r="AW4" i="37" s="1"/>
  <c r="AV4" i="37" a="1"/>
  <c r="AV4" i="37" s="1"/>
  <c r="AU4" i="37" a="1"/>
  <c r="AU4" i="37" s="1"/>
  <c r="AT4" i="37" a="1"/>
  <c r="AT4" i="37" s="1"/>
  <c r="Y4" i="37"/>
  <c r="V4" i="37"/>
  <c r="U4" i="37"/>
  <c r="N4" i="37"/>
  <c r="AP4" i="37" s="1" a="1"/>
  <c r="AP4" i="37" s="1"/>
  <c r="I4" i="37"/>
  <c r="G4" i="37" s="1"/>
  <c r="H4" i="37"/>
  <c r="J4" i="37" s="1"/>
  <c r="E4" i="37"/>
  <c r="BD3" i="37" a="1"/>
  <c r="BD3" i="37" s="1"/>
  <c r="BC3" i="37" a="1"/>
  <c r="BC3" i="37" s="1"/>
  <c r="BB3" i="37" a="1"/>
  <c r="BB3" i="37" s="1"/>
  <c r="BA3" i="37" a="1"/>
  <c r="BA3" i="37" s="1"/>
  <c r="AW3" i="37" a="1"/>
  <c r="AW3" i="37" s="1"/>
  <c r="AV3" i="37" a="1"/>
  <c r="AV3" i="37" s="1"/>
  <c r="AU3" i="37" a="1"/>
  <c r="AU3" i="37" s="1"/>
  <c r="AT3" i="37" a="1"/>
  <c r="AT3" i="37" s="1"/>
  <c r="Y3" i="37"/>
  <c r="V3" i="37"/>
  <c r="U3" i="37"/>
  <c r="N3" i="37"/>
  <c r="AP3" i="37" s="1" a="1"/>
  <c r="AP3" i="37" s="1"/>
  <c r="I3" i="37"/>
  <c r="G3" i="37" s="1"/>
  <c r="H3" i="37"/>
  <c r="J3" i="37" s="1"/>
  <c r="E3" i="37"/>
  <c r="BD2" i="37" a="1"/>
  <c r="BD2" i="37" s="1"/>
  <c r="BC2" i="37" a="1"/>
  <c r="BC2" i="37" s="1"/>
  <c r="BB2" i="37" a="1"/>
  <c r="BB2" i="37" s="1"/>
  <c r="BA2" i="37" a="1"/>
  <c r="BA2" i="37" s="1"/>
  <c r="AW2" i="37" a="1"/>
  <c r="AW2" i="37" s="1"/>
  <c r="AV2" i="37" a="1"/>
  <c r="AV2" i="37" s="1"/>
  <c r="AU2" i="37" a="1"/>
  <c r="AU2" i="37" s="1"/>
  <c r="AT2" i="37" a="1"/>
  <c r="AT2" i="37" s="1"/>
  <c r="Y2" i="37"/>
  <c r="V2" i="37"/>
  <c r="U2" i="37"/>
  <c r="N2" i="37"/>
  <c r="AO2" i="37" s="1" a="1"/>
  <c r="AO2" i="37" s="1"/>
  <c r="I2" i="37"/>
  <c r="G2" i="37" s="1"/>
  <c r="H2" i="37"/>
  <c r="J2" i="37" s="1"/>
  <c r="E2" i="37"/>
  <c r="Q51" i="37" a="1"/>
  <c r="Q35" i="37" a="1"/>
  <c r="M63" i="37" a="1"/>
  <c r="M47" i="37" a="1"/>
  <c r="Q56" i="37" a="1"/>
  <c r="Q73" i="37" a="1"/>
  <c r="O69" i="37" a="1"/>
  <c r="P55" i="37" a="1"/>
  <c r="BD56" i="37" a="1"/>
  <c r="P56" i="37" a="1"/>
  <c r="P73" i="37" a="1"/>
  <c r="BC56" i="37" a="1"/>
  <c r="O56" i="37" a="1"/>
  <c r="M42" i="37" a="1"/>
  <c r="BC35" i="37" a="1"/>
  <c r="O65" i="37" a="1"/>
  <c r="AN63" i="37" a="1"/>
  <c r="L47" i="37" a="1"/>
  <c r="K39" i="37" a="1"/>
  <c r="L16" i="37" a="1"/>
  <c r="P6" i="37" a="1"/>
  <c r="K42" i="37" a="1"/>
  <c r="Q65" i="37" a="1"/>
  <c r="P43" i="37" a="1"/>
  <c r="P51" i="37" a="1"/>
  <c r="M48" i="37" a="1"/>
  <c r="AW55" i="37" a="1"/>
  <c r="O51" i="37" a="1"/>
  <c r="AN48" i="37" a="1"/>
  <c r="AN42" i="37" a="1"/>
  <c r="Q69" i="37" a="1"/>
  <c r="P69" i="37" a="1"/>
  <c r="AN47" i="37" a="1"/>
  <c r="M16" i="37" a="1"/>
  <c r="P15" i="37" a="1"/>
  <c r="O35" i="37" a="1"/>
  <c r="L63" i="37" a="1"/>
  <c r="K55" i="37" a="1"/>
  <c r="Q39" i="37" a="1"/>
  <c r="AN61" i="37" a="1"/>
  <c r="M64" i="37" a="1"/>
  <c r="Q55" i="37" a="1"/>
  <c r="M46" i="37" a="1"/>
  <c r="P35" i="37" a="1"/>
  <c r="AN64" i="37" a="1"/>
  <c r="Q47" i="37" a="1"/>
  <c r="L46" i="37" a="1"/>
  <c r="BD35" i="37" a="1"/>
  <c r="Q6" i="37" a="1"/>
  <c r="M10" i="37" a="1"/>
  <c r="Q15" i="37" a="1"/>
  <c r="BB60" i="37" a="1"/>
  <c r="AU56" i="37" a="1"/>
  <c r="M17" i="37" a="1"/>
  <c r="AP34" i="37" l="1" a="1"/>
  <c r="AP34" i="37" s="1"/>
  <c r="AV8" i="37" a="1"/>
  <c r="AV8" i="37" s="1"/>
  <c r="AW8" i="37" a="1"/>
  <c r="AW8" i="37" s="1"/>
  <c r="O54" i="13"/>
  <c r="G54" i="13"/>
  <c r="O55" i="13"/>
  <c r="G55" i="13"/>
  <c r="O50" i="13"/>
  <c r="G50" i="13"/>
  <c r="O51" i="13"/>
  <c r="G51" i="13"/>
  <c r="O48" i="13"/>
  <c r="G48" i="13"/>
  <c r="G49" i="13"/>
  <c r="O49" i="13"/>
  <c r="O52" i="13"/>
  <c r="G52" i="13"/>
  <c r="O53" i="13"/>
  <c r="G53" i="13"/>
  <c r="AO8" i="37" a="1"/>
  <c r="AO8" i="37" s="1"/>
  <c r="O8" i="37" a="1"/>
  <c r="O8" i="37" s="1"/>
  <c r="AP8" i="37" a="1"/>
  <c r="AP8" i="37" s="1"/>
  <c r="P8" i="37" a="1"/>
  <c r="P8" i="37" s="1"/>
  <c r="AP10" i="37" a="1"/>
  <c r="AP10" i="37" s="1"/>
  <c r="P46" i="37" a="1"/>
  <c r="P46" i="37" s="1"/>
  <c r="Q42" i="37" a="1"/>
  <c r="Q42" i="37" s="1"/>
  <c r="AO17" i="37" a="1"/>
  <c r="AO17" i="37" s="1"/>
  <c r="P74" i="37" a="1"/>
  <c r="P74" i="37" s="1"/>
  <c r="Q29" i="37" a="1"/>
  <c r="Q29" i="37" s="1"/>
  <c r="Q36" i="37" a="1"/>
  <c r="Q36" i="37" s="1"/>
  <c r="O37" i="37" a="1"/>
  <c r="O37" i="37" s="1"/>
  <c r="Q22" i="37" a="1"/>
  <c r="Q22" i="37" s="1"/>
  <c r="AO26" i="37" a="1"/>
  <c r="AO26" i="37" s="1"/>
  <c r="P37" i="37" a="1"/>
  <c r="P37" i="37" s="1"/>
  <c r="AP26" i="37" a="1"/>
  <c r="AP26" i="37" s="1"/>
  <c r="AP40" i="37" a="1"/>
  <c r="AP40" i="37" s="1"/>
  <c r="P57" i="37" a="1"/>
  <c r="P57" i="37" s="1"/>
  <c r="O67" i="37" a="1"/>
  <c r="O67" i="37" s="1"/>
  <c r="P71" i="37" a="1"/>
  <c r="P71" i="37" s="1"/>
  <c r="P72" i="37" a="1"/>
  <c r="P72" i="37" s="1"/>
  <c r="AO42" i="37" a="1"/>
  <c r="AO42" i="37" s="1"/>
  <c r="P67" i="37" a="1"/>
  <c r="P67" i="37" s="1"/>
  <c r="Q67" i="37" a="1"/>
  <c r="Q67" i="37" s="1"/>
  <c r="Q74" i="37" a="1"/>
  <c r="Q74" i="37" s="1"/>
  <c r="O34" i="37" a="1"/>
  <c r="O34" i="37" s="1"/>
  <c r="AO72" i="37" a="1"/>
  <c r="AO72" i="37" s="1"/>
  <c r="O75" i="37" a="1"/>
  <c r="O75" i="37" s="1"/>
  <c r="Q76" i="37" a="1"/>
  <c r="Q76" i="37" s="1"/>
  <c r="Q13" i="37" a="1"/>
  <c r="Q13" i="37" s="1"/>
  <c r="O14" i="37" a="1"/>
  <c r="O14" i="37" s="1"/>
  <c r="P19" i="37" a="1"/>
  <c r="P19" i="37" s="1"/>
  <c r="O26" i="37" a="1"/>
  <c r="O26" i="37" s="1"/>
  <c r="AP72" i="37" a="1"/>
  <c r="AP72" i="37" s="1"/>
  <c r="Q19" i="37" a="1"/>
  <c r="Q19" i="37" s="1"/>
  <c r="Q26" i="37" a="1"/>
  <c r="Q26" i="37" s="1"/>
  <c r="AO74" i="37" a="1"/>
  <c r="AO74" i="37" s="1"/>
  <c r="AO10" i="37" a="1"/>
  <c r="AO10" i="37" s="1"/>
  <c r="Q21" i="37" a="1"/>
  <c r="Q21" i="37" s="1"/>
  <c r="O22" i="37" a="1"/>
  <c r="O22" i="37" s="1"/>
  <c r="O29" i="37" a="1"/>
  <c r="O29" i="37" s="1"/>
  <c r="AO16" i="37" a="1"/>
  <c r="AO16" i="37" s="1"/>
  <c r="P3" i="37" a="1"/>
  <c r="P3" i="37" s="1"/>
  <c r="AO14" i="37" a="1"/>
  <c r="AO14" i="37" s="1"/>
  <c r="AP14" i="37" a="1"/>
  <c r="AP14" i="37" s="1"/>
  <c r="AO19" i="37" a="1"/>
  <c r="AO19" i="37" s="1"/>
  <c r="AP53" i="37" a="1"/>
  <c r="AP53" i="37" s="1"/>
  <c r="AO54" i="37" a="1"/>
  <c r="AO54" i="37" s="1"/>
  <c r="AP19" i="37" a="1"/>
  <c r="AP19" i="37" s="1"/>
  <c r="P36" i="37" a="1"/>
  <c r="P36" i="37" s="1"/>
  <c r="O40" i="37" a="1"/>
  <c r="O40" i="37" s="1"/>
  <c r="P42" i="37" a="1"/>
  <c r="P42" i="37" s="1"/>
  <c r="AM14" i="37" a="1"/>
  <c r="AM14" i="37" s="1"/>
  <c r="AN14" i="37" a="1"/>
  <c r="AN14" i="37" s="1"/>
  <c r="L14" i="37" a="1"/>
  <c r="L14" i="37" s="1"/>
  <c r="M14" i="37" a="1"/>
  <c r="M14" i="37" s="1"/>
  <c r="K29" i="37" a="1"/>
  <c r="K29" i="37" s="1"/>
  <c r="AN29" i="37" a="1"/>
  <c r="AN29" i="37" s="1"/>
  <c r="AM29" i="37" a="1"/>
  <c r="AM29" i="37" s="1"/>
  <c r="L29" i="37" a="1"/>
  <c r="L29" i="37" s="1"/>
  <c r="P2" i="37" a="1"/>
  <c r="P2" i="37" s="1"/>
  <c r="Q11" i="37" a="1"/>
  <c r="Q11" i="37" s="1"/>
  <c r="L13" i="37" a="1"/>
  <c r="L13" i="37" s="1"/>
  <c r="P20" i="37" a="1"/>
  <c r="P20" i="37" s="1"/>
  <c r="P27" i="37" a="1"/>
  <c r="P27" i="37" s="1"/>
  <c r="O44" i="37" a="1"/>
  <c r="O44" i="37" s="1"/>
  <c r="Q20" i="37" a="1"/>
  <c r="Q20" i="37" s="1"/>
  <c r="Q27" i="37" a="1"/>
  <c r="Q27" i="37" s="1"/>
  <c r="Q44" i="37" a="1"/>
  <c r="Q44" i="37" s="1"/>
  <c r="O13" i="37" a="1"/>
  <c r="O13" i="37" s="1"/>
  <c r="P21" i="37" a="1"/>
  <c r="P21" i="37" s="1"/>
  <c r="O46" i="37" a="1"/>
  <c r="O46" i="37" s="1"/>
  <c r="O62" i="37" a="1"/>
  <c r="O62" i="37" s="1"/>
  <c r="Q75" i="37" a="1"/>
  <c r="Q75" i="37" s="1"/>
  <c r="O60" i="37" a="1"/>
  <c r="O60" i="37" s="1"/>
  <c r="P62" i="37" a="1"/>
  <c r="P62" i="37" s="1"/>
  <c r="Q60" i="37" a="1"/>
  <c r="Q60" i="37" s="1"/>
  <c r="Q5" i="37" a="1"/>
  <c r="Q5" i="37" s="1"/>
  <c r="AO44" i="37" a="1"/>
  <c r="AO44" i="37" s="1"/>
  <c r="AO20" i="37" a="1"/>
  <c r="AO20" i="37" s="1"/>
  <c r="Q37" i="37" a="1"/>
  <c r="Q37" i="37" s="1"/>
  <c r="AP44" i="37" a="1"/>
  <c r="AP44" i="37" s="1"/>
  <c r="O49" i="37" a="1"/>
  <c r="O49" i="37" s="1"/>
  <c r="P52" i="37" a="1"/>
  <c r="P52" i="37" s="1"/>
  <c r="AO75" i="37" a="1"/>
  <c r="AO75" i="37" s="1"/>
  <c r="O2" i="37" a="1"/>
  <c r="O2" i="37" s="1"/>
  <c r="AP2" i="37" a="1"/>
  <c r="AP2" i="37" s="1"/>
  <c r="AM13" i="37" a="1"/>
  <c r="AM13" i="37" s="1"/>
  <c r="Q23" i="37" a="1"/>
  <c r="Q23" i="37" s="1"/>
  <c r="O25" i="37" a="1"/>
  <c r="O25" i="37" s="1"/>
  <c r="AO46" i="37" a="1"/>
  <c r="AO46" i="37" s="1"/>
  <c r="Q52" i="37" a="1"/>
  <c r="Q52" i="37" s="1"/>
  <c r="O53" i="37" a="1"/>
  <c r="O53" i="37" s="1"/>
  <c r="P58" i="37" a="1"/>
  <c r="P58" i="37" s="1"/>
  <c r="Q59" i="37" a="1"/>
  <c r="Q59" i="37" s="1"/>
  <c r="AP62" i="37" a="1"/>
  <c r="AP62" i="37" s="1"/>
  <c r="P68" i="37" a="1"/>
  <c r="P68" i="37" s="1"/>
  <c r="AP75" i="37" a="1"/>
  <c r="AP75" i="37" s="1"/>
  <c r="P4" i="37" a="1"/>
  <c r="P4" i="37" s="1"/>
  <c r="P7" i="37" a="1"/>
  <c r="P7" i="37" s="1"/>
  <c r="Q9" i="37" a="1"/>
  <c r="Q9" i="37" s="1"/>
  <c r="AN13" i="37" a="1"/>
  <c r="AN13" i="37" s="1"/>
  <c r="AO22" i="37" a="1"/>
  <c r="AO22" i="37" s="1"/>
  <c r="P25" i="37" a="1"/>
  <c r="P25" i="37" s="1"/>
  <c r="P33" i="37" a="1"/>
  <c r="P33" i="37" s="1"/>
  <c r="P38" i="37" a="1"/>
  <c r="P38" i="37" s="1"/>
  <c r="AP46" i="37" a="1"/>
  <c r="AP46" i="37" s="1"/>
  <c r="P53" i="37" a="1"/>
  <c r="P53" i="37" s="1"/>
  <c r="Q58" i="37" a="1"/>
  <c r="Q58" i="37" s="1"/>
  <c r="AO60" i="37" a="1"/>
  <c r="AO60" i="37" s="1"/>
  <c r="AO63" i="37" a="1"/>
  <c r="AO63" i="37" s="1"/>
  <c r="Q68" i="37" a="1"/>
  <c r="Q68" i="37" s="1"/>
  <c r="P70" i="37" a="1"/>
  <c r="P70" i="37" s="1"/>
  <c r="O5" i="37" a="1"/>
  <c r="O5" i="37" s="1"/>
  <c r="AO11" i="37" a="1"/>
  <c r="AO11" i="37" s="1"/>
  <c r="AO3" i="37" a="1"/>
  <c r="AO3" i="37" s="1"/>
  <c r="AP13" i="37" a="1"/>
  <c r="AP13" i="37" s="1"/>
  <c r="AP22" i="37" a="1"/>
  <c r="AP22" i="37" s="1"/>
  <c r="Q25" i="37" a="1"/>
  <c r="Q25" i="37" s="1"/>
  <c r="Q33" i="37" a="1"/>
  <c r="Q33" i="37" s="1"/>
  <c r="Q38" i="37" a="1"/>
  <c r="Q38" i="37" s="1"/>
  <c r="Q53" i="37" a="1"/>
  <c r="Q53" i="37" s="1"/>
  <c r="AP60" i="37" a="1"/>
  <c r="AP60" i="37" s="1"/>
  <c r="Q70" i="37" a="1"/>
  <c r="Q70" i="37" s="1"/>
  <c r="P11" i="37" a="1"/>
  <c r="P11" i="37" s="1"/>
  <c r="Q2" i="37" a="1"/>
  <c r="Q2" i="37" s="1"/>
  <c r="P23" i="37" a="1"/>
  <c r="P23" i="37" s="1"/>
  <c r="AP5" i="37" a="1"/>
  <c r="AP5" i="37" s="1"/>
  <c r="O10" i="37" a="1"/>
  <c r="O10" i="37" s="1"/>
  <c r="AP29" i="37" a="1"/>
  <c r="AP29" i="37" s="1"/>
  <c r="AO31" i="37" a="1"/>
  <c r="AO31" i="37" s="1"/>
  <c r="P34" i="37" a="1"/>
  <c r="P34" i="37" s="1"/>
  <c r="AO37" i="37" a="1"/>
  <c r="AO37" i="37" s="1"/>
  <c r="P40" i="37" a="1"/>
  <c r="P40" i="37" s="1"/>
  <c r="AO49" i="37" a="1"/>
  <c r="AO49" i="37" s="1"/>
  <c r="AP67" i="37" a="1"/>
  <c r="AP67" i="37" s="1"/>
  <c r="Q71" i="37" a="1"/>
  <c r="Q71" i="37" s="1"/>
  <c r="O72" i="37" a="1"/>
  <c r="O72" i="37" s="1"/>
  <c r="O9" i="37" a="1"/>
  <c r="O9" i="37" s="1"/>
  <c r="P9" i="37" a="1"/>
  <c r="P9" i="37" s="1"/>
  <c r="P10" i="37" a="1"/>
  <c r="P10" i="37" s="1"/>
  <c r="AO23" i="37" a="1"/>
  <c r="AO23" i="37" s="1"/>
  <c r="AP31" i="37" a="1"/>
  <c r="AP31" i="37" s="1"/>
  <c r="Q34" i="37" a="1"/>
  <c r="Q34" i="37" s="1"/>
  <c r="Q40" i="37" a="1"/>
  <c r="Q40" i="37" s="1"/>
  <c r="AP49" i="37" a="1"/>
  <c r="AP49" i="37" s="1"/>
  <c r="AO27" i="37" a="1"/>
  <c r="AO27" i="37" s="1"/>
  <c r="AO5" i="37" a="1"/>
  <c r="AO5" i="37" s="1"/>
  <c r="AP9" i="37" a="1"/>
  <c r="AP9" i="37" s="1"/>
  <c r="P41" i="37" a="1"/>
  <c r="P41" i="37" s="1"/>
  <c r="Q54" i="37" a="1"/>
  <c r="Q54" i="37" s="1"/>
  <c r="Q57" i="37" a="1"/>
  <c r="Q57" i="37" s="1"/>
  <c r="AO58" i="37" a="1"/>
  <c r="AO58" i="37" s="1"/>
  <c r="AP25" i="37" a="1"/>
  <c r="AP25" i="37" s="1"/>
  <c r="AO38" i="37" a="1"/>
  <c r="AO38" i="37" s="1"/>
  <c r="Q41" i="37" a="1"/>
  <c r="Q41" i="37" s="1"/>
  <c r="M17" i="37"/>
  <c r="AU56" i="37"/>
  <c r="BB60" i="37"/>
  <c r="Q15" i="37"/>
  <c r="M10" i="37"/>
  <c r="Q6" i="37"/>
  <c r="BD35" i="37"/>
  <c r="L46" i="37"/>
  <c r="Q47" i="37"/>
  <c r="AN64" i="37"/>
  <c r="P35" i="37"/>
  <c r="M46" i="37"/>
  <c r="Q55" i="37"/>
  <c r="M64" i="37"/>
  <c r="AN61" i="37"/>
  <c r="Q39" i="37"/>
  <c r="K55" i="37"/>
  <c r="L63" i="37"/>
  <c r="O35" i="37"/>
  <c r="P15" i="37"/>
  <c r="M16" i="37"/>
  <c r="AN47" i="37"/>
  <c r="P69" i="37"/>
  <c r="Q69" i="37"/>
  <c r="AN42" i="37"/>
  <c r="AN48" i="37"/>
  <c r="O51" i="37"/>
  <c r="AW55" i="37"/>
  <c r="M48" i="37"/>
  <c r="P51" i="37"/>
  <c r="P43" i="37"/>
  <c r="Q65" i="37"/>
  <c r="K42" i="37"/>
  <c r="P6" i="37"/>
  <c r="L16" i="37"/>
  <c r="K39" i="37"/>
  <c r="L47" i="37"/>
  <c r="AN63" i="37"/>
  <c r="O65" i="37"/>
  <c r="BC35" i="37"/>
  <c r="M42" i="37"/>
  <c r="O56" i="37"/>
  <c r="BC56" i="37"/>
  <c r="P73" i="37"/>
  <c r="P56" i="37"/>
  <c r="BD56" i="37"/>
  <c r="P55" i="37"/>
  <c r="O69" i="37"/>
  <c r="Q73" i="37"/>
  <c r="Q56" i="37"/>
  <c r="M47" i="37"/>
  <c r="M63" i="37"/>
  <c r="Q35" i="37"/>
  <c r="Q51" i="37"/>
  <c r="AM12" i="37" a="1"/>
  <c r="AM12" i="37" s="1"/>
  <c r="M12" i="37" a="1"/>
  <c r="M12" i="37" s="1"/>
  <c r="AN12" i="37" a="1"/>
  <c r="AN12" i="37" s="1"/>
  <c r="L12" i="37" a="1"/>
  <c r="L12" i="37" s="1"/>
  <c r="K12" i="37" a="1"/>
  <c r="K12" i="37" s="1"/>
  <c r="M22" i="37" a="1"/>
  <c r="M22" i="37" s="1"/>
  <c r="AN22" i="37" a="1"/>
  <c r="AN22" i="37" s="1"/>
  <c r="L22" i="37" a="1"/>
  <c r="L22" i="37" s="1"/>
  <c r="AM22" i="37" a="1"/>
  <c r="AM22" i="37" s="1"/>
  <c r="K22" i="37" a="1"/>
  <c r="K22" i="37" s="1"/>
  <c r="AO18" i="37" a="1"/>
  <c r="AO18" i="37" s="1"/>
  <c r="O18" i="37" a="1"/>
  <c r="O18" i="37" s="1"/>
  <c r="Q18" i="37" a="1"/>
  <c r="Q18" i="37" s="1"/>
  <c r="AP18" i="37" a="1"/>
  <c r="AP18" i="37" s="1"/>
  <c r="P18" i="37" a="1"/>
  <c r="P18" i="37" s="1"/>
  <c r="K11" i="37" a="1"/>
  <c r="K11" i="37" s="1"/>
  <c r="M11" i="37" a="1"/>
  <c r="M11" i="37" s="1"/>
  <c r="AN11" i="37" a="1"/>
  <c r="AN11" i="37" s="1"/>
  <c r="L11" i="37" a="1"/>
  <c r="L11" i="37" s="1"/>
  <c r="AM11" i="37" a="1"/>
  <c r="AM11" i="37" s="1"/>
  <c r="M25" i="37" a="1"/>
  <c r="M25" i="37" s="1"/>
  <c r="AN25" i="37" a="1"/>
  <c r="AN25" i="37" s="1"/>
  <c r="L25" i="37" a="1"/>
  <c r="L25" i="37" s="1"/>
  <c r="AM25" i="37" a="1"/>
  <c r="AM25" i="37" s="1"/>
  <c r="K25" i="37" a="1"/>
  <c r="K25" i="37" s="1"/>
  <c r="M19" i="37" a="1"/>
  <c r="M19" i="37" s="1"/>
  <c r="AN19" i="37" a="1"/>
  <c r="AN19" i="37" s="1"/>
  <c r="L19" i="37" a="1"/>
  <c r="L19" i="37" s="1"/>
  <c r="AM19" i="37" a="1"/>
  <c r="AM19" i="37" s="1"/>
  <c r="K19" i="37" a="1"/>
  <c r="K19" i="37" s="1"/>
  <c r="M24" i="37" a="1"/>
  <c r="M24" i="37" s="1"/>
  <c r="AN24" i="37" a="1"/>
  <c r="AN24" i="37" s="1"/>
  <c r="L24" i="37" a="1"/>
  <c r="L24" i="37" s="1"/>
  <c r="AM24" i="37" a="1"/>
  <c r="AM24" i="37" s="1"/>
  <c r="K24" i="37" a="1"/>
  <c r="K24" i="37" s="1"/>
  <c r="K28" i="37" a="1"/>
  <c r="K28" i="37" s="1"/>
  <c r="M28" i="37" a="1"/>
  <c r="M28" i="37" s="1"/>
  <c r="AN28" i="37" a="1"/>
  <c r="AN28" i="37" s="1"/>
  <c r="L28" i="37" a="1"/>
  <c r="L28" i="37" s="1"/>
  <c r="AM28" i="37" a="1"/>
  <c r="AM28" i="37" s="1"/>
  <c r="M20" i="37" a="1"/>
  <c r="M20" i="37" s="1"/>
  <c r="AN20" i="37" a="1"/>
  <c r="AN20" i="37" s="1"/>
  <c r="L20" i="37" a="1"/>
  <c r="L20" i="37" s="1"/>
  <c r="AM20" i="37" a="1"/>
  <c r="AM20" i="37" s="1"/>
  <c r="K20" i="37" a="1"/>
  <c r="K20" i="37" s="1"/>
  <c r="M23" i="37" a="1"/>
  <c r="M23" i="37" s="1"/>
  <c r="AN23" i="37" a="1"/>
  <c r="AN23" i="37" s="1"/>
  <c r="L23" i="37" a="1"/>
  <c r="L23" i="37" s="1"/>
  <c r="AM23" i="37" a="1"/>
  <c r="AM23" i="37" s="1"/>
  <c r="K23" i="37" a="1"/>
  <c r="K23" i="37" s="1"/>
  <c r="M21" i="37" a="1"/>
  <c r="M21" i="37" s="1"/>
  <c r="AN21" i="37" a="1"/>
  <c r="AN21" i="37" s="1"/>
  <c r="L21" i="37" a="1"/>
  <c r="L21" i="37" s="1"/>
  <c r="AM21" i="37" a="1"/>
  <c r="AM21" i="37" s="1"/>
  <c r="K21" i="37" a="1"/>
  <c r="K21" i="37" s="1"/>
  <c r="BB57" i="37" a="1"/>
  <c r="BB57" i="37" s="1"/>
  <c r="M57" i="37" a="1"/>
  <c r="M57" i="37" s="1"/>
  <c r="BA57" i="37" a="1"/>
  <c r="BA57" i="37" s="1"/>
  <c r="AN57" i="37" a="1"/>
  <c r="AN57" i="37" s="1"/>
  <c r="AM57" i="37" a="1"/>
  <c r="AM57" i="37" s="1"/>
  <c r="K57" i="37" a="1"/>
  <c r="K57" i="37" s="1"/>
  <c r="AU57" i="37" a="1"/>
  <c r="AU57" i="37" s="1"/>
  <c r="AT57" i="37" a="1"/>
  <c r="AT57" i="37" s="1"/>
  <c r="L57" i="37" a="1"/>
  <c r="L57" i="37" s="1"/>
  <c r="K27" i="37" a="1"/>
  <c r="K27" i="37" s="1"/>
  <c r="L31" i="37" a="1"/>
  <c r="L31" i="37" s="1"/>
  <c r="AM31" i="37" a="1"/>
  <c r="AM31" i="37" s="1"/>
  <c r="K31" i="37" a="1"/>
  <c r="K31" i="37" s="1"/>
  <c r="M75" i="37" a="1"/>
  <c r="M75" i="37" s="1"/>
  <c r="AN75" i="37" a="1"/>
  <c r="AN75" i="37" s="1"/>
  <c r="L75" i="37" a="1"/>
  <c r="L75" i="37" s="1"/>
  <c r="AM75" i="37" a="1"/>
  <c r="AM75" i="37" s="1"/>
  <c r="K75" i="37" a="1"/>
  <c r="K75" i="37" s="1"/>
  <c r="O17" i="37" a="1"/>
  <c r="O17" i="37" s="1"/>
  <c r="AP17" i="37" a="1"/>
  <c r="AP17" i="37" s="1"/>
  <c r="K26" i="37" a="1"/>
  <c r="K26" i="37" s="1"/>
  <c r="AM27" i="37" a="1"/>
  <c r="AM27" i="37" s="1"/>
  <c r="O30" i="37" a="1"/>
  <c r="O30" i="37" s="1"/>
  <c r="M13" i="37" a="1"/>
  <c r="M13" i="37" s="1"/>
  <c r="O16" i="37" a="1"/>
  <c r="O16" i="37" s="1"/>
  <c r="AP16" i="37" a="1"/>
  <c r="AP16" i="37" s="1"/>
  <c r="AM26" i="37" a="1"/>
  <c r="AM26" i="37" s="1"/>
  <c r="L27" i="37" a="1"/>
  <c r="L27" i="37" s="1"/>
  <c r="M29" i="37" a="1"/>
  <c r="M29" i="37" s="1"/>
  <c r="Q64" i="37" a="1"/>
  <c r="Q64" i="37" s="1"/>
  <c r="AP64" i="37" a="1"/>
  <c r="AP64" i="37" s="1"/>
  <c r="O64" i="37" a="1"/>
  <c r="O64" i="37" s="1"/>
  <c r="AO64" i="37" a="1"/>
  <c r="AO64" i="37" s="1"/>
  <c r="Q4" i="37" a="1"/>
  <c r="Q4" i="37" s="1"/>
  <c r="AO13" i="37" a="1"/>
  <c r="AO13" i="37" s="1"/>
  <c r="P17" i="37" a="1"/>
  <c r="P17" i="37" s="1"/>
  <c r="L26" i="37" a="1"/>
  <c r="L26" i="37" s="1"/>
  <c r="AN27" i="37" a="1"/>
  <c r="AN27" i="37" s="1"/>
  <c r="AO29" i="37" a="1"/>
  <c r="AO29" i="37" s="1"/>
  <c r="P30" i="37" a="1"/>
  <c r="P30" i="37" s="1"/>
  <c r="M31" i="37" a="1"/>
  <c r="M31" i="37" s="1"/>
  <c r="AO12" i="37" a="1"/>
  <c r="AO12" i="37" s="1"/>
  <c r="P16" i="37" a="1"/>
  <c r="P16" i="37" s="1"/>
  <c r="AN26" i="37" a="1"/>
  <c r="AN26" i="37" s="1"/>
  <c r="AO28" i="37" a="1"/>
  <c r="AO28" i="37" s="1"/>
  <c r="AO32" i="37" a="1"/>
  <c r="AO32" i="37" s="1"/>
  <c r="Q45" i="37" a="1"/>
  <c r="Q45" i="37" s="1"/>
  <c r="P45" i="37" a="1"/>
  <c r="P45" i="37" s="1"/>
  <c r="AP45" i="37" a="1"/>
  <c r="AP45" i="37" s="1"/>
  <c r="O45" i="37" a="1"/>
  <c r="O45" i="37" s="1"/>
  <c r="AO45" i="37" a="1"/>
  <c r="AO45" i="37" s="1"/>
  <c r="P66" i="37" a="1"/>
  <c r="P66" i="37" s="1"/>
  <c r="AP66" i="37" a="1"/>
  <c r="AP66" i="37" s="1"/>
  <c r="O66" i="37" a="1"/>
  <c r="O66" i="37" s="1"/>
  <c r="AO66" i="37" a="1"/>
  <c r="AO66" i="37" s="1"/>
  <c r="Q3" i="37" a="1"/>
  <c r="Q3" i="37" s="1"/>
  <c r="O12" i="37" a="1"/>
  <c r="O12" i="37" s="1"/>
  <c r="AP12" i="37" a="1"/>
  <c r="AP12" i="37" s="1"/>
  <c r="P14" i="37" a="1"/>
  <c r="P14" i="37" s="1"/>
  <c r="O28" i="37" a="1"/>
  <c r="O28" i="37" s="1"/>
  <c r="AP28" i="37" a="1"/>
  <c r="AP28" i="37" s="1"/>
  <c r="O31" i="37" a="1"/>
  <c r="O31" i="37" s="1"/>
  <c r="AN32" i="37" a="1"/>
  <c r="AN32" i="37" s="1"/>
  <c r="L32" i="37" a="1"/>
  <c r="L32" i="37" s="1"/>
  <c r="AM32" i="37" a="1"/>
  <c r="AM32" i="37" s="1"/>
  <c r="K32" i="37" a="1"/>
  <c r="K32" i="37" s="1"/>
  <c r="AP32" i="37" a="1"/>
  <c r="AP32" i="37" s="1"/>
  <c r="O11" i="37" a="1"/>
  <c r="O11" i="37" s="1"/>
  <c r="O27" i="37" a="1"/>
  <c r="O27" i="37" s="1"/>
  <c r="M32" i="37" a="1"/>
  <c r="M32" i="37" s="1"/>
  <c r="Q66" i="37" a="1"/>
  <c r="Q66" i="37" s="1"/>
  <c r="AO7" i="37" a="1"/>
  <c r="AO7" i="37" s="1"/>
  <c r="P12" i="37" a="1"/>
  <c r="P12" i="37" s="1"/>
  <c r="AO24" i="37" a="1"/>
  <c r="AO24" i="37" s="1"/>
  <c r="P28" i="37" a="1"/>
  <c r="P28" i="37" s="1"/>
  <c r="P31" i="37" a="1"/>
  <c r="P31" i="37" s="1"/>
  <c r="AO33" i="37" a="1"/>
  <c r="AO33" i="37" s="1"/>
  <c r="M33" i="37" a="1"/>
  <c r="M33" i="37" s="1"/>
  <c r="AN33" i="37" a="1"/>
  <c r="AN33" i="37" s="1"/>
  <c r="L33" i="37" a="1"/>
  <c r="L33" i="37" s="1"/>
  <c r="AM33" i="37" a="1"/>
  <c r="AM33" i="37" s="1"/>
  <c r="BB59" i="37" a="1"/>
  <c r="BB59" i="37" s="1"/>
  <c r="BA59" i="37" a="1"/>
  <c r="BA59" i="37" s="1"/>
  <c r="AN59" i="37" a="1"/>
  <c r="AN59" i="37" s="1"/>
  <c r="L59" i="37" a="1"/>
  <c r="L59" i="37" s="1"/>
  <c r="K59" i="37" a="1"/>
  <c r="K59" i="37" s="1"/>
  <c r="M76" i="37" a="1"/>
  <c r="M76" i="37" s="1"/>
  <c r="AN76" i="37" a="1"/>
  <c r="AN76" i="37" s="1"/>
  <c r="L76" i="37" a="1"/>
  <c r="L76" i="37" s="1"/>
  <c r="AM76" i="37" a="1"/>
  <c r="AM76" i="37" s="1"/>
  <c r="O7" i="37" a="1"/>
  <c r="O7" i="37" s="1"/>
  <c r="AP7" i="37" a="1"/>
  <c r="AP7" i="37" s="1"/>
  <c r="O24" i="37" a="1"/>
  <c r="O24" i="37" s="1"/>
  <c r="AP24" i="37" a="1"/>
  <c r="AP24" i="37" s="1"/>
  <c r="AM30" i="37" a="1"/>
  <c r="AM30" i="37" s="1"/>
  <c r="K30" i="37" a="1"/>
  <c r="K30" i="37" s="1"/>
  <c r="AN30" i="37" a="1"/>
  <c r="AN30" i="37" s="1"/>
  <c r="O32" i="37" a="1"/>
  <c r="O32" i="37" s="1"/>
  <c r="AP33" i="37" a="1"/>
  <c r="AP33" i="37" s="1"/>
  <c r="AO4" i="37" a="1"/>
  <c r="AO4" i="37" s="1"/>
  <c r="AO21" i="37" a="1"/>
  <c r="AO21" i="37" s="1"/>
  <c r="O23" i="37" a="1"/>
  <c r="O23" i="37" s="1"/>
  <c r="K33" i="37" a="1"/>
  <c r="K33" i="37" s="1"/>
  <c r="Q48" i="37" a="1"/>
  <c r="Q48" i="37" s="1"/>
  <c r="AP48" i="37" a="1"/>
  <c r="AP48" i="37" s="1"/>
  <c r="O48" i="37" a="1"/>
  <c r="O48" i="37" s="1"/>
  <c r="AO48" i="37" a="1"/>
  <c r="AO48" i="37" s="1"/>
  <c r="M59" i="37" a="1"/>
  <c r="M59" i="37" s="1"/>
  <c r="K76" i="37" a="1"/>
  <c r="K76" i="37" s="1"/>
  <c r="P24" i="37" a="1"/>
  <c r="P24" i="37" s="1"/>
  <c r="AO30" i="37" a="1"/>
  <c r="AO30" i="37" s="1"/>
  <c r="P32" i="37" a="1"/>
  <c r="P32" i="37" s="1"/>
  <c r="K34" i="37" a="1"/>
  <c r="K34" i="37" s="1"/>
  <c r="M34" i="37" a="1"/>
  <c r="M34" i="37" s="1"/>
  <c r="AN34" i="37" a="1"/>
  <c r="AN34" i="37" s="1"/>
  <c r="L34" i="37" a="1"/>
  <c r="L34" i="37" s="1"/>
  <c r="AM34" i="37" a="1"/>
  <c r="AM34" i="37" s="1"/>
  <c r="P50" i="37" a="1"/>
  <c r="P50" i="37" s="1"/>
  <c r="AP50" i="37" a="1"/>
  <c r="AP50" i="37" s="1"/>
  <c r="O50" i="37" a="1"/>
  <c r="O50" i="37" s="1"/>
  <c r="AO50" i="37" a="1"/>
  <c r="AO50" i="37" s="1"/>
  <c r="M70" i="37" a="1"/>
  <c r="M70" i="37" s="1"/>
  <c r="AN70" i="37" a="1"/>
  <c r="AN70" i="37" s="1"/>
  <c r="L70" i="37" a="1"/>
  <c r="L70" i="37" s="1"/>
  <c r="AM70" i="37" a="1"/>
  <c r="AM70" i="37" s="1"/>
  <c r="K70" i="37" a="1"/>
  <c r="K70" i="37" s="1"/>
  <c r="K14" i="37" a="1"/>
  <c r="K14" i="37" s="1"/>
  <c r="O21" i="37" a="1"/>
  <c r="O21" i="37" s="1"/>
  <c r="O4" i="37" a="1"/>
  <c r="O4" i="37" s="1"/>
  <c r="O3" i="37" a="1"/>
  <c r="O3" i="37" s="1"/>
  <c r="O20" i="37" a="1"/>
  <c r="O20" i="37" s="1"/>
  <c r="M30" i="37" a="1"/>
  <c r="M30" i="37" s="1"/>
  <c r="AP30" i="37" a="1"/>
  <c r="AP30" i="37" s="1"/>
  <c r="AN31" i="37" a="1"/>
  <c r="AN31" i="37" s="1"/>
  <c r="Q50" i="37" a="1"/>
  <c r="Q50" i="37" s="1"/>
  <c r="M72" i="37" a="1"/>
  <c r="M72" i="37" s="1"/>
  <c r="AN72" i="37" a="1"/>
  <c r="AN72" i="37" s="1"/>
  <c r="L72" i="37" a="1"/>
  <c r="L72" i="37" s="1"/>
  <c r="AM72" i="37" a="1"/>
  <c r="AM72" i="37" s="1"/>
  <c r="K72" i="37" a="1"/>
  <c r="K72" i="37" s="1"/>
  <c r="AO70" i="37" a="1"/>
  <c r="AO70" i="37" s="1"/>
  <c r="O71" i="37" a="1"/>
  <c r="O71" i="37" s="1"/>
  <c r="AP71" i="37" a="1"/>
  <c r="AP71" i="37" s="1"/>
  <c r="AO36" i="37" a="1"/>
  <c r="AO36" i="37" s="1"/>
  <c r="O38" i="37" a="1"/>
  <c r="O38" i="37" s="1"/>
  <c r="AO52" i="37" a="1"/>
  <c r="AO52" i="37" s="1"/>
  <c r="O54" i="37" a="1"/>
  <c r="O54" i="37" s="1"/>
  <c r="AP54" i="37" a="1"/>
  <c r="AP54" i="37" s="1"/>
  <c r="AO68" i="37" a="1"/>
  <c r="AO68" i="37" s="1"/>
  <c r="O70" i="37" a="1"/>
  <c r="O70" i="37" s="1"/>
  <c r="O36" i="37" a="1"/>
  <c r="O36" i="37" s="1"/>
  <c r="O52" i="37" a="1"/>
  <c r="O52" i="37" s="1"/>
  <c r="O68" i="37" a="1"/>
  <c r="O68" i="37" s="1"/>
  <c r="AO62" i="37" a="1"/>
  <c r="AO62" i="37" s="1"/>
  <c r="P49" i="37" a="1"/>
  <c r="P49" i="37" s="1"/>
  <c r="O63" i="37" a="1"/>
  <c r="O63" i="37" s="1"/>
  <c r="AP63" i="37" a="1"/>
  <c r="AP63" i="37" s="1"/>
  <c r="AO76" i="37" a="1"/>
  <c r="AO76" i="37" s="1"/>
  <c r="AO59" i="37" a="1"/>
  <c r="AO59" i="37" s="1"/>
  <c r="P63" i="37" a="1"/>
  <c r="P63" i="37" s="1"/>
  <c r="O76" i="37" a="1"/>
  <c r="O76" i="37" s="1"/>
  <c r="AP76" i="37" a="1"/>
  <c r="AP76" i="37" s="1"/>
  <c r="AO41" i="37" a="1"/>
  <c r="AO41" i="37" s="1"/>
  <c r="AO57" i="37" a="1"/>
  <c r="AO57" i="37" s="1"/>
  <c r="O59" i="37" a="1"/>
  <c r="O59" i="37" s="1"/>
  <c r="AP59" i="37" a="1"/>
  <c r="AP59" i="37" s="1"/>
  <c r="BC59" i="37" a="1"/>
  <c r="BC59" i="37" s="1"/>
  <c r="O42" i="37" a="1"/>
  <c r="O42" i="37" s="1"/>
  <c r="O58" i="37" a="1"/>
  <c r="O58" i="37" s="1"/>
  <c r="AP58" i="37" a="1"/>
  <c r="AP58" i="37" s="1"/>
  <c r="P60" i="37" a="1"/>
  <c r="P60" i="37" s="1"/>
  <c r="O74" i="37" a="1"/>
  <c r="O74" i="37" s="1"/>
  <c r="O41" i="37" a="1"/>
  <c r="O41" i="37" s="1"/>
  <c r="O57" i="37" a="1"/>
  <c r="O57" i="37" s="1"/>
  <c r="AP57" i="37" a="1"/>
  <c r="AP57" i="37" s="1"/>
  <c r="P59" i="37" a="1"/>
  <c r="P59" i="37" s="1"/>
  <c r="M8" i="37" a="1"/>
  <c r="L8" i="37" a="1"/>
  <c r="K8" i="37" a="1"/>
  <c r="L15" i="37" a="1"/>
  <c r="M49" i="37" a="1"/>
  <c r="K66" i="37" a="1"/>
  <c r="AN60" i="37" a="1"/>
  <c r="M51" i="37" a="1"/>
  <c r="M50" i="37" a="1"/>
  <c r="AN45" i="37" a="1"/>
  <c r="AN52" i="37" a="1"/>
  <c r="L73" i="37" a="1"/>
  <c r="M3" i="37" a="1"/>
  <c r="K41" i="37" a="1"/>
  <c r="M7" i="37" a="1"/>
  <c r="AN37" i="37" a="1"/>
  <c r="AN49" i="37" a="1"/>
  <c r="M66" i="37" a="1"/>
  <c r="AN51" i="37" a="1"/>
  <c r="AN50" i="37" a="1"/>
  <c r="K35" i="37" a="1"/>
  <c r="BB56" i="37" a="1"/>
  <c r="M43" i="37" a="1"/>
  <c r="L3" i="37" a="1"/>
  <c r="K15" i="37" a="1"/>
  <c r="L41" i="37" a="1"/>
  <c r="L37" i="37" a="1"/>
  <c r="L49" i="37" a="1"/>
  <c r="AN66" i="37" a="1"/>
  <c r="AN62" i="37" a="1"/>
  <c r="L51" i="37" a="1"/>
  <c r="L50" i="37" a="1"/>
  <c r="BB35" i="37" a="1"/>
  <c r="M56" i="37" a="1"/>
  <c r="K73" i="37" a="1"/>
  <c r="M15" i="37" a="1"/>
  <c r="M18" i="37" a="1"/>
  <c r="L7" i="37" a="1"/>
  <c r="L66" i="37" a="1"/>
  <c r="L68" i="37" a="1"/>
  <c r="AN43" i="37" a="1"/>
  <c r="M35" i="37" a="1"/>
  <c r="BA56" i="37" a="1"/>
  <c r="O39" i="37" a="1"/>
  <c r="AV55" i="37" a="1"/>
  <c r="O73" i="37" a="1"/>
  <c r="AN41" i="37" a="1"/>
  <c r="K65" i="37" a="1"/>
  <c r="M4" i="37" a="1"/>
  <c r="K37" i="37" a="1"/>
  <c r="K49" i="37" a="1"/>
  <c r="M40" i="37" a="1"/>
  <c r="K62" i="37" a="1"/>
  <c r="L43" i="37" a="1"/>
  <c r="BA35" i="37" a="1"/>
  <c r="AN56" i="37" a="1"/>
  <c r="K63" i="37" a="1"/>
  <c r="O43" i="37" a="1"/>
  <c r="K3" i="37" a="1"/>
  <c r="M6" i="37" a="1"/>
  <c r="L18" i="37" a="1"/>
  <c r="K7" i="37" a="1"/>
  <c r="M38" i="37" a="1"/>
  <c r="M37" i="37" a="1"/>
  <c r="M45" i="37" a="1"/>
  <c r="K58" i="37" a="1"/>
  <c r="AN69" i="37" a="1"/>
  <c r="AN40" i="37" a="1"/>
  <c r="K68" i="37" a="1"/>
  <c r="L44" i="37" a="1"/>
  <c r="K43" i="37" a="1"/>
  <c r="O6" i="37" a="1"/>
  <c r="AN35" i="37" a="1"/>
  <c r="L56" i="37" a="1"/>
  <c r="Q43" i="37" a="1"/>
  <c r="L42" i="37" a="1"/>
  <c r="M9" i="37" a="1"/>
  <c r="L4" i="37" a="1"/>
  <c r="AN38" i="37" a="1"/>
  <c r="BB58" i="37" a="1"/>
  <c r="L45" i="37" a="1"/>
  <c r="L60" i="37" a="1"/>
  <c r="L36" i="37" a="1"/>
  <c r="L69" i="37" a="1"/>
  <c r="L40" i="37" a="1"/>
  <c r="M68" i="37" a="1"/>
  <c r="AN53" i="37" a="1"/>
  <c r="K17" i="37" a="1"/>
  <c r="K16" i="37" a="1"/>
  <c r="L35" i="37" a="1"/>
  <c r="K56" i="37" a="1"/>
  <c r="BB55" i="37" a="1"/>
  <c r="K48" i="37" a="1"/>
  <c r="O47" i="37" a="1"/>
  <c r="K47" i="37" a="1"/>
  <c r="K6" i="37" a="1"/>
  <c r="K18" i="37" a="1"/>
  <c r="L38" i="37" a="1"/>
  <c r="M58" i="37" a="1"/>
  <c r="K45" i="37" a="1"/>
  <c r="K40" i="37" a="1"/>
  <c r="AN68" i="37" a="1"/>
  <c r="L53" i="37" a="1"/>
  <c r="L17" i="37" a="1"/>
  <c r="AU35" i="37" a="1"/>
  <c r="M55" i="37" a="1"/>
  <c r="O55" i="37" a="1"/>
  <c r="K10" i="37" a="1"/>
  <c r="K50" i="37" a="1"/>
  <c r="L9" i="37" a="1"/>
  <c r="L6" i="37" a="1"/>
  <c r="K4" i="37" a="1"/>
  <c r="M5" i="37" a="1"/>
  <c r="L58" i="37" a="1"/>
  <c r="K60" i="37" a="1"/>
  <c r="K36" i="37" a="1"/>
  <c r="K69" i="37" a="1"/>
  <c r="BA58" i="37" a="1"/>
  <c r="BA55" i="37" a="1"/>
  <c r="K38" i="37" a="1"/>
  <c r="K67" i="37" a="1"/>
  <c r="M36" i="37" a="1"/>
  <c r="M69" i="37" a="1"/>
  <c r="M44" i="37" a="1"/>
  <c r="M71" i="37" a="1"/>
  <c r="K53" i="37" a="1"/>
  <c r="Q61" i="37" a="1"/>
  <c r="AN55" i="37" a="1"/>
  <c r="AN46" i="37" a="1"/>
  <c r="BC55" i="37" a="1"/>
  <c r="P39" i="37" a="1"/>
  <c r="M52" i="37" a="1"/>
  <c r="K9" i="37" a="1"/>
  <c r="M2" i="37" a="1"/>
  <c r="L5" i="37" a="1"/>
  <c r="M67" i="37" a="1"/>
  <c r="AN36" i="37" a="1"/>
  <c r="M74" i="37" a="1"/>
  <c r="AN44" i="37" a="1"/>
  <c r="M53" i="37" a="1"/>
  <c r="P61" i="37" a="1"/>
  <c r="L55" i="37" a="1"/>
  <c r="K64" i="37" a="1"/>
  <c r="K51" i="37" a="1"/>
  <c r="AN67" i="37" a="1"/>
  <c r="M54" i="37" a="1"/>
  <c r="AN74" i="37" a="1"/>
  <c r="L71" i="37" a="1"/>
  <c r="K44" i="37" a="1"/>
  <c r="M61" i="37" a="1"/>
  <c r="M65" i="37" a="1"/>
  <c r="M39" i="37" a="1"/>
  <c r="K46" i="37" a="1"/>
  <c r="L48" i="37" a="1"/>
  <c r="P65" i="37" a="1"/>
  <c r="L2" i="37" a="1"/>
  <c r="K5" i="37" a="1"/>
  <c r="L67" i="37" a="1"/>
  <c r="L10" i="37" a="1"/>
  <c r="AN54" i="37" a="1"/>
  <c r="L74" i="37" a="1"/>
  <c r="L62" i="37" a="1"/>
  <c r="L61" i="37" a="1"/>
  <c r="AN65" i="37" a="1"/>
  <c r="AN39" i="37" a="1"/>
  <c r="L52" i="37" a="1"/>
  <c r="O61" i="37" a="1"/>
  <c r="AU55" i="37" a="1"/>
  <c r="BD55" i="37" a="1"/>
  <c r="L54" i="37" a="1"/>
  <c r="K74" i="37" a="1"/>
  <c r="K61" i="37" a="1"/>
  <c r="L65" i="37" a="1"/>
  <c r="L39" i="37" a="1"/>
  <c r="AT55" i="37" a="1"/>
  <c r="K54" i="37" a="1"/>
  <c r="AN73" i="37" a="1"/>
  <c r="K2" i="37" a="1"/>
  <c r="M41" i="37" a="1"/>
  <c r="O15" i="37" a="1"/>
  <c r="M60" i="37" a="1"/>
  <c r="K71" i="37" a="1"/>
  <c r="M62" i="37" a="1"/>
  <c r="K52" i="37" a="1"/>
  <c r="M73" i="37" a="1"/>
  <c r="L64" i="37" a="1"/>
  <c r="P47" i="37" a="1"/>
  <c r="BA60" i="37" a="1"/>
  <c r="K8" i="37" l="1"/>
  <c r="L8" i="37"/>
  <c r="M8" i="37"/>
  <c r="G29" i="37"/>
  <c r="G30" i="37"/>
  <c r="BA60" i="37"/>
  <c r="P47" i="37"/>
  <c r="L64" i="37"/>
  <c r="M73" i="37"/>
  <c r="K52" i="37"/>
  <c r="M62" i="37"/>
  <c r="K71" i="37"/>
  <c r="M60" i="37"/>
  <c r="O15" i="37"/>
  <c r="M41" i="37"/>
  <c r="K2" i="37"/>
  <c r="AN73" i="37"/>
  <c r="K54" i="37"/>
  <c r="AT55" i="37"/>
  <c r="L39" i="37"/>
  <c r="L65" i="37"/>
  <c r="K61" i="37"/>
  <c r="K74" i="37"/>
  <c r="L54" i="37"/>
  <c r="BD55" i="37"/>
  <c r="AU55" i="37"/>
  <c r="O61" i="37"/>
  <c r="L52" i="37"/>
  <c r="AN39" i="37"/>
  <c r="AN65" i="37"/>
  <c r="L61" i="37"/>
  <c r="L62" i="37"/>
  <c r="L74" i="37"/>
  <c r="AN54" i="37"/>
  <c r="L10" i="37"/>
  <c r="L67" i="37"/>
  <c r="K5" i="37"/>
  <c r="L2" i="37"/>
  <c r="P65" i="37"/>
  <c r="L48" i="37"/>
  <c r="K46" i="37"/>
  <c r="M39" i="37"/>
  <c r="M65" i="37"/>
  <c r="M61" i="37"/>
  <c r="K44" i="37"/>
  <c r="L71" i="37"/>
  <c r="AN74" i="37"/>
  <c r="M54" i="37"/>
  <c r="AN67" i="37"/>
  <c r="K51" i="37"/>
  <c r="K64" i="37"/>
  <c r="L55" i="37"/>
  <c r="P61" i="37"/>
  <c r="M53" i="37"/>
  <c r="AN44" i="37"/>
  <c r="M74" i="37"/>
  <c r="AN36" i="37"/>
  <c r="M67" i="37"/>
  <c r="L5" i="37"/>
  <c r="M2" i="37"/>
  <c r="K9" i="37"/>
  <c r="M52" i="37"/>
  <c r="P39" i="37"/>
  <c r="BC55" i="37"/>
  <c r="AN46" i="37"/>
  <c r="AN55" i="37"/>
  <c r="Q61" i="37"/>
  <c r="K53" i="37"/>
  <c r="M71" i="37"/>
  <c r="M44" i="37"/>
  <c r="M69" i="37"/>
  <c r="M36" i="37"/>
  <c r="K67" i="37"/>
  <c r="K38" i="37"/>
  <c r="BA55" i="37"/>
  <c r="BA58" i="37"/>
  <c r="K69" i="37"/>
  <c r="K36" i="37"/>
  <c r="K60" i="37"/>
  <c r="L58" i="37"/>
  <c r="M5" i="37"/>
  <c r="K4" i="37"/>
  <c r="L6" i="37"/>
  <c r="L9" i="37"/>
  <c r="K50" i="37"/>
  <c r="K10" i="37"/>
  <c r="O55" i="37"/>
  <c r="M55" i="37"/>
  <c r="AU35" i="37"/>
  <c r="L17" i="37"/>
  <c r="L53" i="37"/>
  <c r="AN68" i="37"/>
  <c r="K40" i="37"/>
  <c r="K45" i="37"/>
  <c r="M58" i="37"/>
  <c r="L38" i="37"/>
  <c r="K18" i="37"/>
  <c r="K6" i="37"/>
  <c r="K47" i="37"/>
  <c r="O47" i="37"/>
  <c r="K48" i="37"/>
  <c r="BB55" i="37"/>
  <c r="K56" i="37"/>
  <c r="L35" i="37"/>
  <c r="K16" i="37"/>
  <c r="K17" i="37"/>
  <c r="AN53" i="37"/>
  <c r="M68" i="37"/>
  <c r="L40" i="37"/>
  <c r="L69" i="37"/>
  <c r="L36" i="37"/>
  <c r="L60" i="37"/>
  <c r="L45" i="37"/>
  <c r="BB58" i="37"/>
  <c r="AN38" i="37"/>
  <c r="L4" i="37"/>
  <c r="M9" i="37"/>
  <c r="L42" i="37"/>
  <c r="G42" i="37" s="1"/>
  <c r="Q43" i="37"/>
  <c r="L56" i="37"/>
  <c r="AN35" i="37"/>
  <c r="O6" i="37"/>
  <c r="K43" i="37"/>
  <c r="L44" i="37"/>
  <c r="K68" i="37"/>
  <c r="AN40" i="37"/>
  <c r="AN69" i="37"/>
  <c r="K58" i="37"/>
  <c r="M45" i="37"/>
  <c r="M37" i="37"/>
  <c r="M38" i="37"/>
  <c r="K7" i="37"/>
  <c r="L18" i="37"/>
  <c r="M6" i="37"/>
  <c r="K3" i="37"/>
  <c r="O43" i="37"/>
  <c r="K63" i="37"/>
  <c r="AN56" i="37"/>
  <c r="BA35" i="37"/>
  <c r="L43" i="37"/>
  <c r="K62" i="37"/>
  <c r="M40" i="37"/>
  <c r="K49" i="37"/>
  <c r="K37" i="37"/>
  <c r="M4" i="37"/>
  <c r="K65" i="37"/>
  <c r="AN41" i="37"/>
  <c r="O73" i="37"/>
  <c r="AV55" i="37"/>
  <c r="O39" i="37"/>
  <c r="BA56" i="37"/>
  <c r="M35" i="37"/>
  <c r="AN43" i="37"/>
  <c r="L68" i="37"/>
  <c r="L66" i="37"/>
  <c r="L7" i="37"/>
  <c r="M18" i="37"/>
  <c r="M15" i="37"/>
  <c r="K73" i="37"/>
  <c r="M56" i="37"/>
  <c r="BB35" i="37"/>
  <c r="L50" i="37"/>
  <c r="L51" i="37"/>
  <c r="AN62" i="37"/>
  <c r="AN66" i="37"/>
  <c r="L49" i="37"/>
  <c r="L37" i="37"/>
  <c r="L41" i="37"/>
  <c r="K15" i="37"/>
  <c r="L3" i="37"/>
  <c r="M43" i="37"/>
  <c r="BB56" i="37"/>
  <c r="K35" i="37"/>
  <c r="AN50" i="37"/>
  <c r="AN51" i="37"/>
  <c r="M66" i="37"/>
  <c r="AN49" i="37"/>
  <c r="AN37" i="37"/>
  <c r="M7" i="37"/>
  <c r="K41" i="37"/>
  <c r="M3" i="37"/>
  <c r="L73" i="37"/>
  <c r="AN52" i="37"/>
  <c r="AN45" i="37"/>
  <c r="M50" i="37"/>
  <c r="M51" i="37"/>
  <c r="AN60" i="37"/>
  <c r="K66" i="37"/>
  <c r="M49" i="37"/>
  <c r="L15" i="37"/>
  <c r="G13" i="37"/>
  <c r="G19" i="37"/>
  <c r="G22" i="37"/>
  <c r="G11" i="37"/>
  <c r="G25" i="37"/>
  <c r="G14" i="37"/>
  <c r="G76" i="37"/>
  <c r="G31" i="37"/>
  <c r="G23" i="37"/>
  <c r="G12" i="37"/>
  <c r="G20" i="37"/>
  <c r="G21" i="37"/>
  <c r="G26" i="37"/>
  <c r="G57" i="37"/>
  <c r="G59" i="37"/>
  <c r="G34" i="37"/>
  <c r="G33" i="37"/>
  <c r="G32" i="37"/>
  <c r="G72" i="37"/>
  <c r="G75" i="37"/>
  <c r="G27" i="37"/>
  <c r="G70" i="37"/>
  <c r="G24" i="37"/>
  <c r="G28" i="37"/>
  <c r="G66" i="37" l="1"/>
  <c r="G74" i="37"/>
  <c r="G46" i="37"/>
  <c r="G48" i="37"/>
  <c r="G54" i="37"/>
  <c r="G44" i="37"/>
  <c r="G37" i="37"/>
  <c r="G45" i="37"/>
  <c r="G68" i="37"/>
  <c r="G67" i="37"/>
  <c r="G41" i="37"/>
  <c r="G36" i="37"/>
  <c r="G38" i="37"/>
  <c r="G49" i="37"/>
  <c r="G60" i="37"/>
  <c r="G64" i="37"/>
  <c r="G62" i="37"/>
  <c r="G50" i="37"/>
  <c r="G53" i="37"/>
  <c r="G40" i="37"/>
  <c r="G52" i="37"/>
  <c r="G63" i="37"/>
  <c r="G48" i="36" l="1"/>
  <c r="C48" i="36"/>
  <c r="G47" i="36"/>
  <c r="C47" i="36"/>
  <c r="G46" i="36"/>
  <c r="C46" i="36"/>
  <c r="C2" i="14"/>
  <c r="D2" i="14" s="1"/>
  <c r="G2" i="14" s="1"/>
  <c r="F2" i="14"/>
  <c r="H48" i="36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5" i="11"/>
  <c r="E40" i="11"/>
  <c r="E41" i="11"/>
  <c r="E42" i="11"/>
  <c r="E43" i="11"/>
  <c r="E44" i="11"/>
  <c r="E45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5" i="11"/>
  <c r="E76" i="11"/>
  <c r="E77" i="11"/>
  <c r="E82" i="11"/>
  <c r="E83" i="11"/>
  <c r="E84" i="11"/>
  <c r="E85" i="11"/>
  <c r="E2" i="11"/>
  <c r="H2" i="36"/>
  <c r="C3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4" i="36"/>
  <c r="C45" i="36"/>
  <c r="C2" i="36"/>
  <c r="B3" i="8"/>
  <c r="B4" i="8"/>
  <c r="B5" i="8"/>
  <c r="B6" i="8"/>
  <c r="B2" i="8"/>
  <c r="G45" i="36"/>
  <c r="G44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19" i="36"/>
  <c r="G18" i="36"/>
  <c r="G17" i="36"/>
  <c r="G16" i="36"/>
  <c r="G15" i="36"/>
  <c r="G14" i="36"/>
  <c r="G13" i="36"/>
  <c r="G12" i="36"/>
  <c r="G11" i="36"/>
  <c r="G10" i="36"/>
  <c r="G9" i="36"/>
  <c r="G8" i="36"/>
  <c r="G7" i="36"/>
  <c r="G6" i="36"/>
  <c r="G5" i="36"/>
  <c r="G4" i="36"/>
  <c r="G3" i="36"/>
  <c r="G2" i="36"/>
  <c r="F3" i="35"/>
  <c r="E3" i="35"/>
  <c r="F2" i="35"/>
  <c r="E2" i="35"/>
  <c r="G3" i="35"/>
  <c r="H3" i="35"/>
  <c r="H2" i="35"/>
  <c r="G2" i="35"/>
  <c r="H24" i="36" l="1"/>
  <c r="I24" i="36" s="1"/>
  <c r="H46" i="36"/>
  <c r="H47" i="36"/>
  <c r="I47" i="36" s="1"/>
  <c r="I2" i="36"/>
  <c r="K2" i="36" s="1"/>
  <c r="I46" i="36"/>
  <c r="K46" i="36" s="1"/>
  <c r="I48" i="36"/>
  <c r="K48" i="36" s="1"/>
  <c r="G85" i="11"/>
  <c r="H85" i="11" s="1"/>
  <c r="J85" i="11" s="1"/>
  <c r="D3" i="35"/>
  <c r="D2" i="35"/>
  <c r="K24" i="36" l="1"/>
  <c r="G56" i="11"/>
  <c r="H56" i="11" s="1"/>
  <c r="J56" i="11" s="1"/>
  <c r="K47" i="36"/>
  <c r="G84" i="11"/>
  <c r="H84" i="11" s="1"/>
  <c r="J84" i="11" s="1"/>
  <c r="G2" i="11"/>
  <c r="H2" i="11" s="1"/>
  <c r="J2" i="11" s="1"/>
  <c r="G83" i="11"/>
  <c r="H83" i="11" s="1"/>
  <c r="J83" i="11" s="1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2" i="29"/>
  <c r="C85" i="11"/>
  <c r="C84" i="11"/>
  <c r="C83" i="11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2" i="27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2" i="27"/>
  <c r="M3" i="29"/>
  <c r="M4" i="29"/>
  <c r="M5" i="29"/>
  <c r="M6" i="29"/>
  <c r="M7" i="29"/>
  <c r="M8" i="29"/>
  <c r="M9" i="29"/>
  <c r="M10" i="29"/>
  <c r="M11" i="29"/>
  <c r="M12" i="29"/>
  <c r="M13" i="29"/>
  <c r="M2" i="29"/>
  <c r="L3" i="29"/>
  <c r="L4" i="29"/>
  <c r="L5" i="29"/>
  <c r="L6" i="29"/>
  <c r="L7" i="29"/>
  <c r="L8" i="29"/>
  <c r="L9" i="29"/>
  <c r="L10" i="29"/>
  <c r="L11" i="29"/>
  <c r="L12" i="29"/>
  <c r="L13" i="29"/>
  <c r="L2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K6" i="29"/>
  <c r="K5" i="29"/>
  <c r="K4" i="29"/>
  <c r="K3" i="29"/>
  <c r="K2" i="29"/>
  <c r="M3" i="32"/>
  <c r="O3" i="32" s="1"/>
  <c r="M4" i="32"/>
  <c r="O4" i="32" s="1"/>
  <c r="M5" i="32"/>
  <c r="O5" i="32" s="1"/>
  <c r="M6" i="32"/>
  <c r="O6" i="32" s="1"/>
  <c r="M7" i="32"/>
  <c r="O7" i="32" s="1"/>
  <c r="M8" i="32"/>
  <c r="O8" i="32" s="1"/>
  <c r="M9" i="32"/>
  <c r="P9" i="32" s="1"/>
  <c r="R9" i="32" s="1"/>
  <c r="M10" i="32"/>
  <c r="P10" i="32" s="1"/>
  <c r="R10" i="32" s="1"/>
  <c r="M11" i="32"/>
  <c r="P11" i="32" s="1"/>
  <c r="R11" i="32" s="1"/>
  <c r="M12" i="32"/>
  <c r="P12" i="32" s="1"/>
  <c r="R12" i="32" s="1"/>
  <c r="M13" i="32"/>
  <c r="P13" i="32" s="1"/>
  <c r="R13" i="32" s="1"/>
  <c r="M14" i="32"/>
  <c r="P14" i="32" s="1"/>
  <c r="R14" i="32" s="1"/>
  <c r="M15" i="32"/>
  <c r="P15" i="32" s="1"/>
  <c r="R15" i="32" s="1"/>
  <c r="M16" i="32"/>
  <c r="O16" i="32" s="1"/>
  <c r="Q16" i="32" s="1"/>
  <c r="M17" i="32"/>
  <c r="O17" i="32" s="1"/>
  <c r="Q17" i="32" s="1"/>
  <c r="M18" i="32"/>
  <c r="O18" i="32" s="1"/>
  <c r="Q18" i="32" s="1"/>
  <c r="M19" i="32"/>
  <c r="O19" i="32" s="1"/>
  <c r="Q19" i="32" s="1"/>
  <c r="M20" i="32"/>
  <c r="O20" i="32" s="1"/>
  <c r="M21" i="32"/>
  <c r="O21" i="32" s="1"/>
  <c r="M22" i="32"/>
  <c r="O22" i="32" s="1"/>
  <c r="M23" i="32"/>
  <c r="O23" i="32" s="1"/>
  <c r="M24" i="32"/>
  <c r="O24" i="32" s="1"/>
  <c r="M25" i="32"/>
  <c r="P25" i="32" s="1"/>
  <c r="R25" i="32" s="1"/>
  <c r="M26" i="32"/>
  <c r="P26" i="32" s="1"/>
  <c r="R26" i="32" s="1"/>
  <c r="M27" i="32"/>
  <c r="P27" i="32" s="1"/>
  <c r="R27" i="32" s="1"/>
  <c r="M28" i="32"/>
  <c r="P28" i="32" s="1"/>
  <c r="R28" i="32" s="1"/>
  <c r="M29" i="32"/>
  <c r="P29" i="32" s="1"/>
  <c r="R29" i="32" s="1"/>
  <c r="M30" i="32"/>
  <c r="P30" i="32" s="1"/>
  <c r="R30" i="32" s="1"/>
  <c r="M31" i="32"/>
  <c r="P31" i="32" s="1"/>
  <c r="R31" i="32" s="1"/>
  <c r="M32" i="32"/>
  <c r="O32" i="32" s="1"/>
  <c r="M33" i="32"/>
  <c r="O33" i="32" s="1"/>
  <c r="M34" i="32"/>
  <c r="O34" i="32" s="1"/>
  <c r="M35" i="32"/>
  <c r="O35" i="32" s="1"/>
  <c r="M36" i="32"/>
  <c r="O36" i="32" s="1"/>
  <c r="M37" i="32"/>
  <c r="O37" i="32" s="1"/>
  <c r="M38" i="32"/>
  <c r="O38" i="32" s="1"/>
  <c r="M39" i="32"/>
  <c r="O39" i="32" s="1"/>
  <c r="M40" i="32"/>
  <c r="O40" i="32" s="1"/>
  <c r="M41" i="32"/>
  <c r="P41" i="32" s="1"/>
  <c r="R41" i="32" s="1"/>
  <c r="M42" i="32"/>
  <c r="P42" i="32" s="1"/>
  <c r="R42" i="32" s="1"/>
  <c r="M43" i="32"/>
  <c r="P43" i="32" s="1"/>
  <c r="R43" i="32" s="1"/>
  <c r="M44" i="32"/>
  <c r="P44" i="32" s="1"/>
  <c r="R44" i="32" s="1"/>
  <c r="M45" i="32"/>
  <c r="P45" i="32" s="1"/>
  <c r="R45" i="32" s="1"/>
  <c r="M46" i="32"/>
  <c r="P46" i="32" s="1"/>
  <c r="R46" i="32" s="1"/>
  <c r="M47" i="32"/>
  <c r="P47" i="32" s="1"/>
  <c r="R47" i="32" s="1"/>
  <c r="M48" i="32"/>
  <c r="O48" i="32" s="1"/>
  <c r="Q48" i="32" s="1"/>
  <c r="M49" i="32"/>
  <c r="O49" i="32" s="1"/>
  <c r="M50" i="32"/>
  <c r="O50" i="32" s="1"/>
  <c r="M51" i="32"/>
  <c r="O51" i="32" s="1"/>
  <c r="M52" i="32"/>
  <c r="O52" i="32" s="1"/>
  <c r="M53" i="32"/>
  <c r="O53" i="32" s="1"/>
  <c r="M54" i="32"/>
  <c r="O54" i="32" s="1"/>
  <c r="M55" i="32"/>
  <c r="O55" i="32" s="1"/>
  <c r="M56" i="32"/>
  <c r="P56" i="32" s="1"/>
  <c r="R56" i="32" s="1"/>
  <c r="M57" i="32"/>
  <c r="P57" i="32" s="1"/>
  <c r="R57" i="32" s="1"/>
  <c r="M58" i="32"/>
  <c r="P58" i="32" s="1"/>
  <c r="R58" i="32" s="1"/>
  <c r="M2" i="32"/>
  <c r="P2" i="32" s="1"/>
  <c r="R2" i="32" s="1"/>
  <c r="D3" i="33"/>
  <c r="D2" i="33"/>
  <c r="N45" i="32" l="1"/>
  <c r="T50" i="32"/>
  <c r="T34" i="32"/>
  <c r="T18" i="32"/>
  <c r="N31" i="32"/>
  <c r="T49" i="32"/>
  <c r="T33" i="32"/>
  <c r="T17" i="32"/>
  <c r="N30" i="32"/>
  <c r="T48" i="32"/>
  <c r="T32" i="32"/>
  <c r="T16" i="32"/>
  <c r="N29" i="32"/>
  <c r="T47" i="32"/>
  <c r="T31" i="32"/>
  <c r="T15" i="32"/>
  <c r="N15" i="32"/>
  <c r="T46" i="32"/>
  <c r="T30" i="32"/>
  <c r="T14" i="32"/>
  <c r="N14" i="32"/>
  <c r="T45" i="32"/>
  <c r="T29" i="32"/>
  <c r="T13" i="32"/>
  <c r="N13" i="32"/>
  <c r="T44" i="32"/>
  <c r="T28" i="32"/>
  <c r="T12" i="32"/>
  <c r="T2" i="32"/>
  <c r="T43" i="32"/>
  <c r="T27" i="32"/>
  <c r="T11" i="32"/>
  <c r="T58" i="32"/>
  <c r="T42" i="32"/>
  <c r="T26" i="32"/>
  <c r="T10" i="32"/>
  <c r="T57" i="32"/>
  <c r="T41" i="32"/>
  <c r="T25" i="32"/>
  <c r="T9" i="32"/>
  <c r="T56" i="32"/>
  <c r="T40" i="32"/>
  <c r="T24" i="32"/>
  <c r="T8" i="32"/>
  <c r="T55" i="32"/>
  <c r="T39" i="32"/>
  <c r="T23" i="32"/>
  <c r="T7" i="32"/>
  <c r="T54" i="32"/>
  <c r="T38" i="32"/>
  <c r="T22" i="32"/>
  <c r="T6" i="32"/>
  <c r="T53" i="32"/>
  <c r="T37" i="32"/>
  <c r="T21" i="32"/>
  <c r="T5" i="32"/>
  <c r="N47" i="32"/>
  <c r="T52" i="32"/>
  <c r="T36" i="32"/>
  <c r="T20" i="32"/>
  <c r="T4" i="32"/>
  <c r="N46" i="32"/>
  <c r="T51" i="32"/>
  <c r="T35" i="32"/>
  <c r="T19" i="32"/>
  <c r="T3" i="32"/>
  <c r="N44" i="32"/>
  <c r="S44" i="32" s="1"/>
  <c r="G44" i="32" s="1"/>
  <c r="N28" i="32"/>
  <c r="N12" i="32"/>
  <c r="N2" i="32"/>
  <c r="N43" i="32"/>
  <c r="N27" i="32"/>
  <c r="N11" i="32"/>
  <c r="S11" i="32" s="1"/>
  <c r="G11" i="32" s="1"/>
  <c r="N58" i="32"/>
  <c r="N42" i="32"/>
  <c r="N26" i="32"/>
  <c r="N10" i="32"/>
  <c r="S10" i="32" s="1"/>
  <c r="G10" i="32" s="1"/>
  <c r="N57" i="32"/>
  <c r="N41" i="32"/>
  <c r="N25" i="32"/>
  <c r="N9" i="32"/>
  <c r="N56" i="32"/>
  <c r="N40" i="32"/>
  <c r="N24" i="32"/>
  <c r="N8" i="32"/>
  <c r="N55" i="32"/>
  <c r="N39" i="32"/>
  <c r="N23" i="32"/>
  <c r="N7" i="32"/>
  <c r="N54" i="32"/>
  <c r="N38" i="32"/>
  <c r="N22" i="32"/>
  <c r="N6" i="32"/>
  <c r="N53" i="32"/>
  <c r="N37" i="32"/>
  <c r="N21" i="32"/>
  <c r="N5" i="32"/>
  <c r="N52" i="32"/>
  <c r="N36" i="32"/>
  <c r="N20" i="32"/>
  <c r="N4" i="32"/>
  <c r="N51" i="32"/>
  <c r="N35" i="32"/>
  <c r="N19" i="32"/>
  <c r="N3" i="32"/>
  <c r="N50" i="32"/>
  <c r="N34" i="32"/>
  <c r="N18" i="32"/>
  <c r="N49" i="32"/>
  <c r="N33" i="32"/>
  <c r="N17" i="32"/>
  <c r="N48" i="32"/>
  <c r="N32" i="32"/>
  <c r="N16" i="32"/>
  <c r="P8" i="32"/>
  <c r="R8" i="32" s="1"/>
  <c r="O31" i="32"/>
  <c r="O15" i="32"/>
  <c r="P40" i="32"/>
  <c r="R40" i="32" s="1"/>
  <c r="O47" i="32"/>
  <c r="P24" i="32"/>
  <c r="R24" i="32" s="1"/>
  <c r="Q49" i="32"/>
  <c r="Q32" i="32"/>
  <c r="Q51" i="32"/>
  <c r="Q50" i="32"/>
  <c r="Q35" i="32"/>
  <c r="Q24" i="32"/>
  <c r="Q8" i="32"/>
  <c r="Q55" i="32"/>
  <c r="Q39" i="32"/>
  <c r="Q23" i="32"/>
  <c r="Q54" i="32"/>
  <c r="Q38" i="32"/>
  <c r="Q22" i="32"/>
  <c r="Q21" i="32"/>
  <c r="Q53" i="32"/>
  <c r="Q52" i="32"/>
  <c r="Q20" i="32"/>
  <c r="O46" i="32"/>
  <c r="O30" i="32"/>
  <c r="O14" i="32"/>
  <c r="P55" i="32"/>
  <c r="R55" i="32" s="1"/>
  <c r="P39" i="32"/>
  <c r="R39" i="32" s="1"/>
  <c r="P23" i="32"/>
  <c r="P7" i="32"/>
  <c r="R7" i="32" s="1"/>
  <c r="O45" i="32"/>
  <c r="O29" i="32"/>
  <c r="O13" i="32"/>
  <c r="P54" i="32"/>
  <c r="R54" i="32" s="1"/>
  <c r="P38" i="32"/>
  <c r="R38" i="32" s="1"/>
  <c r="P22" i="32"/>
  <c r="P6" i="32"/>
  <c r="R6" i="32" s="1"/>
  <c r="O44" i="32"/>
  <c r="O28" i="32"/>
  <c r="O12" i="32"/>
  <c r="P53" i="32"/>
  <c r="R53" i="32" s="1"/>
  <c r="P37" i="32"/>
  <c r="R37" i="32" s="1"/>
  <c r="P21" i="32"/>
  <c r="R21" i="32" s="1"/>
  <c r="P5" i="32"/>
  <c r="R5" i="32" s="1"/>
  <c r="O2" i="32"/>
  <c r="O43" i="32"/>
  <c r="O27" i="32"/>
  <c r="O11" i="32"/>
  <c r="P52" i="32"/>
  <c r="R52" i="32" s="1"/>
  <c r="P36" i="32"/>
  <c r="R36" i="32" s="1"/>
  <c r="P20" i="32"/>
  <c r="R20" i="32" s="1"/>
  <c r="P4" i="32"/>
  <c r="R4" i="32" s="1"/>
  <c r="O58" i="32"/>
  <c r="O42" i="32"/>
  <c r="O26" i="32"/>
  <c r="O10" i="32"/>
  <c r="P51" i="32"/>
  <c r="R51" i="32" s="1"/>
  <c r="P35" i="32"/>
  <c r="P19" i="32"/>
  <c r="P3" i="32"/>
  <c r="R3" i="32" s="1"/>
  <c r="O57" i="32"/>
  <c r="O41" i="32"/>
  <c r="O25" i="32"/>
  <c r="O9" i="32"/>
  <c r="P50" i="32"/>
  <c r="R50" i="32" s="1"/>
  <c r="P34" i="32"/>
  <c r="R34" i="32" s="1"/>
  <c r="P18" i="32"/>
  <c r="R18" i="32" s="1"/>
  <c r="O56" i="32"/>
  <c r="P49" i="32"/>
  <c r="R49" i="32" s="1"/>
  <c r="P33" i="32"/>
  <c r="R33" i="32" s="1"/>
  <c r="P17" i="32"/>
  <c r="R17" i="32" s="1"/>
  <c r="P48" i="32"/>
  <c r="R48" i="32" s="1"/>
  <c r="P32" i="32"/>
  <c r="R32" i="32" s="1"/>
  <c r="P16" i="32"/>
  <c r="R16" i="32" s="1"/>
  <c r="E9" i="27"/>
  <c r="E8" i="27"/>
  <c r="E7" i="27"/>
  <c r="E6" i="27"/>
  <c r="E5" i="27"/>
  <c r="E4" i="27"/>
  <c r="E3" i="27"/>
  <c r="E2" i="27"/>
  <c r="E3" i="14"/>
  <c r="F2" i="13"/>
  <c r="C3" i="14" l="1"/>
  <c r="D3" i="14" s="1"/>
  <c r="G3" i="14" s="1"/>
  <c r="F3" i="14"/>
  <c r="E4" i="14"/>
  <c r="S41" i="32"/>
  <c r="S57" i="32"/>
  <c r="S32" i="32"/>
  <c r="G32" i="32"/>
  <c r="S5" i="32"/>
  <c r="G9" i="32"/>
  <c r="S9" i="32"/>
  <c r="S48" i="32"/>
  <c r="G48" i="32"/>
  <c r="G21" i="32"/>
  <c r="S21" i="32"/>
  <c r="G25" i="32"/>
  <c r="S25" i="32"/>
  <c r="S53" i="32"/>
  <c r="G53" i="32"/>
  <c r="S29" i="32"/>
  <c r="G29" i="32"/>
  <c r="G22" i="32"/>
  <c r="S22" i="32"/>
  <c r="S26" i="32"/>
  <c r="G26" i="32"/>
  <c r="S33" i="32"/>
  <c r="S34" i="32"/>
  <c r="G38" i="32"/>
  <c r="S38" i="32"/>
  <c r="S42" i="32"/>
  <c r="G42" i="32"/>
  <c r="S50" i="32"/>
  <c r="G50" i="32"/>
  <c r="G54" i="32"/>
  <c r="S54" i="32"/>
  <c r="S58" i="32"/>
  <c r="G58" i="32"/>
  <c r="G6" i="32"/>
  <c r="S6" i="32"/>
  <c r="S3" i="32"/>
  <c r="G7" i="32"/>
  <c r="S7" i="32"/>
  <c r="S47" i="32"/>
  <c r="G47" i="32"/>
  <c r="S13" i="32"/>
  <c r="G13" i="32"/>
  <c r="S30" i="32"/>
  <c r="G30" i="32"/>
  <c r="S19" i="32"/>
  <c r="G23" i="32"/>
  <c r="S23" i="32"/>
  <c r="S27" i="32"/>
  <c r="G27" i="32"/>
  <c r="S37" i="32"/>
  <c r="G35" i="32"/>
  <c r="S35" i="32"/>
  <c r="G39" i="32"/>
  <c r="S39" i="32"/>
  <c r="S43" i="32"/>
  <c r="G43" i="32"/>
  <c r="S18" i="32"/>
  <c r="G18" i="32"/>
  <c r="S51" i="32"/>
  <c r="G51" i="32"/>
  <c r="S4" i="32"/>
  <c r="G8" i="32"/>
  <c r="S8" i="32"/>
  <c r="G12" i="32"/>
  <c r="S12" i="32"/>
  <c r="S14" i="32"/>
  <c r="G14" i="32"/>
  <c r="S31" i="32"/>
  <c r="G31" i="32"/>
  <c r="G55" i="32"/>
  <c r="S55" i="32"/>
  <c r="S2" i="32"/>
  <c r="S20" i="32"/>
  <c r="G20" i="32"/>
  <c r="G24" i="32"/>
  <c r="S24" i="32"/>
  <c r="S28" i="32"/>
  <c r="G28" i="32"/>
  <c r="S46" i="32"/>
  <c r="G46" i="32"/>
  <c r="S36" i="32"/>
  <c r="S40" i="32"/>
  <c r="S17" i="32"/>
  <c r="G17" i="32"/>
  <c r="S49" i="32"/>
  <c r="G49" i="32"/>
  <c r="S16" i="32"/>
  <c r="G16" i="32"/>
  <c r="G52" i="32"/>
  <c r="S52" i="32"/>
  <c r="S56" i="32"/>
  <c r="S15" i="32"/>
  <c r="G15" i="32"/>
  <c r="S45" i="32"/>
  <c r="G45" i="32"/>
  <c r="V35" i="32"/>
  <c r="V7" i="32"/>
  <c r="V11" i="32"/>
  <c r="V15" i="32"/>
  <c r="V39" i="32"/>
  <c r="V43" i="32"/>
  <c r="V47" i="32"/>
  <c r="V31" i="32"/>
  <c r="V4" i="32"/>
  <c r="V55" i="32"/>
  <c r="U2" i="32"/>
  <c r="V2" i="32"/>
  <c r="V20" i="32"/>
  <c r="V8" i="32"/>
  <c r="V12" i="32"/>
  <c r="V16" i="32"/>
  <c r="V23" i="32"/>
  <c r="V36" i="32"/>
  <c r="V24" i="32"/>
  <c r="V28" i="32"/>
  <c r="V32" i="32"/>
  <c r="V52" i="32"/>
  <c r="U40" i="32"/>
  <c r="V40" i="32"/>
  <c r="V44" i="32"/>
  <c r="V48" i="32"/>
  <c r="V51" i="32"/>
  <c r="V56" i="32"/>
  <c r="V27" i="32"/>
  <c r="V5" i="32"/>
  <c r="V9" i="32"/>
  <c r="V13" i="32"/>
  <c r="V17" i="32"/>
  <c r="V21" i="32"/>
  <c r="V25" i="32"/>
  <c r="V29" i="32"/>
  <c r="V33" i="32"/>
  <c r="V37" i="32"/>
  <c r="V41" i="32"/>
  <c r="V45" i="32"/>
  <c r="V49" i="32"/>
  <c r="V53" i="32"/>
  <c r="V57" i="32"/>
  <c r="V6" i="32"/>
  <c r="V10" i="32"/>
  <c r="V14" i="32"/>
  <c r="V18" i="32"/>
  <c r="V22" i="32"/>
  <c r="V26" i="32"/>
  <c r="V30" i="32"/>
  <c r="V34" i="32"/>
  <c r="V3" i="32"/>
  <c r="V38" i="32"/>
  <c r="V42" i="32"/>
  <c r="V46" i="32"/>
  <c r="V50" i="32"/>
  <c r="V19" i="32"/>
  <c r="V54" i="32"/>
  <c r="V58" i="32"/>
  <c r="R23" i="32"/>
  <c r="R22" i="32"/>
  <c r="Q46" i="32"/>
  <c r="Q31" i="32"/>
  <c r="Q15" i="32"/>
  <c r="Q45" i="32"/>
  <c r="Q47" i="32"/>
  <c r="R19" i="32"/>
  <c r="G19" i="32" s="1"/>
  <c r="R35" i="32"/>
  <c r="Q14" i="32"/>
  <c r="Q10" i="32"/>
  <c r="Q43" i="32"/>
  <c r="Q26" i="32"/>
  <c r="Q12" i="32"/>
  <c r="Q30" i="32"/>
  <c r="Q28" i="32"/>
  <c r="Q44" i="32"/>
  <c r="Q58" i="32"/>
  <c r="Q9" i="32"/>
  <c r="Q13" i="32"/>
  <c r="Q25" i="32"/>
  <c r="Q11" i="32"/>
  <c r="Q29" i="32"/>
  <c r="Q27" i="32"/>
  <c r="Y3" i="24"/>
  <c r="Y4" i="24"/>
  <c r="Y5" i="24"/>
  <c r="Y6" i="24"/>
  <c r="Y7" i="24"/>
  <c r="Y8" i="24"/>
  <c r="Y9" i="24"/>
  <c r="Y10" i="24"/>
  <c r="Y1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2" i="24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2" i="24"/>
  <c r="V3" i="24"/>
  <c r="X3" i="24" s="1"/>
  <c r="V4" i="24"/>
  <c r="X4" i="24" s="1"/>
  <c r="V5" i="24"/>
  <c r="X5" i="24" s="1"/>
  <c r="V6" i="24"/>
  <c r="X6" i="24" s="1"/>
  <c r="V7" i="24"/>
  <c r="X7" i="24" s="1"/>
  <c r="V8" i="24"/>
  <c r="X8" i="24" s="1"/>
  <c r="V9" i="24"/>
  <c r="X9" i="24" s="1"/>
  <c r="V10" i="24"/>
  <c r="X10" i="24" s="1"/>
  <c r="V11" i="24"/>
  <c r="X11" i="24" s="1"/>
  <c r="V12" i="24"/>
  <c r="X12" i="24" s="1"/>
  <c r="V13" i="24"/>
  <c r="X13" i="24" s="1"/>
  <c r="V14" i="24"/>
  <c r="X14" i="24" s="1"/>
  <c r="V15" i="24"/>
  <c r="X15" i="24" s="1"/>
  <c r="V16" i="24"/>
  <c r="X16" i="24" s="1"/>
  <c r="V17" i="24"/>
  <c r="X17" i="24" s="1"/>
  <c r="V18" i="24"/>
  <c r="X18" i="24" s="1"/>
  <c r="V19" i="24"/>
  <c r="X19" i="24" s="1"/>
  <c r="V20" i="24"/>
  <c r="X20" i="24" s="1"/>
  <c r="V21" i="24"/>
  <c r="X21" i="24" s="1"/>
  <c r="V22" i="24"/>
  <c r="X22" i="24" s="1"/>
  <c r="V23" i="24"/>
  <c r="X23" i="24" s="1"/>
  <c r="V24" i="24"/>
  <c r="X24" i="24" s="1"/>
  <c r="V25" i="24"/>
  <c r="X25" i="24" s="1"/>
  <c r="V26" i="24"/>
  <c r="X26" i="24" s="1"/>
  <c r="V27" i="24"/>
  <c r="X27" i="24" s="1"/>
  <c r="V28" i="24"/>
  <c r="X28" i="24" s="1"/>
  <c r="V29" i="24"/>
  <c r="X29" i="24" s="1"/>
  <c r="V30" i="24"/>
  <c r="X30" i="24" s="1"/>
  <c r="V31" i="24"/>
  <c r="X31" i="24" s="1"/>
  <c r="V32" i="24"/>
  <c r="X32" i="24" s="1"/>
  <c r="V33" i="24"/>
  <c r="X33" i="24" s="1"/>
  <c r="V2" i="24"/>
  <c r="X2" i="24" s="1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2" i="24"/>
  <c r="U3" i="32" l="1"/>
  <c r="C4" i="14"/>
  <c r="F4" i="14"/>
  <c r="E5" i="14"/>
  <c r="H25" i="36"/>
  <c r="I25" i="36" s="1"/>
  <c r="K25" i="36" s="1"/>
  <c r="H3" i="36"/>
  <c r="I3" i="36" s="1"/>
  <c r="K40" i="32"/>
  <c r="L40" i="32"/>
  <c r="K41" i="32"/>
  <c r="L41" i="32"/>
  <c r="K42" i="32"/>
  <c r="L42" i="32"/>
  <c r="K43" i="32"/>
  <c r="L43" i="32"/>
  <c r="K44" i="32"/>
  <c r="L44" i="32"/>
  <c r="K45" i="32"/>
  <c r="L45" i="32"/>
  <c r="K46" i="32"/>
  <c r="L46" i="32"/>
  <c r="K47" i="32"/>
  <c r="L47" i="32"/>
  <c r="K48" i="32"/>
  <c r="L48" i="32"/>
  <c r="K49" i="32"/>
  <c r="L49" i="32"/>
  <c r="K50" i="32"/>
  <c r="L50" i="32"/>
  <c r="K51" i="32"/>
  <c r="L51" i="32"/>
  <c r="K52" i="32"/>
  <c r="L52" i="32"/>
  <c r="K53" i="32"/>
  <c r="L53" i="32"/>
  <c r="K54" i="32"/>
  <c r="L54" i="32"/>
  <c r="K55" i="32"/>
  <c r="L55" i="32"/>
  <c r="K56" i="32"/>
  <c r="L56" i="32"/>
  <c r="K57" i="32"/>
  <c r="L57" i="32"/>
  <c r="K58" i="32"/>
  <c r="L58" i="32"/>
  <c r="G3" i="33"/>
  <c r="B50" i="32" s="1"/>
  <c r="L39" i="32"/>
  <c r="K39" i="32"/>
  <c r="L38" i="32"/>
  <c r="K38" i="32"/>
  <c r="L37" i="32"/>
  <c r="K37" i="32"/>
  <c r="L36" i="32"/>
  <c r="K36" i="32"/>
  <c r="L35" i="32"/>
  <c r="K35" i="32"/>
  <c r="L34" i="32"/>
  <c r="K34" i="32"/>
  <c r="L33" i="32"/>
  <c r="K33" i="32"/>
  <c r="L32" i="32"/>
  <c r="K32" i="32"/>
  <c r="L31" i="32"/>
  <c r="K31" i="32"/>
  <c r="L30" i="32"/>
  <c r="K30" i="32"/>
  <c r="L29" i="32"/>
  <c r="K29" i="32"/>
  <c r="L28" i="32"/>
  <c r="K28" i="32"/>
  <c r="L27" i="32"/>
  <c r="K27" i="32"/>
  <c r="L26" i="32"/>
  <c r="K26" i="32"/>
  <c r="L25" i="32"/>
  <c r="K25" i="32"/>
  <c r="L24" i="32"/>
  <c r="K24" i="32"/>
  <c r="L23" i="32"/>
  <c r="K23" i="32"/>
  <c r="L22" i="32"/>
  <c r="K22" i="32"/>
  <c r="L21" i="32"/>
  <c r="K21" i="32"/>
  <c r="L20" i="32"/>
  <c r="K20" i="32"/>
  <c r="L19" i="32"/>
  <c r="K19" i="32"/>
  <c r="L18" i="32"/>
  <c r="K18" i="32"/>
  <c r="L17" i="32"/>
  <c r="K17" i="32"/>
  <c r="L16" i="32"/>
  <c r="K16" i="32"/>
  <c r="L15" i="32"/>
  <c r="K15" i="32"/>
  <c r="L14" i="32"/>
  <c r="K14" i="32"/>
  <c r="L13" i="32"/>
  <c r="K13" i="32"/>
  <c r="L12" i="32"/>
  <c r="K12" i="32"/>
  <c r="L11" i="32"/>
  <c r="K11" i="32"/>
  <c r="L10" i="32"/>
  <c r="K10" i="32"/>
  <c r="L9" i="32"/>
  <c r="K9" i="32"/>
  <c r="L8" i="32"/>
  <c r="K8" i="32"/>
  <c r="L7" i="32"/>
  <c r="K7" i="32"/>
  <c r="L6" i="32"/>
  <c r="K6" i="32"/>
  <c r="L5" i="32"/>
  <c r="K5" i="32"/>
  <c r="L4" i="32"/>
  <c r="K4" i="32"/>
  <c r="L3" i="32"/>
  <c r="K3" i="32"/>
  <c r="L2" i="32"/>
  <c r="K2" i="32"/>
  <c r="G2" i="33"/>
  <c r="B15" i="32" s="1"/>
  <c r="C116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83" i="9"/>
  <c r="C82" i="9"/>
  <c r="C81" i="9"/>
  <c r="C80" i="9"/>
  <c r="C79" i="9"/>
  <c r="C78" i="9"/>
  <c r="C77" i="9"/>
  <c r="C76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6" i="9"/>
  <c r="C82" i="11"/>
  <c r="C77" i="11"/>
  <c r="C76" i="11"/>
  <c r="C75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5" i="11"/>
  <c r="C40" i="11"/>
  <c r="C41" i="11"/>
  <c r="C42" i="11"/>
  <c r="C43" i="11"/>
  <c r="C44" i="11"/>
  <c r="C45" i="11"/>
  <c r="C54" i="11"/>
  <c r="C55" i="11"/>
  <c r="C2" i="11"/>
  <c r="L57" i="13"/>
  <c r="L56" i="13"/>
  <c r="L45" i="13"/>
  <c r="L44" i="13"/>
  <c r="L43" i="13"/>
  <c r="L42" i="13"/>
  <c r="L41" i="13"/>
  <c r="L40" i="13"/>
  <c r="L35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1" i="13"/>
  <c r="L10" i="13"/>
  <c r="L9" i="13"/>
  <c r="L8" i="13"/>
  <c r="L7" i="13"/>
  <c r="L6" i="13"/>
  <c r="L5" i="13"/>
  <c r="L4" i="13"/>
  <c r="L3" i="13"/>
  <c r="L2" i="13"/>
  <c r="L1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5" i="13"/>
  <c r="J40" i="13"/>
  <c r="J41" i="13"/>
  <c r="J42" i="13"/>
  <c r="J43" i="13"/>
  <c r="J44" i="13"/>
  <c r="J45" i="13"/>
  <c r="J56" i="13"/>
  <c r="J57" i="13"/>
  <c r="J2" i="13"/>
  <c r="C3" i="13"/>
  <c r="C4" i="13"/>
  <c r="C2" i="13"/>
  <c r="E2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C22" i="31"/>
  <c r="C21" i="31"/>
  <c r="C20" i="31"/>
  <c r="C19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E2" i="31"/>
  <c r="C2" i="31"/>
  <c r="C9" i="27"/>
  <c r="C8" i="27"/>
  <c r="C3" i="27"/>
  <c r="C4" i="27"/>
  <c r="C5" i="27"/>
  <c r="C6" i="27"/>
  <c r="C7" i="27"/>
  <c r="C10" i="27"/>
  <c r="C11" i="27"/>
  <c r="C12" i="27"/>
  <c r="C13" i="27"/>
  <c r="C14" i="27"/>
  <c r="C15" i="27"/>
  <c r="C2" i="27"/>
  <c r="B32" i="29"/>
  <c r="L32" i="29" s="1"/>
  <c r="B31" i="29"/>
  <c r="L31" i="29" s="1"/>
  <c r="B30" i="29"/>
  <c r="L30" i="29" s="1"/>
  <c r="B29" i="29"/>
  <c r="L29" i="29" s="1"/>
  <c r="F32" i="29"/>
  <c r="C32" i="29"/>
  <c r="M32" i="29" s="1"/>
  <c r="F31" i="29"/>
  <c r="C31" i="29"/>
  <c r="M31" i="29" s="1"/>
  <c r="F30" i="29"/>
  <c r="C30" i="29"/>
  <c r="M30" i="29" s="1"/>
  <c r="F29" i="29"/>
  <c r="C29" i="29"/>
  <c r="M29" i="29" s="1"/>
  <c r="F28" i="29"/>
  <c r="C28" i="29"/>
  <c r="M28" i="29" s="1"/>
  <c r="B28" i="29"/>
  <c r="L28" i="29" s="1"/>
  <c r="F27" i="29"/>
  <c r="C27" i="29"/>
  <c r="M27" i="29" s="1"/>
  <c r="B27" i="29"/>
  <c r="L27" i="29" s="1"/>
  <c r="F26" i="29"/>
  <c r="C26" i="29"/>
  <c r="M26" i="29" s="1"/>
  <c r="B26" i="29"/>
  <c r="L26" i="29" s="1"/>
  <c r="F25" i="29"/>
  <c r="C25" i="29"/>
  <c r="M25" i="29" s="1"/>
  <c r="B25" i="29"/>
  <c r="L25" i="29" s="1"/>
  <c r="F24" i="29"/>
  <c r="C24" i="29"/>
  <c r="M24" i="29" s="1"/>
  <c r="B24" i="29"/>
  <c r="L24" i="29" s="1"/>
  <c r="F23" i="29"/>
  <c r="C23" i="29"/>
  <c r="M23" i="29" s="1"/>
  <c r="B23" i="29"/>
  <c r="L23" i="29" s="1"/>
  <c r="F22" i="29"/>
  <c r="C22" i="29"/>
  <c r="M22" i="29" s="1"/>
  <c r="B22" i="29"/>
  <c r="L22" i="29" s="1"/>
  <c r="F21" i="29"/>
  <c r="C21" i="29"/>
  <c r="M21" i="29" s="1"/>
  <c r="B21" i="29"/>
  <c r="L21" i="29" s="1"/>
  <c r="F20" i="29"/>
  <c r="C20" i="29"/>
  <c r="M20" i="29" s="1"/>
  <c r="B20" i="29"/>
  <c r="L20" i="29" s="1"/>
  <c r="F19" i="29"/>
  <c r="C19" i="29"/>
  <c r="M19" i="29" s="1"/>
  <c r="B19" i="29"/>
  <c r="L19" i="29" s="1"/>
  <c r="F18" i="29"/>
  <c r="C18" i="29"/>
  <c r="M18" i="29" s="1"/>
  <c r="B18" i="29"/>
  <c r="L18" i="29" s="1"/>
  <c r="F17" i="29"/>
  <c r="C17" i="29"/>
  <c r="M17" i="29" s="1"/>
  <c r="B17" i="29"/>
  <c r="L17" i="29" s="1"/>
  <c r="F16" i="29"/>
  <c r="C16" i="29"/>
  <c r="M16" i="29" s="1"/>
  <c r="B16" i="29"/>
  <c r="L16" i="29" s="1"/>
  <c r="F15" i="29"/>
  <c r="C15" i="29"/>
  <c r="M15" i="29" s="1"/>
  <c r="B15" i="29"/>
  <c r="L15" i="29" s="1"/>
  <c r="F14" i="29"/>
  <c r="C14" i="29"/>
  <c r="M14" i="29" s="1"/>
  <c r="B14" i="29"/>
  <c r="L14" i="29" s="1"/>
  <c r="K3" i="36" l="1"/>
  <c r="G3" i="11"/>
  <c r="H3" i="11" s="1"/>
  <c r="J3" i="11" s="1"/>
  <c r="E6" i="14"/>
  <c r="C5" i="14"/>
  <c r="F5" i="14"/>
  <c r="H26" i="36"/>
  <c r="I26" i="36" s="1"/>
  <c r="H4" i="36"/>
  <c r="I4" i="36" s="1"/>
  <c r="D4" i="14"/>
  <c r="G4" i="14" s="1"/>
  <c r="U4" i="32"/>
  <c r="U41" i="32"/>
  <c r="E3" i="13"/>
  <c r="G3" i="13" s="1"/>
  <c r="E2" i="13"/>
  <c r="O2" i="13" s="1"/>
  <c r="E4" i="13"/>
  <c r="G4" i="13" s="1"/>
  <c r="Q40" i="32"/>
  <c r="G40" i="32" s="1"/>
  <c r="Q4" i="32"/>
  <c r="G4" i="32" s="1"/>
  <c r="Q6" i="32"/>
  <c r="Q34" i="32"/>
  <c r="G34" i="32" s="1"/>
  <c r="Q7" i="32"/>
  <c r="Q3" i="32"/>
  <c r="G3" i="32" s="1"/>
  <c r="Q33" i="32"/>
  <c r="G33" i="32" s="1"/>
  <c r="Q37" i="32"/>
  <c r="G37" i="32" s="1"/>
  <c r="Q5" i="32"/>
  <c r="G5" i="32" s="1"/>
  <c r="Q36" i="32"/>
  <c r="G36" i="32" s="1"/>
  <c r="Q41" i="32"/>
  <c r="G41" i="32" s="1"/>
  <c r="Q56" i="32"/>
  <c r="G56" i="32" s="1"/>
  <c r="Q2" i="32"/>
  <c r="G2" i="32" s="1"/>
  <c r="Q57" i="32"/>
  <c r="G57" i="32" s="1"/>
  <c r="Q42" i="32"/>
  <c r="J4" i="32"/>
  <c r="H4" i="32" s="1"/>
  <c r="J12" i="32"/>
  <c r="H12" i="32" s="1"/>
  <c r="J28" i="32"/>
  <c r="H28" i="32" s="1"/>
  <c r="J36" i="32"/>
  <c r="H36" i="32" s="1"/>
  <c r="B37" i="32"/>
  <c r="B49" i="32"/>
  <c r="B47" i="32"/>
  <c r="B24" i="32"/>
  <c r="B21" i="32"/>
  <c r="B19" i="32"/>
  <c r="B20" i="32"/>
  <c r="J55" i="32"/>
  <c r="H55" i="32" s="1"/>
  <c r="J47" i="32"/>
  <c r="H47" i="32" s="1"/>
  <c r="J5" i="32"/>
  <c r="H5" i="32" s="1"/>
  <c r="J13" i="32"/>
  <c r="H13" i="32" s="1"/>
  <c r="J21" i="32"/>
  <c r="H21" i="32" s="1"/>
  <c r="J29" i="32"/>
  <c r="H29" i="32" s="1"/>
  <c r="J37" i="32"/>
  <c r="H37" i="32" s="1"/>
  <c r="J54" i="32"/>
  <c r="H54" i="32" s="1"/>
  <c r="J46" i="32"/>
  <c r="H46" i="32" s="1"/>
  <c r="J20" i="32"/>
  <c r="H20" i="32" s="1"/>
  <c r="J6" i="32"/>
  <c r="H6" i="32" s="1"/>
  <c r="J14" i="32"/>
  <c r="H14" i="32" s="1"/>
  <c r="J22" i="32"/>
  <c r="H22" i="32" s="1"/>
  <c r="J30" i="32"/>
  <c r="H30" i="32" s="1"/>
  <c r="J38" i="32"/>
  <c r="H38" i="32" s="1"/>
  <c r="J53" i="32"/>
  <c r="H53" i="32" s="1"/>
  <c r="J45" i="32"/>
  <c r="H45" i="32" s="1"/>
  <c r="J7" i="32"/>
  <c r="H7" i="32" s="1"/>
  <c r="J15" i="32"/>
  <c r="H15" i="32" s="1"/>
  <c r="J23" i="32"/>
  <c r="H23" i="32" s="1"/>
  <c r="J31" i="32"/>
  <c r="H31" i="32" s="1"/>
  <c r="J39" i="32"/>
  <c r="H39" i="32" s="1"/>
  <c r="J52" i="32"/>
  <c r="H52" i="32" s="1"/>
  <c r="J44" i="32"/>
  <c r="H44" i="32" s="1"/>
  <c r="J8" i="32"/>
  <c r="H8" i="32" s="1"/>
  <c r="J16" i="32"/>
  <c r="H16" i="32" s="1"/>
  <c r="J24" i="32"/>
  <c r="H24" i="32" s="1"/>
  <c r="J32" i="32"/>
  <c r="H32" i="32" s="1"/>
  <c r="J51" i="32"/>
  <c r="H51" i="32" s="1"/>
  <c r="J43" i="32"/>
  <c r="H43" i="32" s="1"/>
  <c r="J9" i="32"/>
  <c r="H9" i="32" s="1"/>
  <c r="J17" i="32"/>
  <c r="H17" i="32" s="1"/>
  <c r="J25" i="32"/>
  <c r="H25" i="32" s="1"/>
  <c r="J33" i="32"/>
  <c r="H33" i="32" s="1"/>
  <c r="J58" i="32"/>
  <c r="H58" i="32" s="1"/>
  <c r="J50" i="32"/>
  <c r="H50" i="32" s="1"/>
  <c r="J42" i="32"/>
  <c r="H42" i="32" s="1"/>
  <c r="J2" i="32"/>
  <c r="H2" i="32" s="1"/>
  <c r="J10" i="32"/>
  <c r="H10" i="32" s="1"/>
  <c r="J18" i="32"/>
  <c r="H18" i="32" s="1"/>
  <c r="J26" i="32"/>
  <c r="H26" i="32" s="1"/>
  <c r="J34" i="32"/>
  <c r="H34" i="32" s="1"/>
  <c r="J57" i="32"/>
  <c r="H57" i="32" s="1"/>
  <c r="J49" i="32"/>
  <c r="H49" i="32" s="1"/>
  <c r="J41" i="32"/>
  <c r="H41" i="32" s="1"/>
  <c r="J3" i="32"/>
  <c r="H3" i="32" s="1"/>
  <c r="J11" i="32"/>
  <c r="H11" i="32" s="1"/>
  <c r="J19" i="32"/>
  <c r="H19" i="32" s="1"/>
  <c r="J27" i="32"/>
  <c r="H27" i="32" s="1"/>
  <c r="J35" i="32"/>
  <c r="H35" i="32" s="1"/>
  <c r="J56" i="32"/>
  <c r="H56" i="32" s="1"/>
  <c r="J48" i="32"/>
  <c r="H48" i="32" s="1"/>
  <c r="J40" i="32"/>
  <c r="H40" i="32" s="1"/>
  <c r="B14" i="32"/>
  <c r="B13" i="32"/>
  <c r="B2" i="32"/>
  <c r="B12" i="32"/>
  <c r="B11" i="32"/>
  <c r="B36" i="32"/>
  <c r="B10" i="32"/>
  <c r="B35" i="32"/>
  <c r="B8" i="32"/>
  <c r="B48" i="32"/>
  <c r="B34" i="32"/>
  <c r="B5" i="32"/>
  <c r="B30" i="32"/>
  <c r="B4" i="32"/>
  <c r="B29" i="32"/>
  <c r="B3" i="32"/>
  <c r="B28" i="32"/>
  <c r="B27" i="32"/>
  <c r="B26" i="32"/>
  <c r="B46" i="32"/>
  <c r="B45" i="32"/>
  <c r="B25" i="32"/>
  <c r="B9" i="32"/>
  <c r="B44" i="32"/>
  <c r="B43" i="32"/>
  <c r="B39" i="32"/>
  <c r="B23" i="32"/>
  <c r="B7" i="32"/>
  <c r="B58" i="32"/>
  <c r="B42" i="32"/>
  <c r="B38" i="32"/>
  <c r="B22" i="32"/>
  <c r="B6" i="32"/>
  <c r="B57" i="32"/>
  <c r="B41" i="32"/>
  <c r="B56" i="32"/>
  <c r="B40" i="32"/>
  <c r="B55" i="32"/>
  <c r="B18" i="32"/>
  <c r="B53" i="32"/>
  <c r="B54" i="32"/>
  <c r="B33" i="32"/>
  <c r="B17" i="32"/>
  <c r="B52" i="32"/>
  <c r="B32" i="32"/>
  <c r="B16" i="32"/>
  <c r="B51" i="32"/>
  <c r="B31" i="32"/>
  <c r="F8" i="24"/>
  <c r="H8" i="24" s="1"/>
  <c r="F7" i="24"/>
  <c r="H7" i="24" s="1"/>
  <c r="F6" i="24"/>
  <c r="H6" i="24" s="1"/>
  <c r="F5" i="24"/>
  <c r="H5" i="24" s="1"/>
  <c r="I3" i="8"/>
  <c r="I4" i="8"/>
  <c r="I5" i="8"/>
  <c r="I6" i="8"/>
  <c r="I2" i="8"/>
  <c r="F3" i="8"/>
  <c r="F4" i="8"/>
  <c r="F5" i="8"/>
  <c r="F6" i="8"/>
  <c r="F2" i="8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2" i="15"/>
  <c r="I3" i="15"/>
  <c r="M3" i="15" s="1"/>
  <c r="G3" i="24" s="1"/>
  <c r="I4" i="15"/>
  <c r="I5" i="15"/>
  <c r="M5" i="15" s="1"/>
  <c r="I6" i="15"/>
  <c r="M6" i="15" s="1"/>
  <c r="G10" i="24" s="1"/>
  <c r="I7" i="15"/>
  <c r="M7" i="15" s="1"/>
  <c r="G11" i="24" s="1"/>
  <c r="I8" i="15"/>
  <c r="M8" i="15" s="1"/>
  <c r="G12" i="24" s="1"/>
  <c r="I9" i="15"/>
  <c r="I10" i="15"/>
  <c r="I11" i="15"/>
  <c r="I12" i="15"/>
  <c r="I13" i="15"/>
  <c r="M13" i="15" s="1"/>
  <c r="G17" i="24" s="1"/>
  <c r="I14" i="15"/>
  <c r="M14" i="15" s="1"/>
  <c r="G18" i="24" s="1"/>
  <c r="I15" i="15"/>
  <c r="M15" i="15" s="1"/>
  <c r="G19" i="24" s="1"/>
  <c r="I16" i="15"/>
  <c r="M16" i="15" s="1"/>
  <c r="G20" i="24" s="1"/>
  <c r="I17" i="15"/>
  <c r="I18" i="15"/>
  <c r="M18" i="15" s="1"/>
  <c r="G22" i="24" s="1"/>
  <c r="I19" i="15"/>
  <c r="M19" i="15" s="1"/>
  <c r="G23" i="24" s="1"/>
  <c r="I20" i="15"/>
  <c r="I21" i="15"/>
  <c r="M21" i="15" s="1"/>
  <c r="G25" i="24" s="1"/>
  <c r="I22" i="15"/>
  <c r="M22" i="15" s="1"/>
  <c r="G26" i="24" s="1"/>
  <c r="I23" i="15"/>
  <c r="M23" i="15" s="1"/>
  <c r="G27" i="24" s="1"/>
  <c r="I24" i="15"/>
  <c r="M24" i="15" s="1"/>
  <c r="G28" i="24" s="1"/>
  <c r="I25" i="15"/>
  <c r="I26" i="15"/>
  <c r="I27" i="15"/>
  <c r="I28" i="15"/>
  <c r="I29" i="15"/>
  <c r="M29" i="15" s="1"/>
  <c r="G33" i="24" s="1"/>
  <c r="I2" i="15"/>
  <c r="M2" i="15" s="1"/>
  <c r="W3" i="21"/>
  <c r="W4" i="21"/>
  <c r="W5" i="21"/>
  <c r="W6" i="21"/>
  <c r="W7" i="21"/>
  <c r="W8" i="21"/>
  <c r="W9" i="21"/>
  <c r="W10" i="21"/>
  <c r="W11" i="21"/>
  <c r="W2" i="21"/>
  <c r="H14" i="12"/>
  <c r="H11" i="12"/>
  <c r="H10" i="12"/>
  <c r="H7" i="12"/>
  <c r="H2" i="1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7" i="9"/>
  <c r="H48" i="9"/>
  <c r="H49" i="9"/>
  <c r="H50" i="9"/>
  <c r="H51" i="9"/>
  <c r="H52" i="9"/>
  <c r="H53" i="9"/>
  <c r="H54" i="9"/>
  <c r="H2" i="9"/>
  <c r="V3" i="20"/>
  <c r="V4" i="20"/>
  <c r="V5" i="20"/>
  <c r="V6" i="20"/>
  <c r="V7" i="20"/>
  <c r="V8" i="20"/>
  <c r="V9" i="20"/>
  <c r="V10" i="20"/>
  <c r="V11" i="20"/>
  <c r="V2" i="20"/>
  <c r="F3" i="24"/>
  <c r="H3" i="24" s="1"/>
  <c r="F4" i="24"/>
  <c r="H4" i="24" s="1"/>
  <c r="F9" i="24"/>
  <c r="H9" i="24" s="1"/>
  <c r="F10" i="24"/>
  <c r="F11" i="24"/>
  <c r="F12" i="24"/>
  <c r="F13" i="24"/>
  <c r="F14" i="24"/>
  <c r="H14" i="24" s="1"/>
  <c r="F15" i="24"/>
  <c r="H15" i="24" s="1"/>
  <c r="F16" i="24"/>
  <c r="H16" i="24" s="1"/>
  <c r="F17" i="24"/>
  <c r="H17" i="24" s="1"/>
  <c r="F18" i="24"/>
  <c r="H18" i="24" s="1"/>
  <c r="F19" i="24"/>
  <c r="F20" i="24"/>
  <c r="F21" i="24"/>
  <c r="F22" i="24"/>
  <c r="F23" i="24"/>
  <c r="F24" i="24"/>
  <c r="H24" i="24" s="1"/>
  <c r="F25" i="24"/>
  <c r="H25" i="24" s="1"/>
  <c r="F26" i="24"/>
  <c r="F27" i="24"/>
  <c r="F28" i="24"/>
  <c r="F29" i="24"/>
  <c r="H29" i="24" s="1"/>
  <c r="F30" i="24"/>
  <c r="F31" i="24"/>
  <c r="F32" i="24"/>
  <c r="F33" i="24"/>
  <c r="H33" i="24" s="1"/>
  <c r="F2" i="24"/>
  <c r="H2" i="24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7" i="9"/>
  <c r="C48" i="9"/>
  <c r="C49" i="9"/>
  <c r="C50" i="9"/>
  <c r="C51" i="9"/>
  <c r="C52" i="9"/>
  <c r="C53" i="9"/>
  <c r="C54" i="9"/>
  <c r="C2" i="9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" i="12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" i="19"/>
  <c r="C3" i="16"/>
  <c r="C4" i="16"/>
  <c r="C5" i="16"/>
  <c r="C6" i="16"/>
  <c r="C7" i="16"/>
  <c r="C8" i="16"/>
  <c r="C9" i="16"/>
  <c r="C10" i="16"/>
  <c r="C11" i="16"/>
  <c r="C12" i="16"/>
  <c r="C2" i="16"/>
  <c r="M2" i="23"/>
  <c r="N2" i="23" s="1"/>
  <c r="Q2" i="21"/>
  <c r="R2" i="21" s="1"/>
  <c r="L2" i="23"/>
  <c r="J2" i="23"/>
  <c r="I2" i="23"/>
  <c r="H2" i="23"/>
  <c r="G2" i="23"/>
  <c r="E2" i="23"/>
  <c r="C2" i="23"/>
  <c r="N2" i="22"/>
  <c r="S3" i="20"/>
  <c r="S4" i="20"/>
  <c r="S5" i="20"/>
  <c r="S6" i="20"/>
  <c r="S7" i="20"/>
  <c r="S8" i="20"/>
  <c r="S9" i="20"/>
  <c r="S10" i="20"/>
  <c r="S11" i="20"/>
  <c r="S2" i="20"/>
  <c r="E2" i="22"/>
  <c r="L2" i="22"/>
  <c r="C2" i="22"/>
  <c r="J2" i="22"/>
  <c r="I2" i="22"/>
  <c r="H2" i="22"/>
  <c r="G2" i="22"/>
  <c r="Q3" i="21"/>
  <c r="R3" i="21" s="1"/>
  <c r="Q4" i="21"/>
  <c r="R4" i="21" s="1"/>
  <c r="Q5" i="21"/>
  <c r="R5" i="21" s="1"/>
  <c r="Q6" i="21"/>
  <c r="R6" i="21" s="1"/>
  <c r="Q7" i="21"/>
  <c r="R7" i="21" s="1"/>
  <c r="Q8" i="21"/>
  <c r="R8" i="21" s="1"/>
  <c r="Q9" i="21"/>
  <c r="R9" i="21" s="1"/>
  <c r="Q10" i="21"/>
  <c r="R10" i="21" s="1"/>
  <c r="Q11" i="21"/>
  <c r="R11" i="21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2" i="15"/>
  <c r="C7" i="20"/>
  <c r="E7" i="20"/>
  <c r="K7" i="20"/>
  <c r="M7" i="20"/>
  <c r="C8" i="20"/>
  <c r="E8" i="20"/>
  <c r="K8" i="20"/>
  <c r="M8" i="20"/>
  <c r="C9" i="20"/>
  <c r="E9" i="20"/>
  <c r="K9" i="20"/>
  <c r="M9" i="20"/>
  <c r="C10" i="20"/>
  <c r="E10" i="20"/>
  <c r="K10" i="20"/>
  <c r="M10" i="20"/>
  <c r="C11" i="20"/>
  <c r="E11" i="20"/>
  <c r="K11" i="20"/>
  <c r="M11" i="20"/>
  <c r="L11" i="21"/>
  <c r="J11" i="21"/>
  <c r="E11" i="21"/>
  <c r="C11" i="21"/>
  <c r="L10" i="21"/>
  <c r="J10" i="21"/>
  <c r="E10" i="21"/>
  <c r="C10" i="21"/>
  <c r="L9" i="21"/>
  <c r="J9" i="21"/>
  <c r="E9" i="21"/>
  <c r="C9" i="21"/>
  <c r="L8" i="21"/>
  <c r="J8" i="21"/>
  <c r="E8" i="21"/>
  <c r="C8" i="21"/>
  <c r="L7" i="21"/>
  <c r="J7" i="21"/>
  <c r="E7" i="21"/>
  <c r="C7" i="21"/>
  <c r="L6" i="21"/>
  <c r="J6" i="21"/>
  <c r="E6" i="21"/>
  <c r="C6" i="21"/>
  <c r="L5" i="21"/>
  <c r="J5" i="21"/>
  <c r="E5" i="21"/>
  <c r="C5" i="21"/>
  <c r="L4" i="21"/>
  <c r="J4" i="21"/>
  <c r="E4" i="21"/>
  <c r="C4" i="21"/>
  <c r="L3" i="21"/>
  <c r="J3" i="21"/>
  <c r="E3" i="21"/>
  <c r="C3" i="21"/>
  <c r="L2" i="21"/>
  <c r="J2" i="21"/>
  <c r="E2" i="21"/>
  <c r="C2" i="21"/>
  <c r="M3" i="20"/>
  <c r="M4" i="20"/>
  <c r="M5" i="20"/>
  <c r="M6" i="20"/>
  <c r="M2" i="20"/>
  <c r="K3" i="20"/>
  <c r="K4" i="20"/>
  <c r="K5" i="20"/>
  <c r="K6" i="20"/>
  <c r="K2" i="20"/>
  <c r="E3" i="20"/>
  <c r="E4" i="20"/>
  <c r="E5" i="20"/>
  <c r="E6" i="20"/>
  <c r="E2" i="20"/>
  <c r="C3" i="20"/>
  <c r="C4" i="20"/>
  <c r="C5" i="20"/>
  <c r="C6" i="20"/>
  <c r="C2" i="20"/>
  <c r="AM39" i="37" a="1"/>
  <c r="AM45" i="37" a="1"/>
  <c r="AM65" i="37" a="1"/>
  <c r="AM51" i="37" a="1"/>
  <c r="AN10" i="37" a="1"/>
  <c r="AM54" i="37" a="1"/>
  <c r="AO43" i="37" a="1"/>
  <c r="AM63" i="37" a="1"/>
  <c r="AO61" i="37" a="1"/>
  <c r="AM52" i="37" a="1"/>
  <c r="AM74" i="37" a="1"/>
  <c r="AM2" i="37" a="1"/>
  <c r="AM71" i="37" a="1"/>
  <c r="AM55" i="37" a="1"/>
  <c r="AP61" i="37" a="1"/>
  <c r="AM44" i="37" a="1"/>
  <c r="AM5" i="37" a="1"/>
  <c r="AN2" i="37" a="1"/>
  <c r="AM47" i="37" a="1"/>
  <c r="AM46" i="37" a="1"/>
  <c r="AN71" i="37" a="1"/>
  <c r="AM10" i="37" a="1"/>
  <c r="AM58" i="37" a="1"/>
  <c r="AN5" i="37" a="1"/>
  <c r="AM6" i="37" a="1"/>
  <c r="AM9" i="37" a="1"/>
  <c r="AO35" i="37" a="1"/>
  <c r="AP55" i="37" a="1"/>
  <c r="AN58" i="37" a="1"/>
  <c r="AM53" i="37" a="1"/>
  <c r="AM67" i="37" a="1"/>
  <c r="AM38" i="37" a="1"/>
  <c r="AP47" i="37" a="1"/>
  <c r="AT56" i="37" a="1"/>
  <c r="AM17" i="37" a="1"/>
  <c r="AM69" i="37" a="1"/>
  <c r="AM36" i="37" a="1"/>
  <c r="AM4" i="37" a="1"/>
  <c r="AN9" i="37" a="1"/>
  <c r="AM18" i="37" a="1"/>
  <c r="AN6" i="37" a="1"/>
  <c r="AP43" i="37" a="1"/>
  <c r="AM64" i="37" a="1"/>
  <c r="AN4" i="37" a="1"/>
  <c r="AP39" i="37" a="1"/>
  <c r="AN17" i="37" a="1"/>
  <c r="AM68" i="37" a="1"/>
  <c r="AM66" i="37" a="1"/>
  <c r="AM7" i="37" a="1"/>
  <c r="AN18" i="37" a="1"/>
  <c r="AN15" i="37" a="1"/>
  <c r="AM3" i="37" a="1"/>
  <c r="AP15" i="37" a="1"/>
  <c r="AM50" i="37" a="1"/>
  <c r="AM62" i="37" a="1"/>
  <c r="AM49" i="37" a="1"/>
  <c r="AM37" i="37" a="1"/>
  <c r="AN3" i="37" a="1"/>
  <c r="AM42" i="37" a="1"/>
  <c r="AN7" i="37" a="1"/>
  <c r="AM73" i="37" a="1"/>
  <c r="AM60" i="37" a="1"/>
  <c r="AM56" i="37" a="1"/>
  <c r="AM15" i="37" a="1"/>
  <c r="AM48" i="37" a="1"/>
  <c r="AM35" i="37" a="1"/>
  <c r="AM41" i="37" a="1"/>
  <c r="AM8" i="37" a="1"/>
  <c r="AN8" i="37" a="1"/>
  <c r="AT35" i="37" a="1"/>
  <c r="AP6" i="37" a="1"/>
  <c r="AN16" i="37" a="1"/>
  <c r="AM43" i="37" a="1"/>
  <c r="AP51" i="37" a="1"/>
  <c r="AO55" i="37" a="1"/>
  <c r="AO15" i="37" a="1"/>
  <c r="AM40" i="37" a="1"/>
  <c r="AM61" i="37" a="1"/>
  <c r="AO56" i="37" a="1"/>
  <c r="AO65" i="37" a="1"/>
  <c r="AP65" i="37" a="1"/>
  <c r="AO47" i="37" a="1"/>
  <c r="AP35" i="37" a="1"/>
  <c r="AV56" i="37" a="1"/>
  <c r="AO6" i="37" a="1"/>
  <c r="AM16" i="37" a="1"/>
  <c r="AW35" i="37" a="1"/>
  <c r="AO39" i="37" a="1"/>
  <c r="AP73" i="37" a="1"/>
  <c r="AP56" i="37" a="1"/>
  <c r="AO69" i="37" a="1"/>
  <c r="AO51" i="37" a="1"/>
  <c r="AP69" i="37" a="1"/>
  <c r="AW56" i="37" a="1"/>
  <c r="AV35" i="37" a="1"/>
  <c r="AO73" i="37" a="1"/>
  <c r="AT8" i="37" a="1"/>
  <c r="AU8" i="37" a="1"/>
  <c r="AU8" i="37" l="1"/>
  <c r="AT8" i="37"/>
  <c r="AO73" i="37"/>
  <c r="AV35" i="37"/>
  <c r="AW56" i="37"/>
  <c r="AP69" i="37"/>
  <c r="G69" i="37" s="1"/>
  <c r="AO51" i="37"/>
  <c r="AO69" i="37"/>
  <c r="AP56" i="37"/>
  <c r="AP73" i="37"/>
  <c r="G73" i="37" s="1"/>
  <c r="AO39" i="37"/>
  <c r="AW35" i="37"/>
  <c r="AM16" i="37"/>
  <c r="AO6" i="37"/>
  <c r="AV56" i="37"/>
  <c r="AP35" i="37"/>
  <c r="AO47" i="37"/>
  <c r="AP65" i="37"/>
  <c r="G65" i="37" s="1"/>
  <c r="AO65" i="37"/>
  <c r="AO56" i="37"/>
  <c r="AM61" i="37"/>
  <c r="AM40" i="37"/>
  <c r="AO15" i="37"/>
  <c r="AO55" i="37"/>
  <c r="AP51" i="37"/>
  <c r="G51" i="37" s="1"/>
  <c r="AM43" i="37"/>
  <c r="AN16" i="37"/>
  <c r="G16" i="37" s="1"/>
  <c r="AP6" i="37"/>
  <c r="AT35" i="37"/>
  <c r="AN8" i="37"/>
  <c r="AM8" i="37"/>
  <c r="AM41" i="37"/>
  <c r="AM35" i="37"/>
  <c r="AM48" i="37"/>
  <c r="AM15" i="37"/>
  <c r="AM56" i="37"/>
  <c r="AM60" i="37"/>
  <c r="AM73" i="37"/>
  <c r="AN7" i="37"/>
  <c r="G7" i="37" s="1"/>
  <c r="AM42" i="37"/>
  <c r="AN3" i="37"/>
  <c r="AM37" i="37"/>
  <c r="AM49" i="37"/>
  <c r="AM62" i="37"/>
  <c r="AM50" i="37"/>
  <c r="AP15" i="37"/>
  <c r="AM3" i="37"/>
  <c r="AN15" i="37"/>
  <c r="AN18" i="37"/>
  <c r="G18" i="37" s="1"/>
  <c r="AM7" i="37"/>
  <c r="AM66" i="37"/>
  <c r="AM68" i="37"/>
  <c r="AN17" i="37"/>
  <c r="G17" i="37" s="1"/>
  <c r="AP39" i="37"/>
  <c r="G39" i="37" s="1"/>
  <c r="AN4" i="37"/>
  <c r="AM64" i="37"/>
  <c r="AP43" i="37"/>
  <c r="G43" i="37" s="1"/>
  <c r="AN6" i="37"/>
  <c r="AM18" i="37"/>
  <c r="AN9" i="37"/>
  <c r="G9" i="37" s="1"/>
  <c r="AM4" i="37"/>
  <c r="AM36" i="37"/>
  <c r="AM69" i="37"/>
  <c r="AM17" i="37"/>
  <c r="AT56" i="37"/>
  <c r="AP47" i="37"/>
  <c r="G47" i="37" s="1"/>
  <c r="AM38" i="37"/>
  <c r="AM67" i="37"/>
  <c r="AM53" i="37"/>
  <c r="AN58" i="37"/>
  <c r="G58" i="37" s="1"/>
  <c r="AP55" i="37"/>
  <c r="G55" i="37" s="1"/>
  <c r="AO35" i="37"/>
  <c r="AM9" i="37"/>
  <c r="AM6" i="37"/>
  <c r="AN5" i="37"/>
  <c r="AM58" i="37"/>
  <c r="AM10" i="37"/>
  <c r="AN71" i="37"/>
  <c r="G71" i="37" s="1"/>
  <c r="AM46" i="37"/>
  <c r="AM47" i="37"/>
  <c r="AN2" i="37"/>
  <c r="AM5" i="37"/>
  <c r="AM44" i="37"/>
  <c r="AP61" i="37"/>
  <c r="G61" i="37" s="1"/>
  <c r="AM55" i="37"/>
  <c r="AM71" i="37"/>
  <c r="AM2" i="37"/>
  <c r="AM74" i="37"/>
  <c r="AM52" i="37"/>
  <c r="AO61" i="37"/>
  <c r="AM63" i="37"/>
  <c r="AO43" i="37"/>
  <c r="AM54" i="37"/>
  <c r="AN10" i="37"/>
  <c r="G10" i="37" s="1"/>
  <c r="AM51" i="37"/>
  <c r="AM65" i="37"/>
  <c r="AM45" i="37"/>
  <c r="AM39" i="37"/>
  <c r="K4" i="36"/>
  <c r="G4" i="11"/>
  <c r="H4" i="11" s="1"/>
  <c r="J4" i="11" s="1"/>
  <c r="K26" i="36"/>
  <c r="G57" i="11"/>
  <c r="H57" i="11" s="1"/>
  <c r="J57" i="11" s="1"/>
  <c r="H5" i="36"/>
  <c r="I5" i="36" s="1"/>
  <c r="H27" i="36"/>
  <c r="I27" i="36" s="1"/>
  <c r="K27" i="36" s="1"/>
  <c r="D5" i="14"/>
  <c r="G5" i="14" s="1"/>
  <c r="U5" i="32"/>
  <c r="C5" i="13"/>
  <c r="E5" i="13" s="1"/>
  <c r="G5" i="13" s="1"/>
  <c r="E7" i="14"/>
  <c r="C6" i="14"/>
  <c r="F6" i="14"/>
  <c r="O3" i="13"/>
  <c r="M11" i="15"/>
  <c r="G15" i="24" s="1"/>
  <c r="M17" i="15"/>
  <c r="G21" i="24" s="1"/>
  <c r="M12" i="15"/>
  <c r="G16" i="24" s="1"/>
  <c r="M27" i="15"/>
  <c r="G31" i="24" s="1"/>
  <c r="M28" i="15"/>
  <c r="G32" i="24" s="1"/>
  <c r="M20" i="15"/>
  <c r="G24" i="24" s="1"/>
  <c r="M4" i="15"/>
  <c r="G4" i="24" s="1"/>
  <c r="M26" i="15"/>
  <c r="G30" i="24" s="1"/>
  <c r="M10" i="15"/>
  <c r="M25" i="15"/>
  <c r="G29" i="24" s="1"/>
  <c r="M9" i="15"/>
  <c r="G13" i="24" s="1"/>
  <c r="O4" i="13"/>
  <c r="G2" i="13"/>
  <c r="I3" i="33"/>
  <c r="H3" i="33" s="1"/>
  <c r="I2" i="33"/>
  <c r="H2" i="33" s="1"/>
  <c r="L3" i="24"/>
  <c r="L19" i="24"/>
  <c r="L4" i="24"/>
  <c r="L20" i="24"/>
  <c r="L5" i="24"/>
  <c r="N5" i="24" s="1" a="1"/>
  <c r="N5" i="24" s="1"/>
  <c r="L21" i="24"/>
  <c r="L2" i="24"/>
  <c r="L6" i="24"/>
  <c r="L22" i="24"/>
  <c r="N22" i="24" s="1" a="1"/>
  <c r="N22" i="24" s="1"/>
  <c r="L33" i="24"/>
  <c r="N33" i="24" s="1" a="1"/>
  <c r="N33" i="24" s="1"/>
  <c r="L7" i="24"/>
  <c r="N7" i="24" s="1" a="1"/>
  <c r="N7" i="24" s="1"/>
  <c r="L23" i="24"/>
  <c r="N23" i="24" s="1" a="1"/>
  <c r="N23" i="24" s="1"/>
  <c r="L24" i="24"/>
  <c r="O24" i="24" s="1" a="1"/>
  <c r="O24" i="24" s="1"/>
  <c r="L8" i="24"/>
  <c r="N8" i="24" s="1" a="1"/>
  <c r="N8" i="24" s="1"/>
  <c r="L9" i="24"/>
  <c r="L25" i="24"/>
  <c r="L10" i="24"/>
  <c r="L26" i="24"/>
  <c r="L18" i="24"/>
  <c r="M18" i="24" s="1" a="1"/>
  <c r="M18" i="24" s="1"/>
  <c r="L11" i="24"/>
  <c r="L27" i="24"/>
  <c r="L16" i="24"/>
  <c r="L12" i="24"/>
  <c r="L28" i="24"/>
  <c r="L13" i="24"/>
  <c r="L29" i="24"/>
  <c r="M29" i="24" s="1" a="1"/>
  <c r="M29" i="24" s="1"/>
  <c r="L17" i="24"/>
  <c r="L14" i="24"/>
  <c r="L30" i="24"/>
  <c r="L15" i="24"/>
  <c r="L31" i="24"/>
  <c r="N31" i="24" s="1" a="1"/>
  <c r="N31" i="24" s="1"/>
  <c r="L32" i="24"/>
  <c r="H26" i="24"/>
  <c r="H10" i="24"/>
  <c r="H23" i="24"/>
  <c r="H22" i="24"/>
  <c r="H21" i="24"/>
  <c r="H20" i="24"/>
  <c r="H19" i="24"/>
  <c r="H32" i="24"/>
  <c r="H31" i="24"/>
  <c r="I31" i="24" s="1" a="1"/>
  <c r="I31" i="24" s="1"/>
  <c r="H30" i="24"/>
  <c r="H13" i="24"/>
  <c r="H28" i="24"/>
  <c r="H12" i="24"/>
  <c r="H27" i="24"/>
  <c r="H11" i="24"/>
  <c r="D3" i="32"/>
  <c r="F48" i="9"/>
  <c r="G7" i="24"/>
  <c r="G2" i="24"/>
  <c r="G6" i="24"/>
  <c r="G14" i="24"/>
  <c r="G5" i="24"/>
  <c r="G9" i="24"/>
  <c r="G8" i="24"/>
  <c r="M32" i="24" a="1"/>
  <c r="M32" i="24" s="1"/>
  <c r="M25" i="24" a="1"/>
  <c r="M25" i="24" s="1"/>
  <c r="M4" i="24" a="1"/>
  <c r="M4" i="24" s="1"/>
  <c r="O22" i="24" a="1"/>
  <c r="O22" i="24" s="1"/>
  <c r="T7" i="20"/>
  <c r="U11" i="20"/>
  <c r="T10" i="20"/>
  <c r="U9" i="20"/>
  <c r="T9" i="20"/>
  <c r="T8" i="20"/>
  <c r="T11" i="20"/>
  <c r="U8" i="20"/>
  <c r="U7" i="20"/>
  <c r="U10" i="20"/>
  <c r="T5" i="20"/>
  <c r="U4" i="20"/>
  <c r="U6" i="20"/>
  <c r="U2" i="20"/>
  <c r="U3" i="20"/>
  <c r="T4" i="20"/>
  <c r="U5" i="20"/>
  <c r="T6" i="20"/>
  <c r="T2" i="20"/>
  <c r="T3" i="20"/>
  <c r="I4" i="24" a="1"/>
  <c r="I15" i="24" a="1"/>
  <c r="K3" i="24" a="1"/>
  <c r="N14" i="24" a="1"/>
  <c r="K4" i="24" a="1"/>
  <c r="J5" i="24" a="1"/>
  <c r="I9" i="24" a="1"/>
  <c r="I17" i="24" a="1"/>
  <c r="K17" i="24" a="1"/>
  <c r="J14" i="24" a="1"/>
  <c r="K6" i="24" a="1"/>
  <c r="I16" i="24" a="1"/>
  <c r="K7" i="24" a="1"/>
  <c r="O6" i="24" a="1"/>
  <c r="J4" i="24" a="1"/>
  <c r="M6" i="24" a="1"/>
  <c r="K5" i="24" a="1"/>
  <c r="J15" i="24" a="1"/>
  <c r="J16" i="24" a="1"/>
  <c r="J6" i="24" a="1"/>
  <c r="K9" i="24" a="1"/>
  <c r="J9" i="24" a="1"/>
  <c r="M14" i="24" a="1"/>
  <c r="I6" i="24" a="1"/>
  <c r="I2" i="24" a="1"/>
  <c r="K2" i="24" a="1"/>
  <c r="J2" i="24" a="1"/>
  <c r="J17" i="24" a="1"/>
  <c r="J8" i="24" a="1"/>
  <c r="I14" i="24" a="1"/>
  <c r="O14" i="24" a="1"/>
  <c r="K15" i="24" a="1"/>
  <c r="K16" i="24" a="1"/>
  <c r="K14" i="24" a="1"/>
  <c r="I5" i="24" a="1"/>
  <c r="G8" i="37" l="1"/>
  <c r="G15" i="37"/>
  <c r="G35" i="37"/>
  <c r="G56" i="37"/>
  <c r="O5" i="13"/>
  <c r="H28" i="36"/>
  <c r="I28" i="36" s="1"/>
  <c r="H6" i="36"/>
  <c r="I6" i="36" s="1"/>
  <c r="D6" i="14"/>
  <c r="G6" i="14" s="1"/>
  <c r="U6" i="32"/>
  <c r="U42" i="32"/>
  <c r="C6" i="13"/>
  <c r="E6" i="13" s="1"/>
  <c r="E8" i="14"/>
  <c r="C7" i="14"/>
  <c r="F7" i="14"/>
  <c r="K5" i="36"/>
  <c r="G5" i="11"/>
  <c r="H5" i="11" s="1"/>
  <c r="J5" i="11" s="1"/>
  <c r="F26" i="9"/>
  <c r="D41" i="32"/>
  <c r="D2" i="32"/>
  <c r="F2" i="9"/>
  <c r="F95" i="9"/>
  <c r="F25" i="9"/>
  <c r="F49" i="9"/>
  <c r="M8" i="24" a="1"/>
  <c r="M8" i="24" s="1"/>
  <c r="O8" i="24" a="1"/>
  <c r="O8" i="24" s="1"/>
  <c r="M22" i="24" a="1"/>
  <c r="M22" i="24" s="1"/>
  <c r="O4" i="24" a="1"/>
  <c r="O4" i="24" s="1"/>
  <c r="N13" i="24" a="1"/>
  <c r="N13" i="24" s="1"/>
  <c r="N4" i="24" a="1"/>
  <c r="N4" i="24" s="1"/>
  <c r="M13" i="24" a="1"/>
  <c r="M13" i="24" s="1"/>
  <c r="M5" i="24" a="1"/>
  <c r="M5" i="24" s="1"/>
  <c r="O5" i="24" a="1"/>
  <c r="O5" i="24" s="1"/>
  <c r="M7" i="24" a="1"/>
  <c r="M7" i="24" s="1"/>
  <c r="O13" i="24" a="1"/>
  <c r="O13" i="24" s="1"/>
  <c r="O7" i="24" a="1"/>
  <c r="O7" i="24" s="1"/>
  <c r="J8" i="24"/>
  <c r="K7" i="24"/>
  <c r="M31" i="24" a="1"/>
  <c r="M31" i="24" s="1"/>
  <c r="K6" i="24"/>
  <c r="O6" i="24"/>
  <c r="M6" i="24"/>
  <c r="I6" i="24"/>
  <c r="J6" i="24"/>
  <c r="K5" i="24"/>
  <c r="J5" i="24"/>
  <c r="I5" i="24"/>
  <c r="N32" i="24" a="1"/>
  <c r="N32" i="24" s="1"/>
  <c r="M23" i="24" a="1"/>
  <c r="M23" i="24" s="1"/>
  <c r="M21" i="24" a="1"/>
  <c r="M21" i="24" s="1"/>
  <c r="N29" i="24" a="1"/>
  <c r="N29" i="24" s="1"/>
  <c r="M12" i="24" a="1"/>
  <c r="M12" i="24" s="1"/>
  <c r="N21" i="24" a="1"/>
  <c r="N21" i="24" s="1"/>
  <c r="M27" i="24" a="1"/>
  <c r="M27" i="24" s="1"/>
  <c r="M17" i="24" a="1"/>
  <c r="M17" i="24" s="1"/>
  <c r="O9" i="24" a="1"/>
  <c r="O9" i="24" s="1"/>
  <c r="M33" i="24" a="1"/>
  <c r="M33" i="24" s="1"/>
  <c r="N18" i="24" a="1"/>
  <c r="N18" i="24" s="1"/>
  <c r="M2" i="24" a="1"/>
  <c r="M2" i="24" s="1"/>
  <c r="M19" i="24" a="1"/>
  <c r="M19" i="24" s="1"/>
  <c r="O2" i="24" a="1"/>
  <c r="O2" i="24" s="1"/>
  <c r="O25" i="24" a="1"/>
  <c r="O25" i="24" s="1"/>
  <c r="M9" i="24" a="1"/>
  <c r="M9" i="24" s="1"/>
  <c r="M26" i="24" a="1"/>
  <c r="M26" i="24" s="1"/>
  <c r="N19" i="24" a="1"/>
  <c r="N19" i="24" s="1"/>
  <c r="N26" i="24" a="1"/>
  <c r="N26" i="24" s="1"/>
  <c r="N10" i="24" a="1"/>
  <c r="N10" i="24" s="1"/>
  <c r="O16" i="24" a="1"/>
  <c r="O16" i="24" s="1"/>
  <c r="M10" i="24" a="1"/>
  <c r="M10" i="24" s="1"/>
  <c r="M24" i="24" a="1"/>
  <c r="M24" i="24" s="1"/>
  <c r="K15" i="24"/>
  <c r="J15" i="24"/>
  <c r="I15" i="24"/>
  <c r="J31" i="24" a="1"/>
  <c r="J31" i="24" s="1"/>
  <c r="K31" i="24" a="1"/>
  <c r="K31" i="24" s="1"/>
  <c r="N14" i="24"/>
  <c r="M14" i="24"/>
  <c r="O14" i="24"/>
  <c r="N27" i="24" a="1"/>
  <c r="N27" i="24" s="1"/>
  <c r="O17" i="24" a="1"/>
  <c r="O17" i="24" s="1"/>
  <c r="N28" i="24" a="1"/>
  <c r="N28" i="24" s="1"/>
  <c r="O33" i="24" a="1"/>
  <c r="O33" i="24" s="1"/>
  <c r="O12" i="24" a="1"/>
  <c r="O12" i="24" s="1"/>
  <c r="N3" i="24" a="1"/>
  <c r="N3" i="24" s="1"/>
  <c r="M11" i="24" a="1"/>
  <c r="M11" i="24" s="1"/>
  <c r="O18" i="24" a="1"/>
  <c r="O18" i="24" s="1"/>
  <c r="O31" i="24" a="1"/>
  <c r="O31" i="24" s="1"/>
  <c r="O30" i="24" a="1"/>
  <c r="O30" i="24" s="1"/>
  <c r="N9" i="24" a="1"/>
  <c r="N9" i="24" s="1"/>
  <c r="N25" i="24" a="1"/>
  <c r="N25" i="24" s="1"/>
  <c r="M20" i="24" a="1"/>
  <c r="M20" i="24" s="1"/>
  <c r="O10" i="24" a="1"/>
  <c r="O10" i="24" s="1"/>
  <c r="N2" i="24" a="1"/>
  <c r="N2" i="24" s="1"/>
  <c r="N16" i="24" a="1"/>
  <c r="N16" i="24" s="1"/>
  <c r="O26" i="24" a="1"/>
  <c r="O26" i="24" s="1"/>
  <c r="O19" i="24" a="1"/>
  <c r="O19" i="24" s="1"/>
  <c r="N11" i="24" a="1"/>
  <c r="N11" i="24" s="1"/>
  <c r="O11" i="24" a="1"/>
  <c r="O11" i="24" s="1"/>
  <c r="N20" i="24" a="1"/>
  <c r="N20" i="24" s="1"/>
  <c r="M28" i="24" a="1"/>
  <c r="M28" i="24" s="1"/>
  <c r="O27" i="24" a="1"/>
  <c r="O27" i="24" s="1"/>
  <c r="N15" i="24" a="1"/>
  <c r="N15" i="24" s="1"/>
  <c r="M15" i="24" a="1"/>
  <c r="M15" i="24" s="1"/>
  <c r="N12" i="24" a="1"/>
  <c r="N12" i="24" s="1"/>
  <c r="O21" i="24" a="1"/>
  <c r="O21" i="24" s="1"/>
  <c r="O3" i="24" a="1"/>
  <c r="O3" i="24" s="1"/>
  <c r="O28" i="24" a="1"/>
  <c r="O28" i="24" s="1"/>
  <c r="M30" i="24" a="1"/>
  <c r="M30" i="24" s="1"/>
  <c r="O29" i="24" a="1"/>
  <c r="O29" i="24" s="1"/>
  <c r="O23" i="24" a="1"/>
  <c r="O23" i="24" s="1"/>
  <c r="N17" i="24" a="1"/>
  <c r="N17" i="24" s="1"/>
  <c r="M3" i="24" a="1"/>
  <c r="M3" i="24" s="1"/>
  <c r="M16" i="24" a="1"/>
  <c r="M16" i="24" s="1"/>
  <c r="N30" i="24" a="1"/>
  <c r="N30" i="24" s="1"/>
  <c r="O15" i="24" a="1"/>
  <c r="O15" i="24" s="1"/>
  <c r="O20" i="24" a="1"/>
  <c r="O20" i="24" s="1"/>
  <c r="N24" i="24" a="1"/>
  <c r="N24" i="24" s="1"/>
  <c r="O32" i="24" a="1"/>
  <c r="O32" i="24" s="1"/>
  <c r="I26" i="24" a="1"/>
  <c r="I26" i="24" s="1"/>
  <c r="I20" i="24" a="1"/>
  <c r="I20" i="24" s="1"/>
  <c r="I24" i="24" a="1"/>
  <c r="I24" i="24" s="1"/>
  <c r="I33" i="24" a="1"/>
  <c r="I33" i="24" s="1"/>
  <c r="I11" i="24" a="1"/>
  <c r="I11" i="24" s="1"/>
  <c r="I18" i="24" a="1"/>
  <c r="I18" i="24" s="1"/>
  <c r="I27" i="24" a="1"/>
  <c r="I27" i="24" s="1"/>
  <c r="I12" i="24" a="1"/>
  <c r="I12" i="24" s="1"/>
  <c r="I28" i="24" a="1"/>
  <c r="I28" i="24" s="1"/>
  <c r="I13" i="24" a="1"/>
  <c r="I13" i="24" s="1"/>
  <c r="I21" i="24" a="1"/>
  <c r="I21" i="24" s="1"/>
  <c r="I29" i="24" a="1"/>
  <c r="I29" i="24" s="1"/>
  <c r="I25" i="24" a="1"/>
  <c r="I25" i="24" s="1"/>
  <c r="I22" i="24" a="1"/>
  <c r="I22" i="24" s="1"/>
  <c r="I30" i="24" a="1"/>
  <c r="I30" i="24" s="1"/>
  <c r="I23" i="24" a="1"/>
  <c r="I23" i="24" s="1"/>
  <c r="I10" i="24" a="1"/>
  <c r="I10" i="24" s="1"/>
  <c r="I19" i="24" a="1"/>
  <c r="I19" i="24" s="1"/>
  <c r="I32" i="24" a="1"/>
  <c r="I32" i="24" s="1"/>
  <c r="I14" i="24"/>
  <c r="I16" i="24"/>
  <c r="I4" i="24"/>
  <c r="I9" i="24"/>
  <c r="I17" i="24"/>
  <c r="I2" i="24"/>
  <c r="K14" i="24"/>
  <c r="J14" i="24"/>
  <c r="K2" i="24"/>
  <c r="J2" i="24"/>
  <c r="K4" i="24"/>
  <c r="J4" i="24"/>
  <c r="K16" i="24"/>
  <c r="J16" i="24"/>
  <c r="K9" i="24"/>
  <c r="J9" i="24"/>
  <c r="K17" i="24"/>
  <c r="J17" i="24"/>
  <c r="K3" i="24"/>
  <c r="K11" i="24" a="1"/>
  <c r="K11" i="24" s="1"/>
  <c r="J11" i="24" a="1"/>
  <c r="J11" i="24" s="1"/>
  <c r="K18" i="24" a="1"/>
  <c r="K18" i="24" s="1"/>
  <c r="J18" i="24" a="1"/>
  <c r="J18" i="24" s="1"/>
  <c r="J27" i="24" a="1"/>
  <c r="J27" i="24" s="1"/>
  <c r="K27" i="24" a="1"/>
  <c r="K27" i="24" s="1"/>
  <c r="K21" i="24" a="1"/>
  <c r="K21" i="24" s="1"/>
  <c r="J21" i="24" a="1"/>
  <c r="J21" i="24" s="1"/>
  <c r="K22" i="24" a="1"/>
  <c r="K22" i="24" s="1"/>
  <c r="J22" i="24" a="1"/>
  <c r="J22" i="24" s="1"/>
  <c r="J23" i="24" a="1"/>
  <c r="J23" i="24" s="1"/>
  <c r="K23" i="24" a="1"/>
  <c r="K23" i="24" s="1"/>
  <c r="K28" i="24" a="1"/>
  <c r="K28" i="24" s="1"/>
  <c r="J28" i="24" a="1"/>
  <c r="J28" i="24" s="1"/>
  <c r="K32" i="24" a="1"/>
  <c r="K32" i="24" s="1"/>
  <c r="J32" i="24" a="1"/>
  <c r="J32" i="24" s="1"/>
  <c r="K19" i="24" a="1"/>
  <c r="K19" i="24" s="1"/>
  <c r="J19" i="24" a="1"/>
  <c r="J19" i="24" s="1"/>
  <c r="J24" i="24" a="1"/>
  <c r="J24" i="24" s="1"/>
  <c r="K24" i="24" a="1"/>
  <c r="K24" i="24" s="1"/>
  <c r="K13" i="24" a="1"/>
  <c r="K13" i="24" s="1"/>
  <c r="J13" i="24" a="1"/>
  <c r="J13" i="24" s="1"/>
  <c r="K30" i="24" a="1"/>
  <c r="K30" i="24" s="1"/>
  <c r="J30" i="24" a="1"/>
  <c r="J30" i="24" s="1"/>
  <c r="K20" i="24" a="1"/>
  <c r="K20" i="24" s="1"/>
  <c r="J20" i="24" a="1"/>
  <c r="J20" i="24" s="1"/>
  <c r="J25" i="24" a="1"/>
  <c r="J25" i="24" s="1"/>
  <c r="K25" i="24" a="1"/>
  <c r="K25" i="24" s="1"/>
  <c r="K33" i="24" a="1"/>
  <c r="K33" i="24" s="1"/>
  <c r="J33" i="24" a="1"/>
  <c r="J33" i="24" s="1"/>
  <c r="K12" i="24" a="1"/>
  <c r="K12" i="24" s="1"/>
  <c r="J12" i="24" a="1"/>
  <c r="J12" i="24" s="1"/>
  <c r="K29" i="24" a="1"/>
  <c r="K29" i="24" s="1"/>
  <c r="J29" i="24" a="1"/>
  <c r="J29" i="24" s="1"/>
  <c r="K10" i="24" a="1"/>
  <c r="K10" i="24" s="1"/>
  <c r="J10" i="24" a="1"/>
  <c r="J10" i="24" s="1"/>
  <c r="J26" i="24" a="1"/>
  <c r="J26" i="24" s="1"/>
  <c r="K26" i="24" a="1"/>
  <c r="K26" i="24" s="1"/>
  <c r="D3" i="15"/>
  <c r="D8" i="24" s="1"/>
  <c r="D4" i="15"/>
  <c r="D4" i="24" s="1"/>
  <c r="D5" i="15"/>
  <c r="D6" i="15"/>
  <c r="D7" i="15"/>
  <c r="D8" i="15"/>
  <c r="D9" i="15"/>
  <c r="D10" i="15"/>
  <c r="D11" i="15"/>
  <c r="D12" i="15"/>
  <c r="D16" i="24" s="1"/>
  <c r="D13" i="15"/>
  <c r="D17" i="24" s="1"/>
  <c r="D14" i="15"/>
  <c r="D15" i="15"/>
  <c r="D16" i="15"/>
  <c r="D17" i="15"/>
  <c r="D18" i="15"/>
  <c r="D19" i="15"/>
  <c r="D20" i="15"/>
  <c r="D21" i="15"/>
  <c r="D22" i="15"/>
  <c r="D23" i="15"/>
  <c r="D27" i="24" s="1"/>
  <c r="D24" i="15"/>
  <c r="D25" i="15"/>
  <c r="D26" i="15"/>
  <c r="D27" i="15"/>
  <c r="D28" i="15"/>
  <c r="D29" i="15"/>
  <c r="D2" i="15"/>
  <c r="D7" i="24" s="1"/>
  <c r="E2" i="2"/>
  <c r="C3" i="2"/>
  <c r="C4" i="2"/>
  <c r="C5" i="2"/>
  <c r="C6" i="2"/>
  <c r="C2" i="2"/>
  <c r="J3" i="24" a="1"/>
  <c r="I7" i="24" a="1"/>
  <c r="I8" i="24" a="1"/>
  <c r="J7" i="24" a="1"/>
  <c r="K8" i="24" a="1"/>
  <c r="I3" i="24" a="1"/>
  <c r="N6" i="24" a="1"/>
  <c r="H29" i="36" l="1"/>
  <c r="I29" i="36" s="1"/>
  <c r="K29" i="36" s="1"/>
  <c r="H7" i="36"/>
  <c r="I7" i="36" s="1"/>
  <c r="D7" i="14"/>
  <c r="G7" i="14" s="1"/>
  <c r="U7" i="32"/>
  <c r="C7" i="13"/>
  <c r="E7" i="13" s="1"/>
  <c r="E9" i="14"/>
  <c r="C8" i="14"/>
  <c r="F8" i="14"/>
  <c r="G6" i="13"/>
  <c r="O6" i="13"/>
  <c r="F51" i="9"/>
  <c r="K6" i="36"/>
  <c r="G6" i="11"/>
  <c r="H6" i="11" s="1"/>
  <c r="K28" i="36"/>
  <c r="G58" i="11"/>
  <c r="H58" i="11" s="1"/>
  <c r="F96" i="9" s="1"/>
  <c r="D5" i="32"/>
  <c r="F50" i="9"/>
  <c r="D4" i="32"/>
  <c r="F3" i="9"/>
  <c r="F94" i="9"/>
  <c r="D40" i="32"/>
  <c r="E14" i="24"/>
  <c r="E32" i="24"/>
  <c r="E24" i="24"/>
  <c r="E19" i="24"/>
  <c r="E10" i="24"/>
  <c r="E26" i="24"/>
  <c r="E29" i="24"/>
  <c r="E20" i="24"/>
  <c r="E33" i="24"/>
  <c r="E31" i="24"/>
  <c r="E15" i="24"/>
  <c r="E23" i="24"/>
  <c r="E30" i="24"/>
  <c r="E25" i="24"/>
  <c r="E21" i="24"/>
  <c r="E13" i="24"/>
  <c r="E22" i="24"/>
  <c r="E28" i="24"/>
  <c r="E5" i="24"/>
  <c r="E17" i="24"/>
  <c r="E12" i="24"/>
  <c r="E9" i="24"/>
  <c r="E27" i="24"/>
  <c r="E4" i="24"/>
  <c r="E18" i="24"/>
  <c r="E16" i="24"/>
  <c r="E11" i="24"/>
  <c r="E2" i="24"/>
  <c r="J3" i="24"/>
  <c r="K8" i="24"/>
  <c r="I7" i="24"/>
  <c r="J7" i="24"/>
  <c r="I3" i="24"/>
  <c r="I8" i="24"/>
  <c r="E8" i="24" s="1"/>
  <c r="N6" i="24"/>
  <c r="E6" i="24" s="1"/>
  <c r="D6" i="24"/>
  <c r="D9" i="24"/>
  <c r="D5" i="24"/>
  <c r="V10" i="21"/>
  <c r="D26" i="24"/>
  <c r="V5" i="21"/>
  <c r="E3" i="2"/>
  <c r="D10" i="24"/>
  <c r="D25" i="24"/>
  <c r="D24" i="24"/>
  <c r="D23" i="24"/>
  <c r="I4" i="19"/>
  <c r="I20" i="19"/>
  <c r="D3" i="24"/>
  <c r="I5" i="19"/>
  <c r="I21" i="19"/>
  <c r="I6" i="19"/>
  <c r="I22" i="19"/>
  <c r="I7" i="19"/>
  <c r="I23" i="19"/>
  <c r="I8" i="19"/>
  <c r="I24" i="19"/>
  <c r="I9" i="19"/>
  <c r="I25" i="19"/>
  <c r="I10" i="19"/>
  <c r="I26" i="19"/>
  <c r="I11" i="19"/>
  <c r="I27" i="19"/>
  <c r="I12" i="19"/>
  <c r="I28" i="19"/>
  <c r="I13" i="19"/>
  <c r="I14" i="19"/>
  <c r="I15" i="19"/>
  <c r="I16" i="19"/>
  <c r="I17" i="19"/>
  <c r="I18" i="19"/>
  <c r="I3" i="19"/>
  <c r="I19" i="19"/>
  <c r="D22" i="24"/>
  <c r="V9" i="21"/>
  <c r="V4" i="21"/>
  <c r="D21" i="24"/>
  <c r="D20" i="24"/>
  <c r="D19" i="24"/>
  <c r="E4" i="2"/>
  <c r="D11" i="24"/>
  <c r="I2" i="19"/>
  <c r="D2" i="24"/>
  <c r="V8" i="21"/>
  <c r="D18" i="24"/>
  <c r="V3" i="21"/>
  <c r="D33" i="24"/>
  <c r="D32" i="24"/>
  <c r="D31" i="24"/>
  <c r="D15" i="24"/>
  <c r="V11" i="21"/>
  <c r="D30" i="24"/>
  <c r="V6" i="21"/>
  <c r="P2" i="23"/>
  <c r="V2" i="21"/>
  <c r="D14" i="24"/>
  <c r="V7" i="21"/>
  <c r="D29" i="24"/>
  <c r="E6" i="2"/>
  <c r="D13" i="24"/>
  <c r="D28" i="24"/>
  <c r="E5" i="2"/>
  <c r="D12" i="24"/>
  <c r="J58" i="11" l="1"/>
  <c r="F27" i="9"/>
  <c r="J6" i="11"/>
  <c r="F52" i="9"/>
  <c r="F4" i="9"/>
  <c r="D42" i="32"/>
  <c r="D6" i="32"/>
  <c r="H8" i="36"/>
  <c r="I8" i="36" s="1"/>
  <c r="H30" i="36"/>
  <c r="I30" i="36" s="1"/>
  <c r="D8" i="14"/>
  <c r="G8" i="14" s="1"/>
  <c r="U8" i="32"/>
  <c r="U43" i="32"/>
  <c r="C8" i="13"/>
  <c r="E8" i="13" s="1"/>
  <c r="E10" i="14"/>
  <c r="C9" i="14"/>
  <c r="F9" i="14"/>
  <c r="O7" i="13"/>
  <c r="G7" i="13"/>
  <c r="K7" i="36"/>
  <c r="G7" i="11"/>
  <c r="H7" i="11" s="1"/>
  <c r="E3" i="24"/>
  <c r="E7" i="24"/>
  <c r="S7" i="21"/>
  <c r="T7" i="21"/>
  <c r="T2" i="21"/>
  <c r="S2" i="21"/>
  <c r="T3" i="21"/>
  <c r="S3" i="21"/>
  <c r="S4" i="21"/>
  <c r="T4" i="21"/>
  <c r="T6" i="21"/>
  <c r="S6" i="21"/>
  <c r="S9" i="21"/>
  <c r="T9" i="21"/>
  <c r="S11" i="21"/>
  <c r="T11" i="21"/>
  <c r="S8" i="21"/>
  <c r="T8" i="21"/>
  <c r="T5" i="21"/>
  <c r="S5" i="21"/>
  <c r="T10" i="21"/>
  <c r="S10" i="21"/>
  <c r="H31" i="36" l="1"/>
  <c r="I31" i="36" s="1"/>
  <c r="K31" i="36" s="1"/>
  <c r="H9" i="36"/>
  <c r="I9" i="36" s="1"/>
  <c r="G8" i="13"/>
  <c r="O8" i="13"/>
  <c r="E11" i="14"/>
  <c r="C10" i="14"/>
  <c r="F10" i="14"/>
  <c r="K30" i="36"/>
  <c r="G59" i="11"/>
  <c r="H59" i="11" s="1"/>
  <c r="K8" i="36"/>
  <c r="G8" i="11"/>
  <c r="H8" i="11" s="1"/>
  <c r="D9" i="14"/>
  <c r="G9" i="14" s="1"/>
  <c r="U9" i="32"/>
  <c r="C9" i="13"/>
  <c r="E9" i="13" s="1"/>
  <c r="J7" i="11"/>
  <c r="D7" i="32"/>
  <c r="F53" i="9"/>
  <c r="G9" i="13" l="1"/>
  <c r="O9" i="13"/>
  <c r="D10" i="14"/>
  <c r="G10" i="14" s="1"/>
  <c r="U10" i="32"/>
  <c r="U44" i="32"/>
  <c r="C10" i="13"/>
  <c r="E10" i="13" s="1"/>
  <c r="J8" i="11"/>
  <c r="D8" i="32"/>
  <c r="F5" i="9"/>
  <c r="F54" i="9"/>
  <c r="J59" i="11"/>
  <c r="D43" i="32"/>
  <c r="F28" i="9"/>
  <c r="F97" i="9"/>
  <c r="H32" i="36"/>
  <c r="I32" i="36" s="1"/>
  <c r="H10" i="36"/>
  <c r="I10" i="36" s="1"/>
  <c r="E12" i="14"/>
  <c r="C11" i="14"/>
  <c r="F11" i="14"/>
  <c r="K9" i="36"/>
  <c r="G9" i="11"/>
  <c r="H9" i="11" s="1"/>
  <c r="G10" i="11" l="1"/>
  <c r="H10" i="11" s="1"/>
  <c r="K10" i="36"/>
  <c r="AL5" i="37"/>
  <c r="AL25" i="37"/>
  <c r="AL44" i="37"/>
  <c r="AL63" i="37"/>
  <c r="AL22" i="37"/>
  <c r="AL41" i="37"/>
  <c r="AL18" i="37"/>
  <c r="AL19" i="37"/>
  <c r="AL57" i="37"/>
  <c r="AL76" i="37"/>
  <c r="AL8" i="37"/>
  <c r="AL10" i="37"/>
  <c r="AL64" i="37"/>
  <c r="AL60" i="37"/>
  <c r="AL66" i="37"/>
  <c r="AL70" i="37"/>
  <c r="AL42" i="37"/>
  <c r="AL38" i="37"/>
  <c r="AL29" i="37"/>
  <c r="AL61" i="37"/>
  <c r="AL35" i="37"/>
  <c r="AL48" i="37"/>
  <c r="AL51" i="37"/>
  <c r="AL32" i="37"/>
  <c r="AL67" i="37"/>
  <c r="AL6" i="37"/>
  <c r="AL3" i="37"/>
  <c r="AL23" i="37"/>
  <c r="AL45" i="37"/>
  <c r="AL20" i="37"/>
  <c r="AL39" i="37"/>
  <c r="AL58" i="37"/>
  <c r="AL36" i="37"/>
  <c r="AL55" i="37"/>
  <c r="AL74" i="37"/>
  <c r="AL2" i="37"/>
  <c r="AL17" i="37"/>
  <c r="AL52" i="37"/>
  <c r="AL11" i="37"/>
  <c r="AL14" i="37"/>
  <c r="AL33" i="37"/>
  <c r="AL7" i="37"/>
  <c r="AL27" i="37"/>
  <c r="AL49" i="37"/>
  <c r="AL43" i="37"/>
  <c r="AL59" i="37"/>
  <c r="AL71" i="37"/>
  <c r="AL30" i="37"/>
  <c r="AL24" i="37"/>
  <c r="AL62" i="37"/>
  <c r="AL68" i="37"/>
  <c r="AL65" i="37"/>
  <c r="AL4" i="37"/>
  <c r="AL46" i="37"/>
  <c r="AL15" i="37"/>
  <c r="AL21" i="37"/>
  <c r="AL40" i="37"/>
  <c r="AL50" i="37"/>
  <c r="AL37" i="37"/>
  <c r="AL56" i="37"/>
  <c r="AL75" i="37"/>
  <c r="AL53" i="37"/>
  <c r="AL72" i="37"/>
  <c r="AL12" i="37"/>
  <c r="AL31" i="37"/>
  <c r="AL54" i="37"/>
  <c r="AL13" i="37"/>
  <c r="AL34" i="37"/>
  <c r="AL69" i="37"/>
  <c r="AL9" i="37"/>
  <c r="AL28" i="37"/>
  <c r="AL47" i="37"/>
  <c r="AL73" i="37"/>
  <c r="AL16" i="37"/>
  <c r="AL26" i="37"/>
  <c r="K32" i="36"/>
  <c r="G60" i="11"/>
  <c r="H60" i="11" s="1"/>
  <c r="J9" i="11"/>
  <c r="F55" i="9"/>
  <c r="D9" i="32"/>
  <c r="G10" i="13"/>
  <c r="O10" i="13"/>
  <c r="H33" i="36"/>
  <c r="I33" i="36" s="1"/>
  <c r="K33" i="36" s="1"/>
  <c r="H11" i="36"/>
  <c r="I11" i="36" s="1"/>
  <c r="D11" i="14"/>
  <c r="G11" i="14" s="1"/>
  <c r="U11" i="32"/>
  <c r="C11" i="13"/>
  <c r="E11" i="13" s="1"/>
  <c r="E13" i="14"/>
  <c r="C12" i="14"/>
  <c r="F12" i="14"/>
  <c r="AS35" i="37" l="1"/>
  <c r="AS56" i="37"/>
  <c r="J60" i="11"/>
  <c r="D44" i="32"/>
  <c r="F29" i="9"/>
  <c r="H34" i="36"/>
  <c r="I34" i="36" s="1"/>
  <c r="H12" i="36"/>
  <c r="I12" i="36" s="1"/>
  <c r="E14" i="14"/>
  <c r="C13" i="14"/>
  <c r="F13" i="14"/>
  <c r="K11" i="36"/>
  <c r="G11" i="11"/>
  <c r="H11" i="11" s="1"/>
  <c r="D12" i="14"/>
  <c r="G12" i="14" s="1"/>
  <c r="U48" i="32"/>
  <c r="U15" i="32"/>
  <c r="U14" i="32"/>
  <c r="U46" i="32"/>
  <c r="U12" i="32"/>
  <c r="U13" i="32"/>
  <c r="U45" i="32"/>
  <c r="U47" i="32"/>
  <c r="C15" i="13"/>
  <c r="E15" i="13" s="1"/>
  <c r="C14" i="13"/>
  <c r="E14" i="13" s="1"/>
  <c r="C12" i="13"/>
  <c r="E12" i="13" s="1"/>
  <c r="C13" i="13"/>
  <c r="E13" i="13" s="1"/>
  <c r="F98" i="9"/>
  <c r="O11" i="13"/>
  <c r="G11" i="13"/>
  <c r="J10" i="11"/>
  <c r="F6" i="9"/>
  <c r="F56" i="9"/>
  <c r="D10" i="32"/>
  <c r="D13" i="14" l="1"/>
  <c r="G13" i="14" s="1"/>
  <c r="U18" i="32"/>
  <c r="U16" i="32"/>
  <c r="U17" i="32"/>
  <c r="U19" i="32"/>
  <c r="C17" i="13"/>
  <c r="E17" i="13" s="1"/>
  <c r="C16" i="13"/>
  <c r="E16" i="13" s="1"/>
  <c r="C19" i="13"/>
  <c r="E19" i="13" s="1"/>
  <c r="C18" i="13"/>
  <c r="E18" i="13" s="1"/>
  <c r="G12" i="13"/>
  <c r="O12" i="13"/>
  <c r="E15" i="14"/>
  <c r="F14" i="14"/>
  <c r="C14" i="14"/>
  <c r="G12" i="11"/>
  <c r="H12" i="11" s="1"/>
  <c r="G13" i="11"/>
  <c r="H13" i="11" s="1"/>
  <c r="G14" i="11"/>
  <c r="H14" i="11" s="1"/>
  <c r="K12" i="36"/>
  <c r="G15" i="11"/>
  <c r="H15" i="11" s="1"/>
  <c r="J11" i="11"/>
  <c r="F57" i="9"/>
  <c r="D11" i="32"/>
  <c r="H13" i="36"/>
  <c r="I13" i="36" s="1"/>
  <c r="H35" i="36"/>
  <c r="I35" i="36" s="1"/>
  <c r="K35" i="36" s="1"/>
  <c r="K34" i="36"/>
  <c r="G62" i="11"/>
  <c r="H62" i="11" s="1"/>
  <c r="G61" i="11"/>
  <c r="H61" i="11" s="1"/>
  <c r="G63" i="11"/>
  <c r="H63" i="11" s="1"/>
  <c r="G64" i="11"/>
  <c r="H64" i="11" s="1"/>
  <c r="O13" i="13"/>
  <c r="G13" i="13"/>
  <c r="G15" i="13"/>
  <c r="O15" i="13"/>
  <c r="G14" i="13"/>
  <c r="O14" i="13"/>
  <c r="F10" i="9" l="1"/>
  <c r="J12" i="11"/>
  <c r="F7" i="9"/>
  <c r="F58" i="9"/>
  <c r="D12" i="32"/>
  <c r="H14" i="36"/>
  <c r="I14" i="36" s="1"/>
  <c r="H36" i="36"/>
  <c r="I36" i="36" s="1"/>
  <c r="G18" i="13"/>
  <c r="O18" i="13"/>
  <c r="G19" i="13"/>
  <c r="O19" i="13"/>
  <c r="J13" i="11"/>
  <c r="F8" i="9"/>
  <c r="D13" i="32"/>
  <c r="F59" i="9"/>
  <c r="D14" i="14"/>
  <c r="G14" i="14" s="1"/>
  <c r="U23" i="32"/>
  <c r="U21" i="32"/>
  <c r="U53" i="32"/>
  <c r="U51" i="32"/>
  <c r="U24" i="32"/>
  <c r="U20" i="32"/>
  <c r="U52" i="32"/>
  <c r="U22" i="32"/>
  <c r="U50" i="32"/>
  <c r="U49" i="32"/>
  <c r="C20" i="13"/>
  <c r="E20" i="13" s="1"/>
  <c r="C24" i="13"/>
  <c r="E24" i="13" s="1"/>
  <c r="C23" i="13"/>
  <c r="E23" i="13" s="1"/>
  <c r="C22" i="13"/>
  <c r="E22" i="13" s="1"/>
  <c r="C21" i="13"/>
  <c r="E21" i="13" s="1"/>
  <c r="E16" i="14"/>
  <c r="F15" i="14"/>
  <c r="C15" i="14"/>
  <c r="G16" i="13"/>
  <c r="O16" i="13"/>
  <c r="J62" i="11"/>
  <c r="F100" i="9"/>
  <c r="F31" i="9"/>
  <c r="D46" i="32"/>
  <c r="G17" i="13"/>
  <c r="O17" i="13"/>
  <c r="J63" i="11"/>
  <c r="F32" i="9"/>
  <c r="D47" i="32"/>
  <c r="J64" i="11"/>
  <c r="F102" i="9"/>
  <c r="D48" i="32"/>
  <c r="F33" i="9"/>
  <c r="K13" i="36"/>
  <c r="G16" i="11"/>
  <c r="H16" i="11" s="1"/>
  <c r="G17" i="11"/>
  <c r="H17" i="11" s="1"/>
  <c r="G18" i="11"/>
  <c r="H18" i="11" s="1"/>
  <c r="G19" i="11"/>
  <c r="H19" i="11" s="1"/>
  <c r="J15" i="11"/>
  <c r="D15" i="32"/>
  <c r="F61" i="9"/>
  <c r="F101" i="9"/>
  <c r="J61" i="11"/>
  <c r="F30" i="9"/>
  <c r="F99" i="9"/>
  <c r="D45" i="32"/>
  <c r="J14" i="11"/>
  <c r="F9" i="9"/>
  <c r="F60" i="9"/>
  <c r="D14" i="32"/>
  <c r="F65" i="9" l="1"/>
  <c r="F62" i="9"/>
  <c r="E17" i="14"/>
  <c r="C16" i="14"/>
  <c r="F16" i="14"/>
  <c r="G24" i="13"/>
  <c r="O24" i="13"/>
  <c r="G22" i="13"/>
  <c r="O22" i="13"/>
  <c r="G66" i="11"/>
  <c r="H66" i="11" s="1"/>
  <c r="K36" i="36"/>
  <c r="G65" i="11"/>
  <c r="H65" i="11" s="1"/>
  <c r="G67" i="11"/>
  <c r="H67" i="11" s="1"/>
  <c r="G68" i="11"/>
  <c r="H68" i="11" s="1"/>
  <c r="G69" i="11"/>
  <c r="H69" i="11" s="1"/>
  <c r="G20" i="11"/>
  <c r="H20" i="11" s="1"/>
  <c r="G21" i="11"/>
  <c r="H21" i="11" s="1"/>
  <c r="G22" i="11"/>
  <c r="H22" i="11" s="1"/>
  <c r="G23" i="11"/>
  <c r="H23" i="11" s="1"/>
  <c r="G24" i="11"/>
  <c r="H24" i="11" s="1"/>
  <c r="K14" i="36"/>
  <c r="G23" i="13"/>
  <c r="O23" i="13"/>
  <c r="J18" i="11"/>
  <c r="D18" i="32"/>
  <c r="F64" i="9"/>
  <c r="H15" i="36"/>
  <c r="I15" i="36" s="1"/>
  <c r="H37" i="36"/>
  <c r="I37" i="36" s="1"/>
  <c r="K37" i="36" s="1"/>
  <c r="J19" i="11"/>
  <c r="D19" i="32"/>
  <c r="J16" i="11"/>
  <c r="D16" i="32"/>
  <c r="G21" i="13"/>
  <c r="O21" i="13"/>
  <c r="G20" i="13"/>
  <c r="O20" i="13"/>
  <c r="J17" i="11"/>
  <c r="D17" i="32"/>
  <c r="F63" i="9"/>
  <c r="D15" i="14"/>
  <c r="G15" i="14" s="1"/>
  <c r="U25" i="32"/>
  <c r="U29" i="32"/>
  <c r="U28" i="32"/>
  <c r="U27" i="32"/>
  <c r="U26" i="32"/>
  <c r="C25" i="13"/>
  <c r="E25" i="13" s="1"/>
  <c r="C29" i="13"/>
  <c r="E29" i="13" s="1"/>
  <c r="C28" i="13"/>
  <c r="E28" i="13" s="1"/>
  <c r="C27" i="13"/>
  <c r="E27" i="13" s="1"/>
  <c r="C26" i="13"/>
  <c r="E26" i="13" s="1"/>
  <c r="J22" i="11" l="1"/>
  <c r="D22" i="32"/>
  <c r="F13" i="9"/>
  <c r="F68" i="9"/>
  <c r="G27" i="13"/>
  <c r="O27" i="13"/>
  <c r="G28" i="13"/>
  <c r="O28" i="13"/>
  <c r="G29" i="13"/>
  <c r="O29" i="13"/>
  <c r="J68" i="11"/>
  <c r="F106" i="9"/>
  <c r="F37" i="9"/>
  <c r="D52" i="32"/>
  <c r="J67" i="11"/>
  <c r="F36" i="9"/>
  <c r="F105" i="9"/>
  <c r="D51" i="32"/>
  <c r="J65" i="11"/>
  <c r="F34" i="9"/>
  <c r="F103" i="9"/>
  <c r="D49" i="32"/>
  <c r="J20" i="11"/>
  <c r="F11" i="9"/>
  <c r="D20" i="32"/>
  <c r="F66" i="9"/>
  <c r="J66" i="11"/>
  <c r="F104" i="9"/>
  <c r="F35" i="9"/>
  <c r="D50" i="32"/>
  <c r="G26" i="13"/>
  <c r="O26" i="13"/>
  <c r="J69" i="11"/>
  <c r="F107" i="9"/>
  <c r="D53" i="32"/>
  <c r="F38" i="9"/>
  <c r="K15" i="36"/>
  <c r="G28" i="11"/>
  <c r="H28" i="11" s="1"/>
  <c r="G29" i="11"/>
  <c r="H29" i="11" s="1"/>
  <c r="G25" i="11"/>
  <c r="H25" i="11" s="1"/>
  <c r="G26" i="11"/>
  <c r="H26" i="11" s="1"/>
  <c r="G27" i="11"/>
  <c r="H27" i="11" s="1"/>
  <c r="J21" i="11"/>
  <c r="F12" i="9"/>
  <c r="D21" i="32"/>
  <c r="F67" i="9"/>
  <c r="H16" i="36"/>
  <c r="I16" i="36" s="1"/>
  <c r="H38" i="36"/>
  <c r="I38" i="36" s="1"/>
  <c r="J24" i="11"/>
  <c r="F15" i="9"/>
  <c r="D24" i="32"/>
  <c r="F70" i="9"/>
  <c r="D16" i="14"/>
  <c r="G16" i="14" s="1"/>
  <c r="U30" i="32"/>
  <c r="U54" i="32"/>
  <c r="C30" i="13"/>
  <c r="E30" i="13" s="1"/>
  <c r="G25" i="13"/>
  <c r="O25" i="13"/>
  <c r="J23" i="11"/>
  <c r="F69" i="9"/>
  <c r="D23" i="32"/>
  <c r="F14" i="9"/>
  <c r="E18" i="14"/>
  <c r="F17" i="14"/>
  <c r="C17" i="14"/>
  <c r="F71" i="9" l="1"/>
  <c r="K16" i="36"/>
  <c r="G30" i="11"/>
  <c r="H30" i="11" s="1"/>
  <c r="K38" i="36"/>
  <c r="G70" i="11"/>
  <c r="H70" i="11" s="1"/>
  <c r="J27" i="11"/>
  <c r="D27" i="32"/>
  <c r="F73" i="9"/>
  <c r="J26" i="11"/>
  <c r="F72" i="9"/>
  <c r="D26" i="32"/>
  <c r="J25" i="11"/>
  <c r="D25" i="32"/>
  <c r="D28" i="32"/>
  <c r="J29" i="11"/>
  <c r="F75" i="9"/>
  <c r="D29" i="32"/>
  <c r="J28" i="11"/>
  <c r="F74" i="9"/>
  <c r="H39" i="36"/>
  <c r="I39" i="36" s="1"/>
  <c r="K39" i="36" s="1"/>
  <c r="H17" i="36"/>
  <c r="I17" i="36" s="1"/>
  <c r="E19" i="14"/>
  <c r="E20" i="14" s="1"/>
  <c r="E21" i="14" s="1"/>
  <c r="C18" i="14"/>
  <c r="F18" i="14"/>
  <c r="G30" i="13"/>
  <c r="O30" i="13"/>
  <c r="D17" i="14"/>
  <c r="G17" i="14" s="1"/>
  <c r="U31" i="32"/>
  <c r="C35" i="13"/>
  <c r="E35" i="13" s="1"/>
  <c r="F16" i="9" l="1"/>
  <c r="C21" i="14"/>
  <c r="D21" i="14" s="1"/>
  <c r="G21" i="14" s="1"/>
  <c r="F21" i="14"/>
  <c r="C20" i="14"/>
  <c r="D20" i="14" s="1"/>
  <c r="G20" i="14" s="1"/>
  <c r="F20" i="14"/>
  <c r="G35" i="13"/>
  <c r="O35" i="13"/>
  <c r="H40" i="36"/>
  <c r="I40" i="36" s="1"/>
  <c r="H18" i="36"/>
  <c r="I18" i="36" s="1"/>
  <c r="D18" i="14"/>
  <c r="G18" i="14" s="1"/>
  <c r="U57" i="32"/>
  <c r="U34" i="32"/>
  <c r="U55" i="32"/>
  <c r="U56" i="32"/>
  <c r="U33" i="32"/>
  <c r="U32" i="32"/>
  <c r="C40" i="13"/>
  <c r="E40" i="13" s="1"/>
  <c r="C42" i="13"/>
  <c r="E42" i="13" s="1"/>
  <c r="C41" i="13"/>
  <c r="E41" i="13" s="1"/>
  <c r="C19" i="14"/>
  <c r="F19" i="14"/>
  <c r="J70" i="11"/>
  <c r="D54" i="32"/>
  <c r="F39" i="9"/>
  <c r="F108" i="9"/>
  <c r="K17" i="36"/>
  <c r="G35" i="11"/>
  <c r="H35" i="11" s="1"/>
  <c r="J30" i="11"/>
  <c r="D30" i="32"/>
  <c r="F76" i="9"/>
  <c r="C47" i="13" l="1"/>
  <c r="E47" i="13" s="1"/>
  <c r="C46" i="13"/>
  <c r="E46" i="13" s="1"/>
  <c r="C22" i="14"/>
  <c r="F22" i="14"/>
  <c r="G40" i="13"/>
  <c r="O40" i="13"/>
  <c r="D19" i="14"/>
  <c r="G19" i="14" s="1"/>
  <c r="U35" i="32"/>
  <c r="U36" i="32"/>
  <c r="U37" i="32"/>
  <c r="C43" i="13"/>
  <c r="E43" i="13" s="1"/>
  <c r="C45" i="13"/>
  <c r="E45" i="13" s="1"/>
  <c r="C44" i="13"/>
  <c r="E44" i="13" s="1"/>
  <c r="G41" i="13"/>
  <c r="O41" i="13"/>
  <c r="J35" i="11"/>
  <c r="F77" i="9"/>
  <c r="K18" i="36"/>
  <c r="G41" i="11"/>
  <c r="H41" i="11" s="1"/>
  <c r="G42" i="11"/>
  <c r="H42" i="11" s="1"/>
  <c r="G40" i="11"/>
  <c r="H40" i="11" s="1"/>
  <c r="K40" i="36"/>
  <c r="G75" i="11"/>
  <c r="H75" i="11" s="1"/>
  <c r="G77" i="11"/>
  <c r="H77" i="11" s="1"/>
  <c r="G76" i="11"/>
  <c r="H76" i="11" s="1"/>
  <c r="D31" i="32"/>
  <c r="G42" i="13"/>
  <c r="O42" i="13"/>
  <c r="H21" i="36"/>
  <c r="I21" i="36" s="1"/>
  <c r="K21" i="36" s="1"/>
  <c r="H20" i="36"/>
  <c r="I20" i="36" s="1"/>
  <c r="K20" i="36" s="1"/>
  <c r="H19" i="36"/>
  <c r="I19" i="36" s="1"/>
  <c r="H41" i="36"/>
  <c r="I41" i="36" s="1"/>
  <c r="K41" i="36" s="1"/>
  <c r="O46" i="13" l="1"/>
  <c r="G46" i="13"/>
  <c r="O47" i="13"/>
  <c r="G47" i="13"/>
  <c r="G43" i="11"/>
  <c r="H43" i="11" s="1"/>
  <c r="G44" i="11"/>
  <c r="H44" i="11" s="1"/>
  <c r="K19" i="36"/>
  <c r="G45" i="11"/>
  <c r="H45" i="11" s="1"/>
  <c r="J76" i="11"/>
  <c r="F110" i="9"/>
  <c r="D56" i="32"/>
  <c r="F41" i="9"/>
  <c r="O44" i="13"/>
  <c r="G44" i="13"/>
  <c r="J77" i="11"/>
  <c r="F111" i="9"/>
  <c r="F42" i="9"/>
  <c r="D57" i="32"/>
  <c r="J75" i="11"/>
  <c r="F40" i="9"/>
  <c r="F109" i="9"/>
  <c r="D55" i="32"/>
  <c r="G43" i="13"/>
  <c r="O43" i="13"/>
  <c r="J40" i="11"/>
  <c r="D32" i="32"/>
  <c r="F17" i="9"/>
  <c r="F78" i="9"/>
  <c r="H44" i="36"/>
  <c r="I44" i="36" s="1"/>
  <c r="H22" i="36"/>
  <c r="I22" i="36" s="1"/>
  <c r="O45" i="13"/>
  <c r="G45" i="13"/>
  <c r="J42" i="11"/>
  <c r="F19" i="9"/>
  <c r="D34" i="32"/>
  <c r="F80" i="9"/>
  <c r="D22" i="14"/>
  <c r="G22" i="14" s="1"/>
  <c r="U58" i="32"/>
  <c r="U38" i="32"/>
  <c r="C56" i="13"/>
  <c r="E56" i="13" s="1"/>
  <c r="J41" i="11"/>
  <c r="F79" i="9"/>
  <c r="D33" i="32"/>
  <c r="F18" i="9"/>
  <c r="F23" i="14"/>
  <c r="C23" i="14"/>
  <c r="K22" i="36" l="1"/>
  <c r="G54" i="11"/>
  <c r="H54" i="11" s="1"/>
  <c r="K44" i="36"/>
  <c r="G82" i="11"/>
  <c r="H82" i="11" s="1"/>
  <c r="G56" i="13"/>
  <c r="O56" i="13"/>
  <c r="J45" i="11"/>
  <c r="D37" i="32"/>
  <c r="F83" i="9"/>
  <c r="D23" i="14"/>
  <c r="G23" i="14" s="1"/>
  <c r="U39" i="32"/>
  <c r="C57" i="13"/>
  <c r="E57" i="13" s="1"/>
  <c r="H23" i="36"/>
  <c r="I23" i="36" s="1"/>
  <c r="H45" i="36"/>
  <c r="I45" i="36" s="1"/>
  <c r="K45" i="36" s="1"/>
  <c r="J44" i="11"/>
  <c r="D36" i="32"/>
  <c r="F82" i="9"/>
  <c r="J43" i="11"/>
  <c r="F81" i="9"/>
  <c r="D35" i="32"/>
  <c r="G57" i="13" l="1"/>
  <c r="O57" i="13"/>
  <c r="J82" i="11"/>
  <c r="D58" i="32"/>
  <c r="F47" i="9"/>
  <c r="F116" i="9"/>
  <c r="J54" i="11"/>
  <c r="F24" i="9"/>
  <c r="D38" i="32"/>
  <c r="F92" i="9"/>
  <c r="K23" i="36"/>
  <c r="G55" i="11"/>
  <c r="H55" i="11" s="1"/>
  <c r="J55" i="11" l="1"/>
  <c r="F93" i="9"/>
  <c r="D39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tc={15E51B03-5627-4D35-8093-BE59EFA2D09A}</author>
    <author>tc={96837521-0505-42A2-B219-8A2F66E4A91C}</author>
  </authors>
  <commentList>
    <comment ref="I1" authorId="0" shapeId="0" xr:uid="{15E51B03-5627-4D35-8093-BE59EFA2D09A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per standard:
- CDISC SDTM CT: one concept links to a single concept set, so can be filled in here</t>
      </text>
    </comment>
    <comment ref="J1" authorId="1" shapeId="0" xr:uid="{96837521-0505-42A2-B219-8A2F66E4A91C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per standard:
- CDISC SDTM CT: one concept links to a single concept set, so can be filled in here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<sst xmlns="http://schemas.openxmlformats.org/spreadsheetml/2006/main" count="3716" uniqueCount="1262">
  <si>
    <t>id</t>
  </si>
  <si>
    <t>user_id</t>
  </si>
  <si>
    <t>data_collection_id</t>
  </si>
  <si>
    <t>is_active</t>
  </si>
  <si>
    <t>add_case</t>
  </si>
  <si>
    <t>remove_case</t>
  </si>
  <si>
    <t>add_case_set</t>
  </si>
  <si>
    <t>remove_case_set</t>
  </si>
  <si>
    <t>read_case_set</t>
  </si>
  <si>
    <t>write_case_set</t>
  </si>
  <si>
    <t>0195d18c-1c98-7e0b-0c91-8cafbdb2c852</t>
  </si>
  <si>
    <t>0195d18c-1ca2-a23d-1f64-00271f63199c</t>
  </si>
  <si>
    <t>0195d18c-1c98-5a1e-55b9-67b877813693</t>
  </si>
  <si>
    <t>0195d18c-1c99-03eb-f1b4-a88daae1b74c</t>
  </si>
  <si>
    <t>0195d18c-1c99-a68b-99dd-a489908e8df1</t>
  </si>
  <si>
    <t>0195d18c-1ca3-f309-f6f1-e4807afe3802</t>
  </si>
  <si>
    <t>0195d18c-1c9a-1178-0519-9124131763a6</t>
  </si>
  <si>
    <t>0195d18c-1ca2-2a29-96a5-37c6bf87f586</t>
  </si>
  <si>
    <t>0195d18c-1c9a-e7d5-d74d-3e46588ad70a</t>
  </si>
  <si>
    <t>0195d18c-1c9b-6b24-482a-6ea161cbf213</t>
  </si>
  <si>
    <t>0195d18c-1c9b-f6fe-b91a-81092b467988</t>
  </si>
  <si>
    <t>0195d18c-1ca3-db40-a2a8-6dc905d6c1e9</t>
  </si>
  <si>
    <t>0195d18c-1c9c-0d8f-435a-5ca8b45939b8</t>
  </si>
  <si>
    <t>0195d18c-1ca2-3a4f-1878-fbe3282c9c76</t>
  </si>
  <si>
    <t>0195d18c-1c9c-c598-48d1-9910b6135e10</t>
  </si>
  <si>
    <t>0195d18c-1c9d-b786-58e2-68511183edc1</t>
  </si>
  <si>
    <t>0195d18c-1c9d-374c-cb5e-65d6cf513e00</t>
  </si>
  <si>
    <t>0195d18c-1ca3-da0a-44bb-877b3a1eb73e</t>
  </si>
  <si>
    <t>0195d18c-1c9e-1c4a-1311-4f22f0d59f61</t>
  </si>
  <si>
    <t>0195d18c-1ca2-e55a-608d-a42fc6f948e1</t>
  </si>
  <si>
    <t>0195d18c-1c9e-b09c-6417-9e2d151ffd40</t>
  </si>
  <si>
    <t>0195d18c-1c9f-77bc-3133-1f617f479bce</t>
  </si>
  <si>
    <t>0195d18c-1c9f-739f-da8a-894be78086da</t>
  </si>
  <si>
    <t>0195d18c-1ca3-4d34-d0e9-8f024ad8651a</t>
  </si>
  <si>
    <t>0195d18c-1ca0-e0db-7a87-6237ad6380c8</t>
  </si>
  <si>
    <t>0195d18c-1ca2-b728-a2a1-d2a4cf7b8eb8</t>
  </si>
  <si>
    <t>0195d18c-1ca0-fb86-8413-fd6a2365e35d</t>
  </si>
  <si>
    <t>0195d18c-1ca1-de82-c785-6f03f8013d69</t>
  </si>
  <si>
    <t>0195d18c-1ca1-d3df-24f3-7aac91cc3f3a</t>
  </si>
  <si>
    <t>0195d18c-1ca3-11a2-bf20-8eaaa09cc070</t>
  </si>
  <si>
    <t>0195d18c-1ca4-e691-7ebd-8ecb1a16a2ed</t>
  </si>
  <si>
    <t>organization_id</t>
  </si>
  <si>
    <t>0195d18c-1c94-41b6-e8f3-0f0c398955cd</t>
  </si>
  <si>
    <t>018d074d-ea0c-e942-07db-a3cc0ba1d653</t>
  </si>
  <si>
    <t>0195d18c-1c93-1f4b-8c40-19223d6c7a8c</t>
  </si>
  <si>
    <t>0195d18c-1c95-decc-cac0-6dcf11e700b2</t>
  </si>
  <si>
    <t>0195d18c-1c92-0ed4-2e94-b4f66d82baf3</t>
  </si>
  <si>
    <t>0195d18c-1c95-2343-576e-0c14e0a4505d</t>
  </si>
  <si>
    <t>0195d18c-1c96-5f7f-1e03-41e6478e8a85</t>
  </si>
  <si>
    <t>0195d18c-1c92-52b3-93e0-43dc1f2aa037</t>
  </si>
  <si>
    <t>0195d18c-1c96-59a8-d2a6-70a3b13175a1</t>
  </si>
  <si>
    <t>0195d18c-1c97-7de8-a991-dfab21b4343d</t>
  </si>
  <si>
    <t>0195d18c-1c92-d419-4c71-a570f428499b</t>
  </si>
  <si>
    <t>0195d18c-1c96-08ed-1241-eaf327bd1ffc</t>
  </si>
  <si>
    <t>0195d18c-1c97-accb-a8a4-395f09f0f1e0</t>
  </si>
  <si>
    <t>0195d18c-1c93-02a2-6920-7e4dbfb73ce0</t>
  </si>
  <si>
    <t>0195d18c-1c97-faac-82eb-3e357979b402</t>
  </si>
  <si>
    <t>name</t>
  </si>
  <si>
    <t>case_type_set_id</t>
  </si>
  <si>
    <t>case_type_set</t>
  </si>
  <si>
    <t>case_type_col_set_id</t>
  </si>
  <si>
    <t>case_type_col_set</t>
  </si>
  <si>
    <t>0195d18c-1cdf-6158-5ed2-075f8c7ad4fc</t>
  </si>
  <si>
    <t>0195d18c-1cb8-5af5-9939-74dc8b5d3b5b</t>
  </si>
  <si>
    <t>0195d18c-1cc1-44c2-1d6e-874dad333458</t>
  </si>
  <si>
    <t>0195d18c-1cb9-5e89-a2b4-e8204c332fd3</t>
  </si>
  <si>
    <t>0195d18c-1cb9-7277-79d2-a96535256e4a</t>
  </si>
  <si>
    <t>0195d18c-1cba-e53b-6f58-f412630c05e2</t>
  </si>
  <si>
    <t>0195d18c-1cba-2679-11a9-d71fc494b25a</t>
  </si>
  <si>
    <t>0195d18c-1ce3-c731-9f95-f1ff6689aab9</t>
  </si>
  <si>
    <t>0195d18c-1ce6-ba29-1d65-28b4d3e453f7</t>
  </si>
  <si>
    <t>0195d18c-1ce9-b0b4-8e5e-5d2f25c52da4</t>
  </si>
  <si>
    <t>0195d18c-1ced-a715-7a51-ea03832ac640</t>
  </si>
  <si>
    <t>0195d18c-1ced-f946-0c8c-56c2360c50f7</t>
  </si>
  <si>
    <t>0195d18c-1cf1-d144-29e7-40b2288888e2</t>
  </si>
  <si>
    <t>0195d18c-1cf5-2472-742a-952cbb347bc8</t>
  </si>
  <si>
    <t>0195d18c-1cf9-c2dd-4a08-8a7a4b059ca8</t>
  </si>
  <si>
    <t>0195d18c-1cfd-0ac0-0caf-2a9c3dc036f2</t>
  </si>
  <si>
    <t>description</t>
  </si>
  <si>
    <t>case_type_set_category_id</t>
  </si>
  <si>
    <t>case_type_set_category</t>
  </si>
  <si>
    <t>rank</t>
  </si>
  <si>
    <t>case_type_set1</t>
  </si>
  <si>
    <t>0195d18c-1cb8-a47f-3df5-ebefd976f759</t>
  </si>
  <si>
    <t>case_type_set2</t>
  </si>
  <si>
    <t>case_type_set3</t>
  </si>
  <si>
    <t>case_type_set4</t>
  </si>
  <si>
    <t>case_type_set5</t>
  </si>
  <si>
    <t>0195d18c-1cbb-d7b8-d852-987a801e0ad5</t>
  </si>
  <si>
    <t>case_type_set1,2</t>
  </si>
  <si>
    <t>0195d18c-1cbb-5047-ab67-71cb2cb84047</t>
  </si>
  <si>
    <t>case_type_set1,3</t>
  </si>
  <si>
    <t>0195d18c-1cbc-41fb-3ad7-2eed31140bd6</t>
  </si>
  <si>
    <t>case_type_set1,4</t>
  </si>
  <si>
    <t>0195d18c-1cbc-cf9a-b28d-bd77d3b30365</t>
  </si>
  <si>
    <t>case_type_set1,5</t>
  </si>
  <si>
    <t>0195d18c-1cbd-f948-2304-f178298dbc48</t>
  </si>
  <si>
    <t>case_type_set2,3</t>
  </si>
  <si>
    <t>0195d18c-1cbe-394f-58eb-6d327092ba44</t>
  </si>
  <si>
    <t>case_type_set2,4</t>
  </si>
  <si>
    <t>0195d18c-1cbe-fcd0-15db-737a74dff6fa</t>
  </si>
  <si>
    <t>case_type_set2,5</t>
  </si>
  <si>
    <t>0195d18c-1cbf-2a22-b845-fb9a44b67a96</t>
  </si>
  <si>
    <t>case_type_set3,4</t>
  </si>
  <si>
    <t>0195d18c-1cc0-9f98-c18d-367b41358c49</t>
  </si>
  <si>
    <t>case_type_set3,5</t>
  </si>
  <si>
    <t>0195d18c-1cc0-1fae-3a05-50f42b0128fc</t>
  </si>
  <si>
    <t>case_type_set4,5</t>
  </si>
  <si>
    <t>purpose</t>
  </si>
  <si>
    <t>case_type_set_category1</t>
  </si>
  <si>
    <t>CONTENT</t>
  </si>
  <si>
    <t>disease_id</t>
  </si>
  <si>
    <t>disease</t>
  </si>
  <si>
    <t>etiological_agent_id</t>
  </si>
  <si>
    <t>etiological_agent</t>
  </si>
  <si>
    <t>0195d18c-1ca6-fd99-9d76-fcfa0c0cf400</t>
  </si>
  <si>
    <t>0195d18c-1ca4-6d4f-99b8-10458cd57f32</t>
  </si>
  <si>
    <t>0195d18c-1ca4-82bc-c40f-054b28401ddd</t>
  </si>
  <si>
    <t>0195d18c-1ca6-752a-ec56-ed1b3d0cb095</t>
  </si>
  <si>
    <t>0195d18c-1ca4-2098-2e1c-1f2c2d58cd41</t>
  </si>
  <si>
    <t>0195d18c-1ca4-d963-1fbd-e9bf6dbb100c</t>
  </si>
  <si>
    <t>0195d18c-1ca6-0243-1762-326add8a5d71</t>
  </si>
  <si>
    <t>0195d18c-1ca4-9f3c-a017-a8f11202fb1c</t>
  </si>
  <si>
    <t>0195d18c-1ca5-5802-0739-33f87df230d4</t>
  </si>
  <si>
    <t>0195d18c-1ca7-7209-a21c-556dc4fd3057</t>
  </si>
  <si>
    <t>0195d18c-1ca4-86bf-f4e7-8c2a92ff370d</t>
  </si>
  <si>
    <t>0195d18c-1ca5-6d25-b2ad-a663425c8c15</t>
  </si>
  <si>
    <t>0195d18c-1ca7-ae33-0f89-bd1fd65da091</t>
  </si>
  <si>
    <t>0195d18c-1ca4-6a53-af25-e4cd2ea0545a</t>
  </si>
  <si>
    <t>0195d18c-1ca5-49ab-b2c2-6e8556234b5c</t>
  </si>
  <si>
    <t>case_type_col_id</t>
  </si>
  <si>
    <t>case_type_col</t>
  </si>
  <si>
    <t>0195d18c-1cc1-c475-eba4-c3df5aea8858</t>
  </si>
  <si>
    <t>case_type_id</t>
  </si>
  <si>
    <t>case_type</t>
  </si>
  <si>
    <t>col_id</t>
  </si>
  <si>
    <t>occurrence</t>
  </si>
  <si>
    <t>code</t>
  </si>
  <si>
    <t>label</t>
  </si>
  <si>
    <t>min_value</t>
  </si>
  <si>
    <t>max_value</t>
  </si>
  <si>
    <t>min_datetime</t>
  </si>
  <si>
    <t>max_datetime</t>
  </si>
  <si>
    <t>min_length</t>
  </si>
  <si>
    <t>max_length</t>
  </si>
  <si>
    <t>pattern</t>
  </si>
  <si>
    <t>genetic_sequence_case_type_col_id</t>
  </si>
  <si>
    <t>tree_algorithm_codes</t>
  </si>
  <si>
    <t>props</t>
  </si>
  <si>
    <t>{}</t>
  </si>
  <si>
    <t>0195d18c-1cb8-ac82-67f2-bc32a6368340</t>
  </si>
  <si>
    <t>0195d18c-1cb9-04cf-ee83-d2e14f70e6f7</t>
  </si>
  <si>
    <t>0195d18c-1cb9-0db7-dd63-2f5c66ce2096</t>
  </si>
  <si>
    <t>0195d18c-1cba-d75a-4f52-be8189bfd480</t>
  </si>
  <si>
    <t>0195d18c-1cba-880a-4d3d-9231b03e604d</t>
  </si>
  <si>
    <t>0195d18c-1cbb-4d56-8309-26658e320187</t>
  </si>
  <si>
    <t>0195d18c-1cbb-e8cf-b7a9-624604063760</t>
  </si>
  <si>
    <t>0195d18c-1cbc-34b5-25b1-15430bfc43cb</t>
  </si>
  <si>
    <t>0195d18c-1cbc-42ec-af5d-d0c541b3c295</t>
  </si>
  <si>
    <t>0195d18c-1cbc-93ea-ba50-3ea9ab23cfcf</t>
  </si>
  <si>
    <t>0195d18c-1cbc-5d27-ec6f-91a2b6d7fba6</t>
  </si>
  <si>
    <t>0195d18c-1cbd-afb8-4103-44bd3d6db520</t>
  </si>
  <si>
    <t>0195d18c-1cbd-598d-2fbc-ab1a86b38c7b</t>
  </si>
  <si>
    <t>0195d18c-1cbd-64ee-0053-12e519dbaea2</t>
  </si>
  <si>
    <t>0195d18c-1cbd-e5e4-5e2c-49dcc5a54ec2</t>
  </si>
  <si>
    <t>0195d18c-1cbe-25ec-3c13-b743a72fe44e</t>
  </si>
  <si>
    <t>0195d18c-1cbe-ccf9-b1b3-31b52fe304c2</t>
  </si>
  <si>
    <t>0195d18c-1cbf-6781-d8e6-4821a8cca56f</t>
  </si>
  <si>
    <t>0195d18c-1cbf-2af9-365a-9fcfc6325153</t>
  </si>
  <si>
    <t>0195d18c-1cbf-cab5-f26b-de1986258d80</t>
  </si>
  <si>
    <t>0195d18c-1cbf-3ae8-57bc-297cbb3e0b04</t>
  </si>
  <si>
    <t>0195d18c-1cc0-5142-d6dc-6a0d5b641c6b</t>
  </si>
  <si>
    <t>0195d18c-1cc0-212b-34ce-e734d4976333</t>
  </si>
  <si>
    <t>0195d18c-1cc0-6108-5b6c-a68da2f4a40c</t>
  </si>
  <si>
    <t>0195d18c-1cc0-3596-3a3f-e4a37028e9f8</t>
  </si>
  <si>
    <t>dim_id</t>
  </si>
  <si>
    <t>code_suffix</t>
  </si>
  <si>
    <t>col_type</t>
  </si>
  <si>
    <t>concept_set_id</t>
  </si>
  <si>
    <t>region_set_id</t>
  </si>
  <si>
    <t>genetic_distance_protocol_id</t>
  </si>
  <si>
    <t>dim_type</t>
  </si>
  <si>
    <t>col_code_prefix</t>
  </si>
  <si>
    <t>email</t>
  </si>
  <si>
    <t>roles</t>
  </si>
  <si>
    <t>0195d18c-1c92-110e-81c1-75ba0fec4494</t>
  </si>
  <si>
    <t>0195d18c-1c93-bcbb-eea8-94332d77b172</t>
  </si>
  <si>
    <t>data_collection1</t>
  </si>
  <si>
    <t>data_collection2</t>
  </si>
  <si>
    <t>data_collection3</t>
  </si>
  <si>
    <t>data_collection4</t>
  </si>
  <si>
    <t>data_collection5</t>
  </si>
  <si>
    <t>data_collection6</t>
  </si>
  <si>
    <t>data_collection7</t>
  </si>
  <si>
    <t>data_collection8</t>
  </si>
  <si>
    <t>data_collection9</t>
  </si>
  <si>
    <t>data_collection10</t>
  </si>
  <si>
    <t>data_collection11</t>
  </si>
  <si>
    <t>legal_entity_code</t>
  </si>
  <si>
    <t>legal_region_id</t>
  </si>
  <si>
    <t>legal_region</t>
  </si>
  <si>
    <t>org1</t>
  </si>
  <si>
    <t>org2</t>
  </si>
  <si>
    <t>org3</t>
  </si>
  <si>
    <t>org4</t>
  </si>
  <si>
    <t>org5</t>
  </si>
  <si>
    <t>from_data_collection_id</t>
  </si>
  <si>
    <t>token</t>
  </si>
  <si>
    <t>expires_at</t>
  </si>
  <si>
    <t>invited_by_user_id</t>
  </si>
  <si>
    <t>0195d18c-1c91-417d-6686-2f6cb5ff95b9</t>
  </si>
  <si>
    <t>26dcbff8-2925-4078-90ad-bbe74165f6b3</t>
  </si>
  <si>
    <t>0195d18c-1c93-6939-20ec-9c4c00d851c1</t>
  </si>
  <si>
    <t>10ad47a6-0901-408c-bfc0-a05a4e83af4e</t>
  </si>
  <si>
    <t>0195d18c-1c93-ec90-9271-1015b282d4b3</t>
  </si>
  <si>
    <t>6f8d5681-2c6c-44ae-9522-178a45deaf16</t>
  </si>
  <si>
    <t>0195d18c-1c95-0879-fcf0-17e1131cc29b</t>
  </si>
  <si>
    <t>839e81a3-3184-4c47-bf1c-7f1f964fe280</t>
  </si>
  <si>
    <t>0195d18c-1c95-a854-581f-4e9ae9d85b92</t>
  </si>
  <si>
    <t>1ad1489c-d661-475a-958d-c6684f5dd5d2</t>
  </si>
  <si>
    <t>0195d18c-1c96-ec9c-d51d-0eec040d7ffd</t>
  </si>
  <si>
    <t>ac3ef8cf-b738-458a-9250-e68a9452546b</t>
  </si>
  <si>
    <t>0195d18c-1c97-bf94-f109-505bfb986995</t>
  </si>
  <si>
    <t>2a653a89-2320-41a9-8163-356114c3ba28</t>
  </si>
  <si>
    <t>0195d18c-1c98-4085-5812-4a69516f59ae</t>
  </si>
  <si>
    <t>feb33345-6e94-4f64-807e-c8f4a6e9e232</t>
  </si>
  <si>
    <t>0195d18c-1c98-91f0-72bb-c9c9bbd287c5</t>
  </si>
  <si>
    <t>e2049ab9-9249-4847-852a-6b43b8d12ff8</t>
  </si>
  <si>
    <t>0195d18c-1c98-90fe-f86a-b3ff952dc368</t>
  </si>
  <si>
    <t>973418bc-df76-4c74-bf1f-8919b9295848</t>
  </si>
  <si>
    <t>0195d18c-1c99-b943-3900-1de44aa64da4</t>
  </si>
  <si>
    <t>b9782553-9cf2-4fa6-9ad4-aae54307d988</t>
  </si>
  <si>
    <t>0195d18c-1c99-ee95-2cb4-c932da0954b7</t>
  </si>
  <si>
    <t>a3c4d7fd-06b7-43b7-bdfa-0cb99f4d15db</t>
  </si>
  <si>
    <t>0195d18c-1c9a-db6b-ccff-e01ab117ef32</t>
  </si>
  <si>
    <t>3229f88a-c1c0-40ae-b6ad-f164bd928e67</t>
  </si>
  <si>
    <t>0195d18c-1c9a-f99a-e588-b6cb70db069a</t>
  </si>
  <si>
    <t>f0bd0f86-4aee-4057-bf0d-5969f86e480e</t>
  </si>
  <si>
    <t>0195d18c-1c9b-78d2-856a-1a3b3cb5bea2</t>
  </si>
  <si>
    <t>ee401265-06e0-4a12-b272-06f1988ef4b5</t>
  </si>
  <si>
    <t>0195d18c-1c9b-157c-f366-9923d442a6ab</t>
  </si>
  <si>
    <t>5732cea8-00ae-436e-94eb-15c9d5aa47be</t>
  </si>
  <si>
    <t>0195d18c-1c9c-d7c6-00ad-dbf966ceaac2</t>
  </si>
  <si>
    <t>e43b6ffb-9b22-47fa-91ca-b3b232f7ad28</t>
  </si>
  <si>
    <t>0195d18c-1c9c-7fa3-43a4-75b222e2bc20</t>
  </si>
  <si>
    <t>cd5b7c70-3e5d-468b-ad18-19d2a1482ce2</t>
  </si>
  <si>
    <t>0195d18c-1c9d-3e2a-8358-366fb95eb9a0</t>
  </si>
  <si>
    <t>e0dc1519-677b-4681-9766-3d4f909dcfbc</t>
  </si>
  <si>
    <t>0195d18c-1c9d-7d1c-d77d-d076c76e7998</t>
  </si>
  <si>
    <t>f278b4cd-0513-4dbb-a571-9883e703b80d</t>
  </si>
  <si>
    <t>0195d18c-1c9e-55c3-6408-f1176459edb3</t>
  </si>
  <si>
    <t>a1bf52b2-b12c-45c6-b58e-e58271bfd24b</t>
  </si>
  <si>
    <t>0195d18c-1c9e-09b8-0094-fcf63b79a6c3</t>
  </si>
  <si>
    <t>c38d5a1c-227c-4755-a3f4-413519b937d9</t>
  </si>
  <si>
    <t>0195d18c-1c9f-a109-2f70-1ff96bb5e283</t>
  </si>
  <si>
    <t>72b5987e-9e4a-404f-ac71-e085eefa9cf7</t>
  </si>
  <si>
    <t>0195d18c-1c9f-539f-5eb1-43c191928bd6</t>
  </si>
  <si>
    <t>cf162636-d178-4dc1-8d72-6e926e255d4a</t>
  </si>
  <si>
    <t>0195d18c-1ca0-12ce-734f-6813c24f7038</t>
  </si>
  <si>
    <t>d8af1d4c-c8cb-453b-91fa-6aa256a7ed2f</t>
  </si>
  <si>
    <t>0195d18c-1ca0-4613-82fb-140f61d30bfb</t>
  </si>
  <si>
    <t>0f31882e-d59c-4c3f-83fd-87fc50c04266</t>
  </si>
  <si>
    <t>0195d18c-1ca1-507d-514e-7f6784ab639e</t>
  </si>
  <si>
    <t>2ee7a962-2bc6-4e19-adad-f0c7597a075b</t>
  </si>
  <si>
    <t>TEXT</t>
  </si>
  <si>
    <t>dm.user</t>
  </si>
  <si>
    <t>dm.organization</t>
  </si>
  <si>
    <t>is_private</t>
  </si>
  <si>
    <t>read_case_type_col_set_id</t>
  </si>
  <si>
    <t>write_case_type_col_set_id</t>
  </si>
  <si>
    <t>dm.name</t>
  </si>
  <si>
    <t>dm.name2</t>
  </si>
  <si>
    <t>01969553-af44-94a2-10d3-c0bc81f7e029</t>
  </si>
  <si>
    <t>dm.invited_by_user</t>
  </si>
  <si>
    <t>index</t>
  </si>
  <si>
    <t>user.id</t>
  </si>
  <si>
    <t>is_allowed</t>
  </si>
  <si>
    <t>dm.key</t>
  </si>
  <si>
    <t>dm.is_ge_app_admin</t>
  </si>
  <si>
    <t>icd_code</t>
  </si>
  <si>
    <t>disease1</t>
  </si>
  <si>
    <t>disease2</t>
  </si>
  <si>
    <t>disease3</t>
  </si>
  <si>
    <t>disease4</t>
  </si>
  <si>
    <t>disease5</t>
  </si>
  <si>
    <t>type</t>
  </si>
  <si>
    <t>etiological_agent1</t>
  </si>
  <si>
    <t>etiological_agent2</t>
  </si>
  <si>
    <t>etiological_agent3</t>
  </si>
  <si>
    <t>etiological_agent4</t>
  </si>
  <si>
    <t>etiological_agent5</t>
  </si>
  <si>
    <t>ORGANISM</t>
  </si>
  <si>
    <t>user.name</t>
  </si>
  <si>
    <t>regex</t>
  </si>
  <si>
    <t>schema_definition</t>
  </si>
  <si>
    <t>schema_uri</t>
  </si>
  <si>
    <t>ORDINAL</t>
  </si>
  <si>
    <t>NOMINAL</t>
  </si>
  <si>
    <t>Age in years, intervals 0, 5, 15, 25, 45, 65</t>
  </si>
  <si>
    <t>Age in years, intervals 0, 5, 19, 65</t>
  </si>
  <si>
    <t>Age in years, intervals 0, 15, 25, 35, 45</t>
  </si>
  <si>
    <t>Age in years, intervals 0, 1, 5, 15, 20, 25, 35, 45, 55, 65</t>
  </si>
  <si>
    <t>Age in months, intervals 0, 1, 2, 3</t>
  </si>
  <si>
    <t>REGULAR_LANGUAGE</t>
  </si>
  <si>
    <t>dm.lb</t>
  </si>
  <si>
    <t>dm.ub</t>
  </si>
  <si>
    <t>Y</t>
  </si>
  <si>
    <t>0198ef6d-8543-022e-af76-07950e3be6d8</t>
  </si>
  <si>
    <t>0198ef6d-8543-1558-187c-47880d4b485e</t>
  </si>
  <si>
    <t>0198ef6d-8543-70a1-1296-358b9a16f485</t>
  </si>
  <si>
    <t>0198ef6d-8543-877c-0f63-6d7b926dfea2</t>
  </si>
  <si>
    <t>0198ef6d-8543-3c58-ac5e-cc9eb329457f</t>
  </si>
  <si>
    <t>0198ef6d-8543-98db-539f-d07c72d29ddb</t>
  </si>
  <si>
    <t>0198ef6d-8543-9cc1-eca7-e072c2b8acae</t>
  </si>
  <si>
    <t>0198ef6d-8543-8382-74c3-3094271a22fd</t>
  </si>
  <si>
    <t>0198ef6d-8543-773c-35de-7133eb350f0c</t>
  </si>
  <si>
    <t>0198ef6d-8543-1ce7-83c8-e53fe4b7fb8e</t>
  </si>
  <si>
    <t>0198ef6d-8543-626b-c05d-de74547d3621</t>
  </si>
  <si>
    <t>0198ef6d-8543-893c-c5e2-73c38bec9ac6</t>
  </si>
  <si>
    <t>0198ef6d-8543-c436-8749-ad1b2a75b4ba</t>
  </si>
  <si>
    <t>0198ef6d-8543-8304-54a7-34542a0a9c33</t>
  </si>
  <si>
    <t>0198ef6d-8543-9154-e58f-dd117f762168</t>
  </si>
  <si>
    <t>0198ef6d-8543-fa54-4ee1-8145b37ae29c</t>
  </si>
  <si>
    <t>0198ef6d-8543-9248-0edb-2477c9364381</t>
  </si>
  <si>
    <t>0198ef6d-8543-595a-1fed-0c02d313b824</t>
  </si>
  <si>
    <t>CATEGORY1</t>
  </si>
  <si>
    <t>CATEGORY2</t>
  </si>
  <si>
    <t>RANK1</t>
  </si>
  <si>
    <t>RANK2</t>
  </si>
  <si>
    <t>RANK3</t>
  </si>
  <si>
    <t>0198ef6d-8543-90a8-a647-ae05912c77ba</t>
  </si>
  <si>
    <t>0198ef6d-8543-2a99-b3be-b0d2583cb604</t>
  </si>
  <si>
    <t>0198ef6d-8543-b279-03a6-da9684b42b08</t>
  </si>
  <si>
    <t>0198ef6d-8543-d076-3da0-dd48921087f9</t>
  </si>
  <si>
    <t>0198ef6d-8543-020d-44c5-53e813a46714</t>
  </si>
  <si>
    <t>0198ef6d-8543-2a37-be54-7f7d24e1ed1d</t>
  </si>
  <si>
    <t>0198ef6d-8543-f668-cedc-b78f8e3bc412</t>
  </si>
  <si>
    <t>0198ef6d-8543-2673-a691-fe8584d0695e</t>
  </si>
  <si>
    <t>0198ef6d-8543-cb6b-0c98-c2a7e640e10d</t>
  </si>
  <si>
    <t>0198ef6d-8543-a151-ab47-0394a80e2a05</t>
  </si>
  <si>
    <t>0198ef6d-8543-6df8-9098-78280604c758</t>
  </si>
  <si>
    <t>INTERVAL</t>
  </si>
  <si>
    <t>CATEGORY1_1</t>
  </si>
  <si>
    <t>Category1_1</t>
  </si>
  <si>
    <t>Category1_2</t>
  </si>
  <si>
    <t>CATEGORY3</t>
  </si>
  <si>
    <t>Category1_3</t>
  </si>
  <si>
    <t>Category2_1</t>
  </si>
  <si>
    <t>Category2_2</t>
  </si>
  <si>
    <t>Category2_3</t>
  </si>
  <si>
    <t>Rank1_1</t>
  </si>
  <si>
    <t>Rank1_2</t>
  </si>
  <si>
    <t>Rank1_3</t>
  </si>
  <si>
    <t>Rank2_1</t>
  </si>
  <si>
    <t>Rank2_2</t>
  </si>
  <si>
    <t>Rank2_3</t>
  </si>
  <si>
    <t>0198ef6d-8543-e759-11f0-adca304123d1</t>
  </si>
  <si>
    <t>0198ef6d-8543-6ac9-4915-b0f74393baa3</t>
  </si>
  <si>
    <t>0198ef6d-8543-d8eb-6c3e-2b68e40942f8</t>
  </si>
  <si>
    <t>0198ef6d-8543-2764-1452-6fe25c191511</t>
  </si>
  <si>
    <t>0198ef6d-8543-73c8-d3af-92aa66e44b8c</t>
  </si>
  <si>
    <t>0198ef6d-8543-7395-2023-95bfee798f65</t>
  </si>
  <si>
    <t>0198ef6d-8543-ef67-b7ee-fa35926c01fd</t>
  </si>
  <si>
    <t>0198ef6d-8543-1842-1575-0be542168d82</t>
  </si>
  <si>
    <t>0198ef6d-8543-db07-f368-c8dd91590021</t>
  </si>
  <si>
    <t>0198ef6d-8543-403c-ce3e-33a4efc54a25</t>
  </si>
  <si>
    <t>0198ef6d-8543-9d0a-baf1-e5c51942de4e</t>
  </si>
  <si>
    <t>0198ef6d-8543-d03b-b9f4-f460fae89f04</t>
  </si>
  <si>
    <t>0198ef6d-8543-e70f-7b7c-8e2af8fe9e2d</t>
  </si>
  <si>
    <t>region_code_as_label</t>
  </si>
  <si>
    <t>Postal codes - Level 4</t>
  </si>
  <si>
    <t>Postal codes - Level 3</t>
  </si>
  <si>
    <t>Municipalities</t>
  </si>
  <si>
    <t>Provinces</t>
  </si>
  <si>
    <t>PV</t>
  </si>
  <si>
    <t>MUN</t>
  </si>
  <si>
    <t>centroid_lat</t>
  </si>
  <si>
    <t>centroid_lon</t>
  </si>
  <si>
    <t>center_lat</t>
  </si>
  <si>
    <t>center_lon</t>
  </si>
  <si>
    <t>0198ef6d-8543-92bb-3d7b-9a6b17e52c7d</t>
  </si>
  <si>
    <t>0198ef6d-8543-0ad2-6a86-701cc690b0a4</t>
  </si>
  <si>
    <t>0198ef6d-8543-5e3f-5ed0-dd932e32c2aa</t>
  </si>
  <si>
    <t>0198ef6d-8543-ca21-8fc9-aac9c10fe055</t>
  </si>
  <si>
    <t>A</t>
  </si>
  <si>
    <t>1011</t>
  </si>
  <si>
    <t>1022</t>
  </si>
  <si>
    <t>1021</t>
  </si>
  <si>
    <t>1023</t>
  </si>
  <si>
    <t>1012</t>
  </si>
  <si>
    <t>1013</t>
  </si>
  <si>
    <t>101</t>
  </si>
  <si>
    <t>102</t>
  </si>
  <si>
    <t>0198ef6d-8543-98d5-9df4-4ac64d603502</t>
  </si>
  <si>
    <t>0198ef6d-8543-ae94-efef-2be1b23245af</t>
  </si>
  <si>
    <t>0198ef6d-8543-8b5f-18fa-1ed57d0932cc</t>
  </si>
  <si>
    <t>0198ef6d-8543-a364-ca72-6ec6f635451c</t>
  </si>
  <si>
    <t>0198ef6d-8543-36e6-2666-1cd464720c40</t>
  </si>
  <si>
    <t>0198ef6d-8543-6c09-555d-db3403ec2556</t>
  </si>
  <si>
    <t>0198ef6d-8543-dcdc-9496-52bc01e1c56d</t>
  </si>
  <si>
    <t>0198ef6d-8543-633c-9a80-b3ee43366dab</t>
  </si>
  <si>
    <t>0198ef6d-8543-83bf-6a77-33c7baa8eca4</t>
  </si>
  <si>
    <t>0198ef6d-8543-5e67-2557-0e2746373e1d</t>
  </si>
  <si>
    <t>0198ef6d-8543-b5ae-6be3-ce46ae7b36cb</t>
  </si>
  <si>
    <t>0198ef6d-8543-2881-ac87-bb85405cfd45</t>
  </si>
  <si>
    <t>0198ef6d-8543-492f-605f-9f24aff04b0c</t>
  </si>
  <si>
    <t>0198ef6d-8543-e169-e90c-b16046775a79</t>
  </si>
  <si>
    <t>from_region_id</t>
  </si>
  <si>
    <t>to_region_id</t>
  </si>
  <si>
    <t>relation</t>
  </si>
  <si>
    <t>CONTAINS</t>
  </si>
  <si>
    <t>0198ef6d-8543-0c0b-4a83-bc5645c27a12</t>
  </si>
  <si>
    <t>0198ef6d-8543-6900-d021-0a967bc5a835</t>
  </si>
  <si>
    <t>0198ef6d-8543-b77a-986a-970332b990bf</t>
  </si>
  <si>
    <t>0198ef6d-8543-4356-94fa-71fde8f78147</t>
  </si>
  <si>
    <t>0198ef6d-8543-446a-e48d-84d9816d7653</t>
  </si>
  <si>
    <t>0198ef6d-8543-bf0a-5017-971b46110913</t>
  </si>
  <si>
    <t>0198ef6d-8543-9029-dc48-eaa05a343a26</t>
  </si>
  <si>
    <t>0198ef6d-8543-6a58-c520-ee5673f2e787</t>
  </si>
  <si>
    <t>0198ef6d-8543-5d0c-da5a-9488f8a33242</t>
  </si>
  <si>
    <t>0198ef6d-8543-4f94-dbed-811f8c7fea6e</t>
  </si>
  <si>
    <t>0198ef6d-8543-0012-5a19-386a453bb806</t>
  </si>
  <si>
    <t>0198ef6d-8543-9155-eca8-a17eb16e9c36</t>
  </si>
  <si>
    <t>0198ef6d-8543-39ec-6e48-eac4531b8b1a</t>
  </si>
  <si>
    <t>0198ef6d-8543-114e-9d20-073f77684023</t>
  </si>
  <si>
    <t>0198ef6d-8543-6fad-ae3a-152638d059b2</t>
  </si>
  <si>
    <t>0198ef6d-8543-7db2-b38f-7e80b7f1ade0</t>
  </si>
  <si>
    <t>0198ef6d-8543-766b-a932-2da3f3a8ef42</t>
  </si>
  <si>
    <t>0198ef6d-8543-c431-206b-6b9777223b47</t>
  </si>
  <si>
    <t>0198ef6d-8543-c704-fb11-d935c717b5fd</t>
  </si>
  <si>
    <t>0198ef6d-8543-8f74-a26d-3bdb6b42c522</t>
  </si>
  <si>
    <t>0198ef6d-8543-7e4c-8422-4014740e6a01</t>
  </si>
  <si>
    <t>TIME</t>
  </si>
  <si>
    <t>ORGANIZATION</t>
  </si>
  <si>
    <t>GEO</t>
  </si>
  <si>
    <t>IDENTIFIER</t>
  </si>
  <si>
    <t>NUMBER</t>
  </si>
  <si>
    <t>OTHER</t>
  </si>
  <si>
    <t>0198ef6d-8543-8d7e-a786-a78961958b68</t>
  </si>
  <si>
    <t>0198ef6d-8543-4e10-dadc-606a590cbf81</t>
  </si>
  <si>
    <t>0198ef6d-8543-4b57-ccc7-1e34bcca2de1</t>
  </si>
  <si>
    <t>0198ef6d-8543-9c78-54a7-6b4c2ca6ce88</t>
  </si>
  <si>
    <t>0198ef6d-8543-6a7f-4553-b7280cc2ab9b</t>
  </si>
  <si>
    <t>0198ef6d-8543-5e3c-cec3-8db0ccbd38fa</t>
  </si>
  <si>
    <t>0198ef6d-8543-0b52-87e5-431792f951a2</t>
  </si>
  <si>
    <t>0198ef6d-8543-e0a4-1718-6ae19c4f6090</t>
  </si>
  <si>
    <t>0198ef6d-8543-b0f3-f8b0-c502bee720e9</t>
  </si>
  <si>
    <t>0198ef6d-8543-5ea8-9f20-a8177b2d28d2</t>
  </si>
  <si>
    <t>0198ef6d-8543-d4cb-e9cb-2c352f1baa30</t>
  </si>
  <si>
    <t>0198ef6d-8543-08a5-b8d2-bad85d28ce19</t>
  </si>
  <si>
    <t>0198ef6d-8543-090b-38ba-3d20aff20301</t>
  </si>
  <si>
    <t>0198ef6d-8543-9464-8125-c57e62e81fa8</t>
  </si>
  <si>
    <t>0198ef6d-8543-f771-bae1-9ddd35630976</t>
  </si>
  <si>
    <t>0198ef6d-8543-c781-d5a1-ba5569aaaf92</t>
  </si>
  <si>
    <t>0198ef6d-8543-2e3c-58fa-85eca2a977c1</t>
  </si>
  <si>
    <t>0198ef6d-8543-ca89-d050-715e4e6f5013</t>
  </si>
  <si>
    <t>0198ef6d-8543-464e-e152-42bb0dc00713</t>
  </si>
  <si>
    <t>0198ef6d-8543-4209-5045-1bdd507593a7</t>
  </si>
  <si>
    <t>0198ef6d-8543-eb2b-e8cd-6ad2e7ad4523</t>
  </si>
  <si>
    <t>0198ef6d-8543-1234-cbf1-9947a51d56ff</t>
  </si>
  <si>
    <t>0198ef6d-8543-50ea-8c7a-9f5c1a8041c4</t>
  </si>
  <si>
    <t>0198ef6d-8543-76c4-4fb4-25f7403d7972</t>
  </si>
  <si>
    <t>0198ef6d-8543-479e-1e7a-3428fa97ebc7</t>
  </si>
  <si>
    <t>0198ef6d-8543-0924-3aca-6065227cd9ef</t>
  </si>
  <si>
    <t>0198ef6d-8543-78ba-e607-ac65487d273b</t>
  </si>
  <si>
    <t>0198ef6d-8543-2d1c-8ae5-fde6579f02e4</t>
  </si>
  <si>
    <t>0198ef6d-8543-9c02-f715-88d1935aca9a</t>
  </si>
  <si>
    <t>0198ef6d-8543-5be8-beb1-cbc53a476302</t>
  </si>
  <si>
    <t>0198ef6d-8543-13b8-702c-f36c6968d08f</t>
  </si>
  <si>
    <t>0198ef6d-8543-74d1-8cf2-4f5da375834f</t>
  </si>
  <si>
    <t>0198ef6d-8543-b7d9-c034-47ae7fb11c50</t>
  </si>
  <si>
    <t>0198ef6d-8543-61aa-6bef-ab847c75d5f6</t>
  </si>
  <si>
    <t>0198ef6d-8543-c6b8-13b1-618c88c659c4</t>
  </si>
  <si>
    <t>0198ef6d-8543-1f4e-e4ff-26b349afa1da</t>
  </si>
  <si>
    <t>0198ef6d-8543-1d52-5bac-f77d1900a8dd</t>
  </si>
  <si>
    <t>0198ef6d-8543-d807-f0b2-816adb66b0e2</t>
  </si>
  <si>
    <t>0198ef6d-8543-1ccc-3ca5-8e5804b351d7</t>
  </si>
  <si>
    <t>0198ef6d-8543-a1f2-8fe1-01a845acbff0</t>
  </si>
  <si>
    <t>0198ef6d-8543-3ef0-e88e-3e695cf2445e</t>
  </si>
  <si>
    <t>0198ef6d-8543-36a5-2583-d111be64cfe5</t>
  </si>
  <si>
    <t>0198ef6d-8543-0602-3b9b-8074754ce32f</t>
  </si>
  <si>
    <t>0198ef6d-8543-4c94-0bf9-94599fca001d</t>
  </si>
  <si>
    <t>0198ef6d-8543-97b5-1037-1371f120aa8d</t>
  </si>
  <si>
    <t>0198ef6d-8543-3174-2105-15a6851c5148</t>
  </si>
  <si>
    <t>0198ef6d-8543-d0b2-a670-f7d735fbf952</t>
  </si>
  <si>
    <t>0198ef6d-8543-70f1-d18e-7b3cd6948bd7</t>
  </si>
  <si>
    <t>0198ef6d-8543-ab8a-bde3-659597476ba5</t>
  </si>
  <si>
    <t>0198ef6d-8543-7878-8fbe-0ddd72dfc52c</t>
  </si>
  <si>
    <t>0198ef6d-8543-c616-5348-1a00a03f4c57</t>
  </si>
  <si>
    <t>0198ef6d-8543-e39d-276c-4184424fa3b7</t>
  </si>
  <si>
    <t>0198ef6d-8543-48c7-ff84-ba2c574cb664</t>
  </si>
  <si>
    <t>0198ef6d-8543-6928-904b-2f24d48dec5d</t>
  </si>
  <si>
    <t>GEO_REGION</t>
  </si>
  <si>
    <t>TIME_DAY</t>
  </si>
  <si>
    <t>TIME_WEEK</t>
  </si>
  <si>
    <t>TIME_MONTH</t>
  </si>
  <si>
    <t>TIME_QUARTER</t>
  </si>
  <si>
    <t>TIME_YEAR</t>
  </si>
  <si>
    <t>0198ef6d-8543-d80f-bded-2df4b7df993d</t>
  </si>
  <si>
    <t>0198ef6d-8543-7e88-f9a1-238ceac18124</t>
  </si>
  <si>
    <t>0198ef6d-8543-4cc4-3dfd-ec8b31c48f5d</t>
  </si>
  <si>
    <t>0198ef6d-8543-5969-bc68-05db01d72683</t>
  </si>
  <si>
    <t>DECIMAL_0</t>
  </si>
  <si>
    <t>DECIMAL_2</t>
  </si>
  <si>
    <t>CATEGORY1_1, CATEGORY1_2, CATEGORY1_3</t>
  </si>
  <si>
    <t>CATEGORY2_1, CATEGORY2_2, CATEGORY2_3</t>
  </si>
  <si>
    <t>RANK1_1, RANK1_2, RANK1_3</t>
  </si>
  <si>
    <t>RANK2_1, RANK2_2, RANK2_3</t>
  </si>
  <si>
    <t>A\d+</t>
  </si>
  <si>
    <t>B\d+</t>
  </si>
  <si>
    <t>0198ef6d-8543-a221-af7e-774497e4801a</t>
  </si>
  <si>
    <t>0198ef6d-8543-987d-80eb-fb29936d633c</t>
  </si>
  <si>
    <t>0198ef6d-8543-ce42-568c-c8e8405533a1</t>
  </si>
  <si>
    <t>0198ef6d-8543-8bc8-93ea-2f4c7e8626f2</t>
  </si>
  <si>
    <t>0198ef6d-8543-1062-3f54-74f967fd95da</t>
  </si>
  <si>
    <t>0198ef6d-8543-3bfd-fcb0-c5698a1b2d9a</t>
  </si>
  <si>
    <t>0198ef6d-8543-f372-ce25-38616e4c214d</t>
  </si>
  <si>
    <t>0198ef6d-8543-d9b1-6322-01cffb585d60</t>
  </si>
  <si>
    <t>0198ef6d-8543-b8fc-9de5-72be815082e0</t>
  </si>
  <si>
    <t>0198ef6d-8543-f0ab-b028-4f183545ce97</t>
  </si>
  <si>
    <t>0198ef6d-8543-371a-179d-9c036f8c66f2</t>
  </si>
  <si>
    <t>0198ef6d-8543-7325-a3c3-0be3c6d6193b</t>
  </si>
  <si>
    <t>0198ef6d-8543-61b3-63f1-bc4f52741be3</t>
  </si>
  <si>
    <t>0198ef6d-8543-f6da-4821-571b2b52bd5b</t>
  </si>
  <si>
    <t>0198ef6d-8543-369f-5adc-42e8a92a03ef</t>
  </si>
  <si>
    <t>0198ef6d-8543-c2aa-d8d8-5799599aba32</t>
  </si>
  <si>
    <t>0198ef6d-8543-379c-1b40-75609669d2dc</t>
  </si>
  <si>
    <t>0198ef6d-8543-1f4a-69a6-ef2cbe30a080</t>
  </si>
  <si>
    <t>0198ef6d-8543-3dff-04fd-3c65614d655d</t>
  </si>
  <si>
    <t>0198ef6d-8543-c3d9-408d-20f86d523b9f</t>
  </si>
  <si>
    <t>0198ef6d-8543-e425-5793-c7c455726f56</t>
  </si>
  <si>
    <t>0198ef6d-8543-0bc5-2af0-dbe7f34bc5cc</t>
  </si>
  <si>
    <t>0198ef6d-8543-58d8-f78b-17d1fd52333b</t>
  </si>
  <si>
    <t>0198ef6d-8543-95f7-7801-f7b9a1173d31</t>
  </si>
  <si>
    <t>0198ef6d-8543-d942-891d-d90db771db73</t>
  </si>
  <si>
    <t>0198ef6d-8543-8e8e-2323-db15777c232c</t>
  </si>
  <si>
    <t>0198ef6d-8543-e881-c040-0a6a35d23358</t>
  </si>
  <si>
    <t>0198ef6d-8543-2162-0198-4b380cae3fa3</t>
  </si>
  <si>
    <t>0198ef6d-8543-f61d-4edc-07bcd51c380d</t>
  </si>
  <si>
    <t>0198ef6d-8543-6468-4596-cfc7b24c16e9</t>
  </si>
  <si>
    <t>0198ef6d-8543-2afc-2c12-93e895132544</t>
  </si>
  <si>
    <t>0198ef6d-8543-c453-7e15-c4a877df12b1</t>
  </si>
  <si>
    <t>0198ef6d-8543-2029-b59b-f9f9a653936a</t>
  </si>
  <si>
    <t>0198ef6d-8543-de89-1d51-d1a00a20cfe1</t>
  </si>
  <si>
    <t>0198ef6d-8543-2da2-cd65-fdc03f304e9b</t>
  </si>
  <si>
    <t>0198ef6d-8543-90ee-8214-09a6f499e9d9</t>
  </si>
  <si>
    <t>0198ef6d-8543-a456-618e-e443bc0d35e9</t>
  </si>
  <si>
    <t>0198ef6d-8543-5532-be80-6c8a18c388da</t>
  </si>
  <si>
    <t>0198ef6d-8543-daa3-3b64-47a0bed70d1b</t>
  </si>
  <si>
    <t>0198ef6d-8543-7ab3-ba92-5fa2af40f240</t>
  </si>
  <si>
    <t>0198ef6d-8543-0e30-d86c-c2c7095525ec</t>
  </si>
  <si>
    <t>0198ef6d-8543-1443-43dc-7a07aef0da30</t>
  </si>
  <si>
    <t>0198ef6d-8543-7fbb-0745-44bb651edd00</t>
  </si>
  <si>
    <t>0198ef6d-8543-72db-d650-96776e8fd4a7</t>
  </si>
  <si>
    <t>0198ef6d-8543-aed3-82fc-8fc90e0c93fd</t>
  </si>
  <si>
    <t>0198ef6d-8543-e6af-3e5a-6494a01a06ae</t>
  </si>
  <si>
    <t>0198ef6d-8543-4e2b-87de-57604330cdd3</t>
  </si>
  <si>
    <t>0198ef6d-8543-7196-e13a-d911de7aa2aa</t>
  </si>
  <si>
    <t>0198ef6d-8543-49c9-f899-a2bd7ca7905e</t>
  </si>
  <si>
    <t>0198ef6d-8543-e911-0c7d-89e8d97702dc</t>
  </si>
  <si>
    <t>0198ef6d-8543-c287-9def-b1c31ccc15e3</t>
  </si>
  <si>
    <t>0198ef6d-8543-d41c-32e8-4166495e403d</t>
  </si>
  <si>
    <t>0198ef6d-8543-92f3-9168-2df7a147b28e</t>
  </si>
  <si>
    <t>0198ef6d-8543-83ae-9c38-8230890499d5</t>
  </si>
  <si>
    <t>0198ef6d-8543-aca5-d495-a14d205474c8</t>
  </si>
  <si>
    <t>0198ef6d-8543-059f-33dd-73f8668bc5ef</t>
  </si>
  <si>
    <t>0198ef6d-8543-87f8-e4ed-200adf224eea</t>
  </si>
  <si>
    <t>case_type_col_set1_1</t>
  </si>
  <si>
    <t>case_type_col_set1_1and2</t>
  </si>
  <si>
    <t>First and second columns of each type</t>
  </si>
  <si>
    <t>Only first columns of each type</t>
  </si>
  <si>
    <t>0198ef6d-8543-3fbf-a1f9-110b6761c7eb</t>
  </si>
  <si>
    <t>0198ef6d-8543-9ed3-edd5-510f6cc18026</t>
  </si>
  <si>
    <t>0198ef6d-8543-5eb4-7e1e-c1a08ca6a3c3</t>
  </si>
  <si>
    <t>0198ef6d-8543-b8cc-571b-68f07644b837</t>
  </si>
  <si>
    <t>0198ef6d-8543-99c8-18b3-acf6d941d084</t>
  </si>
  <si>
    <t>0198ef6d-8543-0997-3263-6216c3e24cbf</t>
  </si>
  <si>
    <t>0198ef6d-8543-bde0-4947-02dc3c677d02</t>
  </si>
  <si>
    <t>0198ef6d-8543-68ca-b77e-313e4e9aa96a</t>
  </si>
  <si>
    <t>0198ef6d-8543-5e28-a8d2-678f2da7d9c6</t>
  </si>
  <si>
    <t>0198ef6d-8543-2ae4-b52b-883c0c0bfa1b</t>
  </si>
  <si>
    <t>0198ef6d-8543-195f-67cf-10238866739a</t>
  </si>
  <si>
    <t>0198ef6d-8543-7ca2-38ae-55f7c2b44656</t>
  </si>
  <si>
    <t>0198ef6d-8543-32f8-564f-9f4af227e5c2</t>
  </si>
  <si>
    <t>0198ef6d-8543-488d-d0d3-4914d2a14c97</t>
  </si>
  <si>
    <t>0198ef6d-8543-8faa-f802-c8c662466ebb</t>
  </si>
  <si>
    <t>0198ef6d-8543-fb61-4f6a-99bba683cb02</t>
  </si>
  <si>
    <t>0198ef6d-8543-089e-e554-e69349bd1928</t>
  </si>
  <si>
    <t>0198ef6d-8543-3e12-ea3b-92e18dceb141</t>
  </si>
  <si>
    <t>0198ef6d-8543-5616-bdc2-c596398e7f2e</t>
  </si>
  <si>
    <t>0198ef6d-8543-baf9-e677-5b7f8ff662ae</t>
  </si>
  <si>
    <t>0198ef6d-8543-060d-e9c1-2449f0f969b9</t>
  </si>
  <si>
    <t>0198ef6d-8543-3c06-b0c9-97e65fccf8f1</t>
  </si>
  <si>
    <t>0198ef6d-8543-b014-1c2d-60a9a62e26d6</t>
  </si>
  <si>
    <t>0198ef6d-8543-78bb-1411-19c61cfd7fc2</t>
  </si>
  <si>
    <t>0198ef6d-8543-fcd9-3e45-ca3cda578177</t>
  </si>
  <si>
    <t>0198ef6d-8543-7cb5-0038-8b89ebf36443</t>
  </si>
  <si>
    <t>0198ef6d-8543-f772-02db-351245b5845f</t>
  </si>
  <si>
    <t>0198ef6d-8543-fb05-cbaa-4b03e836f264</t>
  </si>
  <si>
    <t>0198ef6d-8543-1366-49d9-117f0550d30a</t>
  </si>
  <si>
    <t>0198ef6d-8543-7a54-1fe9-9a3de41d1c5e</t>
  </si>
  <si>
    <t>0198ef6d-8543-a219-2c29-4c79dcacd7d5</t>
  </si>
  <si>
    <t>0198ef6d-8543-566b-82a4-c4aed3b66b1b</t>
  </si>
  <si>
    <t>0198ef6d-8543-84d9-6367-38def0d5f933</t>
  </si>
  <si>
    <t>0198ef6d-8543-c44b-22e3-b17ae9e6c16c</t>
  </si>
  <si>
    <t>0198ef6d-8543-0105-3e7a-d93d3b2e023c</t>
  </si>
  <si>
    <t>0198ef6d-8543-38c2-f976-be7f46d22c36</t>
  </si>
  <si>
    <t>0198ef6d-8543-f1c6-c072-bcb6fecc8521</t>
  </si>
  <si>
    <t>0198ef6d-8543-14e4-0103-c3650c40b794</t>
  </si>
  <si>
    <t>0198ef6d-8543-291a-9eee-cfd4c1def059</t>
  </si>
  <si>
    <t>0198ef6d-8543-56c3-4120-9a1aa7c4abfa</t>
  </si>
  <si>
    <t>0198ef6d-8543-67dc-b49c-f9558d18c346</t>
  </si>
  <si>
    <t>0198ef6d-8543-3cf5-0d55-ef5788a7841a</t>
  </si>
  <si>
    <t>0198ef6d-8543-d30c-c356-315300438cd4</t>
  </si>
  <si>
    <t>0198ef6d-8543-566b-f375-f8b263e7d174</t>
  </si>
  <si>
    <t>0198ef6d-8543-0f20-0862-e79c2f76ea5a</t>
  </si>
  <si>
    <t>0198ef6d-8543-7f55-a7b9-722625f0abcc</t>
  </si>
  <si>
    <t>0198ef6d-8543-a74b-d973-63e64c130c06</t>
  </si>
  <si>
    <t>0198ef6d-8543-63e8-f1d2-a86478466036</t>
  </si>
  <si>
    <t>0198ef6d-8543-0342-0592-b9f1b9466a2c</t>
  </si>
  <si>
    <t>0198ef6d-8543-fb25-fd76-80cdfad93e2e</t>
  </si>
  <si>
    <t>0198ef6d-8543-2bb0-bef4-969f0c814af5</t>
  </si>
  <si>
    <t>0198ef6d-8543-8df0-7da6-d62bca142a54</t>
  </si>
  <si>
    <t>0198ef6d-8543-122d-e536-cb7a64657662</t>
  </si>
  <si>
    <t>0198ef6d-8543-a4b4-99be-c8297604d0a2</t>
  </si>
  <si>
    <t>0198ef6d-8543-db0f-86c6-8a62d3111f8b</t>
  </si>
  <si>
    <t>0198ef6d-8543-85e8-a3e8-b928029a7cd4</t>
  </si>
  <si>
    <t>0198ef6d-8543-32db-ef07-65f0b3e7ec83</t>
  </si>
  <si>
    <t>0198ef6d-8543-89ba-b7b2-497cf641efd2</t>
  </si>
  <si>
    <t>0198ef6d-8543-6b32-722f-5274d551cd71</t>
  </si>
  <si>
    <t>0198ef6d-8543-298a-d2d1-09bf47c459ce</t>
  </si>
  <si>
    <t>0198ef6d-8543-77a2-3cc9-a081134f72df</t>
  </si>
  <si>
    <t>0198ef6d-8543-bb42-b87b-f68c2a153bb4</t>
  </si>
  <si>
    <t>0198ef6d-8543-6660-66c0-371197a5d4b0</t>
  </si>
  <si>
    <t>0198ef6d-8543-a97e-fd60-92f428c97064</t>
  </si>
  <si>
    <t>0198ef6d-8543-0461-4671-c88b0d4307ba</t>
  </si>
  <si>
    <t>0198ef6d-8543-2776-0a67-000fc016e1aa</t>
  </si>
  <si>
    <t>0198ef6d-8543-0c75-207c-d2320d6bd0f9</t>
  </si>
  <si>
    <t>0198ef6d-8543-1bd4-1eaf-63e9b7cf86ba</t>
  </si>
  <si>
    <t>0198ef6d-8543-2315-4108-3fdb5fd5a4a0</t>
  </si>
  <si>
    <t>0198ef6d-8543-bbab-5026-5c654ec63add</t>
  </si>
  <si>
    <t>0198ef6d-8543-eb90-bb30-d1cd21ff880f</t>
  </si>
  <si>
    <t>0198ef6d-8543-23b7-939c-1b9cc8a75310</t>
  </si>
  <si>
    <t>0198ef6d-8543-e17c-9467-cb22a9324e91</t>
  </si>
  <si>
    <t>0198ef6d-8543-9e9e-a3d4-379512ff8a2c</t>
  </si>
  <si>
    <t>0198ef6d-8543-d4de-4cf0-d3b69e5ddb84</t>
  </si>
  <si>
    <t>0198ef6d-8543-9987-4777-c60548e16bc2</t>
  </si>
  <si>
    <t>0198ef6d-8543-92cd-9b4b-d04144c78404</t>
  </si>
  <si>
    <t>0198ef6d-8543-6574-4c6a-99f554d49a1b</t>
  </si>
  <si>
    <t>0198ef6d-8543-f3aa-7a22-eacf55f02b0d</t>
  </si>
  <si>
    <t>0198ef6d-8543-beba-2424-32b7a9d4305e</t>
  </si>
  <si>
    <t>0198ef6d-8543-aea0-194c-511d1b27af92</t>
  </si>
  <si>
    <t>0198ef6d-8543-0a12-60e9-f0f529afe8de</t>
  </si>
  <si>
    <t>0198ef6d-8543-ff01-b190-4775c73c9bf3</t>
  </si>
  <si>
    <t>0198ef6d-8543-83e7-b684-bb1ec25d2eac</t>
  </si>
  <si>
    <t>0198ef6d-8543-d963-f9a6-0a8c10777839</t>
  </si>
  <si>
    <t>0198ef6d-8543-1417-4188-ac7dd15be319</t>
  </si>
  <si>
    <t>0198ef6d-8543-5009-7d08-fccf99880c21</t>
  </si>
  <si>
    <t>0198ef6d-8543-ce4b-8b13-c88d8e96cd32</t>
  </si>
  <si>
    <t>0198ef6d-8543-cf2b-9b79-225067902354</t>
  </si>
  <si>
    <t>0198ef6d-8543-f252-1d65-c273f1f94158</t>
  </si>
  <si>
    <t>0198ef6d-8543-8e2b-595e-6c89fea66262</t>
  </si>
  <si>
    <t>0198ef6d-8543-d35b-89ea-5a612bd9860d</t>
  </si>
  <si>
    <t>0198ef6d-8543-ffa1-beee-85ae122e0c95</t>
  </si>
  <si>
    <t>0198ef6d-8543-8207-d05d-c6f5fc500ef0</t>
  </si>
  <si>
    <t>0198ef6d-8543-20f2-b57b-dd8c14412f19</t>
  </si>
  <si>
    <t>value</t>
  </si>
  <si>
    <t>0198ef6d-8543-d4c1-b8e7-b6f93524b895</t>
  </si>
  <si>
    <t>CATEGORY2_1</t>
  </si>
  <si>
    <t>RANK1_1</t>
  </si>
  <si>
    <t>A1</t>
  </si>
  <si>
    <t>B1</t>
  </si>
  <si>
    <t>X</t>
  </si>
  <si>
    <t>2024-01-01</t>
  </si>
  <si>
    <t>2024-01</t>
  </si>
  <si>
    <t>2024-W01</t>
  </si>
  <si>
    <t>2024-Q1</t>
  </si>
  <si>
    <t>2024</t>
  </si>
  <si>
    <t>2025-01-01</t>
  </si>
  <si>
    <t>2025-W01</t>
  </si>
  <si>
    <t>2025-01</t>
  </si>
  <si>
    <t>2025-Q1</t>
  </si>
  <si>
    <t>2025</t>
  </si>
  <si>
    <t>0198ef6d-8543-8644-c476-b020fa968b83</t>
  </si>
  <si>
    <t>0198ef6d-8543-5f5c-97f7-fa25919c719d</t>
  </si>
  <si>
    <t>0</t>
  </si>
  <si>
    <t>OTHER1_1</t>
  </si>
  <si>
    <t>OTHER2_1</t>
  </si>
  <si>
    <t>comment</t>
  </si>
  <si>
    <t>0198ef6d-8543-9674-3177-8a8c8da8bc3f</t>
  </si>
  <si>
    <t>case_id1</t>
  </si>
  <si>
    <t>created_in_data_collection_id</t>
  </si>
  <si>
    <t>dm.created_in_data_collection.name</t>
  </si>
  <si>
    <t>dm.case.case_type_id</t>
  </si>
  <si>
    <t>dm.case_type_col.case_type_id</t>
  </si>
  <si>
    <t>count</t>
  </si>
  <si>
    <t>case_date</t>
  </si>
  <si>
    <t>dm.is_allowed.case_type</t>
  </si>
  <si>
    <t>NOMINAL_1</t>
  </si>
  <si>
    <t>Nominal_1</t>
  </si>
  <si>
    <t>NOMINAL_2</t>
  </si>
  <si>
    <t>Nominal_2</t>
  </si>
  <si>
    <t>ORDINAL_1</t>
  </si>
  <si>
    <t>Ordinal_1</t>
  </si>
  <si>
    <t>ORDINAL_2</t>
  </si>
  <si>
    <t>Ordinal_2</t>
  </si>
  <si>
    <t>AGE_CATEGORY_1</t>
  </si>
  <si>
    <t>AGE_CATEGORY_2</t>
  </si>
  <si>
    <t>AGE_CATEGORY_3</t>
  </si>
  <si>
    <t>AGE_CATEGORY_4</t>
  </si>
  <si>
    <t>AGE_CATEGORY_5</t>
  </si>
  <si>
    <t>REGULAR_LANGUAGE_1</t>
  </si>
  <si>
    <t>Regex_1</t>
  </si>
  <si>
    <t>REGULAR_LANGUAGE_2</t>
  </si>
  <si>
    <t>Regex_2</t>
  </si>
  <si>
    <t>PC_L4</t>
  </si>
  <si>
    <t>PC_L3</t>
  </si>
  <si>
    <t>region_set_name</t>
  </si>
  <si>
    <t>MUN_A</t>
  </si>
  <si>
    <t>MUN_B</t>
  </si>
  <si>
    <t>MUN_C</t>
  </si>
  <si>
    <t>PV_1</t>
  </si>
  <si>
    <t>PV_2</t>
  </si>
  <si>
    <t>PV_3</t>
  </si>
  <si>
    <t>from_region_name</t>
  </si>
  <si>
    <t>to_region_name</t>
  </si>
  <si>
    <t>app_admin1_1@org1_org</t>
  </si>
  <si>
    <t>refdata_admin1_1@org1_org</t>
  </si>
  <si>
    <t>org_admin1_1@org1_org</t>
  </si>
  <si>
    <t>org_admin2_1@org2_org</t>
  </si>
  <si>
    <t>org_admin3_1@org3_org</t>
  </si>
  <si>
    <t>org_admin4_1@org4_org</t>
  </si>
  <si>
    <t>org_admin5_1@org5_org</t>
  </si>
  <si>
    <t>org_user1_1@org1_org</t>
  </si>
  <si>
    <t>org_user1_2@org1_org</t>
  </si>
  <si>
    <t>org_user1_3@org1_org</t>
  </si>
  <si>
    <t>org_user1_4@org1_org</t>
  </si>
  <si>
    <t>org_user2_1@org2_org</t>
  </si>
  <si>
    <t>org_user2_2@org2_org</t>
  </si>
  <si>
    <t>org_user2_3@org2_org</t>
  </si>
  <si>
    <t>org_user2_4@org2_org</t>
  </si>
  <si>
    <t>org_user3_1@org3_org</t>
  </si>
  <si>
    <t>org_user3_2@org3_org</t>
  </si>
  <si>
    <t>org_user3_3@org3_org</t>
  </si>
  <si>
    <t>org_user3_4@org3_org</t>
  </si>
  <si>
    <t>org_user4_1@org4_org</t>
  </si>
  <si>
    <t>org_user4_2@org4_org</t>
  </si>
  <si>
    <t>org_user4_3@org4_org</t>
  </si>
  <si>
    <t>org_user4_4@org4_org</t>
  </si>
  <si>
    <t>org_user5_1@org5_org</t>
  </si>
  <si>
    <t>org_user5_2@org5_org</t>
  </si>
  <si>
    <t>org_user5_3@org5_org</t>
  </si>
  <si>
    <t>org_user5_4@org5_org</t>
  </si>
  <si>
    <t>dim_code</t>
  </si>
  <si>
    <t>_1</t>
  </si>
  <si>
    <t>_2</t>
  </si>
  <si>
    <t>_3</t>
  </si>
  <si>
    <t>_4</t>
  </si>
  <si>
    <t>_5</t>
  </si>
  <si>
    <t>case_type_name</t>
  </si>
  <si>
    <t>case_case_type_id1</t>
  </si>
  <si>
    <t>case_created_in_data_collection_id1</t>
  </si>
  <si>
    <t>case_id</t>
  </si>
  <si>
    <t>dm.is_allowed_value</t>
  </si>
  <si>
    <t>dm.case_type_col_code</t>
  </si>
  <si>
    <t>dm.case_case_type_name</t>
  </si>
  <si>
    <t>dm.case_type_name</t>
  </si>
  <si>
    <t>dm.is_allowed_content</t>
  </si>
  <si>
    <t>dm.concept_set_code</t>
  </si>
  <si>
    <t>dm.organization_name</t>
  </si>
  <si>
    <t>dm.roles_is_root</t>
  </si>
  <si>
    <t>dm.roles_is_app_admin</t>
  </si>
  <si>
    <t>dm.roles_is_refdata_admin</t>
  </si>
  <si>
    <t>dm.roles_is_org_user</t>
  </si>
  <si>
    <t>dm.disease_name</t>
  </si>
  <si>
    <t>dm.etiological_agent_name</t>
  </si>
  <si>
    <t>dm.case_type_set_category_name</t>
  </si>
  <si>
    <t>dm.case_type_set_name</t>
  </si>
  <si>
    <t>dm.case_type_code</t>
  </si>
  <si>
    <t>dm.organization_id</t>
  </si>
  <si>
    <t>dm.user_roles_is_ge_app_admin</t>
  </si>
  <si>
    <t>dm.organization_access_case_policy_row</t>
  </si>
  <si>
    <t>dm.organization_access_case_policy_case_type_set_contains_case_type</t>
  </si>
  <si>
    <t>dm.organization_access_case_policy_add_case</t>
  </si>
  <si>
    <t>dm.organization_access_case_policy_remove_case</t>
  </si>
  <si>
    <t>dm.user_access_case_policy_row</t>
  </si>
  <si>
    <t>dm.user_access_case_policy_case_type_set_contains_case_type</t>
  </si>
  <si>
    <t>dm.user_access_case_policy_add_case</t>
  </si>
  <si>
    <t>dm.user_access_case_policy_remove_case</t>
  </si>
  <si>
    <t>dm.created_in_data_collection_name</t>
  </si>
  <si>
    <t>dm.case_case_type_matches1</t>
  </si>
  <si>
    <t>dm.case_created_in_data_collection_matches1</t>
  </si>
  <si>
    <t>dm.case_type_col_set_code</t>
  </si>
  <si>
    <t>dm.data_collection_name</t>
  </si>
  <si>
    <t>dm.read_case_type_col_set_name</t>
  </si>
  <si>
    <t>dm.write_case_type_col_set_name</t>
  </si>
  <si>
    <t>dm.user_organization_id</t>
  </si>
  <si>
    <t>dm.user_organization_name</t>
  </si>
  <si>
    <t>dm.user_name</t>
  </si>
  <si>
    <t>dm.from_data_collection_name</t>
  </si>
  <si>
    <t>dm.case_type_col.col_id</t>
  </si>
  <si>
    <t>dm.case_type_col.col.concept_set_id</t>
  </si>
  <si>
    <t>dm.case_type_col.col.region_set_id</t>
  </si>
  <si>
    <t>dm.key.abbreviation</t>
  </si>
  <si>
    <t>dm.key.name</t>
  </si>
  <si>
    <t>dm.key.id</t>
  </si>
  <si>
    <t>dm.key.code</t>
  </si>
  <si>
    <t>B</t>
  </si>
  <si>
    <t>C</t>
  </si>
  <si>
    <t>Province_1</t>
  </si>
  <si>
    <t>Province_2</t>
  </si>
  <si>
    <t>Province_3</t>
  </si>
  <si>
    <t>dm.concept_id</t>
  </si>
  <si>
    <t>dm.region_id</t>
  </si>
  <si>
    <t>RANK2_1</t>
  </si>
  <si>
    <t>dm.case_type_col.col.col_type</t>
  </si>
  <si>
    <t>validated_value</t>
  </si>
  <si>
    <t>dm.has_override_validated_value</t>
  </si>
  <si>
    <t>dm.override_validated_value</t>
  </si>
  <si>
    <t>15-24</t>
  </si>
  <si>
    <t>19-64</t>
  </si>
  <si>
    <t>1M</t>
  </si>
  <si>
    <t>dm.case_type_col.col.dim.id</t>
  </si>
  <si>
    <t>dm.case_type_col.col.dim.name</t>
  </si>
  <si>
    <t>dm.case_type_col.col.dim.type</t>
  </si>
  <si>
    <t>is_update</t>
  </si>
  <si>
    <t>dm.is_active</t>
  </si>
  <si>
    <t>0198ef6d-8543-84b3-b062-46c55df6611b</t>
  </si>
  <si>
    <t>0198ef6d-8543-019e-9b59-3976812ba31d</t>
  </si>
  <si>
    <t>0198ef6d-8543-9692-4d73-8baa6656fb8d</t>
  </si>
  <si>
    <t>from_concept_id</t>
  </si>
  <si>
    <t>to_concept_id</t>
  </si>
  <si>
    <t>dm.qc.no_identical_from_to</t>
  </si>
  <si>
    <t>dm.from_concept.concept_set.code</t>
  </si>
  <si>
    <t>dm.to_concept.concept_set.code</t>
  </si>
  <si>
    <t>019965ee-523d-8f13-b94b-16fb4469bb06</t>
  </si>
  <si>
    <t>019965ee-523d-6fda-d1cb-4f3cb8eb8637</t>
  </si>
  <si>
    <t>dm.from_concept.name</t>
  </si>
  <si>
    <t>dm.to_concept.name</t>
  </si>
  <si>
    <t>019542cc-8225-8f5d-fa30-d9c3f2629703</t>
  </si>
  <si>
    <t>key</t>
  </si>
  <si>
    <t>["CASEDB_APP_ADMIN"]</t>
  </si>
  <si>
    <t>["CASEDB_REFDATA_ADMIN"]</t>
  </si>
  <si>
    <t>["CASEDB_ORG_ADMIN"]</t>
  </si>
  <si>
    <t>["CASEDB_ORG_USER"]</t>
  </si>
  <si>
    <t>["CASEDB_ROOT"]</t>
  </si>
  <si>
    <t>root1_1@org1.org</t>
  </si>
  <si>
    <t>app_admin1_1@org1.org</t>
  </si>
  <si>
    <t>refdata_admin1_1@org1.org</t>
  </si>
  <si>
    <t>org_admin1_1@org1.org</t>
  </si>
  <si>
    <t>org_admin2_1@org2.org</t>
  </si>
  <si>
    <t>org_admin3_1@org3.org</t>
  </si>
  <si>
    <t>org_admin4_1@org4.org</t>
  </si>
  <si>
    <t>org_admin5_1@org5.org</t>
  </si>
  <si>
    <t>org_user1_1@org1.org</t>
  </si>
  <si>
    <t>org_user1_2@org1.org</t>
  </si>
  <si>
    <t>org_user1_3@org1.org</t>
  </si>
  <si>
    <t>org_user1_4@org1.org</t>
  </si>
  <si>
    <t>org_user2_1@org2.org</t>
  </si>
  <si>
    <t>org_user2_2@org2.org</t>
  </si>
  <si>
    <t>org_user2_3@org2.org</t>
  </si>
  <si>
    <t>org_user2_4@org2.org</t>
  </si>
  <si>
    <t>org_user3_1@org3.org</t>
  </si>
  <si>
    <t>org_user3_2@org3.org</t>
  </si>
  <si>
    <t>org_user3_3@org3.org</t>
  </si>
  <si>
    <t>org_user3_4@org3.org</t>
  </si>
  <si>
    <t>org_user4_1@org4.org</t>
  </si>
  <si>
    <t>org_user4_2@org4.org</t>
  </si>
  <si>
    <t>org_user4_3@org4.org</t>
  </si>
  <si>
    <t>org_user4_4@org4.org</t>
  </si>
  <si>
    <t>org_user5_1@org5.org</t>
  </si>
  <si>
    <t>org_user5_2@org5.org</t>
  </si>
  <si>
    <t>org_user5_3@org5.org</t>
  </si>
  <si>
    <t>org_user5_4@org5.org</t>
  </si>
  <si>
    <t>resolution</t>
  </si>
  <si>
    <t>is_case_date_dim</t>
  </si>
  <si>
    <t>dm.dim.dim_type</t>
  </si>
  <si>
    <t>ID_PERSON</t>
  </si>
  <si>
    <t>ID_CASE</t>
  </si>
  <si>
    <t>019a8753-bf2c-11a3-ffc0-920ea3cc02d3</t>
  </si>
  <si>
    <t>019a8753-bf2c-7723-2de8-7a1e80d0f90e</t>
  </si>
  <si>
    <t>019a8753-bf2c-7f23-5feb-5856f75e3ac4</t>
  </si>
  <si>
    <t>019a8753-bf2c-e120-df50-ee274d4d0bea</t>
  </si>
  <si>
    <t>019a8753-bf2c-2576-37b2-48d393c0805b</t>
  </si>
  <si>
    <t>019a8753-bf2c-21c8-0283-22d2864e1a10</t>
  </si>
  <si>
    <t>019a8753-bf2c-75ce-52ad-567429f69a79</t>
  </si>
  <si>
    <t>019a8753-bf2c-b92e-74d8-3cf4632872eb</t>
  </si>
  <si>
    <t>019a8753-bf2c-cfe8-b31f-d4d69b923add</t>
  </si>
  <si>
    <t>019a8753-bf2c-2a28-5638-214464e36193</t>
  </si>
  <si>
    <t>019a8753-bf2c-dd77-ce96-388e4cb1d50d</t>
  </si>
  <si>
    <t>019a8753-bf2c-6c1f-a038-a54fc110a17d</t>
  </si>
  <si>
    <t>019a8753-bf2c-4af7-405c-e41281bd4768</t>
  </si>
  <si>
    <t>019a8753-bf2c-9eb6-17e8-54eecf44bef0</t>
  </si>
  <si>
    <t>019a8753-bf2c-36d9-d411-21f51909e93d</t>
  </si>
  <si>
    <t>019a8753-bf2c-fd41-03f4-5970bcc2a450</t>
  </si>
  <si>
    <t>019a8753-bf2c-dc84-0965-a443a68e4f56</t>
  </si>
  <si>
    <t>019a8753-bf2c-520b-217f-8333392abe0d</t>
  </si>
  <si>
    <t>019a8753-bf2c-c9ac-f09f-7f0f89e89bfe</t>
  </si>
  <si>
    <t>019a8753-bf2c-dff3-b839-55291986b38f</t>
  </si>
  <si>
    <t>019a8753-bf2c-3724-e24d-31ab9949942c</t>
  </si>
  <si>
    <t>019a8753-bf2c-2906-eccb-8e3fdc01c4e9</t>
  </si>
  <si>
    <t>019a8753-bf2c-c782-24a8-ed9df57dc9c2</t>
  </si>
  <si>
    <t>019a8753-bf2c-1831-af92-c53eaeb82232</t>
  </si>
  <si>
    <t>019a8753-bf2c-d926-4504-bb8132902e1f</t>
  </si>
  <si>
    <t>019a8753-bf2c-7bb5-c0ed-b57447a8373c</t>
  </si>
  <si>
    <t>019a8753-bf2c-3dd8-97f0-772130e63e6d</t>
  </si>
  <si>
    <t>019a8753-bf2c-75f8-b973-28c80241e65e</t>
  </si>
  <si>
    <t>019a8753-bf2c-d779-5819-b6b424cd9746</t>
  </si>
  <si>
    <t>019a8753-bf2c-2ca6-16b7-29203dfa94f8</t>
  </si>
  <si>
    <t>019a8753-bf2c-8af4-e868-a63b3e955d0a</t>
  </si>
  <si>
    <t>019a8753-bf2c-ccf6-da92-9c171249af6e</t>
  </si>
  <si>
    <t>019a8753-bf2c-4df7-8008-1baf7cdebb77</t>
  </si>
  <si>
    <t>019a8753-bf2c-18f2-9d15-4ee94bf4a605</t>
  </si>
  <si>
    <t>019a8753-bf2c-2942-e0d4-0692318cb410</t>
  </si>
  <si>
    <t>019a8753-bf2c-8e28-ca36-ce2bcab6e3d6</t>
  </si>
  <si>
    <t>019a8753-bf2c-d39d-b2fb-bda1c25f9d48</t>
  </si>
  <si>
    <t>019a8753-bf2c-5462-557c-cd80c194c864</t>
  </si>
  <si>
    <t>019a8753-bf2c-890c-caa2-cc05be078ce2</t>
  </si>
  <si>
    <t>019a8753-bf2c-43e0-9b12-3aa7a3345580</t>
  </si>
  <si>
    <t>dm.code</t>
  </si>
  <si>
    <t>dm.case_type.code</t>
  </si>
  <si>
    <t>dm.dim.code</t>
  </si>
  <si>
    <t>case_type_dim_id</t>
  </si>
  <si>
    <t>dm.case_type_dim.code</t>
  </si>
  <si>
    <t>dm.col.col_type</t>
  </si>
  <si>
    <t>019a8753-bf2c-560b-3a96-5a85cc1810ab</t>
  </si>
  <si>
    <t>019a8753-bf2c-28c0-1120-5f8e8209028d</t>
  </si>
  <si>
    <t>019a8753-bf2c-2b71-e049-02021035fa92</t>
  </si>
  <si>
    <t>operation</t>
  </si>
  <si>
    <t>dm.organization.id</t>
  </si>
  <si>
    <t>dm.user.roles.is_ge_app_admin</t>
  </si>
  <si>
    <t>dm.organization_access_case_policy.row</t>
  </si>
  <si>
    <t>dm.organization_access_case_policy.case_type_set.contains_case_type</t>
  </si>
  <si>
    <t>dm.organization_access_case_policy.add_case</t>
  </si>
  <si>
    <t>dm.organization_access_case_policy.remove_case</t>
  </si>
  <si>
    <t>dm.user_access_case_policy.row</t>
  </si>
  <si>
    <t>dm.user_access_case_policy.case_type_set.contains_case_type</t>
  </si>
  <si>
    <t>dm.user_access_case_policy.add_case</t>
  </si>
  <si>
    <t>dm.user_access_case_policy.remove_case</t>
  </si>
  <si>
    <t>case.id</t>
  </si>
  <si>
    <t>case.case_type_id</t>
  </si>
  <si>
    <t>dm.case.case_type.code</t>
  </si>
  <si>
    <t>dm.case.case_type.cols_match</t>
  </si>
  <si>
    <t>case.subject_id</t>
  </si>
  <si>
    <t>case.created_in_data_collection_id</t>
  </si>
  <si>
    <t>dm.case.created_in_data_collection.name</t>
  </si>
  <si>
    <t>case.count</t>
  </si>
  <si>
    <t>case.case_date</t>
  </si>
  <si>
    <t>case.content.case_type_col_id1</t>
  </si>
  <si>
    <t>case.content.case_type_col_value1</t>
  </si>
  <si>
    <t>dm.case.content.case_type_col_code1</t>
  </si>
  <si>
    <t>dm.organization_access_case_policy.read_case_type_col_set.contains_col1</t>
  </si>
  <si>
    <t>dm.organization_access_case_policy.write_case_type_col_set.contains_col1</t>
  </si>
  <si>
    <t>dm.user_access_case_policy.read_case_type_col_set.contains_col1</t>
  </si>
  <si>
    <t>dm.user_access_case_policy.write_case_type_col_set.contains_col1</t>
  </si>
  <si>
    <t>case.content.case_type_col_id2</t>
  </si>
  <si>
    <t>case.content.case_type_col_value2</t>
  </si>
  <si>
    <t>dm.case.content.case_type_col_code2</t>
  </si>
  <si>
    <t>dm.organization_access_case_policy.read_case_type_col_set.contains_col2</t>
  </si>
  <si>
    <t>dm.organization_access_case_policy.write_case_type_col_set.contains_col2</t>
  </si>
  <si>
    <t>dm.user_access_case_policy.read_case_type_col_set.contains_col2</t>
  </si>
  <si>
    <t>dm.user_access_case_policy.write_case_type_col_set.contains_col2</t>
  </si>
  <si>
    <t>case.content.case_type_col_id3</t>
  </si>
  <si>
    <t>case.content.case_type_col_value3</t>
  </si>
  <si>
    <t>dm.case.content.case_type_col_code3</t>
  </si>
  <si>
    <t>dm.organization_access_case_policy.read_case_type_col_set.contains_col3</t>
  </si>
  <si>
    <t>dm.organization_access_case_policy.write_case_type_col_set.contains_col3</t>
  </si>
  <si>
    <t>dm.user_access_case_policy.read_case_type_col_set.contains_col3</t>
  </si>
  <si>
    <t>dm.user_access_case_policy.write_case_type_col_set.contains_col3</t>
  </si>
  <si>
    <t>0198221b-5adb-2bd2-27ee-f32693770240</t>
  </si>
  <si>
    <t>CREATE</t>
  </si>
  <si>
    <t>0198221b-5adb-2c9d-bed2-3ec38384a0ef</t>
  </si>
  <si>
    <t>a</t>
  </si>
  <si>
    <t>0198221b-5adb-8c9b-d440-6f661d5bac2d</t>
  </si>
  <si>
    <t>0198221b-5adb-867c-dfe6-fb216e643760</t>
  </si>
  <si>
    <t>0198221b-5adb-07fc-811a-cec040f6fed6</t>
  </si>
  <si>
    <t>0198221b-5adb-7040-eaf9-8365166dcc2d</t>
  </si>
  <si>
    <t>0198221b-5adb-d596-0352-8ae2fe336894</t>
  </si>
  <si>
    <t>0198221b-5adb-f506-672a-860dee7d4d46</t>
  </si>
  <si>
    <t>0198221b-5adb-068a-e2eb-3e3da27aaf5c</t>
  </si>
  <si>
    <t>0198221b-5adb-97fb-41db-bca5efc1bbb6</t>
  </si>
  <si>
    <t>0198221b-5adb-ea6d-fc5c-e1198ac9e42f</t>
  </si>
  <si>
    <t>CREATE_CASES</t>
  </si>
  <si>
    <t>0198221b-5adb-ac88-8aac-4b199ae92773</t>
  </si>
  <si>
    <t>0198221b-5adb-2258-c194-eab8a8e94b90</t>
  </si>
  <si>
    <t>0198221b-5adb-bbaa-606d-fc0c31bc55ee</t>
  </si>
  <si>
    <t>0198221b-5adb-b228-da11-ccdf25de9889</t>
  </si>
  <si>
    <t>0198221b-5adb-85c7-196b-12b91ee34e77</t>
  </si>
  <si>
    <t>0198221b-5adb-6712-a2c4-38df7f83dd40</t>
  </si>
  <si>
    <t>0198221b-5adb-d4f6-4e42-26879a67e60d</t>
  </si>
  <si>
    <t>0198221b-5adb-9ef9-82c0-1550af9c3e38</t>
  </si>
  <si>
    <t>0198221b-5adb-57b9-7d6d-b52471539bc0</t>
  </si>
  <si>
    <t>0198221b-5adb-f11d-89f9-a9213494ad86</t>
  </si>
  <si>
    <t>0198221b-5adb-20aa-d1e5-7af28585f4cd</t>
  </si>
  <si>
    <t>0198221b-5adb-fd39-e2c2-fdb8423dd886</t>
  </si>
  <si>
    <t>0198221b-5adb-6cc0-2728-70c3c1435504</t>
  </si>
  <si>
    <t>0198221b-5adb-5fc1-5354-3d8d95aa4a9e</t>
  </si>
  <si>
    <t>0198221b-5adb-cc8f-d3d3-c535534fa0b5</t>
  </si>
  <si>
    <t>0198221b-5adb-ddd6-979e-1bba8f8f1457</t>
  </si>
  <si>
    <t>0198221b-5adb-d633-15a6-81f60daffa3d</t>
  </si>
  <si>
    <t>0198221b-5adb-b81a-6445-5821c5be8042</t>
  </si>
  <si>
    <t>0198221b-5adb-1fb8-adbd-1546f5716bd9</t>
  </si>
  <si>
    <t>0198221b-5adb-0ace-8121-22e0649d7ef6</t>
  </si>
  <si>
    <t>0198221b-5adb-4850-3497-4b12943429f1</t>
  </si>
  <si>
    <t>0198221b-5adb-e0af-d03c-ba13fd3f1ea9</t>
  </si>
  <si>
    <t>0198221b-5adb-43dc-a2c3-c81fd5622ac8</t>
  </si>
  <si>
    <t>0198221b-5adb-9513-0fe6-574e8003959f</t>
  </si>
  <si>
    <t>0198221b-5adb-aee0-82f6-c4a26d3283a0</t>
  </si>
  <si>
    <t>0198221b-5adb-b71b-770c-1d1f5fe458f9</t>
  </si>
  <si>
    <t>0198221b-5adb-9931-0a8d-e23a4e5552cd</t>
  </si>
  <si>
    <t>0198221b-5adb-ea5b-5bab-8737182b36d9</t>
  </si>
  <si>
    <t>0198221b-5adb-b677-a9d4-754cbc907dbc</t>
  </si>
  <si>
    <t>0198221b-5adb-b8dc-9640-148ff83031e0</t>
  </si>
  <si>
    <t>0198221b-5adb-10c4-313c-6499608215b5</t>
  </si>
  <si>
    <t>0198221b-5adb-114a-d2c3-3fa3f7976291</t>
  </si>
  <si>
    <t>0198221b-5adb-2828-3cc8-55155e239127</t>
  </si>
  <si>
    <t>0198221b-5adb-b2e6-5ab8-3066c2bd38b1</t>
  </si>
  <si>
    <t>0198221b-5adb-321f-5ee7-dd820e5a07ee</t>
  </si>
  <si>
    <t>0198221b-5adb-4122-2fcc-b287ceaafcd7</t>
  </si>
  <si>
    <t>0198221b-5adb-dc9f-d94b-1583e4d165ea</t>
  </si>
  <si>
    <t>0198221b-5adb-55e9-ecf0-01f11d89bf77</t>
  </si>
  <si>
    <t>0198221b-5adb-10e2-5005-c6dfd292377e</t>
  </si>
  <si>
    <t>0198221b-5adb-2889-9d33-095d39582a3b</t>
  </si>
  <si>
    <t>0198221b-5adb-e736-1c66-8862661e3dc9</t>
  </si>
  <si>
    <t>0198221b-5adb-b69d-2078-026c49f73f6f</t>
  </si>
  <si>
    <t>0198221b-5adb-2109-0013-e29ef1b29549</t>
  </si>
  <si>
    <t>0198221b-5adb-597a-a234-f9a6561048cb</t>
  </si>
  <si>
    <t>0198221b-5adb-9689-90be-94bda4a4e836</t>
  </si>
  <si>
    <t>0198221b-5adb-dc0a-692d-5eed002b2336</t>
  </si>
  <si>
    <t>0198221b-5adb-be71-7334-c8bae8be08d4</t>
  </si>
  <si>
    <t>0198221b-5adb-d318-2117-9f0a409cfec2</t>
  </si>
  <si>
    <t>0198221b-5adb-f463-ba54-be4afd804e63</t>
  </si>
  <si>
    <t>0198221b-5adb-0c1d-c169-ceb27931831e</t>
  </si>
  <si>
    <t>0198221b-5adb-2fbc-3fdd-ac18e4d653c6</t>
  </si>
  <si>
    <t>0198221b-5adb-cc25-3960-745ee0095570</t>
  </si>
  <si>
    <t>0198221b-5adb-8e4f-2557-bd1a9714a5a8</t>
  </si>
  <si>
    <t>0198221b-5adb-cc25-3960-745ee0095571</t>
  </si>
  <si>
    <t>0198221b-5adb-8e4f-2557-bd1a9714a5a9</t>
  </si>
  <si>
    <t>0198221b-5adb-cc25-3960-745ee0095572</t>
  </si>
  <si>
    <t>0198221b-5adb-cc25-3960-745ee0095573</t>
  </si>
  <si>
    <t>0198221b-5adb-cc25-3960-745ee0095574</t>
  </si>
  <si>
    <t>0198221b-5adb-cc25-3960-745ee0095575</t>
  </si>
  <si>
    <t>0198221b-5adb-cc25-3960-745ee0095576</t>
  </si>
  <si>
    <t>0198221b-5adb-cc25-3960-745ee0095577</t>
  </si>
  <si>
    <t>0198221b-5adb-cc25-3960-745ee0095578</t>
  </si>
  <si>
    <t>0198221b-5adb-cc25-3960-745ee0095579</t>
  </si>
  <si>
    <t>0198221b-5adb-cc25-3960-745ee0095580</t>
  </si>
  <si>
    <t>arg</t>
  </si>
  <si>
    <t>0198221b-5adb-cc25-3960-745ee0095581</t>
  </si>
  <si>
    <t>0198221b-5adb-cc25-3960-745ee0095582</t>
  </si>
  <si>
    <t>0198221b-5adb-cc25-3960-745ee0095583</t>
  </si>
  <si>
    <t>0198221b-5adb-cc25-3960-745ee0095584</t>
  </si>
  <si>
    <t>0198221b-5adb-cc25-3960-745ee0095585</t>
  </si>
  <si>
    <t>0198221b-5adb-cc25-3960-745ee0095586</t>
  </si>
  <si>
    <t>0198221b-5adb-cc25-3960-745ee0095587</t>
  </si>
  <si>
    <t>0198221b-5adb-cc25-3960-745ee0095588</t>
  </si>
  <si>
    <t>0198221b-5adb-cc25-3960-745ee0095589</t>
  </si>
  <si>
    <t>0198221b-5adb-cc25-3960-745ee0095590</t>
  </si>
  <si>
    <t>0198221b-5adb-cc25-3960-745ee0095591</t>
  </si>
  <si>
    <t>0198221b-5adb-8e4f-2557-bd1a9714a5a0</t>
  </si>
  <si>
    <t>0198221b-5adb-cc25-3960-745ee0095592</t>
  </si>
  <si>
    <t>0198221b-5adb-8e4f-2557-bd1a9714a5a1</t>
  </si>
  <si>
    <t>0198221b-5adb-cc25-3960-745ee0095593</t>
  </si>
  <si>
    <t>0198221b-5adb-8e4f-2557-bd1a9714a5a3</t>
  </si>
  <si>
    <t>0198221b-5adb-cc25-3960-745ee0095594</t>
  </si>
  <si>
    <t>0198221b-5adb-cc25-3960-745ee0095595</t>
  </si>
  <si>
    <t>0198221b-5adb-cc25-3960-745ee0095596</t>
  </si>
  <si>
    <t>0198221b-5adb-cc25-3960-745ee0095597</t>
  </si>
  <si>
    <t>0198221b-5adb-cc25-3960-745ee0095598</t>
  </si>
  <si>
    <t>0198221b-5adb-cc25-3960-745ee0095599</t>
  </si>
  <si>
    <t>0198221b-5adb-cc25-3960-745ee0095600</t>
  </si>
  <si>
    <t>0198221b-5adb-cc25-3960-745ee0095601</t>
  </si>
  <si>
    <t>0198221b-5adb-cc25-3960-745ee0095602</t>
  </si>
  <si>
    <t>0198221b-5adb-cc25-3960-745ee0095603</t>
  </si>
  <si>
    <t>0198221b-5adb-cc25-3960-745ee0095604</t>
  </si>
  <si>
    <t>0198221b-5adb-cc25-3960-745ee0095605</t>
  </si>
  <si>
    <t>0198221b-5adb-cc25-3960-745ee0095606</t>
  </si>
  <si>
    <t>0198221b-5adb-cc25-3960-745ee0095607</t>
  </si>
  <si>
    <t>0198221b-5adb-cc25-3960-745ee0095608</t>
  </si>
  <si>
    <t>0198221b-5adb-cc25-3960-745ee0095609</t>
  </si>
  <si>
    <t>0198221b-5adb-cc25-3960-745ee0095610</t>
  </si>
  <si>
    <t>0198221b-5adb-cc25-3960-745ee0095611</t>
  </si>
  <si>
    <t>0198221b-5adb-cc25-3960-745ee0095612</t>
  </si>
  <si>
    <t>xyz</t>
  </si>
  <si>
    <t>case.code</t>
  </si>
  <si>
    <t>019a8753-bf2c-6736-45f3-e51be3f8198a</t>
  </si>
  <si>
    <t>019a8753-bf2c-30f2-25e7-b666c207ecd1</t>
  </si>
  <si>
    <t>019a8753-bf2c-6038-8228-9423bf72b4c7</t>
  </si>
  <si>
    <t>019a8753-bf2c-7f5c-2ac5-080f7445073c</t>
  </si>
  <si>
    <t>019a8753-bf2c-2ad1-695d-91c2de758f72</t>
  </si>
  <si>
    <t>019a8753-bf2c-b1c5-f4d2-cbd4bb120f8a</t>
  </si>
  <si>
    <t>019a8753-bf2c-b218-f0e7-31e7a565acf9</t>
  </si>
  <si>
    <t>019a8753-bf2c-92ec-aecb-61d7d86f87cd</t>
  </si>
  <si>
    <t>019a8753-bf2c-1b70-418c-112fdaa45670</t>
  </si>
  <si>
    <t>019a8753-bf2c-40b7-c27d-db870a816d04</t>
  </si>
  <si>
    <t>019a8753-bf2c-4c50-1550-07f654ebf9b5</t>
  </si>
  <si>
    <t>019a8753-bf2c-5f22-8241-8ff215e72832</t>
  </si>
  <si>
    <t>GENETIC_READS</t>
  </si>
  <si>
    <t>GENETIC_SEQUENCE</t>
  </si>
  <si>
    <t>GENETIC_PROFILE</t>
  </si>
  <si>
    <t>GENETIC_DISTANCE</t>
  </si>
  <si>
    <t>seqdb_seq_distance_protocol_id</t>
  </si>
  <si>
    <t>seqdb_max_stored_distance</t>
  </si>
  <si>
    <t>seqdb_is_integer_distance</t>
  </si>
  <si>
    <t>min_scale_unit</t>
  </si>
  <si>
    <t>dm.include</t>
  </si>
  <si>
    <t>018e939f-fcd8-ce9f-c733-24999ae57c22</t>
  </si>
  <si>
    <t>018e939f-fcd8-88ba-d459-a67b77026947</t>
  </si>
  <si>
    <t>SALM cgMLST</t>
  </si>
  <si>
    <t>018e939f-fcd8-3ee7-2585-50c99e47dd7e</t>
  </si>
  <si>
    <t>018e939f-fcd8-6ec8-fb0d-8546e1f50a83</t>
  </si>
  <si>
    <t>SALM wgMLST</t>
  </si>
  <si>
    <t>018e939f-fcd8-0aa8-8314-a1fd64d004a7</t>
  </si>
  <si>
    <t>018e939f-fcd8-232d-8a53-1c563632578b</t>
  </si>
  <si>
    <t>SALM SNP</t>
  </si>
  <si>
    <t>0191c0e1-041b-6038-b62c-b5b605e62582</t>
  </si>
  <si>
    <t>0191c0e1-041b-77eb-9023-b19c05570113</t>
  </si>
  <si>
    <t>ECOLI cgMLST</t>
  </si>
  <si>
    <t>0191c0e1-041b-6f21-2f22-db35769266f2</t>
  </si>
  <si>
    <t>0191c0e1-041b-583c-3b8d-232fcdc2fc62</t>
  </si>
  <si>
    <t>ECOLI wgMLST</t>
  </si>
  <si>
    <t>0191c0e1-041b-2aa3-2551-4cb360798db0</t>
  </si>
  <si>
    <t>0191c0e1-041b-f489-4515-8a112a5fac01</t>
  </si>
  <si>
    <t>ECOLI SNP</t>
  </si>
  <si>
    <t>018e939f-fcd8-ba72-202e-729e62dadf5c</t>
  </si>
  <si>
    <t>018e939f-fcd8-7eb6-5ba0-069a90bf4a2d</t>
  </si>
  <si>
    <t>NORO SNP</t>
  </si>
  <si>
    <t>018e939f-fcd8-feac-ee5a-4ba5018c96bc</t>
  </si>
  <si>
    <t>018e939f-fcd8-3fd4-fad7-a3a49d252953</t>
  </si>
  <si>
    <t>MRSA cgMLST</t>
  </si>
  <si>
    <t>018e939f-fcd8-faa3-ede1-4dafdb463e54</t>
  </si>
  <si>
    <t>018e939f-fcd8-c32f-137d-974840423155</t>
  </si>
  <si>
    <t>MRSA wgMLST</t>
  </si>
  <si>
    <t>018e939f-fcd8-3525-f706-37305158ee3f</t>
  </si>
  <si>
    <t>018e939f-fcd8-7952-49a6-e082211310db</t>
  </si>
  <si>
    <t>MRSA SNP</t>
  </si>
  <si>
    <t>018e939f-fcd8-0c96-3645-c45946a74ee2</t>
  </si>
  <si>
    <t>018e939f-fcd8-a1f9-d3b2-12ad16500a1e</t>
  </si>
  <si>
    <t>TUBE SNP</t>
  </si>
  <si>
    <t>018e939f-fcd8-578f-7108-d805c18d4b0c</t>
  </si>
  <si>
    <t>018e939f-fcd8-0c17-c858-25cbac105098</t>
  </si>
  <si>
    <t>ECHO11 SNP</t>
  </si>
  <si>
    <t>018e939f-fcd8-4c17-3379-9ca86ab45c02</t>
  </si>
  <si>
    <t>018e939f-fcd8-b59e-0768-12374644078b</t>
  </si>
  <si>
    <t>HEPA SNP</t>
  </si>
  <si>
    <t>018e939f-fcd8-80d0-a8a6-ae1fef5330c1</t>
  </si>
  <si>
    <t>018e939f-fcd8-bb65-4d8b-987c20b08966</t>
  </si>
  <si>
    <t>MENI cgMLST</t>
  </si>
  <si>
    <t>018e939f-fcd8-9ca4-e83e-d79335c99430</t>
  </si>
  <si>
    <t>018e939f-fcd8-c6bf-eead-ea6f2f69a97e</t>
  </si>
  <si>
    <t>MENI wgMLST</t>
  </si>
  <si>
    <t>018e939f-fcd8-c8aa-7ce3-112843559c11</t>
  </si>
  <si>
    <t>018e939f-fcd8-db3f-1692-0d878fec8fa5</t>
  </si>
  <si>
    <t>MENI SNP</t>
  </si>
  <si>
    <t>018e939f-fcd8-517e-69cf-9f63d1824bc2</t>
  </si>
  <si>
    <t>018e939f-fcd8-6998-c64f-2284dd5eb5d0</t>
  </si>
  <si>
    <t>YERS cgMLST</t>
  </si>
  <si>
    <t>018e939f-fcd8-bf31-3d07-f8ba733b2f36</t>
  </si>
  <si>
    <t>018e939f-fcd8-6c5b-ae7f-d8d17dbed417</t>
  </si>
  <si>
    <t>YERS wgMLST</t>
  </si>
  <si>
    <t>018e939f-fcd8-ff24-e12e-aeee09cb109d</t>
  </si>
  <si>
    <t>018e939f-fcd8-6052-c675-e8687637e2f6</t>
  </si>
  <si>
    <t>YERS SNP</t>
  </si>
  <si>
    <t>018e939f-fcd8-b029-b534-158b8859c14d</t>
  </si>
  <si>
    <t>018e939f-fcd8-f77a-54c7-4dd8ab1e79ae</t>
  </si>
  <si>
    <t>SARS2 SNP</t>
  </si>
  <si>
    <t>0191707a-1d8a-24e7-05c9-5c727e75ecdc</t>
  </si>
  <si>
    <t>0191707a-1d8a-5424-ea5e-9e93fc0d20bd</t>
  </si>
  <si>
    <t>MPOX SNP</t>
  </si>
  <si>
    <t>019a8753-bf2c-9453-b15d-89c34c458c7b</t>
  </si>
  <si>
    <t>019a8753-bf2c-d8fe-4eb0-a53eba9beff2</t>
  </si>
  <si>
    <t>019a8753-bf2c-669d-8459-e719545f2884</t>
  </si>
  <si>
    <t>019a8753-bf2c-94d8-6e68-a149eb6e832b</t>
  </si>
  <si>
    <t>019a8753-bf2c-6320-9905-6292b78d6e29</t>
  </si>
  <si>
    <t>019a8753-bf2c-a49f-a4c9-d9396889bd0c</t>
  </si>
  <si>
    <t>019a8753-bf2c-7967-8214-b5acd522f6a0</t>
  </si>
  <si>
    <t>019a8753-bf2c-f874-929d-fa14452a0de1</t>
  </si>
  <si>
    <t>019a8753-bf2c-631f-91f0-cd8c0742426e</t>
  </si>
  <si>
    <t>019a8753-bf2c-e119-fd51-451b080ba5e2</t>
  </si>
  <si>
    <t>019a8753-bf2c-c21b-8e4c-6a7c42d05ab8</t>
  </si>
  <si>
    <t>019a8753-bf2c-eaec-ad1a-19099112f11b</t>
  </si>
  <si>
    <t>019a8753-bf2c-ac0e-6094-b453f8a8f0bf</t>
  </si>
  <si>
    <t>019a8753-bf2c-72f3-1050-36bd41af94c6</t>
  </si>
  <si>
    <t>019a8753-bf2c-9d55-e919-4048becd0188</t>
  </si>
  <si>
    <t>019a8753-bf2c-31ce-e02e-41a60982d788</t>
  </si>
  <si>
    <t>(FILE)</t>
  </si>
  <si>
    <t>019a8753-bf2c-f1b7-29d3-a608c02894ba</t>
  </si>
  <si>
    <t>019a8753-bf2c-7994-4a48-8c93193fa339</t>
  </si>
  <si>
    <t>019a8753-bf2c-b0e6-faa4-ab98cf481b3d</t>
  </si>
  <si>
    <t>019a8753-bf2c-a6c7-c059-91ef4c330d78</t>
  </si>
  <si>
    <t>019a8753-bf2c-6387-9833-e11677ca4965</t>
  </si>
  <si>
    <t>019a8753-bf2c-28c3-b253-515b25eff79d</t>
  </si>
  <si>
    <t>019a8753-bf2c-b818-836d-71b675557758</t>
  </si>
  <si>
    <t>019a8753-bf2c-5829-4223-f1c29a5faa81</t>
  </si>
  <si>
    <t>019a8753-bf2c-8e8b-162d-24e9e7a832bd</t>
  </si>
  <si>
    <t>019a8753-bf2c-a60e-cfad-108e310041c4</t>
  </si>
  <si>
    <t>019a8753-bf2c-59ea-8b00-3bdbe3bc17b6</t>
  </si>
  <si>
    <t>019a8753-bf2c-eee7-2021-ba0587510498</t>
  </si>
  <si>
    <t>019a8753-bf2c-7bbb-b5bf-377780e07684</t>
  </si>
  <si>
    <t>019a8753-bf2c-e661-d807-ff45d0f591c7</t>
  </si>
  <si>
    <t>019a8753-bf2c-76f0-c7cd-a04b94f6923d</t>
  </si>
  <si>
    <t>019a8753-bf2c-f06a-ea01-0aad2ee12cab</t>
  </si>
  <si>
    <t>019a8753-bf2c-533c-c2fe-7c6e912ee2e9</t>
  </si>
  <si>
    <t>019a8753-bf2c-2009-cb5d-b36dbcc53e57</t>
  </si>
  <si>
    <t>019a8753-bf2c-a418-cf6c-99f8457bae0d</t>
  </si>
  <si>
    <t>019a8753-bf2c-28eb-bc76-bb51183e50ea</t>
  </si>
  <si>
    <t>dm.region_set.name</t>
  </si>
  <si>
    <t>dm.genetic_distance_protocol.code</t>
  </si>
  <si>
    <t>dm.concept_set.name</t>
  </si>
  <si>
    <t>identifier_issuer1</t>
  </si>
  <si>
    <t>identifier_issuer2</t>
  </si>
  <si>
    <t>identifier_issuer3</t>
  </si>
  <si>
    <t>identifier_issuer4</t>
  </si>
  <si>
    <t>identifier_issuer5</t>
  </si>
  <si>
    <t>019a8753-bf2c-e0f0-6c51-beac31d70c3e</t>
  </si>
  <si>
    <t>019a8753-bf2c-87a6-1ed6-5d2fa0bcb757</t>
  </si>
  <si>
    <t>019a8753-bf2c-1733-67e4-64f1e4a649ff</t>
  </si>
  <si>
    <t>019a8753-bf2c-0721-70c5-d58ba48ada53</t>
  </si>
  <si>
    <t>019a8753-bf2c-1e2d-edcb-3f3716431163</t>
  </si>
  <si>
    <t>ID_SAMPLE</t>
  </si>
  <si>
    <t>ID_GENETIC_SEQUENCE</t>
  </si>
  <si>
    <t>ID_EVENT</t>
  </si>
  <si>
    <t>019a8753-bf2c-b427-d5ba-9747d699e21c</t>
  </si>
  <si>
    <t>019a8753-bf2c-b04d-a317-1b7c6b304038</t>
  </si>
  <si>
    <t>019a8753-bf2c-c0b8-376a-c4461cb0869e</t>
  </si>
  <si>
    <t>019a8753-bf2c-8c3b-cf55-178d0a80164a</t>
  </si>
  <si>
    <t>019a8753-bf2c-f15c-ca20-3d1633c0d5f1</t>
  </si>
  <si>
    <t>019a8753-bf2c-d422-00be-f1be965d0f5a</t>
  </si>
  <si>
    <t>019a8753-bf2c-9a86-7be8-43526cc1c429</t>
  </si>
  <si>
    <t>019a8753-bf2c-f591-24f0-f9edb78f9192</t>
  </si>
  <si>
    <t>019a8753-bf2c-f3f7-6016-0c5560739934</t>
  </si>
  <si>
    <t>019a8753-bf2c-1fc3-41df-28069ed678ed</t>
  </si>
  <si>
    <t>019a8753-bf2c-5435-6d82-0d4bbda15cdc</t>
  </si>
  <si>
    <t>019a8753-bf2c-d963-53a0-0a58a5fb0403</t>
  </si>
  <si>
    <t>019a8753-bf2c-1184-b8a0-fe200b1932c0</t>
  </si>
  <si>
    <t>019a8753-bf2c-e6de-0368-fb15091387bf</t>
  </si>
  <si>
    <t>019a8753-bf2c-1b0f-a58a-4a21f6d7c0eb</t>
  </si>
  <si>
    <t>019a8753-bf2c-06b1-dd05-2dfaec35ef66</t>
  </si>
  <si>
    <t>019a8753-bf2c-b8e2-d6a5-e68f881e835c</t>
  </si>
  <si>
    <t>019a8753-bf2c-89f2-dbb4-94aa29107776</t>
  </si>
  <si>
    <t>019a8753-bf2c-e638-8113-abc10f56c699</t>
  </si>
  <si>
    <t>019a8753-bf2c-7c41-85dc-fcbc793431d6</t>
  </si>
  <si>
    <t>seqdb.sample_id_case_type_col_id</t>
  </si>
  <si>
    <t>seqdb.sequencing_protocol_id</t>
  </si>
  <si>
    <t>dm.seqdb.sample_id_case_type_col.code</t>
  </si>
  <si>
    <t>dm.seqdb.sequencing_protocol.code</t>
  </si>
  <si>
    <t>version</t>
  </si>
  <si>
    <t>dm.include_row</t>
  </si>
  <si>
    <t>01960be3-1a1b-0d70-a2db-b98d0029104d</t>
  </si>
  <si>
    <t>UNK</t>
  </si>
  <si>
    <t>Unknown</t>
  </si>
  <si>
    <t>01960be3-1a1b-96fe-ad93-60f0ce51dcba</t>
  </si>
  <si>
    <t>019965ee-5255-cea3-9854-c471ed5cca1d</t>
  </si>
  <si>
    <t>ILLUMINA</t>
  </si>
  <si>
    <t>Illumina</t>
  </si>
  <si>
    <t>019965ee-5255-c6e6-e5fb-f7acbb0423d4</t>
  </si>
  <si>
    <t>NANOPORE</t>
  </si>
  <si>
    <t>Nanopore</t>
  </si>
  <si>
    <t>seqdb.assembly_protocol_id</t>
  </si>
  <si>
    <t>dm.seqdb.assembly_protocol.code</t>
  </si>
  <si>
    <t>seqdb.identifier_issuer_id</t>
  </si>
  <si>
    <t>dm.seqdb.identifier_issuer.code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</si>
</sst>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  <bgColor rgb="FFF0F0F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9" fillId="0" borderId="0"/>
    <xf numFmtId="0" fontId="8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0" fillId="3" borderId="0" xfId="0" applyFill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0" fillId="0" borderId="0" xfId="0" quotePrefix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4" fontId="0" fillId="0" borderId="0" xfId="0" applyNumberFormat="1"/>
    <xf numFmtId="0" fontId="0" fillId="3" borderId="0" xfId="0" applyFill="1" applyAlignment="1">
      <alignment horizontal="left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0" fillId="5" borderId="0" xfId="0" applyFill="1"/>
    <xf numFmtId="0" fontId="5" fillId="0" borderId="0" xfId="1"/>
    <xf numFmtId="0" fontId="7" fillId="0" borderId="1" xfId="0" applyFont="1" applyBorder="1" applyAlignment="1">
      <alignment horizontal="center" vertical="top"/>
    </xf>
    <xf numFmtId="0" fontId="6" fillId="0" borderId="0" xfId="0" applyFont="1"/>
    <xf numFmtId="17" fontId="0" fillId="0" borderId="0" xfId="0" quotePrefix="1" applyNumberFormat="1"/>
    <xf numFmtId="0" fontId="6" fillId="3" borderId="0" xfId="0" applyFont="1" applyFill="1"/>
    <xf numFmtId="0" fontId="7" fillId="3" borderId="3" xfId="0" applyFont="1" applyFill="1" applyBorder="1" applyAlignment="1">
      <alignment horizontal="center" vertical="top"/>
    </xf>
    <xf numFmtId="0" fontId="10" fillId="0" borderId="0" xfId="2" applyFont="1"/>
    <xf numFmtId="0" fontId="10" fillId="4" borderId="0" xfId="2" applyFont="1" applyFill="1"/>
    <xf numFmtId="0" fontId="11" fillId="0" borderId="0" xfId="2" applyFont="1"/>
    <xf numFmtId="0" fontId="2" fillId="0" borderId="0" xfId="3" applyFont="1"/>
    <xf numFmtId="0" fontId="2" fillId="4" borderId="0" xfId="3" applyFont="1" applyFill="1"/>
    <xf numFmtId="0" fontId="12" fillId="0" borderId="0" xfId="2" applyFont="1"/>
    <xf numFmtId="0" fontId="12" fillId="4" borderId="0" xfId="2" applyFont="1" applyFill="1"/>
    <xf numFmtId="0" fontId="12" fillId="6" borderId="0" xfId="2" applyFont="1" applyFill="1"/>
    <xf numFmtId="0" fontId="11" fillId="3" borderId="0" xfId="2" applyFont="1" applyFill="1"/>
    <xf numFmtId="0" fontId="9" fillId="0" borderId="0" xfId="2"/>
    <xf numFmtId="0" fontId="9" fillId="3" borderId="0" xfId="2" applyFill="1"/>
  </cellXfs>
  <cellStyles count="4">
    <cellStyle name="Hyperlink" xfId="1" builtinId="8"/>
    <cellStyle name="Normal" xfId="0" builtinId="0"/>
    <cellStyle name="Normal 2" xfId="2" xr:uid="{65F00035-BC35-4542-AE93-744734368B30}"/>
    <cellStyle name="Normal 2 2" xfId="3" xr:uid="{1F472C33-505D-4B2B-9C1B-F819085757E6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o_v\Documents\idsdb\gen_epix_demo\data\casedb\extract\casedb.src.case.xlsx" TargetMode="External"/><Relationship Id="rId1" Type="http://schemas.openxmlformats.org/officeDocument/2006/relationships/externalLinkPath" Target="/Users/ivo_v/Documents/idsdb/gen_epix_demo/data/casedb/extract/casedb.src.ca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o_v\Documents\idsdb\gen_epix_demo\data\casedb\extract\casedb.src.organization.xlsx" TargetMode="External"/><Relationship Id="rId1" Type="http://schemas.openxmlformats.org/officeDocument/2006/relationships/externalLinkPath" Target="/Users/ivo_v/Documents/idsdb/gen_epix_demo/data/casedb/extract/casedb.src.organiz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o_v\Documents\idsdb\gen_epix_demo\data\seqdb\extract\seqdb.src.seq.xlsx" TargetMode="External"/><Relationship Id="rId1" Type="http://schemas.openxmlformats.org/officeDocument/2006/relationships/externalLinkPath" Target="/Users/ivo_v/Documents/idsdb/gen_epix_demo/data/seqdb/extract/seqdb.src.se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e.case_type"/>
      <sheetName val="case.dim"/>
      <sheetName val="case.col"/>
      <sheetName val="case.case_type_dim"/>
      <sheetName val="case.case_type_col"/>
      <sheetName val="case.case_type_set_category"/>
      <sheetName val="case.case_type_set"/>
      <sheetName val="case.case_type_set_member"/>
      <sheetName val="case.case_type_col_set"/>
      <sheetName val="case.case_type_col_set_member"/>
      <sheetName val="case.case"/>
      <sheetName val="case.case_data_collection_link"/>
      <sheetName val="case.case_set_category"/>
      <sheetName val="case.case_set_status"/>
      <sheetName val="case.case_set"/>
      <sheetName val="case.case_set_member"/>
      <sheetName val="case.case_set_data_collection_l"/>
      <sheetName val="case.case.ACANTH"/>
      <sheetName val="case.case.CRYP"/>
      <sheetName val="case.case.ECHO"/>
      <sheetName val="case.case.ECOLI"/>
      <sheetName val="case.case.HEPA"/>
      <sheetName val="case.case.MENI"/>
      <sheetName val="case.case.MPOX"/>
      <sheetName val="case.case.MRSA"/>
      <sheetName val="case.case.NORO"/>
      <sheetName val="case.case.PERT"/>
      <sheetName val="case.case.SALM"/>
      <sheetName val="case.case.SARS2"/>
      <sheetName val="case.case.TUBE"/>
      <sheetName val="case.case.YERS"/>
      <sheetName val="case.tree_algorithm_class"/>
      <sheetName val="case.tree_algorithm"/>
      <sheetName val="case.genetic_distance_protocol"/>
      <sheetName val="geo.region_set.copy"/>
      <sheetName val="ontology.concept_set.copy"/>
      <sheetName val="ontology.disease.copy"/>
      <sheetName val="ontology.etiological_agen.copy"/>
      <sheetName val="organization.organization.copy"/>
      <sheetName val="organization.data_collecti.copy"/>
      <sheetName val="geo.region.copy"/>
      <sheetName val="map.resid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ganization.organization_set"/>
      <sheetName val="organization.organization"/>
      <sheetName val="organization.user"/>
      <sheetName val="organization.site"/>
      <sheetName val="organization.contact"/>
      <sheetName val="organization.data_collection_se"/>
      <sheetName val="organization.data_collection"/>
      <sheetName val="organization.identifier_issuer"/>
      <sheetName val="organization.org_id_issuer_link"/>
      <sheetName val="organization.external_identifie"/>
      <sheetName val="geo.region.copy"/>
      <sheetName val="_identity_provi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q.alignment_protocol"/>
      <sheetName val="seq.allele"/>
      <sheetName val="seq.allele_alignment"/>
      <sheetName val="seq.allele_profile"/>
      <sheetName val="seq.assembly_protocol"/>
      <sheetName val="seq.ast_measurement"/>
      <sheetName val="seq.ast_prediction"/>
      <sheetName val="seq.ast_protocol"/>
      <sheetName val="seq.kmer_detection_protocol"/>
      <sheetName val="seq.kmer_profile"/>
      <sheetName val="seq.mlva_detection_protocol"/>
      <sheetName val="seq.mlva_profile"/>
      <sheetName val="seq.sequencing_protocol"/>
      <sheetName val="seq.locus"/>
      <sheetName val="seq.locus_detection_protocol"/>
      <sheetName val="seq.locus_profile"/>
      <sheetName val="seq.locus_set"/>
      <sheetName val="seq.locus_code_map"/>
      <sheetName val="seq.pcr_measurement"/>
      <sheetName val="seq.pcr_protocol"/>
      <sheetName val="seq.read_set"/>
      <sheetName val="seq.ref_allele"/>
      <sheetName val="seq.ref_seq"/>
      <sheetName val="seq.ref_snp"/>
      <sheetName val="seq.ref_snp_set"/>
      <sheetName val="seq.ref_snp_set_member"/>
      <sheetName val="seq.sample"/>
      <sheetName val="seq.sample_data_collection_link"/>
      <sheetName val="seq.sample_identifier"/>
      <sheetName val="seq.seq"/>
      <sheetName val="seq.seq_alignment"/>
      <sheetName val="seq.seq_category"/>
      <sheetName val="seq.seq_category_set"/>
      <sheetName val="seq.seq_classification"/>
      <sheetName val="seq.seq_classification_protocol"/>
      <sheetName val="seq.seq_distance"/>
      <sheetName val="seq.seq_distance_protocol"/>
      <sheetName val="seq.seq_taxonomy"/>
      <sheetName val="seq.snp_detection_protocol"/>
      <sheetName val="seq.snp_profile"/>
      <sheetName val="seq.taxon"/>
      <sheetName val="seq.taxonomy_protocol"/>
      <sheetName val="seq.taxon_set"/>
      <sheetName val="seq.taxon_set_member"/>
      <sheetName val="seq.tree_algorithm"/>
      <sheetName val="seq.tree_algorithm_class"/>
      <sheetName val="file.file.copy"/>
      <sheetName val="organization.data_collecti.co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vo Van Walle" id="{C9EC6694-F514-41B3-A525-ED38F2FC4C4C}" userId="a643b6571df4939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04-21T06:55:07.33" personId="{C9EC6694-F514-41B3-A525-ED38F2FC4C4C}" id="{15E51B03-5627-4D35-8093-BE59EFA2D09A}">
    <text>Different per standard:
- CDISC SDTM CT: one concept links to a single concept set, so can be filled in here</text>
  </threadedComment>
  <threadedComment ref="J1" dT="2024-04-21T06:55:07.33" personId="{C9EC6694-F514-41B3-A525-ED38F2FC4C4C}" id="{96837521-0505-42A2-B219-8A2F66E4A91C}">
    <text>Different per standard:
- CDISC SDTM CT: one concept links to a single concept set, so can be filled in here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refdata_admin1_1@org1.org" TargetMode="External"/><Relationship Id="rId1" Type="http://schemas.openxmlformats.org/officeDocument/2006/relationships/hyperlink" Target="mailto:refdata_admin1_1@org1.org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refdata_admin1_1@org1.org" TargetMode="External"/><Relationship Id="rId1" Type="http://schemas.openxmlformats.org/officeDocument/2006/relationships/hyperlink" Target="mailto:refdata_admin1_1@org1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A112-3177-4B6E-842E-8D66A82353FC}">
  <dimension ref="A1:H12"/>
  <sheetViews>
    <sheetView workbookViewId="0">
      <selection activeCell="A10" sqref="A10"/>
    </sheetView>
  </sheetViews>
  <sheetFormatPr defaultRowHeight="14.4" x14ac:dyDescent="0.3"/>
  <cols>
    <col min="1" max="1" width="35.6640625" bestFit="1" customWidth="1"/>
    <col min="2" max="2" width="24.5546875" bestFit="1" customWidth="1"/>
    <col min="3" max="3" width="44.77734375" bestFit="1" customWidth="1"/>
    <col min="4" max="4" width="19.21875" bestFit="1" customWidth="1"/>
    <col min="5" max="5" width="5.44140625" bestFit="1" customWidth="1"/>
    <col min="6" max="6" width="16.109375" bestFit="1" customWidth="1"/>
    <col min="7" max="7" width="10.33203125" bestFit="1" customWidth="1"/>
    <col min="8" max="8" width="44.77734375" bestFit="1" customWidth="1"/>
  </cols>
  <sheetData>
    <row r="1" spans="1:8" x14ac:dyDescent="0.3">
      <c r="A1" t="s">
        <v>0</v>
      </c>
      <c r="B1" t="s">
        <v>137</v>
      </c>
      <c r="C1" t="s">
        <v>57</v>
      </c>
      <c r="D1" t="s">
        <v>285</v>
      </c>
      <c r="E1" t="s">
        <v>293</v>
      </c>
      <c r="F1" t="s">
        <v>294</v>
      </c>
      <c r="G1" t="s">
        <v>295</v>
      </c>
      <c r="H1" t="s">
        <v>78</v>
      </c>
    </row>
    <row r="2" spans="1:8" x14ac:dyDescent="0.3">
      <c r="A2" t="s">
        <v>330</v>
      </c>
      <c r="B2" t="s">
        <v>698</v>
      </c>
      <c r="C2" t="s">
        <v>699</v>
      </c>
      <c r="D2" t="s">
        <v>297</v>
      </c>
      <c r="H2" t="s">
        <v>504</v>
      </c>
    </row>
    <row r="3" spans="1:8" x14ac:dyDescent="0.3">
      <c r="A3" t="s">
        <v>331</v>
      </c>
      <c r="B3" t="s">
        <v>700</v>
      </c>
      <c r="C3" t="s">
        <v>701</v>
      </c>
      <c r="D3" t="s">
        <v>297</v>
      </c>
      <c r="H3" t="s">
        <v>505</v>
      </c>
    </row>
    <row r="4" spans="1:8" x14ac:dyDescent="0.3">
      <c r="A4" t="s">
        <v>332</v>
      </c>
      <c r="B4" t="s">
        <v>702</v>
      </c>
      <c r="C4" t="s">
        <v>703</v>
      </c>
      <c r="D4" t="s">
        <v>296</v>
      </c>
      <c r="H4" t="s">
        <v>506</v>
      </c>
    </row>
    <row r="5" spans="1:8" x14ac:dyDescent="0.3">
      <c r="A5" t="s">
        <v>333</v>
      </c>
      <c r="B5" t="s">
        <v>704</v>
      </c>
      <c r="C5" t="s">
        <v>705</v>
      </c>
      <c r="D5" t="s">
        <v>296</v>
      </c>
      <c r="H5" t="s">
        <v>507</v>
      </c>
    </row>
    <row r="6" spans="1:8" x14ac:dyDescent="0.3">
      <c r="A6" t="s">
        <v>334</v>
      </c>
      <c r="B6" t="s">
        <v>706</v>
      </c>
      <c r="C6" t="s">
        <v>298</v>
      </c>
      <c r="D6" t="s">
        <v>341</v>
      </c>
      <c r="H6" t="s">
        <v>298</v>
      </c>
    </row>
    <row r="7" spans="1:8" x14ac:dyDescent="0.3">
      <c r="A7" t="s">
        <v>335</v>
      </c>
      <c r="B7" t="s">
        <v>707</v>
      </c>
      <c r="C7" t="s">
        <v>299</v>
      </c>
      <c r="D7" t="s">
        <v>341</v>
      </c>
      <c r="H7" t="s">
        <v>299</v>
      </c>
    </row>
    <row r="8" spans="1:8" x14ac:dyDescent="0.3">
      <c r="A8" t="s">
        <v>336</v>
      </c>
      <c r="B8" t="s">
        <v>708</v>
      </c>
      <c r="C8" t="s">
        <v>300</v>
      </c>
      <c r="D8" t="s">
        <v>341</v>
      </c>
      <c r="H8" t="s">
        <v>300</v>
      </c>
    </row>
    <row r="9" spans="1:8" x14ac:dyDescent="0.3">
      <c r="A9" t="s">
        <v>337</v>
      </c>
      <c r="B9" t="s">
        <v>709</v>
      </c>
      <c r="C9" t="s">
        <v>301</v>
      </c>
      <c r="D9" t="s">
        <v>341</v>
      </c>
      <c r="H9" t="s">
        <v>301</v>
      </c>
    </row>
    <row r="10" spans="1:8" x14ac:dyDescent="0.3">
      <c r="A10" t="s">
        <v>338</v>
      </c>
      <c r="B10" t="s">
        <v>710</v>
      </c>
      <c r="C10" t="s">
        <v>302</v>
      </c>
      <c r="D10" t="s">
        <v>341</v>
      </c>
      <c r="H10" t="s">
        <v>302</v>
      </c>
    </row>
    <row r="11" spans="1:8" x14ac:dyDescent="0.3">
      <c r="A11" t="s">
        <v>339</v>
      </c>
      <c r="B11" t="s">
        <v>711</v>
      </c>
      <c r="C11" t="s">
        <v>712</v>
      </c>
      <c r="D11" t="s">
        <v>303</v>
      </c>
      <c r="E11" t="s">
        <v>508</v>
      </c>
      <c r="H11" t="s">
        <v>508</v>
      </c>
    </row>
    <row r="12" spans="1:8" x14ac:dyDescent="0.3">
      <c r="A12" t="s">
        <v>340</v>
      </c>
      <c r="B12" t="s">
        <v>713</v>
      </c>
      <c r="C12" t="s">
        <v>714</v>
      </c>
      <c r="D12" t="s">
        <v>303</v>
      </c>
      <c r="E12" t="s">
        <v>509</v>
      </c>
      <c r="H12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7149-B80C-47C2-B2E8-DC2740D627A8}">
  <dimension ref="A1:M32"/>
  <sheetViews>
    <sheetView workbookViewId="0">
      <selection activeCell="F4" sqref="F4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19.88671875" bestFit="1" customWidth="1"/>
    <col min="4" max="4" width="10" bestFit="1" customWidth="1"/>
    <col min="5" max="5" width="10" customWidth="1"/>
    <col min="6" max="6" width="49.5546875" bestFit="1" customWidth="1"/>
    <col min="7" max="7" width="5.5546875" bestFit="1" customWidth="1"/>
    <col min="8" max="8" width="6.109375" bestFit="1" customWidth="1"/>
    <col min="9" max="9" width="18.88671875" style="6" bestFit="1" customWidth="1"/>
    <col min="10" max="10" width="36" bestFit="1" customWidth="1"/>
    <col min="11" max="11" width="12.88671875" style="6" customWidth="1"/>
    <col min="12" max="12" width="46.109375" style="6" bestFit="1" customWidth="1"/>
    <col min="13" max="13" width="14.77734375" style="6" customWidth="1"/>
  </cols>
  <sheetData>
    <row r="1" spans="1:13" x14ac:dyDescent="0.3">
      <c r="A1" t="s">
        <v>0</v>
      </c>
      <c r="B1" t="s">
        <v>137</v>
      </c>
      <c r="C1" t="s">
        <v>57</v>
      </c>
      <c r="D1" t="s">
        <v>78</v>
      </c>
      <c r="E1" t="s">
        <v>81</v>
      </c>
      <c r="F1" t="s">
        <v>148</v>
      </c>
      <c r="G1" t="s">
        <v>304</v>
      </c>
      <c r="H1" t="s">
        <v>305</v>
      </c>
      <c r="I1" s="6" t="s">
        <v>768</v>
      </c>
      <c r="J1" t="s">
        <v>178</v>
      </c>
      <c r="K1" s="6" t="s">
        <v>805</v>
      </c>
      <c r="L1" s="6" t="s">
        <v>803</v>
      </c>
      <c r="M1" s="6" t="s">
        <v>804</v>
      </c>
    </row>
    <row r="2" spans="1:13" x14ac:dyDescent="0.3">
      <c r="A2" t="s">
        <v>308</v>
      </c>
      <c r="B2" t="s">
        <v>325</v>
      </c>
      <c r="C2" t="s">
        <v>343</v>
      </c>
      <c r="F2" t="s">
        <v>149</v>
      </c>
      <c r="I2" s="6" t="str">
        <f>INDEX(ConceptSet!$B:$B,MATCH($J2,ConceptSet!$A:$A,0))</f>
        <v>NOMINAL_1</v>
      </c>
      <c r="J2" t="s">
        <v>330</v>
      </c>
      <c r="K2" s="6" t="str">
        <f>LOWER($J2)&amp;"|"&amp;LOWER($A2)</f>
        <v>0198ef6d-8543-90a8-a647-ae05912c77ba|0198ef6d-8543-1558-187c-47880d4b485e</v>
      </c>
      <c r="L2" s="6" t="str">
        <f>LOWER($J2)&amp;"|"&amp;LOWER($B2)</f>
        <v>0198ef6d-8543-90a8-a647-ae05912c77ba|category1</v>
      </c>
      <c r="M2" s="6" t="str">
        <f>LOWER($J2)&amp;"|"&amp;LOWER($C2)</f>
        <v>0198ef6d-8543-90a8-a647-ae05912c77ba|category1_1</v>
      </c>
    </row>
    <row r="3" spans="1:13" x14ac:dyDescent="0.3">
      <c r="A3" t="s">
        <v>307</v>
      </c>
      <c r="B3" t="s">
        <v>326</v>
      </c>
      <c r="C3" t="s">
        <v>344</v>
      </c>
      <c r="F3" t="s">
        <v>149</v>
      </c>
      <c r="I3" s="6" t="str">
        <f>INDEX(ConceptSet!$B:$B,MATCH($J3,ConceptSet!$A:$A,0))</f>
        <v>NOMINAL_1</v>
      </c>
      <c r="J3" t="s">
        <v>330</v>
      </c>
      <c r="K3" s="6" t="str">
        <f t="shared" ref="K3:K32" si="0">LOWER($J3)&amp;"|"&amp;LOWER($A3)</f>
        <v>0198ef6d-8543-90a8-a647-ae05912c77ba|0198ef6d-8543-022e-af76-07950e3be6d8</v>
      </c>
      <c r="L3" s="6" t="str">
        <f t="shared" ref="L3:L32" si="1">LOWER($J3)&amp;"|"&amp;LOWER($B3)</f>
        <v>0198ef6d-8543-90a8-a647-ae05912c77ba|category2</v>
      </c>
      <c r="M3" s="6" t="str">
        <f t="shared" ref="M3:M32" si="2">LOWER($J3)&amp;"|"&amp;LOWER($C3)</f>
        <v>0198ef6d-8543-90a8-a647-ae05912c77ba|category1_2</v>
      </c>
    </row>
    <row r="4" spans="1:13" x14ac:dyDescent="0.3">
      <c r="A4" t="s">
        <v>356</v>
      </c>
      <c r="B4" t="s">
        <v>345</v>
      </c>
      <c r="C4" t="s">
        <v>346</v>
      </c>
      <c r="F4" t="s">
        <v>149</v>
      </c>
      <c r="I4" s="6" t="str">
        <f>INDEX(ConceptSet!$B:$B,MATCH($J4,ConceptSet!$A:$A,0))</f>
        <v>NOMINAL_1</v>
      </c>
      <c r="J4" t="s">
        <v>330</v>
      </c>
      <c r="K4" s="6" t="str">
        <f t="shared" si="0"/>
        <v>0198ef6d-8543-90a8-a647-ae05912c77ba|0198ef6d-8543-e759-11f0-adca304123d1</v>
      </c>
      <c r="L4" s="6" t="str">
        <f t="shared" si="1"/>
        <v>0198ef6d-8543-90a8-a647-ae05912c77ba|category3</v>
      </c>
      <c r="M4" s="6" t="str">
        <f t="shared" si="2"/>
        <v>0198ef6d-8543-90a8-a647-ae05912c77ba|category1_3</v>
      </c>
    </row>
    <row r="5" spans="1:13" x14ac:dyDescent="0.3">
      <c r="A5" t="s">
        <v>357</v>
      </c>
      <c r="B5" t="s">
        <v>325</v>
      </c>
      <c r="C5" t="s">
        <v>347</v>
      </c>
      <c r="F5" t="s">
        <v>149</v>
      </c>
      <c r="I5" s="6" t="str">
        <f>INDEX(ConceptSet!$B:$B,MATCH($J5,ConceptSet!$A:$A,0))</f>
        <v>NOMINAL_2</v>
      </c>
      <c r="J5" t="s">
        <v>331</v>
      </c>
      <c r="K5" s="6" t="str">
        <f t="shared" si="0"/>
        <v>0198ef6d-8543-2a99-b3be-b0d2583cb604|0198ef6d-8543-6ac9-4915-b0f74393baa3</v>
      </c>
      <c r="L5" s="6" t="str">
        <f t="shared" si="1"/>
        <v>0198ef6d-8543-2a99-b3be-b0d2583cb604|category1</v>
      </c>
      <c r="M5" s="6" t="str">
        <f t="shared" si="2"/>
        <v>0198ef6d-8543-2a99-b3be-b0d2583cb604|category2_1</v>
      </c>
    </row>
    <row r="6" spans="1:13" x14ac:dyDescent="0.3">
      <c r="A6" t="s">
        <v>358</v>
      </c>
      <c r="B6" t="s">
        <v>326</v>
      </c>
      <c r="C6" t="s">
        <v>348</v>
      </c>
      <c r="F6" t="s">
        <v>149</v>
      </c>
      <c r="I6" s="6" t="str">
        <f>INDEX(ConceptSet!$B:$B,MATCH($J6,ConceptSet!$A:$A,0))</f>
        <v>NOMINAL_2</v>
      </c>
      <c r="J6" t="s">
        <v>331</v>
      </c>
      <c r="K6" s="6" t="str">
        <f t="shared" si="0"/>
        <v>0198ef6d-8543-2a99-b3be-b0d2583cb604|0198ef6d-8543-d8eb-6c3e-2b68e40942f8</v>
      </c>
      <c r="L6" s="6" t="str">
        <f t="shared" si="1"/>
        <v>0198ef6d-8543-2a99-b3be-b0d2583cb604|category2</v>
      </c>
      <c r="M6" s="6" t="str">
        <f t="shared" si="2"/>
        <v>0198ef6d-8543-2a99-b3be-b0d2583cb604|category2_2</v>
      </c>
    </row>
    <row r="7" spans="1:13" x14ac:dyDescent="0.3">
      <c r="A7" t="s">
        <v>359</v>
      </c>
      <c r="B7" t="s">
        <v>345</v>
      </c>
      <c r="C7" t="s">
        <v>349</v>
      </c>
      <c r="F7" t="s">
        <v>149</v>
      </c>
      <c r="I7" s="6" t="str">
        <f>INDEX(ConceptSet!$B:$B,MATCH($J7,ConceptSet!$A:$A,0))</f>
        <v>NOMINAL_2</v>
      </c>
      <c r="J7" t="s">
        <v>331</v>
      </c>
      <c r="K7" s="6" t="str">
        <f t="shared" si="0"/>
        <v>0198ef6d-8543-2a99-b3be-b0d2583cb604|0198ef6d-8543-2764-1452-6fe25c191511</v>
      </c>
      <c r="L7" s="6" t="str">
        <f t="shared" si="1"/>
        <v>0198ef6d-8543-2a99-b3be-b0d2583cb604|category3</v>
      </c>
      <c r="M7" s="6" t="str">
        <f t="shared" si="2"/>
        <v>0198ef6d-8543-2a99-b3be-b0d2583cb604|category2_3</v>
      </c>
    </row>
    <row r="8" spans="1:13" x14ac:dyDescent="0.3">
      <c r="A8" t="s">
        <v>360</v>
      </c>
      <c r="B8" t="s">
        <v>327</v>
      </c>
      <c r="C8" t="s">
        <v>350</v>
      </c>
      <c r="E8">
        <v>1</v>
      </c>
      <c r="F8" t="s">
        <v>149</v>
      </c>
      <c r="I8" s="6" t="str">
        <f>INDEX(ConceptSet!$B:$B,MATCH($J8,ConceptSet!$A:$A,0))</f>
        <v>ORDINAL_1</v>
      </c>
      <c r="J8" t="s">
        <v>332</v>
      </c>
      <c r="K8" s="6" t="str">
        <f t="shared" si="0"/>
        <v>0198ef6d-8543-b279-03a6-da9684b42b08|0198ef6d-8543-73c8-d3af-92aa66e44b8c</v>
      </c>
      <c r="L8" s="6" t="str">
        <f t="shared" si="1"/>
        <v>0198ef6d-8543-b279-03a6-da9684b42b08|rank1</v>
      </c>
      <c r="M8" s="6" t="str">
        <f t="shared" si="2"/>
        <v>0198ef6d-8543-b279-03a6-da9684b42b08|rank1_1</v>
      </c>
    </row>
    <row r="9" spans="1:13" x14ac:dyDescent="0.3">
      <c r="A9" t="s">
        <v>361</v>
      </c>
      <c r="B9" t="s">
        <v>328</v>
      </c>
      <c r="C9" t="s">
        <v>351</v>
      </c>
      <c r="E9">
        <v>2</v>
      </c>
      <c r="F9" t="s">
        <v>149</v>
      </c>
      <c r="I9" s="6" t="str">
        <f>INDEX(ConceptSet!$B:$B,MATCH($J9,ConceptSet!$A:$A,0))</f>
        <v>ORDINAL_1</v>
      </c>
      <c r="J9" t="s">
        <v>332</v>
      </c>
      <c r="K9" s="6" t="str">
        <f t="shared" si="0"/>
        <v>0198ef6d-8543-b279-03a6-da9684b42b08|0198ef6d-8543-7395-2023-95bfee798f65</v>
      </c>
      <c r="L9" s="6" t="str">
        <f t="shared" si="1"/>
        <v>0198ef6d-8543-b279-03a6-da9684b42b08|rank2</v>
      </c>
      <c r="M9" s="6" t="str">
        <f t="shared" si="2"/>
        <v>0198ef6d-8543-b279-03a6-da9684b42b08|rank1_2</v>
      </c>
    </row>
    <row r="10" spans="1:13" x14ac:dyDescent="0.3">
      <c r="A10" t="s">
        <v>362</v>
      </c>
      <c r="B10" t="s">
        <v>329</v>
      </c>
      <c r="C10" t="s">
        <v>352</v>
      </c>
      <c r="E10">
        <v>3</v>
      </c>
      <c r="F10" t="s">
        <v>149</v>
      </c>
      <c r="I10" s="6" t="str">
        <f>INDEX(ConceptSet!$B:$B,MATCH($J10,ConceptSet!$A:$A,0))</f>
        <v>ORDINAL_1</v>
      </c>
      <c r="J10" t="s">
        <v>332</v>
      </c>
      <c r="K10" s="6" t="str">
        <f t="shared" si="0"/>
        <v>0198ef6d-8543-b279-03a6-da9684b42b08|0198ef6d-8543-ef67-b7ee-fa35926c01fd</v>
      </c>
      <c r="L10" s="6" t="str">
        <f t="shared" si="1"/>
        <v>0198ef6d-8543-b279-03a6-da9684b42b08|rank3</v>
      </c>
      <c r="M10" s="6" t="str">
        <f t="shared" si="2"/>
        <v>0198ef6d-8543-b279-03a6-da9684b42b08|rank1_3</v>
      </c>
    </row>
    <row r="11" spans="1:13" x14ac:dyDescent="0.3">
      <c r="A11" t="s">
        <v>363</v>
      </c>
      <c r="B11" t="s">
        <v>327</v>
      </c>
      <c r="C11" t="s">
        <v>353</v>
      </c>
      <c r="E11">
        <v>1</v>
      </c>
      <c r="F11" t="s">
        <v>149</v>
      </c>
      <c r="I11" s="6" t="str">
        <f>INDEX(ConceptSet!$B:$B,MATCH($J11,ConceptSet!$A:$A,0))</f>
        <v>ORDINAL_2</v>
      </c>
      <c r="J11" t="s">
        <v>333</v>
      </c>
      <c r="K11" s="6" t="str">
        <f t="shared" si="0"/>
        <v>0198ef6d-8543-d076-3da0-dd48921087f9|0198ef6d-8543-1842-1575-0be542168d82</v>
      </c>
      <c r="L11" s="6" t="str">
        <f t="shared" si="1"/>
        <v>0198ef6d-8543-d076-3da0-dd48921087f9|rank1</v>
      </c>
      <c r="M11" s="6" t="str">
        <f t="shared" si="2"/>
        <v>0198ef6d-8543-d076-3da0-dd48921087f9|rank2_1</v>
      </c>
    </row>
    <row r="12" spans="1:13" x14ac:dyDescent="0.3">
      <c r="A12" t="s">
        <v>364</v>
      </c>
      <c r="B12" t="s">
        <v>328</v>
      </c>
      <c r="C12" t="s">
        <v>354</v>
      </c>
      <c r="E12">
        <v>2</v>
      </c>
      <c r="F12" t="s">
        <v>149</v>
      </c>
      <c r="I12" s="6" t="str">
        <f>INDEX(ConceptSet!$B:$B,MATCH($J12,ConceptSet!$A:$A,0))</f>
        <v>ORDINAL_2</v>
      </c>
      <c r="J12" t="s">
        <v>333</v>
      </c>
      <c r="K12" s="6" t="str">
        <f t="shared" si="0"/>
        <v>0198ef6d-8543-d076-3da0-dd48921087f9|0198ef6d-8543-db07-f368-c8dd91590021</v>
      </c>
      <c r="L12" s="6" t="str">
        <f t="shared" si="1"/>
        <v>0198ef6d-8543-d076-3da0-dd48921087f9|rank2</v>
      </c>
      <c r="M12" s="6" t="str">
        <f t="shared" si="2"/>
        <v>0198ef6d-8543-d076-3da0-dd48921087f9|rank2_2</v>
      </c>
    </row>
    <row r="13" spans="1:13" x14ac:dyDescent="0.3">
      <c r="A13" t="s">
        <v>365</v>
      </c>
      <c r="B13" t="s">
        <v>329</v>
      </c>
      <c r="C13" t="s">
        <v>355</v>
      </c>
      <c r="E13">
        <v>3</v>
      </c>
      <c r="F13" t="s">
        <v>149</v>
      </c>
      <c r="I13" s="6" t="str">
        <f>INDEX(ConceptSet!$B:$B,MATCH($J13,ConceptSet!$A:$A,0))</f>
        <v>ORDINAL_2</v>
      </c>
      <c r="J13" t="s">
        <v>333</v>
      </c>
      <c r="K13" s="6" t="str">
        <f t="shared" si="0"/>
        <v>0198ef6d-8543-d076-3da0-dd48921087f9|0198ef6d-8543-403c-ce3e-33a4efc54a25</v>
      </c>
      <c r="L13" s="6" t="str">
        <f t="shared" si="1"/>
        <v>0198ef6d-8543-d076-3da0-dd48921087f9|rank3</v>
      </c>
      <c r="M13" s="6" t="str">
        <f t="shared" si="2"/>
        <v>0198ef6d-8543-d076-3da0-dd48921087f9|rank2_3</v>
      </c>
    </row>
    <row r="14" spans="1:13" x14ac:dyDescent="0.3">
      <c r="A14" t="s">
        <v>366</v>
      </c>
      <c r="B14" t="str">
        <f t="shared" ref="B14:B28" si="3">IF($G14=$H14-1,$G14&amp;"",$G14&amp;IF($H14=125,"+","-"&amp;$H14-1))</f>
        <v>5-14</v>
      </c>
      <c r="C14" t="str">
        <f t="shared" ref="C14:C28" si="4">"Age in years, ["&amp;$G14&amp;", "&amp;$H14&amp;"["</f>
        <v>Age in years, [5, 15[</v>
      </c>
      <c r="E14">
        <v>1</v>
      </c>
      <c r="F14" t="str">
        <f t="shared" ref="F14:F28" si="5">"{""lb"":"&amp;$G14&amp;",""lb_in"":true,""ub"":"&amp;$H14&amp;",""ub_in"":false,""unit"":""YEAR""}"</f>
        <v>{"lb":5,"lb_in":true,"ub":15,"ub_in":false,"unit":"YEAR"}</v>
      </c>
      <c r="G14">
        <v>5</v>
      </c>
      <c r="H14">
        <v>15</v>
      </c>
      <c r="I14" s="6" t="str">
        <f>INDEX(ConceptSet!$B:$B,MATCH($J14,ConceptSet!$A:$A,0))</f>
        <v>AGE_CATEGORY_1</v>
      </c>
      <c r="J14" t="s">
        <v>334</v>
      </c>
      <c r="K14" s="6" t="str">
        <f t="shared" si="0"/>
        <v>0198ef6d-8543-020d-44c5-53e813a46714|0198ef6d-8543-9d0a-baf1-e5c51942de4e</v>
      </c>
      <c r="L14" s="6" t="str">
        <f t="shared" si="1"/>
        <v>0198ef6d-8543-020d-44c5-53e813a46714|5-14</v>
      </c>
      <c r="M14" s="6" t="str">
        <f t="shared" si="2"/>
        <v>0198ef6d-8543-020d-44c5-53e813a46714|age in years, [5, 15[</v>
      </c>
    </row>
    <row r="15" spans="1:13" x14ac:dyDescent="0.3">
      <c r="A15" t="s">
        <v>367</v>
      </c>
      <c r="B15" t="str">
        <f t="shared" si="3"/>
        <v>15-24</v>
      </c>
      <c r="C15" t="str">
        <f t="shared" si="4"/>
        <v>Age in years, [15, 25[</v>
      </c>
      <c r="E15">
        <v>2</v>
      </c>
      <c r="F15" t="str">
        <f t="shared" si="5"/>
        <v>{"lb":15,"lb_in":true,"ub":25,"ub_in":false,"unit":"YEAR"}</v>
      </c>
      <c r="G15">
        <v>15</v>
      </c>
      <c r="H15">
        <v>25</v>
      </c>
      <c r="I15" s="6" t="str">
        <f>INDEX(ConceptSet!$B:$B,MATCH($J15,ConceptSet!$A:$A,0))</f>
        <v>AGE_CATEGORY_1</v>
      </c>
      <c r="J15" t="s">
        <v>334</v>
      </c>
      <c r="K15" s="6" t="str">
        <f t="shared" si="0"/>
        <v>0198ef6d-8543-020d-44c5-53e813a46714|0198ef6d-8543-d03b-b9f4-f460fae89f04</v>
      </c>
      <c r="L15" s="6" t="str">
        <f t="shared" si="1"/>
        <v>0198ef6d-8543-020d-44c5-53e813a46714|15-24</v>
      </c>
      <c r="M15" s="6" t="str">
        <f t="shared" si="2"/>
        <v>0198ef6d-8543-020d-44c5-53e813a46714|age in years, [15, 25[</v>
      </c>
    </row>
    <row r="16" spans="1:13" x14ac:dyDescent="0.3">
      <c r="A16" t="s">
        <v>368</v>
      </c>
      <c r="B16" t="str">
        <f t="shared" si="3"/>
        <v>25-44</v>
      </c>
      <c r="C16" t="str">
        <f t="shared" si="4"/>
        <v>Age in years, [25, 45[</v>
      </c>
      <c r="E16">
        <v>3</v>
      </c>
      <c r="F16" t="str">
        <f t="shared" si="5"/>
        <v>{"lb":25,"lb_in":true,"ub":45,"ub_in":false,"unit":"YEAR"}</v>
      </c>
      <c r="G16">
        <v>25</v>
      </c>
      <c r="H16">
        <v>45</v>
      </c>
      <c r="I16" s="6" t="str">
        <f>INDEX(ConceptSet!$B:$B,MATCH($J16,ConceptSet!$A:$A,0))</f>
        <v>AGE_CATEGORY_1</v>
      </c>
      <c r="J16" t="s">
        <v>334</v>
      </c>
      <c r="K16" s="6" t="str">
        <f t="shared" si="0"/>
        <v>0198ef6d-8543-020d-44c5-53e813a46714|0198ef6d-8543-e70f-7b7c-8e2af8fe9e2d</v>
      </c>
      <c r="L16" s="6" t="str">
        <f t="shared" si="1"/>
        <v>0198ef6d-8543-020d-44c5-53e813a46714|25-44</v>
      </c>
      <c r="M16" s="6" t="str">
        <f t="shared" si="2"/>
        <v>0198ef6d-8543-020d-44c5-53e813a46714|age in years, [25, 45[</v>
      </c>
    </row>
    <row r="17" spans="1:13" x14ac:dyDescent="0.3">
      <c r="A17" t="s">
        <v>320</v>
      </c>
      <c r="B17" t="str">
        <f t="shared" si="3"/>
        <v>45-64</v>
      </c>
      <c r="C17" t="str">
        <f t="shared" si="4"/>
        <v>Age in years, [45, 65[</v>
      </c>
      <c r="E17">
        <v>4</v>
      </c>
      <c r="F17" t="str">
        <f t="shared" si="5"/>
        <v>{"lb":45,"lb_in":true,"ub":65,"ub_in":false,"unit":"YEAR"}</v>
      </c>
      <c r="G17">
        <v>45</v>
      </c>
      <c r="H17">
        <v>65</v>
      </c>
      <c r="I17" s="6" t="str">
        <f>INDEX(ConceptSet!$B:$B,MATCH($J17,ConceptSet!$A:$A,0))</f>
        <v>AGE_CATEGORY_1</v>
      </c>
      <c r="J17" t="s">
        <v>334</v>
      </c>
      <c r="K17" s="6" t="str">
        <f t="shared" si="0"/>
        <v>0198ef6d-8543-020d-44c5-53e813a46714|0198ef6d-8543-8304-54a7-34542a0a9c33</v>
      </c>
      <c r="L17" s="6" t="str">
        <f t="shared" si="1"/>
        <v>0198ef6d-8543-020d-44c5-53e813a46714|45-64</v>
      </c>
      <c r="M17" s="6" t="str">
        <f t="shared" si="2"/>
        <v>0198ef6d-8543-020d-44c5-53e813a46714|age in years, [45, 65[</v>
      </c>
    </row>
    <row r="18" spans="1:13" x14ac:dyDescent="0.3">
      <c r="A18" t="s">
        <v>319</v>
      </c>
      <c r="B18" t="str">
        <f t="shared" si="3"/>
        <v>65+</v>
      </c>
      <c r="C18" t="str">
        <f t="shared" si="4"/>
        <v>Age in years, [65, 125[</v>
      </c>
      <c r="E18">
        <v>5</v>
      </c>
      <c r="F18" t="str">
        <f t="shared" si="5"/>
        <v>{"lb":65,"lb_in":true,"ub":125,"ub_in":false,"unit":"YEAR"}</v>
      </c>
      <c r="G18">
        <v>65</v>
      </c>
      <c r="H18">
        <v>125</v>
      </c>
      <c r="I18" s="6" t="str">
        <f>INDEX(ConceptSet!$B:$B,MATCH($J18,ConceptSet!$A:$A,0))</f>
        <v>AGE_CATEGORY_1</v>
      </c>
      <c r="J18" t="s">
        <v>334</v>
      </c>
      <c r="K18" s="6" t="str">
        <f t="shared" si="0"/>
        <v>0198ef6d-8543-020d-44c5-53e813a46714|0198ef6d-8543-c436-8749-ad1b2a75b4ba</v>
      </c>
      <c r="L18" s="6" t="str">
        <f t="shared" si="1"/>
        <v>0198ef6d-8543-020d-44c5-53e813a46714|65+</v>
      </c>
      <c r="M18" s="6" t="str">
        <f t="shared" si="2"/>
        <v>0198ef6d-8543-020d-44c5-53e813a46714|age in years, [65, 125[</v>
      </c>
    </row>
    <row r="19" spans="1:13" x14ac:dyDescent="0.3">
      <c r="A19" t="s">
        <v>318</v>
      </c>
      <c r="B19" t="str">
        <f t="shared" si="3"/>
        <v>5-18</v>
      </c>
      <c r="C19" t="str">
        <f t="shared" si="4"/>
        <v>Age in years, [5, 19[</v>
      </c>
      <c r="E19">
        <v>1</v>
      </c>
      <c r="F19" t="str">
        <f t="shared" si="5"/>
        <v>{"lb":5,"lb_in":true,"ub":19,"ub_in":false,"unit":"YEAR"}</v>
      </c>
      <c r="G19">
        <v>5</v>
      </c>
      <c r="H19">
        <v>19</v>
      </c>
      <c r="I19" s="6" t="str">
        <f>INDEX(ConceptSet!$B:$B,MATCH($J19,ConceptSet!$A:$A,0))</f>
        <v>AGE_CATEGORY_2</v>
      </c>
      <c r="J19" t="s">
        <v>335</v>
      </c>
      <c r="K19" s="6" t="str">
        <f t="shared" si="0"/>
        <v>0198ef6d-8543-2a37-be54-7f7d24e1ed1d|0198ef6d-8543-893c-c5e2-73c38bec9ac6</v>
      </c>
      <c r="L19" s="6" t="str">
        <f t="shared" si="1"/>
        <v>0198ef6d-8543-2a37-be54-7f7d24e1ed1d|5-18</v>
      </c>
      <c r="M19" s="6" t="str">
        <f t="shared" si="2"/>
        <v>0198ef6d-8543-2a37-be54-7f7d24e1ed1d|age in years, [5, 19[</v>
      </c>
    </row>
    <row r="20" spans="1:13" x14ac:dyDescent="0.3">
      <c r="A20" t="s">
        <v>317</v>
      </c>
      <c r="B20" t="str">
        <f t="shared" si="3"/>
        <v>19-64</v>
      </c>
      <c r="C20" t="str">
        <f t="shared" si="4"/>
        <v>Age in years, [19, 65[</v>
      </c>
      <c r="E20">
        <v>2</v>
      </c>
      <c r="F20" t="str">
        <f t="shared" si="5"/>
        <v>{"lb":19,"lb_in":true,"ub":65,"ub_in":false,"unit":"YEAR"}</v>
      </c>
      <c r="G20">
        <v>19</v>
      </c>
      <c r="H20">
        <v>65</v>
      </c>
      <c r="I20" s="6" t="str">
        <f>INDEX(ConceptSet!$B:$B,MATCH($J20,ConceptSet!$A:$A,0))</f>
        <v>AGE_CATEGORY_2</v>
      </c>
      <c r="J20" t="s">
        <v>335</v>
      </c>
      <c r="K20" s="6" t="str">
        <f t="shared" si="0"/>
        <v>0198ef6d-8543-2a37-be54-7f7d24e1ed1d|0198ef6d-8543-626b-c05d-de74547d3621</v>
      </c>
      <c r="L20" s="6" t="str">
        <f t="shared" si="1"/>
        <v>0198ef6d-8543-2a37-be54-7f7d24e1ed1d|19-64</v>
      </c>
      <c r="M20" s="6" t="str">
        <f t="shared" si="2"/>
        <v>0198ef6d-8543-2a37-be54-7f7d24e1ed1d|age in years, [19, 65[</v>
      </c>
    </row>
    <row r="21" spans="1:13" x14ac:dyDescent="0.3">
      <c r="A21" t="s">
        <v>316</v>
      </c>
      <c r="B21" t="str">
        <f t="shared" si="3"/>
        <v>0-14</v>
      </c>
      <c r="C21" t="str">
        <f t="shared" si="4"/>
        <v>Age in years, [0, 15[</v>
      </c>
      <c r="E21">
        <v>1</v>
      </c>
      <c r="F21" t="str">
        <f t="shared" si="5"/>
        <v>{"lb":0,"lb_in":true,"ub":15,"ub_in":false,"unit":"YEAR"}</v>
      </c>
      <c r="G21">
        <v>0</v>
      </c>
      <c r="H21">
        <v>15</v>
      </c>
      <c r="I21" s="6" t="str">
        <f>INDEX(ConceptSet!$B:$B,MATCH($J21,ConceptSet!$A:$A,0))</f>
        <v>AGE_CATEGORY_3</v>
      </c>
      <c r="J21" t="s">
        <v>336</v>
      </c>
      <c r="K21" s="6" t="str">
        <f t="shared" si="0"/>
        <v>0198ef6d-8543-f668-cedc-b78f8e3bc412|0198ef6d-8543-1ce7-83c8-e53fe4b7fb8e</v>
      </c>
      <c r="L21" s="6" t="str">
        <f t="shared" si="1"/>
        <v>0198ef6d-8543-f668-cedc-b78f8e3bc412|0-14</v>
      </c>
      <c r="M21" s="6" t="str">
        <f t="shared" si="2"/>
        <v>0198ef6d-8543-f668-cedc-b78f8e3bc412|age in years, [0, 15[</v>
      </c>
    </row>
    <row r="22" spans="1:13" x14ac:dyDescent="0.3">
      <c r="A22" t="s">
        <v>315</v>
      </c>
      <c r="B22" t="str">
        <f t="shared" si="3"/>
        <v>25-34</v>
      </c>
      <c r="C22" t="str">
        <f t="shared" si="4"/>
        <v>Age in years, [25, 35[</v>
      </c>
      <c r="E22">
        <v>2</v>
      </c>
      <c r="F22" t="str">
        <f t="shared" si="5"/>
        <v>{"lb":25,"lb_in":true,"ub":35,"ub_in":false,"unit":"YEAR"}</v>
      </c>
      <c r="G22">
        <v>25</v>
      </c>
      <c r="H22">
        <v>35</v>
      </c>
      <c r="I22" s="6" t="str">
        <f>INDEX(ConceptSet!$B:$B,MATCH($J22,ConceptSet!$A:$A,0))</f>
        <v>AGE_CATEGORY_3</v>
      </c>
      <c r="J22" t="s">
        <v>336</v>
      </c>
      <c r="K22" s="6" t="str">
        <f t="shared" si="0"/>
        <v>0198ef6d-8543-f668-cedc-b78f8e3bc412|0198ef6d-8543-773c-35de-7133eb350f0c</v>
      </c>
      <c r="L22" s="6" t="str">
        <f t="shared" si="1"/>
        <v>0198ef6d-8543-f668-cedc-b78f8e3bc412|25-34</v>
      </c>
      <c r="M22" s="6" t="str">
        <f t="shared" si="2"/>
        <v>0198ef6d-8543-f668-cedc-b78f8e3bc412|age in years, [25, 35[</v>
      </c>
    </row>
    <row r="23" spans="1:13" x14ac:dyDescent="0.3">
      <c r="A23" t="s">
        <v>314</v>
      </c>
      <c r="B23" t="str">
        <f t="shared" si="3"/>
        <v>35-44</v>
      </c>
      <c r="C23" t="str">
        <f t="shared" si="4"/>
        <v>Age in years, [35, 45[</v>
      </c>
      <c r="E23">
        <v>3</v>
      </c>
      <c r="F23" t="str">
        <f t="shared" si="5"/>
        <v>{"lb":35,"lb_in":true,"ub":45,"ub_in":false,"unit":"YEAR"}</v>
      </c>
      <c r="G23">
        <v>35</v>
      </c>
      <c r="H23">
        <v>45</v>
      </c>
      <c r="I23" s="6" t="str">
        <f>INDEX(ConceptSet!$B:$B,MATCH($J23,ConceptSet!$A:$A,0))</f>
        <v>AGE_CATEGORY_3</v>
      </c>
      <c r="J23" t="s">
        <v>336</v>
      </c>
      <c r="K23" s="6" t="str">
        <f t="shared" si="0"/>
        <v>0198ef6d-8543-f668-cedc-b78f8e3bc412|0198ef6d-8543-8382-74c3-3094271a22fd</v>
      </c>
      <c r="L23" s="6" t="str">
        <f t="shared" si="1"/>
        <v>0198ef6d-8543-f668-cedc-b78f8e3bc412|35-44</v>
      </c>
      <c r="M23" s="6" t="str">
        <f t="shared" si="2"/>
        <v>0198ef6d-8543-f668-cedc-b78f8e3bc412|age in years, [35, 45[</v>
      </c>
    </row>
    <row r="24" spans="1:13" x14ac:dyDescent="0.3">
      <c r="A24" t="s">
        <v>313</v>
      </c>
      <c r="B24" t="str">
        <f t="shared" si="3"/>
        <v>45+</v>
      </c>
      <c r="C24" t="str">
        <f t="shared" si="4"/>
        <v>Age in years, [45, 125[</v>
      </c>
      <c r="E24">
        <v>4</v>
      </c>
      <c r="F24" t="str">
        <f t="shared" si="5"/>
        <v>{"lb":45,"lb_in":true,"ub":125,"ub_in":false,"unit":"YEAR"}</v>
      </c>
      <c r="G24">
        <v>45</v>
      </c>
      <c r="H24">
        <v>125</v>
      </c>
      <c r="I24" s="6" t="str">
        <f>INDEX(ConceptSet!$B:$B,MATCH($J24,ConceptSet!$A:$A,0))</f>
        <v>AGE_CATEGORY_3</v>
      </c>
      <c r="J24" t="s">
        <v>336</v>
      </c>
      <c r="K24" s="6" t="str">
        <f t="shared" si="0"/>
        <v>0198ef6d-8543-f668-cedc-b78f8e3bc412|0198ef6d-8543-9cc1-eca7-e072c2b8acae</v>
      </c>
      <c r="L24" s="6" t="str">
        <f t="shared" si="1"/>
        <v>0198ef6d-8543-f668-cedc-b78f8e3bc412|45+</v>
      </c>
      <c r="M24" s="6" t="str">
        <f t="shared" si="2"/>
        <v>0198ef6d-8543-f668-cedc-b78f8e3bc412|age in years, [45, 125[</v>
      </c>
    </row>
    <row r="25" spans="1:13" x14ac:dyDescent="0.3">
      <c r="A25" t="s">
        <v>312</v>
      </c>
      <c r="B25" t="str">
        <f t="shared" si="3"/>
        <v>0</v>
      </c>
      <c r="C25" t="str">
        <f t="shared" si="4"/>
        <v>Age in years, [0, 1[</v>
      </c>
      <c r="E25">
        <v>1</v>
      </c>
      <c r="F25" t="str">
        <f t="shared" si="5"/>
        <v>{"lb":0,"lb_in":true,"ub":1,"ub_in":false,"unit":"YEAR"}</v>
      </c>
      <c r="G25">
        <v>0</v>
      </c>
      <c r="H25">
        <v>1</v>
      </c>
      <c r="I25" s="6" t="str">
        <f>INDEX(ConceptSet!$B:$B,MATCH($J25,ConceptSet!$A:$A,0))</f>
        <v>AGE_CATEGORY_4</v>
      </c>
      <c r="J25" t="s">
        <v>337</v>
      </c>
      <c r="K25" s="6" t="str">
        <f t="shared" si="0"/>
        <v>0198ef6d-8543-2673-a691-fe8584d0695e|0198ef6d-8543-98db-539f-d07c72d29ddb</v>
      </c>
      <c r="L25" s="6" t="str">
        <f t="shared" si="1"/>
        <v>0198ef6d-8543-2673-a691-fe8584d0695e|0</v>
      </c>
      <c r="M25" s="6" t="str">
        <f t="shared" si="2"/>
        <v>0198ef6d-8543-2673-a691-fe8584d0695e|age in years, [0, 1[</v>
      </c>
    </row>
    <row r="26" spans="1:13" x14ac:dyDescent="0.3">
      <c r="A26" t="s">
        <v>311</v>
      </c>
      <c r="B26" t="str">
        <f t="shared" si="3"/>
        <v>1-4</v>
      </c>
      <c r="C26" t="str">
        <f t="shared" si="4"/>
        <v>Age in years, [1, 5[</v>
      </c>
      <c r="E26">
        <v>2</v>
      </c>
      <c r="F26" t="str">
        <f t="shared" si="5"/>
        <v>{"lb":1,"lb_in":true,"ub":5,"ub_in":false,"unit":"YEAR"}</v>
      </c>
      <c r="G26">
        <v>1</v>
      </c>
      <c r="H26">
        <v>5</v>
      </c>
      <c r="I26" s="6" t="str">
        <f>INDEX(ConceptSet!$B:$B,MATCH($J26,ConceptSet!$A:$A,0))</f>
        <v>AGE_CATEGORY_4</v>
      </c>
      <c r="J26" t="s">
        <v>337</v>
      </c>
      <c r="K26" s="6" t="str">
        <f t="shared" si="0"/>
        <v>0198ef6d-8543-2673-a691-fe8584d0695e|0198ef6d-8543-3c58-ac5e-cc9eb329457f</v>
      </c>
      <c r="L26" s="6" t="str">
        <f t="shared" si="1"/>
        <v>0198ef6d-8543-2673-a691-fe8584d0695e|1-4</v>
      </c>
      <c r="M26" s="6" t="str">
        <f t="shared" si="2"/>
        <v>0198ef6d-8543-2673-a691-fe8584d0695e|age in years, [1, 5[</v>
      </c>
    </row>
    <row r="27" spans="1:13" x14ac:dyDescent="0.3">
      <c r="A27" t="s">
        <v>310</v>
      </c>
      <c r="B27" t="str">
        <f t="shared" si="3"/>
        <v>45-54</v>
      </c>
      <c r="C27" t="str">
        <f t="shared" si="4"/>
        <v>Age in years, [45, 55[</v>
      </c>
      <c r="E27">
        <v>3</v>
      </c>
      <c r="F27" t="str">
        <f t="shared" si="5"/>
        <v>{"lb":45,"lb_in":true,"ub":55,"ub_in":false,"unit":"YEAR"}</v>
      </c>
      <c r="G27">
        <v>45</v>
      </c>
      <c r="H27">
        <v>55</v>
      </c>
      <c r="I27" s="6" t="str">
        <f>INDEX(ConceptSet!$B:$B,MATCH($J27,ConceptSet!$A:$A,0))</f>
        <v>AGE_CATEGORY_4</v>
      </c>
      <c r="J27" t="s">
        <v>337</v>
      </c>
      <c r="K27" s="6" t="str">
        <f t="shared" si="0"/>
        <v>0198ef6d-8543-2673-a691-fe8584d0695e|0198ef6d-8543-877c-0f63-6d7b926dfea2</v>
      </c>
      <c r="L27" s="6" t="str">
        <f t="shared" si="1"/>
        <v>0198ef6d-8543-2673-a691-fe8584d0695e|45-54</v>
      </c>
      <c r="M27" s="6" t="str">
        <f t="shared" si="2"/>
        <v>0198ef6d-8543-2673-a691-fe8584d0695e|age in years, [45, 55[</v>
      </c>
    </row>
    <row r="28" spans="1:13" x14ac:dyDescent="0.3">
      <c r="A28" t="s">
        <v>309</v>
      </c>
      <c r="B28" t="str">
        <f t="shared" si="3"/>
        <v>55-64</v>
      </c>
      <c r="C28" t="str">
        <f t="shared" si="4"/>
        <v>Age in years, [55, 65[</v>
      </c>
      <c r="E28">
        <v>4</v>
      </c>
      <c r="F28" t="str">
        <f t="shared" si="5"/>
        <v>{"lb":55,"lb_in":true,"ub":65,"ub_in":false,"unit":"YEAR"}</v>
      </c>
      <c r="G28">
        <v>55</v>
      </c>
      <c r="H28">
        <v>65</v>
      </c>
      <c r="I28" s="6" t="str">
        <f>INDEX(ConceptSet!$B:$B,MATCH($J28,ConceptSet!$A:$A,0))</f>
        <v>AGE_CATEGORY_4</v>
      </c>
      <c r="J28" t="s">
        <v>337</v>
      </c>
      <c r="K28" s="6" t="str">
        <f t="shared" si="0"/>
        <v>0198ef6d-8543-2673-a691-fe8584d0695e|0198ef6d-8543-70a1-1296-358b9a16f485</v>
      </c>
      <c r="L28" s="6" t="str">
        <f t="shared" si="1"/>
        <v>0198ef6d-8543-2673-a691-fe8584d0695e|55-64</v>
      </c>
      <c r="M28" s="6" t="str">
        <f t="shared" si="2"/>
        <v>0198ef6d-8543-2673-a691-fe8584d0695e|age in years, [55, 65[</v>
      </c>
    </row>
    <row r="29" spans="1:13" x14ac:dyDescent="0.3">
      <c r="A29" t="s">
        <v>324</v>
      </c>
      <c r="B29" t="str">
        <f>IF($G29=$H29-1,$G29&amp;"",$G29&amp;IF($H29=48,"+","-"&amp;$H29-1))&amp;"M"</f>
        <v>0M</v>
      </c>
      <c r="C29" t="str">
        <f>"Age in months, ["&amp;$G29&amp;", "&amp;$H29&amp;"["</f>
        <v>Age in months, [0, 1[</v>
      </c>
      <c r="E29">
        <v>1</v>
      </c>
      <c r="F29" t="str">
        <f>"{""lb"":"&amp;$G29&amp;",""lb_in"":true,""ub"":"&amp;$H29&amp;",""ub_in"":false,""unit"":""MONTH""}"</f>
        <v>{"lb":0,"lb_in":true,"ub":1,"ub_in":false,"unit":"MONTH"}</v>
      </c>
      <c r="G29">
        <v>0</v>
      </c>
      <c r="H29">
        <v>1</v>
      </c>
      <c r="I29" s="6" t="str">
        <f>INDEX(ConceptSet!$B:$B,MATCH($J29,ConceptSet!$A:$A,0))</f>
        <v>AGE_CATEGORY_5</v>
      </c>
      <c r="J29" t="s">
        <v>338</v>
      </c>
      <c r="K29" s="6" t="str">
        <f t="shared" si="0"/>
        <v>0198ef6d-8543-cb6b-0c98-c2a7e640e10d|0198ef6d-8543-595a-1fed-0c02d313b824</v>
      </c>
      <c r="L29" s="6" t="str">
        <f t="shared" si="1"/>
        <v>0198ef6d-8543-cb6b-0c98-c2a7e640e10d|0m</v>
      </c>
      <c r="M29" s="6" t="str">
        <f t="shared" si="2"/>
        <v>0198ef6d-8543-cb6b-0c98-c2a7e640e10d|age in months, [0, 1[</v>
      </c>
    </row>
    <row r="30" spans="1:13" x14ac:dyDescent="0.3">
      <c r="A30" t="s">
        <v>323</v>
      </c>
      <c r="B30" t="str">
        <f>IF($G30=$H30-1,$G30&amp;"",$G30&amp;IF($H30=48,"+","-"&amp;$H30-1))&amp;"M"</f>
        <v>1M</v>
      </c>
      <c r="C30" t="str">
        <f t="shared" ref="C30:C32" si="6">"Age in months, ["&amp;$G30&amp;", "&amp;$H30&amp;"["</f>
        <v>Age in months, [1, 2[</v>
      </c>
      <c r="E30">
        <v>2</v>
      </c>
      <c r="F30" t="str">
        <f t="shared" ref="F30:F32" si="7">"{""lb"":"&amp;$G30&amp;",""lb_in"":true,""ub"":"&amp;$H30&amp;",""ub_in"":false,""unit"":""MONTH""}"</f>
        <v>{"lb":1,"lb_in":true,"ub":2,"ub_in":false,"unit":"MONTH"}</v>
      </c>
      <c r="G30">
        <v>1</v>
      </c>
      <c r="H30">
        <v>2</v>
      </c>
      <c r="I30" s="6" t="str">
        <f>INDEX(ConceptSet!$B:$B,MATCH($J30,ConceptSet!$A:$A,0))</f>
        <v>AGE_CATEGORY_5</v>
      </c>
      <c r="J30" t="s">
        <v>338</v>
      </c>
      <c r="K30" s="6" t="str">
        <f t="shared" si="0"/>
        <v>0198ef6d-8543-cb6b-0c98-c2a7e640e10d|0198ef6d-8543-9248-0edb-2477c9364381</v>
      </c>
      <c r="L30" s="6" t="str">
        <f t="shared" si="1"/>
        <v>0198ef6d-8543-cb6b-0c98-c2a7e640e10d|1m</v>
      </c>
      <c r="M30" s="6" t="str">
        <f t="shared" si="2"/>
        <v>0198ef6d-8543-cb6b-0c98-c2a7e640e10d|age in months, [1, 2[</v>
      </c>
    </row>
    <row r="31" spans="1:13" x14ac:dyDescent="0.3">
      <c r="A31" t="s">
        <v>322</v>
      </c>
      <c r="B31" t="str">
        <f>IF($G31=$H31-1,$G31&amp;"",$G31&amp;IF($H31=48,"+","-"&amp;$H31-1))&amp;"M"</f>
        <v>2M</v>
      </c>
      <c r="C31" t="str">
        <f t="shared" si="6"/>
        <v>Age in months, [2, 3[</v>
      </c>
      <c r="E31">
        <v>3</v>
      </c>
      <c r="F31" t="str">
        <f t="shared" si="7"/>
        <v>{"lb":2,"lb_in":true,"ub":3,"ub_in":false,"unit":"MONTH"}</v>
      </c>
      <c r="G31">
        <v>2</v>
      </c>
      <c r="H31">
        <v>3</v>
      </c>
      <c r="I31" s="6" t="str">
        <f>INDEX(ConceptSet!$B:$B,MATCH($J31,ConceptSet!$A:$A,0))</f>
        <v>AGE_CATEGORY_5</v>
      </c>
      <c r="J31" t="s">
        <v>338</v>
      </c>
      <c r="K31" s="6" t="str">
        <f t="shared" si="0"/>
        <v>0198ef6d-8543-cb6b-0c98-c2a7e640e10d|0198ef6d-8543-fa54-4ee1-8145b37ae29c</v>
      </c>
      <c r="L31" s="6" t="str">
        <f t="shared" si="1"/>
        <v>0198ef6d-8543-cb6b-0c98-c2a7e640e10d|2m</v>
      </c>
      <c r="M31" s="6" t="str">
        <f t="shared" si="2"/>
        <v>0198ef6d-8543-cb6b-0c98-c2a7e640e10d|age in months, [2, 3[</v>
      </c>
    </row>
    <row r="32" spans="1:13" x14ac:dyDescent="0.3">
      <c r="A32" t="s">
        <v>321</v>
      </c>
      <c r="B32" t="str">
        <f>IF($G32=$H32-1,$G32&amp;"",$G32&amp;IF($H32=48,"+","-"&amp;$H32-1))&amp;"M"</f>
        <v>3+M</v>
      </c>
      <c r="C32" t="str">
        <f t="shared" si="6"/>
        <v>Age in months, [3, 48[</v>
      </c>
      <c r="E32">
        <v>4</v>
      </c>
      <c r="F32" t="str">
        <f t="shared" si="7"/>
        <v>{"lb":3,"lb_in":true,"ub":48,"ub_in":false,"unit":"MONTH"}</v>
      </c>
      <c r="G32">
        <v>3</v>
      </c>
      <c r="H32">
        <v>48</v>
      </c>
      <c r="I32" s="6" t="str">
        <f>INDEX(ConceptSet!$B:$B,MATCH($J32,ConceptSet!$A:$A,0))</f>
        <v>AGE_CATEGORY_5</v>
      </c>
      <c r="J32" t="s">
        <v>338</v>
      </c>
      <c r="K32" s="6" t="str">
        <f t="shared" si="0"/>
        <v>0198ef6d-8543-cb6b-0c98-c2a7e640e10d|0198ef6d-8543-9154-e58f-dd117f762168</v>
      </c>
      <c r="L32" s="6" t="str">
        <f t="shared" si="1"/>
        <v>0198ef6d-8543-cb6b-0c98-c2a7e640e10d|3+m</v>
      </c>
      <c r="M32" s="6" t="str">
        <f t="shared" si="2"/>
        <v>0198ef6d-8543-cb6b-0c98-c2a7e640e10d|age in months, [3, 48[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C706-F5CD-4FB9-9D79-96282C7625CA}">
  <dimension ref="A1:I3"/>
  <sheetViews>
    <sheetView workbookViewId="0">
      <selection activeCell="E2" sqref="E2"/>
    </sheetView>
  </sheetViews>
  <sheetFormatPr defaultRowHeight="14.4" x14ac:dyDescent="0.3"/>
  <cols>
    <col min="1" max="1" width="36.33203125" bestFit="1" customWidth="1"/>
    <col min="2" max="3" width="36.21875" bestFit="1" customWidth="1"/>
    <col min="4" max="4" width="24.6640625" style="6" bestFit="1" customWidth="1"/>
    <col min="5" max="5" width="20.44140625" bestFit="1" customWidth="1"/>
    <col min="6" max="6" width="18.21875" bestFit="1" customWidth="1"/>
    <col min="7" max="7" width="31.33203125" bestFit="1" customWidth="1"/>
    <col min="8" max="8" width="29" bestFit="1" customWidth="1"/>
    <col min="9" max="9" width="9.6640625" bestFit="1" customWidth="1"/>
  </cols>
  <sheetData>
    <row r="1" spans="1:9" x14ac:dyDescent="0.3">
      <c r="A1" t="s">
        <v>0</v>
      </c>
      <c r="B1" t="s">
        <v>830</v>
      </c>
      <c r="C1" t="s">
        <v>831</v>
      </c>
      <c r="D1" s="6" t="s">
        <v>832</v>
      </c>
      <c r="E1" t="s">
        <v>837</v>
      </c>
      <c r="F1" t="s">
        <v>838</v>
      </c>
      <c r="G1" t="s">
        <v>833</v>
      </c>
      <c r="H1" t="s">
        <v>834</v>
      </c>
      <c r="I1" t="s">
        <v>409</v>
      </c>
    </row>
    <row r="2" spans="1:9" x14ac:dyDescent="0.3">
      <c r="A2" t="s">
        <v>835</v>
      </c>
      <c r="B2" t="s">
        <v>308</v>
      </c>
      <c r="C2" t="s">
        <v>357</v>
      </c>
      <c r="D2" s="6" t="b">
        <f>$B2&lt;&gt;$C2</f>
        <v>1</v>
      </c>
      <c r="E2" t="str">
        <f>INDEX(Concept!$C:$C,MATCH($B2,Concept!$A:$A,0))</f>
        <v>Category1_1</v>
      </c>
      <c r="F2" t="str">
        <f>INDEX(Concept!$C:$C,MATCH($C2,Concept!$A:$A,0))</f>
        <v>Category2_1</v>
      </c>
      <c r="G2" t="str">
        <f>INDEX(Concept!$I:$I,MATCH($B2,Concept!$A:$A,0))</f>
        <v>NOMINAL_1</v>
      </c>
      <c r="H2" t="str">
        <f>INDEX(Concept!$I:$I,MATCH($C2,Concept!$A:$A,0))</f>
        <v>NOMINAL_2</v>
      </c>
      <c r="I2" t="s">
        <v>410</v>
      </c>
    </row>
    <row r="3" spans="1:9" x14ac:dyDescent="0.3">
      <c r="A3" t="s">
        <v>836</v>
      </c>
      <c r="B3" t="s">
        <v>308</v>
      </c>
      <c r="C3" t="s">
        <v>358</v>
      </c>
      <c r="D3" s="6" t="b">
        <f t="shared" ref="D3" si="0">$B3&lt;&gt;$C3</f>
        <v>1</v>
      </c>
      <c r="E3" t="str">
        <f>INDEX(Concept!$C:$C,MATCH($B3,Concept!$A:$A,0))</f>
        <v>Category1_1</v>
      </c>
      <c r="F3" t="str">
        <f>INDEX(Concept!$C:$C,MATCH($C3,Concept!$A:$A,0))</f>
        <v>Category2_2</v>
      </c>
      <c r="G3" t="str">
        <f>INDEX(Concept!$I:$I,MATCH($B3,Concept!$A:$A,0))</f>
        <v>NOMINAL_1</v>
      </c>
      <c r="H3" t="str">
        <f>INDEX(Concept!$I:$I,MATCH($C3,Concept!$A:$A,0))</f>
        <v>NOMINAL_2</v>
      </c>
      <c r="I3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A4C3-472B-45B0-ABE1-5F12E28FD147}">
  <dimension ref="A1:E5"/>
  <sheetViews>
    <sheetView workbookViewId="0">
      <selection activeCell="D6" sqref="D6"/>
    </sheetView>
  </sheetViews>
  <sheetFormatPr defaultRowHeight="14.4" x14ac:dyDescent="0.3"/>
  <cols>
    <col min="1" max="1" width="36.109375" bestFit="1" customWidth="1"/>
    <col min="2" max="2" width="25.77734375" bestFit="1" customWidth="1"/>
    <col min="3" max="3" width="53.109375" bestFit="1" customWidth="1"/>
    <col min="4" max="4" width="53.109375" customWidth="1"/>
    <col min="5" max="5" width="19.44140625" bestFit="1" customWidth="1"/>
  </cols>
  <sheetData>
    <row r="1" spans="1:5" x14ac:dyDescent="0.3">
      <c r="A1" s="21" t="s">
        <v>0</v>
      </c>
      <c r="B1" s="21" t="s">
        <v>137</v>
      </c>
      <c r="C1" s="21" t="s">
        <v>57</v>
      </c>
      <c r="D1" s="1" t="s">
        <v>874</v>
      </c>
      <c r="E1" s="21" t="s">
        <v>369</v>
      </c>
    </row>
    <row r="2" spans="1:5" x14ac:dyDescent="0.3">
      <c r="A2" t="s">
        <v>380</v>
      </c>
      <c r="B2" t="s">
        <v>715</v>
      </c>
      <c r="C2" t="s">
        <v>370</v>
      </c>
      <c r="D2">
        <v>4</v>
      </c>
      <c r="E2" t="b">
        <v>1</v>
      </c>
    </row>
    <row r="3" spans="1:5" x14ac:dyDescent="0.3">
      <c r="A3" t="s">
        <v>381</v>
      </c>
      <c r="B3" t="s">
        <v>716</v>
      </c>
      <c r="C3" t="s">
        <v>371</v>
      </c>
      <c r="D3">
        <v>3</v>
      </c>
      <c r="E3" t="b">
        <v>1</v>
      </c>
    </row>
    <row r="4" spans="1:5" x14ac:dyDescent="0.3">
      <c r="A4" t="s">
        <v>382</v>
      </c>
      <c r="B4" t="s">
        <v>375</v>
      </c>
      <c r="C4" t="s">
        <v>372</v>
      </c>
      <c r="D4">
        <v>2</v>
      </c>
      <c r="E4" t="b">
        <v>0</v>
      </c>
    </row>
    <row r="5" spans="1:5" x14ac:dyDescent="0.3">
      <c r="A5" t="s">
        <v>383</v>
      </c>
      <c r="B5" t="s">
        <v>374</v>
      </c>
      <c r="C5" t="s">
        <v>373</v>
      </c>
      <c r="D5">
        <v>1</v>
      </c>
      <c r="E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BF17-C2B7-4D3E-9E1A-256BD885C609}">
  <dimension ref="A1:K15"/>
  <sheetViews>
    <sheetView workbookViewId="0">
      <selection activeCell="E14" sqref="E14"/>
    </sheetView>
  </sheetViews>
  <sheetFormatPr defaultRowHeight="14.4" x14ac:dyDescent="0.3"/>
  <cols>
    <col min="1" max="1" width="36.21875" bestFit="1" customWidth="1"/>
    <col min="2" max="2" width="35.88671875" bestFit="1" customWidth="1"/>
    <col min="3" max="3" width="35.88671875" customWidth="1"/>
    <col min="5" max="5" width="13.44140625" bestFit="1" customWidth="1"/>
    <col min="6" max="6" width="11.33203125" bestFit="1" customWidth="1"/>
    <col min="7" max="7" width="11.88671875" bestFit="1" customWidth="1"/>
    <col min="8" max="8" width="9.6640625" bestFit="1" customWidth="1"/>
    <col min="9" max="9" width="10.21875" bestFit="1" customWidth="1"/>
    <col min="10" max="10" width="43.33203125" style="6" bestFit="1" customWidth="1"/>
    <col min="11" max="11" width="49.88671875" style="6" bestFit="1" customWidth="1"/>
  </cols>
  <sheetData>
    <row r="1" spans="1:11" x14ac:dyDescent="0.3">
      <c r="A1" s="21" t="s">
        <v>0</v>
      </c>
      <c r="B1" s="21" t="s">
        <v>179</v>
      </c>
      <c r="C1" s="21" t="s">
        <v>717</v>
      </c>
      <c r="D1" s="21" t="s">
        <v>137</v>
      </c>
      <c r="E1" s="21" t="s">
        <v>57</v>
      </c>
      <c r="F1" s="21" t="s">
        <v>376</v>
      </c>
      <c r="G1" s="21" t="s">
        <v>377</v>
      </c>
      <c r="H1" s="21" t="s">
        <v>378</v>
      </c>
      <c r="I1" s="21" t="s">
        <v>379</v>
      </c>
      <c r="J1" s="25" t="s">
        <v>806</v>
      </c>
      <c r="K1" s="25" t="s">
        <v>804</v>
      </c>
    </row>
    <row r="2" spans="1:11" x14ac:dyDescent="0.3">
      <c r="A2" t="s">
        <v>393</v>
      </c>
      <c r="B2" t="s">
        <v>380</v>
      </c>
      <c r="C2" t="str">
        <f>INDEX(RegionSet!$C:$C,MATCH($B2,RegionSet!$A:$A,0))</f>
        <v>Postal codes - Level 4</v>
      </c>
      <c r="D2" s="11" t="s">
        <v>385</v>
      </c>
      <c r="E2" t="str">
        <f t="shared" ref="E2:E9" si="0">"PC_"&amp;$D2</f>
        <v>PC_1011</v>
      </c>
      <c r="F2">
        <v>1</v>
      </c>
      <c r="G2">
        <v>1</v>
      </c>
      <c r="H2">
        <v>1</v>
      </c>
      <c r="I2">
        <v>1</v>
      </c>
      <c r="J2" s="6" t="str">
        <f>LOWER($B2&amp;"|"&amp;$D2)</f>
        <v>0198ef6d-8543-92bb-3d7b-9a6b17e52c7d|1011</v>
      </c>
      <c r="K2" s="6" t="str">
        <f>LOWER($B2&amp;"|"&amp;$E2)</f>
        <v>0198ef6d-8543-92bb-3d7b-9a6b17e52c7d|pc_1011</v>
      </c>
    </row>
    <row r="3" spans="1:11" x14ac:dyDescent="0.3">
      <c r="A3" t="s">
        <v>394</v>
      </c>
      <c r="B3" t="s">
        <v>380</v>
      </c>
      <c r="C3" t="str">
        <f>INDEX(RegionSet!$C:$C,MATCH($B3,RegionSet!$A:$A,0))</f>
        <v>Postal codes - Level 4</v>
      </c>
      <c r="D3" s="11" t="s">
        <v>389</v>
      </c>
      <c r="E3" t="str">
        <f t="shared" si="0"/>
        <v>PC_1012</v>
      </c>
      <c r="F3">
        <v>1</v>
      </c>
      <c r="G3">
        <v>1</v>
      </c>
      <c r="H3">
        <v>1</v>
      </c>
      <c r="I3">
        <v>1</v>
      </c>
      <c r="J3" s="6" t="str">
        <f t="shared" ref="J3:J15" si="1">LOWER($B3&amp;"|"&amp;$D3)</f>
        <v>0198ef6d-8543-92bb-3d7b-9a6b17e52c7d|1012</v>
      </c>
      <c r="K3" s="6" t="str">
        <f t="shared" ref="K3:K15" si="2">LOWER($B3&amp;"|"&amp;$E3)</f>
        <v>0198ef6d-8543-92bb-3d7b-9a6b17e52c7d|pc_1012</v>
      </c>
    </row>
    <row r="4" spans="1:11" x14ac:dyDescent="0.3">
      <c r="A4" t="s">
        <v>395</v>
      </c>
      <c r="B4" t="s">
        <v>380</v>
      </c>
      <c r="C4" t="str">
        <f>INDEX(RegionSet!$C:$C,MATCH($B4,RegionSet!$A:$A,0))</f>
        <v>Postal codes - Level 4</v>
      </c>
      <c r="D4" s="11" t="s">
        <v>390</v>
      </c>
      <c r="E4" t="str">
        <f t="shared" si="0"/>
        <v>PC_1013</v>
      </c>
      <c r="F4">
        <v>1</v>
      </c>
      <c r="G4">
        <v>1</v>
      </c>
      <c r="H4">
        <v>1</v>
      </c>
      <c r="I4">
        <v>1</v>
      </c>
      <c r="J4" s="6" t="str">
        <f t="shared" si="1"/>
        <v>0198ef6d-8543-92bb-3d7b-9a6b17e52c7d|1013</v>
      </c>
      <c r="K4" s="6" t="str">
        <f t="shared" si="2"/>
        <v>0198ef6d-8543-92bb-3d7b-9a6b17e52c7d|pc_1013</v>
      </c>
    </row>
    <row r="5" spans="1:11" x14ac:dyDescent="0.3">
      <c r="A5" t="s">
        <v>396</v>
      </c>
      <c r="B5" t="s">
        <v>380</v>
      </c>
      <c r="C5" t="str">
        <f>INDEX(RegionSet!$C:$C,MATCH($B5,RegionSet!$A:$A,0))</f>
        <v>Postal codes - Level 4</v>
      </c>
      <c r="D5" s="11" t="s">
        <v>387</v>
      </c>
      <c r="E5" t="str">
        <f t="shared" si="0"/>
        <v>PC_1021</v>
      </c>
      <c r="F5">
        <v>1</v>
      </c>
      <c r="G5">
        <v>1</v>
      </c>
      <c r="H5">
        <v>1</v>
      </c>
      <c r="I5">
        <v>1</v>
      </c>
      <c r="J5" s="6" t="str">
        <f t="shared" si="1"/>
        <v>0198ef6d-8543-92bb-3d7b-9a6b17e52c7d|1021</v>
      </c>
      <c r="K5" s="6" t="str">
        <f t="shared" si="2"/>
        <v>0198ef6d-8543-92bb-3d7b-9a6b17e52c7d|pc_1021</v>
      </c>
    </row>
    <row r="6" spans="1:11" x14ac:dyDescent="0.3">
      <c r="A6" t="s">
        <v>397</v>
      </c>
      <c r="B6" t="s">
        <v>380</v>
      </c>
      <c r="C6" t="str">
        <f>INDEX(RegionSet!$C:$C,MATCH($B6,RegionSet!$A:$A,0))</f>
        <v>Postal codes - Level 4</v>
      </c>
      <c r="D6" s="11" t="s">
        <v>386</v>
      </c>
      <c r="E6" t="str">
        <f t="shared" si="0"/>
        <v>PC_1022</v>
      </c>
      <c r="F6">
        <v>1</v>
      </c>
      <c r="G6">
        <v>1</v>
      </c>
      <c r="H6">
        <v>1</v>
      </c>
      <c r="I6">
        <v>1</v>
      </c>
      <c r="J6" s="6" t="str">
        <f t="shared" si="1"/>
        <v>0198ef6d-8543-92bb-3d7b-9a6b17e52c7d|1022</v>
      </c>
      <c r="K6" s="6" t="str">
        <f t="shared" si="2"/>
        <v>0198ef6d-8543-92bb-3d7b-9a6b17e52c7d|pc_1022</v>
      </c>
    </row>
    <row r="7" spans="1:11" x14ac:dyDescent="0.3">
      <c r="A7" t="s">
        <v>398</v>
      </c>
      <c r="B7" t="s">
        <v>380</v>
      </c>
      <c r="C7" t="str">
        <f>INDEX(RegionSet!$C:$C,MATCH($B7,RegionSet!$A:$A,0))</f>
        <v>Postal codes - Level 4</v>
      </c>
      <c r="D7" s="11" t="s">
        <v>388</v>
      </c>
      <c r="E7" t="str">
        <f t="shared" si="0"/>
        <v>PC_1023</v>
      </c>
      <c r="F7">
        <v>1</v>
      </c>
      <c r="G7">
        <v>1</v>
      </c>
      <c r="H7">
        <v>1</v>
      </c>
      <c r="I7">
        <v>1</v>
      </c>
      <c r="J7" s="6" t="str">
        <f t="shared" si="1"/>
        <v>0198ef6d-8543-92bb-3d7b-9a6b17e52c7d|1023</v>
      </c>
      <c r="K7" s="6" t="str">
        <f t="shared" si="2"/>
        <v>0198ef6d-8543-92bb-3d7b-9a6b17e52c7d|pc_1023</v>
      </c>
    </row>
    <row r="8" spans="1:11" x14ac:dyDescent="0.3">
      <c r="A8" t="s">
        <v>399</v>
      </c>
      <c r="B8" t="s">
        <v>381</v>
      </c>
      <c r="C8" t="str">
        <f>INDEX(RegionSet!$C:$C,MATCH($B8,RegionSet!$A:$A,0))</f>
        <v>Postal codes - Level 3</v>
      </c>
      <c r="D8" s="11" t="s">
        <v>391</v>
      </c>
      <c r="E8" t="str">
        <f t="shared" si="0"/>
        <v>PC_101</v>
      </c>
      <c r="F8">
        <v>1</v>
      </c>
      <c r="G8">
        <v>1</v>
      </c>
      <c r="H8">
        <v>1</v>
      </c>
      <c r="I8">
        <v>1</v>
      </c>
      <c r="J8" s="6" t="str">
        <f t="shared" si="1"/>
        <v>0198ef6d-8543-0ad2-6a86-701cc690b0a4|101</v>
      </c>
      <c r="K8" s="6" t="str">
        <f t="shared" si="2"/>
        <v>0198ef6d-8543-0ad2-6a86-701cc690b0a4|pc_101</v>
      </c>
    </row>
    <row r="9" spans="1:11" x14ac:dyDescent="0.3">
      <c r="A9" t="s">
        <v>400</v>
      </c>
      <c r="B9" t="s">
        <v>381</v>
      </c>
      <c r="C9" t="str">
        <f>INDEX(RegionSet!$C:$C,MATCH($B9,RegionSet!$A:$A,0))</f>
        <v>Postal codes - Level 3</v>
      </c>
      <c r="D9" s="11" t="s">
        <v>392</v>
      </c>
      <c r="E9" t="str">
        <f t="shared" si="0"/>
        <v>PC_102</v>
      </c>
      <c r="F9">
        <v>1</v>
      </c>
      <c r="G9">
        <v>1</v>
      </c>
      <c r="H9">
        <v>1</v>
      </c>
      <c r="I9">
        <v>1</v>
      </c>
      <c r="J9" s="6" t="str">
        <f t="shared" si="1"/>
        <v>0198ef6d-8543-0ad2-6a86-701cc690b0a4|102</v>
      </c>
      <c r="K9" s="6" t="str">
        <f t="shared" si="2"/>
        <v>0198ef6d-8543-0ad2-6a86-701cc690b0a4|pc_102</v>
      </c>
    </row>
    <row r="10" spans="1:11" x14ac:dyDescent="0.3">
      <c r="A10" t="s">
        <v>401</v>
      </c>
      <c r="B10" t="s">
        <v>382</v>
      </c>
      <c r="C10" t="str">
        <f>INDEX(RegionSet!$C:$C,MATCH($B10,RegionSet!$A:$A,0))</f>
        <v>Municipalities</v>
      </c>
      <c r="D10" t="s">
        <v>384</v>
      </c>
      <c r="E10" t="s">
        <v>718</v>
      </c>
      <c r="F10">
        <v>1</v>
      </c>
      <c r="G10">
        <v>1</v>
      </c>
      <c r="H10">
        <v>1</v>
      </c>
      <c r="I10">
        <v>1</v>
      </c>
      <c r="J10" s="6" t="str">
        <f t="shared" si="1"/>
        <v>0198ef6d-8543-5e3f-5ed0-dd932e32c2aa|a</v>
      </c>
      <c r="K10" s="6" t="str">
        <f t="shared" si="2"/>
        <v>0198ef6d-8543-5e3f-5ed0-dd932e32c2aa|mun_a</v>
      </c>
    </row>
    <row r="11" spans="1:11" x14ac:dyDescent="0.3">
      <c r="A11" t="s">
        <v>402</v>
      </c>
      <c r="B11" t="s">
        <v>382</v>
      </c>
      <c r="C11" t="str">
        <f>INDEX(RegionSet!$C:$C,MATCH($B11,RegionSet!$A:$A,0))</f>
        <v>Municipalities</v>
      </c>
      <c r="D11" t="s">
        <v>807</v>
      </c>
      <c r="E11" t="s">
        <v>719</v>
      </c>
      <c r="F11">
        <v>1</v>
      </c>
      <c r="G11">
        <v>1</v>
      </c>
      <c r="H11">
        <v>1</v>
      </c>
      <c r="I11">
        <v>1</v>
      </c>
      <c r="J11" s="6" t="str">
        <f t="shared" si="1"/>
        <v>0198ef6d-8543-5e3f-5ed0-dd932e32c2aa|b</v>
      </c>
      <c r="K11" s="6" t="str">
        <f t="shared" si="2"/>
        <v>0198ef6d-8543-5e3f-5ed0-dd932e32c2aa|mun_b</v>
      </c>
    </row>
    <row r="12" spans="1:11" x14ac:dyDescent="0.3">
      <c r="A12" t="s">
        <v>403</v>
      </c>
      <c r="B12" t="s">
        <v>382</v>
      </c>
      <c r="C12" t="str">
        <f>INDEX(RegionSet!$C:$C,MATCH($B12,RegionSet!$A:$A,0))</f>
        <v>Municipalities</v>
      </c>
      <c r="D12" t="s">
        <v>808</v>
      </c>
      <c r="E12" t="s">
        <v>720</v>
      </c>
      <c r="F12">
        <v>1</v>
      </c>
      <c r="G12">
        <v>1</v>
      </c>
      <c r="H12">
        <v>1</v>
      </c>
      <c r="I12">
        <v>1</v>
      </c>
      <c r="J12" s="6" t="str">
        <f t="shared" si="1"/>
        <v>0198ef6d-8543-5e3f-5ed0-dd932e32c2aa|c</v>
      </c>
      <c r="K12" s="6" t="str">
        <f t="shared" si="2"/>
        <v>0198ef6d-8543-5e3f-5ed0-dd932e32c2aa|mun_c</v>
      </c>
    </row>
    <row r="13" spans="1:11" x14ac:dyDescent="0.3">
      <c r="A13" t="s">
        <v>404</v>
      </c>
      <c r="B13" t="s">
        <v>383</v>
      </c>
      <c r="C13" t="str">
        <f>INDEX(RegionSet!$C:$C,MATCH($B13,RegionSet!$A:$A,0))</f>
        <v>Provinces</v>
      </c>
      <c r="D13" t="s">
        <v>721</v>
      </c>
      <c r="E13" t="s">
        <v>809</v>
      </c>
      <c r="F13">
        <v>1</v>
      </c>
      <c r="G13">
        <v>1</v>
      </c>
      <c r="H13">
        <v>1</v>
      </c>
      <c r="I13">
        <v>1</v>
      </c>
      <c r="J13" s="6" t="str">
        <f t="shared" si="1"/>
        <v>0198ef6d-8543-ca21-8fc9-aac9c10fe055|pv_1</v>
      </c>
      <c r="K13" s="6" t="str">
        <f t="shared" si="2"/>
        <v>0198ef6d-8543-ca21-8fc9-aac9c10fe055|province_1</v>
      </c>
    </row>
    <row r="14" spans="1:11" x14ac:dyDescent="0.3">
      <c r="A14" t="s">
        <v>405</v>
      </c>
      <c r="B14" t="s">
        <v>383</v>
      </c>
      <c r="C14" t="str">
        <f>INDEX(RegionSet!$C:$C,MATCH($B14,RegionSet!$A:$A,0))</f>
        <v>Provinces</v>
      </c>
      <c r="D14" t="s">
        <v>722</v>
      </c>
      <c r="E14" t="s">
        <v>810</v>
      </c>
      <c r="F14">
        <v>1</v>
      </c>
      <c r="G14">
        <v>1</v>
      </c>
      <c r="H14">
        <v>1</v>
      </c>
      <c r="I14">
        <v>1</v>
      </c>
      <c r="J14" s="6" t="str">
        <f t="shared" si="1"/>
        <v>0198ef6d-8543-ca21-8fc9-aac9c10fe055|pv_2</v>
      </c>
      <c r="K14" s="6" t="str">
        <f t="shared" si="2"/>
        <v>0198ef6d-8543-ca21-8fc9-aac9c10fe055|province_2</v>
      </c>
    </row>
    <row r="15" spans="1:11" x14ac:dyDescent="0.3">
      <c r="A15" t="s">
        <v>406</v>
      </c>
      <c r="B15" t="s">
        <v>383</v>
      </c>
      <c r="C15" t="str">
        <f>INDEX(RegionSet!$C:$C,MATCH($B15,RegionSet!$A:$A,0))</f>
        <v>Provinces</v>
      </c>
      <c r="D15" t="s">
        <v>723</v>
      </c>
      <c r="E15" t="s">
        <v>811</v>
      </c>
      <c r="F15">
        <v>1</v>
      </c>
      <c r="G15">
        <v>1</v>
      </c>
      <c r="H15">
        <v>1</v>
      </c>
      <c r="I15">
        <v>1</v>
      </c>
      <c r="J15" s="6" t="str">
        <f t="shared" si="1"/>
        <v>0198ef6d-8543-ca21-8fc9-aac9c10fe055|pv_3</v>
      </c>
      <c r="K15" s="6" t="str">
        <f t="shared" si="2"/>
        <v>0198ef6d-8543-ca21-8fc9-aac9c10fe055|province_3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D8C-5572-44D9-BA3F-CF80F24C999C}">
  <dimension ref="A1:F22"/>
  <sheetViews>
    <sheetView workbookViewId="0">
      <selection activeCell="A2" sqref="A2"/>
    </sheetView>
  </sheetViews>
  <sheetFormatPr defaultRowHeight="14.4" x14ac:dyDescent="0.3"/>
  <cols>
    <col min="1" max="2" width="36" bestFit="1" customWidth="1"/>
    <col min="3" max="3" width="36" customWidth="1"/>
    <col min="4" max="4" width="36.21875" bestFit="1" customWidth="1"/>
    <col min="5" max="5" width="36.21875" customWidth="1"/>
    <col min="6" max="6" width="9.6640625" bestFit="1" customWidth="1"/>
  </cols>
  <sheetData>
    <row r="1" spans="1:6" x14ac:dyDescent="0.3">
      <c r="A1" s="21" t="s">
        <v>0</v>
      </c>
      <c r="B1" s="21" t="s">
        <v>407</v>
      </c>
      <c r="C1" s="21" t="s">
        <v>724</v>
      </c>
      <c r="D1" s="21" t="s">
        <v>408</v>
      </c>
      <c r="E1" s="21" t="s">
        <v>725</v>
      </c>
      <c r="F1" s="21" t="s">
        <v>409</v>
      </c>
    </row>
    <row r="2" spans="1:6" x14ac:dyDescent="0.3">
      <c r="A2" t="s">
        <v>411</v>
      </c>
      <c r="B2" t="s">
        <v>399</v>
      </c>
      <c r="C2" t="str">
        <f>INDEX(Region!$E:$E,MATCH($B2,Region!$A:$A,0))</f>
        <v>PC_101</v>
      </c>
      <c r="D2" t="s">
        <v>393</v>
      </c>
      <c r="E2" t="str">
        <f>INDEX(Region!$E:$E,MATCH($D2,Region!$A:$A,0))</f>
        <v>PC_1011</v>
      </c>
      <c r="F2" t="s">
        <v>410</v>
      </c>
    </row>
    <row r="3" spans="1:6" x14ac:dyDescent="0.3">
      <c r="A3" t="s">
        <v>412</v>
      </c>
      <c r="B3" t="s">
        <v>399</v>
      </c>
      <c r="C3" t="str">
        <f>INDEX(Region!$E:$E,MATCH($B3,Region!$A:$A,0))</f>
        <v>PC_101</v>
      </c>
      <c r="D3" t="s">
        <v>394</v>
      </c>
      <c r="E3" t="str">
        <f>INDEX(Region!$E:$E,MATCH($D3,Region!$A:$A,0))</f>
        <v>PC_1012</v>
      </c>
      <c r="F3" t="s">
        <v>410</v>
      </c>
    </row>
    <row r="4" spans="1:6" x14ac:dyDescent="0.3">
      <c r="A4" t="s">
        <v>413</v>
      </c>
      <c r="B4" t="s">
        <v>399</v>
      </c>
      <c r="C4" t="str">
        <f>INDEX(Region!$E:$E,MATCH($B4,Region!$A:$A,0))</f>
        <v>PC_101</v>
      </c>
      <c r="D4" t="s">
        <v>395</v>
      </c>
      <c r="E4" t="str">
        <f>INDEX(Region!$E:$E,MATCH($D4,Region!$A:$A,0))</f>
        <v>PC_1013</v>
      </c>
      <c r="F4" t="s">
        <v>410</v>
      </c>
    </row>
    <row r="5" spans="1:6" x14ac:dyDescent="0.3">
      <c r="A5" t="s">
        <v>414</v>
      </c>
      <c r="B5" t="s">
        <v>400</v>
      </c>
      <c r="C5" t="str">
        <f>INDEX(Region!$E:$E,MATCH($B5,Region!$A:$A,0))</f>
        <v>PC_102</v>
      </c>
      <c r="D5" t="s">
        <v>396</v>
      </c>
      <c r="E5" t="str">
        <f>INDEX(Region!$E:$E,MATCH($D5,Region!$A:$A,0))</f>
        <v>PC_1021</v>
      </c>
      <c r="F5" t="s">
        <v>410</v>
      </c>
    </row>
    <row r="6" spans="1:6" x14ac:dyDescent="0.3">
      <c r="A6" t="s">
        <v>415</v>
      </c>
      <c r="B6" t="s">
        <v>400</v>
      </c>
      <c r="C6" t="str">
        <f>INDEX(Region!$E:$E,MATCH($B6,Region!$A:$A,0))</f>
        <v>PC_102</v>
      </c>
      <c r="D6" t="s">
        <v>397</v>
      </c>
      <c r="E6" t="str">
        <f>INDEX(Region!$E:$E,MATCH($D6,Region!$A:$A,0))</f>
        <v>PC_1022</v>
      </c>
      <c r="F6" t="s">
        <v>410</v>
      </c>
    </row>
    <row r="7" spans="1:6" x14ac:dyDescent="0.3">
      <c r="A7" t="s">
        <v>416</v>
      </c>
      <c r="B7" t="s">
        <v>400</v>
      </c>
      <c r="C7" t="str">
        <f>INDEX(Region!$E:$E,MATCH($B7,Region!$A:$A,0))</f>
        <v>PC_102</v>
      </c>
      <c r="D7" t="s">
        <v>398</v>
      </c>
      <c r="E7" t="str">
        <f>INDEX(Region!$E:$E,MATCH($D7,Region!$A:$A,0))</f>
        <v>PC_1023</v>
      </c>
      <c r="F7" t="s">
        <v>410</v>
      </c>
    </row>
    <row r="8" spans="1:6" x14ac:dyDescent="0.3">
      <c r="A8" t="s">
        <v>417</v>
      </c>
      <c r="B8" t="s">
        <v>401</v>
      </c>
      <c r="C8" t="str">
        <f>INDEX(Region!$E:$E,MATCH($B8,Region!$A:$A,0))</f>
        <v>MUN_A</v>
      </c>
      <c r="D8" t="s">
        <v>393</v>
      </c>
      <c r="E8" t="str">
        <f>INDEX(Region!$E:$E,MATCH($D8,Region!$A:$A,0))</f>
        <v>PC_1011</v>
      </c>
      <c r="F8" t="s">
        <v>410</v>
      </c>
    </row>
    <row r="9" spans="1:6" x14ac:dyDescent="0.3">
      <c r="A9" t="s">
        <v>418</v>
      </c>
      <c r="B9" t="s">
        <v>401</v>
      </c>
      <c r="C9" t="str">
        <f>INDEX(Region!$E:$E,MATCH($B9,Region!$A:$A,0))</f>
        <v>MUN_A</v>
      </c>
      <c r="D9" t="s">
        <v>394</v>
      </c>
      <c r="E9" t="str">
        <f>INDEX(Region!$E:$E,MATCH($D9,Region!$A:$A,0))</f>
        <v>PC_1012</v>
      </c>
      <c r="F9" t="s">
        <v>410</v>
      </c>
    </row>
    <row r="10" spans="1:6" x14ac:dyDescent="0.3">
      <c r="A10" t="s">
        <v>419</v>
      </c>
      <c r="B10" t="s">
        <v>402</v>
      </c>
      <c r="C10" t="str">
        <f>INDEX(Region!$E:$E,MATCH($B10,Region!$A:$A,0))</f>
        <v>MUN_B</v>
      </c>
      <c r="D10" t="s">
        <v>395</v>
      </c>
      <c r="E10" t="str">
        <f>INDEX(Region!$E:$E,MATCH($D10,Region!$A:$A,0))</f>
        <v>PC_1013</v>
      </c>
      <c r="F10" t="s">
        <v>410</v>
      </c>
    </row>
    <row r="11" spans="1:6" x14ac:dyDescent="0.3">
      <c r="A11" t="s">
        <v>420</v>
      </c>
      <c r="B11" t="s">
        <v>402</v>
      </c>
      <c r="C11" t="str">
        <f>INDEX(Region!$E:$E,MATCH($B11,Region!$A:$A,0))</f>
        <v>MUN_B</v>
      </c>
      <c r="D11" t="s">
        <v>396</v>
      </c>
      <c r="E11" t="str">
        <f>INDEX(Region!$E:$E,MATCH($D11,Region!$A:$A,0))</f>
        <v>PC_1021</v>
      </c>
      <c r="F11" t="s">
        <v>410</v>
      </c>
    </row>
    <row r="12" spans="1:6" x14ac:dyDescent="0.3">
      <c r="A12" t="s">
        <v>421</v>
      </c>
      <c r="B12" t="s">
        <v>403</v>
      </c>
      <c r="C12" t="str">
        <f>INDEX(Region!$E:$E,MATCH($B12,Region!$A:$A,0))</f>
        <v>MUN_C</v>
      </c>
      <c r="D12" t="s">
        <v>397</v>
      </c>
      <c r="E12" t="str">
        <f>INDEX(Region!$E:$E,MATCH($D12,Region!$A:$A,0))</f>
        <v>PC_1022</v>
      </c>
      <c r="F12" t="s">
        <v>410</v>
      </c>
    </row>
    <row r="13" spans="1:6" x14ac:dyDescent="0.3">
      <c r="A13" t="s">
        <v>422</v>
      </c>
      <c r="B13" t="s">
        <v>403</v>
      </c>
      <c r="C13" t="str">
        <f>INDEX(Region!$E:$E,MATCH($B13,Region!$A:$A,0))</f>
        <v>MUN_C</v>
      </c>
      <c r="D13" t="s">
        <v>398</v>
      </c>
      <c r="E13" t="str">
        <f>INDEX(Region!$E:$E,MATCH($D13,Region!$A:$A,0))</f>
        <v>PC_1023</v>
      </c>
      <c r="F13" t="s">
        <v>410</v>
      </c>
    </row>
    <row r="14" spans="1:6" x14ac:dyDescent="0.3">
      <c r="A14" t="s">
        <v>423</v>
      </c>
      <c r="B14" t="s">
        <v>404</v>
      </c>
      <c r="C14" t="str">
        <f>INDEX(Region!$E:$E,MATCH($B14,Region!$A:$A,0))</f>
        <v>Province_1</v>
      </c>
      <c r="D14" t="s">
        <v>393</v>
      </c>
      <c r="E14" t="str">
        <f>INDEX(Region!$E:$E,MATCH($D14,Region!$A:$A,0))</f>
        <v>PC_1011</v>
      </c>
      <c r="F14" t="s">
        <v>410</v>
      </c>
    </row>
    <row r="15" spans="1:6" x14ac:dyDescent="0.3">
      <c r="A15" t="s">
        <v>424</v>
      </c>
      <c r="B15" t="s">
        <v>404</v>
      </c>
      <c r="C15" t="str">
        <f>INDEX(Region!$E:$E,MATCH($B15,Region!$A:$A,0))</f>
        <v>Province_1</v>
      </c>
      <c r="D15" t="s">
        <v>394</v>
      </c>
      <c r="E15" t="str">
        <f>INDEX(Region!$E:$E,MATCH($D15,Region!$A:$A,0))</f>
        <v>PC_1012</v>
      </c>
      <c r="F15" t="s">
        <v>410</v>
      </c>
    </row>
    <row r="16" spans="1:6" x14ac:dyDescent="0.3">
      <c r="A16" t="s">
        <v>425</v>
      </c>
      <c r="B16" t="s">
        <v>404</v>
      </c>
      <c r="C16" t="str">
        <f>INDEX(Region!$E:$E,MATCH($B16,Region!$A:$A,0))</f>
        <v>Province_1</v>
      </c>
      <c r="D16" t="s">
        <v>395</v>
      </c>
      <c r="E16" t="str">
        <f>INDEX(Region!$E:$E,MATCH($D16,Region!$A:$A,0))</f>
        <v>PC_1013</v>
      </c>
      <c r="F16" t="s">
        <v>410</v>
      </c>
    </row>
    <row r="17" spans="1:6" x14ac:dyDescent="0.3">
      <c r="A17" t="s">
        <v>426</v>
      </c>
      <c r="B17" t="s">
        <v>404</v>
      </c>
      <c r="C17" t="str">
        <f>INDEX(Region!$E:$E,MATCH($B17,Region!$A:$A,0))</f>
        <v>Province_1</v>
      </c>
      <c r="D17" t="s">
        <v>396</v>
      </c>
      <c r="E17" t="str">
        <f>INDEX(Region!$E:$E,MATCH($D17,Region!$A:$A,0))</f>
        <v>PC_1021</v>
      </c>
      <c r="F17" t="s">
        <v>410</v>
      </c>
    </row>
    <row r="18" spans="1:6" x14ac:dyDescent="0.3">
      <c r="A18" t="s">
        <v>427</v>
      </c>
      <c r="B18" t="s">
        <v>405</v>
      </c>
      <c r="C18" t="str">
        <f>INDEX(Region!$E:$E,MATCH($B18,Region!$A:$A,0))</f>
        <v>Province_2</v>
      </c>
      <c r="D18" t="s">
        <v>397</v>
      </c>
      <c r="E18" t="str">
        <f>INDEX(Region!$E:$E,MATCH($D18,Region!$A:$A,0))</f>
        <v>PC_1022</v>
      </c>
      <c r="F18" t="s">
        <v>410</v>
      </c>
    </row>
    <row r="19" spans="1:6" x14ac:dyDescent="0.3">
      <c r="A19" t="s">
        <v>428</v>
      </c>
      <c r="B19" t="s">
        <v>405</v>
      </c>
      <c r="C19" t="str">
        <f>INDEX(Region!$E:$E,MATCH($B19,Region!$A:$A,0))</f>
        <v>Province_2</v>
      </c>
      <c r="D19" t="s">
        <v>398</v>
      </c>
      <c r="E19" t="str">
        <f>INDEX(Region!$E:$E,MATCH($D19,Region!$A:$A,0))</f>
        <v>PC_1023</v>
      </c>
      <c r="F19" t="s">
        <v>410</v>
      </c>
    </row>
    <row r="20" spans="1:6" x14ac:dyDescent="0.3">
      <c r="A20" t="s">
        <v>429</v>
      </c>
      <c r="B20" t="s">
        <v>404</v>
      </c>
      <c r="C20" t="str">
        <f>INDEX(Region!$E:$E,MATCH($B20,Region!$A:$A,0))</f>
        <v>Province_1</v>
      </c>
      <c r="D20" t="s">
        <v>401</v>
      </c>
      <c r="E20" t="str">
        <f>INDEX(Region!$E:$E,MATCH($D20,Region!$A:$A,0))</f>
        <v>MUN_A</v>
      </c>
      <c r="F20" t="s">
        <v>410</v>
      </c>
    </row>
    <row r="21" spans="1:6" x14ac:dyDescent="0.3">
      <c r="A21" t="s">
        <v>430</v>
      </c>
      <c r="B21" t="s">
        <v>404</v>
      </c>
      <c r="C21" t="str">
        <f>INDEX(Region!$E:$E,MATCH($B21,Region!$A:$A,0))</f>
        <v>Province_1</v>
      </c>
      <c r="D21" t="s">
        <v>402</v>
      </c>
      <c r="E21" t="str">
        <f>INDEX(Region!$E:$E,MATCH($D21,Region!$A:$A,0))</f>
        <v>MUN_B</v>
      </c>
      <c r="F21" t="s">
        <v>410</v>
      </c>
    </row>
    <row r="22" spans="1:6" x14ac:dyDescent="0.3">
      <c r="A22" t="s">
        <v>431</v>
      </c>
      <c r="B22" t="s">
        <v>405</v>
      </c>
      <c r="C22" t="str">
        <f>INDEX(Region!$E:$E,MATCH($B22,Region!$A:$A,0))</f>
        <v>Province_2</v>
      </c>
      <c r="D22" t="s">
        <v>403</v>
      </c>
      <c r="E22" t="str">
        <f>INDEX(Region!$E:$E,MATCH($D22,Region!$A:$A,0))</f>
        <v>MUN_C</v>
      </c>
      <c r="F22" t="s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6DA5-0E3F-40F3-BDEA-9718EEDD0EBB}">
  <dimension ref="A1:H22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2" width="35.44140625" style="31" customWidth="1"/>
    <col min="3" max="3" width="15" style="31" customWidth="1"/>
    <col min="4" max="4" width="27.6640625" style="33" customWidth="1"/>
    <col min="5" max="5" width="35.44140625" style="31" customWidth="1"/>
    <col min="6" max="6" width="23.5546875" style="31" bestFit="1" customWidth="1"/>
    <col min="7" max="7" width="13.77734375" style="31" bestFit="1" customWidth="1"/>
    <col min="8" max="1026" width="9.44140625" style="31" customWidth="1"/>
    <col min="1027" max="16384" width="8.6640625" style="31"/>
  </cols>
  <sheetData>
    <row r="1" spans="1:8" s="28" customFormat="1" x14ac:dyDescent="0.3">
      <c r="A1" s="26" t="s">
        <v>0</v>
      </c>
      <c r="B1" s="26" t="s">
        <v>1101</v>
      </c>
      <c r="C1" s="26" t="s">
        <v>57</v>
      </c>
      <c r="D1" s="27" t="s">
        <v>78</v>
      </c>
      <c r="E1" s="26" t="s">
        <v>1102</v>
      </c>
      <c r="F1" s="26" t="s">
        <v>1103</v>
      </c>
      <c r="G1" s="26" t="s">
        <v>1104</v>
      </c>
      <c r="H1" s="26" t="s">
        <v>1105</v>
      </c>
    </row>
    <row r="2" spans="1:8" x14ac:dyDescent="0.3">
      <c r="A2" s="29" t="s">
        <v>1106</v>
      </c>
      <c r="B2" s="29" t="s">
        <v>1107</v>
      </c>
      <c r="C2" s="29" t="s">
        <v>1108</v>
      </c>
      <c r="D2" s="30" t="str">
        <f>"Description for "&amp;$C2</f>
        <v>Description for SALM cgMLST</v>
      </c>
      <c r="E2" s="29">
        <v>100</v>
      </c>
      <c r="F2" s="29" t="b">
        <v>1</v>
      </c>
      <c r="G2" s="29">
        <v>1</v>
      </c>
      <c r="H2" s="29" t="b">
        <v>1</v>
      </c>
    </row>
    <row r="3" spans="1:8" x14ac:dyDescent="0.3">
      <c r="A3" s="29" t="s">
        <v>1109</v>
      </c>
      <c r="B3" s="29" t="s">
        <v>1110</v>
      </c>
      <c r="C3" s="29" t="s">
        <v>1111</v>
      </c>
      <c r="D3" s="30" t="str">
        <f t="shared" ref="D3:D22" si="0">"Description for "&amp;$C3</f>
        <v>Description for SALM wgMLST</v>
      </c>
      <c r="E3" s="29">
        <v>100</v>
      </c>
      <c r="F3" s="29" t="b">
        <v>1</v>
      </c>
      <c r="G3" s="29">
        <v>1</v>
      </c>
      <c r="H3" s="29" t="b">
        <v>1</v>
      </c>
    </row>
    <row r="4" spans="1:8" x14ac:dyDescent="0.3">
      <c r="A4" s="29" t="s">
        <v>1112</v>
      </c>
      <c r="B4" s="29" t="s">
        <v>1113</v>
      </c>
      <c r="C4" s="29" t="s">
        <v>1114</v>
      </c>
      <c r="D4" s="30" t="str">
        <f t="shared" si="0"/>
        <v>Description for SALM SNP</v>
      </c>
      <c r="E4" s="29">
        <v>100</v>
      </c>
      <c r="F4" s="29" t="b">
        <v>1</v>
      </c>
      <c r="G4" s="29">
        <v>1</v>
      </c>
      <c r="H4" s="29" t="b">
        <v>1</v>
      </c>
    </row>
    <row r="5" spans="1:8" x14ac:dyDescent="0.3">
      <c r="A5" s="31" t="s">
        <v>1115</v>
      </c>
      <c r="B5" s="31" t="s">
        <v>1116</v>
      </c>
      <c r="C5" s="31" t="s">
        <v>1117</v>
      </c>
      <c r="D5" s="30" t="str">
        <f t="shared" si="0"/>
        <v>Description for ECOLI cgMLST</v>
      </c>
      <c r="E5" s="29">
        <v>100</v>
      </c>
      <c r="F5" s="29" t="b">
        <v>1</v>
      </c>
      <c r="G5" s="29">
        <v>1</v>
      </c>
      <c r="H5" s="29" t="b">
        <v>1</v>
      </c>
    </row>
    <row r="6" spans="1:8" x14ac:dyDescent="0.3">
      <c r="A6" s="31" t="s">
        <v>1118</v>
      </c>
      <c r="B6" s="31" t="s">
        <v>1119</v>
      </c>
      <c r="C6" s="31" t="s">
        <v>1120</v>
      </c>
      <c r="D6" s="30" t="str">
        <f t="shared" si="0"/>
        <v>Description for ECOLI wgMLST</v>
      </c>
      <c r="E6" s="29">
        <v>100</v>
      </c>
      <c r="F6" s="29" t="b">
        <v>1</v>
      </c>
      <c r="G6" s="29">
        <v>1</v>
      </c>
      <c r="H6" s="29" t="b">
        <v>1</v>
      </c>
    </row>
    <row r="7" spans="1:8" x14ac:dyDescent="0.3">
      <c r="A7" s="31" t="s">
        <v>1121</v>
      </c>
      <c r="B7" s="31" t="s">
        <v>1122</v>
      </c>
      <c r="C7" s="31" t="s">
        <v>1123</v>
      </c>
      <c r="D7" s="30" t="str">
        <f t="shared" si="0"/>
        <v>Description for ECOLI SNP</v>
      </c>
      <c r="E7" s="29">
        <v>100</v>
      </c>
      <c r="F7" s="29" t="b">
        <v>1</v>
      </c>
      <c r="G7" s="29">
        <v>1</v>
      </c>
      <c r="H7" s="29" t="b">
        <v>1</v>
      </c>
    </row>
    <row r="8" spans="1:8" x14ac:dyDescent="0.3">
      <c r="A8" s="29" t="s">
        <v>1124</v>
      </c>
      <c r="B8" s="29" t="s">
        <v>1125</v>
      </c>
      <c r="C8" s="29" t="s">
        <v>1126</v>
      </c>
      <c r="D8" s="30" t="str">
        <f t="shared" si="0"/>
        <v>Description for NORO SNP</v>
      </c>
      <c r="E8" s="29">
        <v>100</v>
      </c>
      <c r="F8" s="29" t="b">
        <v>1</v>
      </c>
      <c r="G8" s="29">
        <v>1</v>
      </c>
      <c r="H8" s="29" t="b">
        <v>1</v>
      </c>
    </row>
    <row r="9" spans="1:8" x14ac:dyDescent="0.3">
      <c r="A9" s="29" t="s">
        <v>1127</v>
      </c>
      <c r="B9" s="29" t="s">
        <v>1128</v>
      </c>
      <c r="C9" s="29" t="s">
        <v>1129</v>
      </c>
      <c r="D9" s="30" t="str">
        <f t="shared" si="0"/>
        <v>Description for MRSA cgMLST</v>
      </c>
      <c r="E9" s="29">
        <v>100</v>
      </c>
      <c r="F9" s="29" t="b">
        <v>1</v>
      </c>
      <c r="G9" s="29">
        <v>1</v>
      </c>
      <c r="H9" s="29" t="b">
        <v>1</v>
      </c>
    </row>
    <row r="10" spans="1:8" x14ac:dyDescent="0.3">
      <c r="A10" s="29" t="s">
        <v>1130</v>
      </c>
      <c r="B10" s="29" t="s">
        <v>1131</v>
      </c>
      <c r="C10" s="29" t="s">
        <v>1132</v>
      </c>
      <c r="D10" s="30" t="str">
        <f t="shared" si="0"/>
        <v>Description for MRSA wgMLST</v>
      </c>
      <c r="E10" s="29">
        <v>100</v>
      </c>
      <c r="F10" s="29" t="b">
        <v>1</v>
      </c>
      <c r="G10" s="29">
        <v>1</v>
      </c>
      <c r="H10" s="29" t="b">
        <v>1</v>
      </c>
    </row>
    <row r="11" spans="1:8" x14ac:dyDescent="0.3">
      <c r="A11" s="31" t="s">
        <v>1133</v>
      </c>
      <c r="B11" s="31" t="s">
        <v>1134</v>
      </c>
      <c r="C11" s="29" t="s">
        <v>1135</v>
      </c>
      <c r="D11" s="30" t="str">
        <f t="shared" si="0"/>
        <v>Description for MRSA SNP</v>
      </c>
      <c r="E11" s="29">
        <v>100</v>
      </c>
      <c r="F11" s="29" t="b">
        <v>1</v>
      </c>
      <c r="G11" s="29">
        <v>1</v>
      </c>
      <c r="H11" s="29" t="b">
        <v>1</v>
      </c>
    </row>
    <row r="12" spans="1:8" x14ac:dyDescent="0.3">
      <c r="A12" s="29" t="s">
        <v>1136</v>
      </c>
      <c r="B12" s="29" t="s">
        <v>1137</v>
      </c>
      <c r="C12" s="29" t="s">
        <v>1138</v>
      </c>
      <c r="D12" s="30" t="str">
        <f t="shared" si="0"/>
        <v>Description for TUBE SNP</v>
      </c>
      <c r="E12" s="29">
        <v>100</v>
      </c>
      <c r="F12" s="29" t="b">
        <v>1</v>
      </c>
      <c r="G12" s="29">
        <v>1</v>
      </c>
      <c r="H12" s="29" t="b">
        <v>1</v>
      </c>
    </row>
    <row r="13" spans="1:8" x14ac:dyDescent="0.3">
      <c r="A13" s="29" t="s">
        <v>1139</v>
      </c>
      <c r="B13" s="29" t="s">
        <v>1140</v>
      </c>
      <c r="C13" s="29" t="s">
        <v>1141</v>
      </c>
      <c r="D13" s="30" t="str">
        <f t="shared" si="0"/>
        <v>Description for ECHO11 SNP</v>
      </c>
      <c r="E13" s="29">
        <v>100</v>
      </c>
      <c r="F13" s="29" t="b">
        <v>1</v>
      </c>
      <c r="G13" s="29">
        <v>1</v>
      </c>
      <c r="H13" s="29" t="b">
        <v>1</v>
      </c>
    </row>
    <row r="14" spans="1:8" x14ac:dyDescent="0.3">
      <c r="A14" s="29" t="s">
        <v>1142</v>
      </c>
      <c r="B14" s="29" t="s">
        <v>1143</v>
      </c>
      <c r="C14" s="29" t="s">
        <v>1144</v>
      </c>
      <c r="D14" s="30" t="str">
        <f t="shared" si="0"/>
        <v>Description for HEPA SNP</v>
      </c>
      <c r="E14" s="29">
        <v>100</v>
      </c>
      <c r="F14" s="29" t="b">
        <v>1</v>
      </c>
      <c r="G14" s="29">
        <v>1</v>
      </c>
      <c r="H14" s="29" t="b">
        <v>1</v>
      </c>
    </row>
    <row r="15" spans="1:8" x14ac:dyDescent="0.3">
      <c r="A15" s="29" t="s">
        <v>1145</v>
      </c>
      <c r="B15" s="29" t="s">
        <v>1146</v>
      </c>
      <c r="C15" s="29" t="s">
        <v>1147</v>
      </c>
      <c r="D15" s="30" t="str">
        <f t="shared" si="0"/>
        <v>Description for MENI cgMLST</v>
      </c>
      <c r="E15" s="29">
        <v>100</v>
      </c>
      <c r="F15" s="29" t="b">
        <v>1</v>
      </c>
      <c r="G15" s="29">
        <v>1</v>
      </c>
      <c r="H15" s="29" t="b">
        <v>1</v>
      </c>
    </row>
    <row r="16" spans="1:8" x14ac:dyDescent="0.3">
      <c r="A16" s="29" t="s">
        <v>1148</v>
      </c>
      <c r="B16" s="29" t="s">
        <v>1149</v>
      </c>
      <c r="C16" s="29" t="s">
        <v>1150</v>
      </c>
      <c r="D16" s="30" t="str">
        <f t="shared" si="0"/>
        <v>Description for MENI wgMLST</v>
      </c>
      <c r="E16" s="29">
        <v>100</v>
      </c>
      <c r="F16" s="29" t="b">
        <v>1</v>
      </c>
      <c r="G16" s="29">
        <v>1</v>
      </c>
      <c r="H16" s="29" t="b">
        <v>1</v>
      </c>
    </row>
    <row r="17" spans="1:8" x14ac:dyDescent="0.3">
      <c r="A17" s="29" t="s">
        <v>1151</v>
      </c>
      <c r="B17" s="29" t="s">
        <v>1152</v>
      </c>
      <c r="C17" s="29" t="s">
        <v>1153</v>
      </c>
      <c r="D17" s="30" t="str">
        <f t="shared" si="0"/>
        <v>Description for MENI SNP</v>
      </c>
      <c r="E17" s="29">
        <v>100</v>
      </c>
      <c r="F17" s="29" t="b">
        <v>1</v>
      </c>
      <c r="G17" s="29">
        <v>1</v>
      </c>
      <c r="H17" s="29" t="b">
        <v>1</v>
      </c>
    </row>
    <row r="18" spans="1:8" x14ac:dyDescent="0.3">
      <c r="A18" s="29" t="s">
        <v>1154</v>
      </c>
      <c r="B18" s="29" t="s">
        <v>1155</v>
      </c>
      <c r="C18" s="29" t="s">
        <v>1156</v>
      </c>
      <c r="D18" s="30" t="str">
        <f t="shared" si="0"/>
        <v>Description for YERS cgMLST</v>
      </c>
      <c r="E18" s="29">
        <v>100</v>
      </c>
      <c r="F18" s="29" t="b">
        <v>1</v>
      </c>
      <c r="G18" s="29">
        <v>1</v>
      </c>
      <c r="H18" s="29" t="b">
        <v>1</v>
      </c>
    </row>
    <row r="19" spans="1:8" x14ac:dyDescent="0.3">
      <c r="A19" s="29" t="s">
        <v>1157</v>
      </c>
      <c r="B19" s="29" t="s">
        <v>1158</v>
      </c>
      <c r="C19" s="29" t="s">
        <v>1159</v>
      </c>
      <c r="D19" s="30" t="str">
        <f t="shared" si="0"/>
        <v>Description for YERS wgMLST</v>
      </c>
      <c r="E19" s="29">
        <v>100</v>
      </c>
      <c r="F19" s="29" t="b">
        <v>1</v>
      </c>
      <c r="G19" s="29">
        <v>1</v>
      </c>
      <c r="H19" s="29" t="b">
        <v>1</v>
      </c>
    </row>
    <row r="20" spans="1:8" x14ac:dyDescent="0.3">
      <c r="A20" s="29" t="s">
        <v>1160</v>
      </c>
      <c r="B20" s="29" t="s">
        <v>1161</v>
      </c>
      <c r="C20" s="29" t="s">
        <v>1162</v>
      </c>
      <c r="D20" s="30" t="str">
        <f t="shared" si="0"/>
        <v>Description for YERS SNP</v>
      </c>
      <c r="E20" s="29">
        <v>100</v>
      </c>
      <c r="F20" s="29" t="b">
        <v>1</v>
      </c>
      <c r="G20" s="29">
        <v>1</v>
      </c>
      <c r="H20" s="29" t="b">
        <v>1</v>
      </c>
    </row>
    <row r="21" spans="1:8" x14ac:dyDescent="0.3">
      <c r="A21" s="29" t="s">
        <v>1163</v>
      </c>
      <c r="B21" s="29" t="s">
        <v>1164</v>
      </c>
      <c r="C21" s="29" t="s">
        <v>1165</v>
      </c>
      <c r="D21" s="30" t="str">
        <f t="shared" si="0"/>
        <v>Description for SARS2 SNP</v>
      </c>
      <c r="E21" s="29">
        <v>100</v>
      </c>
      <c r="F21" s="29" t="b">
        <v>1</v>
      </c>
      <c r="G21" s="29">
        <v>1</v>
      </c>
      <c r="H21" s="29" t="b">
        <v>1</v>
      </c>
    </row>
    <row r="22" spans="1:8" x14ac:dyDescent="0.3">
      <c r="A22" s="31" t="s">
        <v>1166</v>
      </c>
      <c r="B22" s="31" t="s">
        <v>1167</v>
      </c>
      <c r="C22" s="29" t="s">
        <v>1168</v>
      </c>
      <c r="D22" s="32" t="str">
        <f t="shared" si="0"/>
        <v>Description for MPOX SNP</v>
      </c>
      <c r="E22" s="29">
        <v>100</v>
      </c>
      <c r="F22" s="29" t="b">
        <v>1</v>
      </c>
      <c r="G22" s="29">
        <v>1</v>
      </c>
      <c r="H22" s="29" t="b">
        <v>1</v>
      </c>
    </row>
  </sheetData>
  <autoFilter ref="A1:D18" xr:uid="{00000000-0009-0000-0000-000021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4DB0-F410-41BA-BC36-152A09EA2404}">
  <dimension ref="A1:H2"/>
  <sheetViews>
    <sheetView workbookViewId="0">
      <selection activeCell="F2" sqref="F2"/>
    </sheetView>
  </sheetViews>
  <sheetFormatPr defaultRowHeight="14.4" x14ac:dyDescent="0.3"/>
  <cols>
    <col min="1" max="1" width="36.33203125" bestFit="1" customWidth="1"/>
  </cols>
  <sheetData>
    <row r="1" spans="1:8" x14ac:dyDescent="0.3">
      <c r="A1" s="1" t="s">
        <v>0</v>
      </c>
      <c r="B1" s="1" t="s">
        <v>137</v>
      </c>
      <c r="C1" s="1" t="s">
        <v>57</v>
      </c>
      <c r="D1" s="1" t="s">
        <v>1246</v>
      </c>
      <c r="E1" s="1" t="s">
        <v>78</v>
      </c>
      <c r="F1" s="1" t="s">
        <v>148</v>
      </c>
      <c r="G1" s="1" t="s">
        <v>1105</v>
      </c>
      <c r="H1" s="1" t="s">
        <v>1247</v>
      </c>
    </row>
    <row r="2" spans="1:8" x14ac:dyDescent="0.3">
      <c r="A2" t="s">
        <v>1248</v>
      </c>
      <c r="B2" t="s">
        <v>1249</v>
      </c>
      <c r="C2" t="s">
        <v>1250</v>
      </c>
      <c r="F2" t="s">
        <v>149</v>
      </c>
      <c r="G2" t="b">
        <f>$H2</f>
        <v>1</v>
      </c>
      <c r="H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71CF-DC89-4FAA-B966-9FD41796AFB1}">
  <dimension ref="A1:H4"/>
  <sheetViews>
    <sheetView workbookViewId="0">
      <selection activeCell="E4" sqref="E4"/>
    </sheetView>
  </sheetViews>
  <sheetFormatPr defaultRowHeight="14.4" x14ac:dyDescent="0.3"/>
  <cols>
    <col min="1" max="1" width="35.88671875" bestFit="1" customWidth="1"/>
    <col min="2" max="2" width="10.5546875" bestFit="1" customWidth="1"/>
  </cols>
  <sheetData>
    <row r="1" spans="1:8" x14ac:dyDescent="0.3">
      <c r="A1" s="1" t="s">
        <v>0</v>
      </c>
      <c r="B1" s="1" t="s">
        <v>137</v>
      </c>
      <c r="C1" s="1" t="s">
        <v>57</v>
      </c>
      <c r="D1" s="1" t="s">
        <v>1246</v>
      </c>
      <c r="E1" s="1" t="s">
        <v>78</v>
      </c>
      <c r="F1" s="1" t="s">
        <v>148</v>
      </c>
      <c r="G1" s="1" t="s">
        <v>1105</v>
      </c>
      <c r="H1" s="1" t="s">
        <v>1247</v>
      </c>
    </row>
    <row r="2" spans="1:8" x14ac:dyDescent="0.3">
      <c r="A2" t="s">
        <v>1251</v>
      </c>
      <c r="B2" t="s">
        <v>1249</v>
      </c>
      <c r="C2" t="s">
        <v>1250</v>
      </c>
      <c r="F2" t="s">
        <v>149</v>
      </c>
      <c r="G2" t="b">
        <f>$H2</f>
        <v>1</v>
      </c>
      <c r="H2" t="b">
        <v>1</v>
      </c>
    </row>
    <row r="3" spans="1:8" x14ac:dyDescent="0.3">
      <c r="A3" t="s">
        <v>1252</v>
      </c>
      <c r="B3" t="s">
        <v>1253</v>
      </c>
      <c r="C3" t="s">
        <v>1254</v>
      </c>
      <c r="F3" t="s">
        <v>149</v>
      </c>
      <c r="G3" t="b">
        <f t="shared" ref="G3:G4" si="0">$H3</f>
        <v>1</v>
      </c>
      <c r="H3" t="b">
        <v>1</v>
      </c>
    </row>
    <row r="4" spans="1:8" x14ac:dyDescent="0.3">
      <c r="A4" t="s">
        <v>1255</v>
      </c>
      <c r="B4" t="s">
        <v>1256</v>
      </c>
      <c r="C4" t="s">
        <v>1257</v>
      </c>
      <c r="F4" t="s">
        <v>149</v>
      </c>
      <c r="G4" t="b">
        <f t="shared" si="0"/>
        <v>1</v>
      </c>
      <c r="H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>
      <selection activeCell="A2" sqref="A2"/>
    </sheetView>
  </sheetViews>
  <sheetFormatPr defaultColWidth="8.77734375" defaultRowHeight="14.4" x14ac:dyDescent="0.3"/>
  <cols>
    <col min="1" max="1" width="36" bestFit="1" customWidth="1"/>
    <col min="2" max="2" width="5.77734375" bestFit="1" customWidth="1"/>
    <col min="3" max="3" width="16" bestFit="1" customWidth="1"/>
    <col min="4" max="4" width="13.77734375" bestFit="1" customWidth="1"/>
    <col min="5" max="5" width="11.109375" bestFit="1" customWidth="1"/>
  </cols>
  <sheetData>
    <row r="1" spans="1:5" x14ac:dyDescent="0.3">
      <c r="A1" s="1" t="s">
        <v>0</v>
      </c>
      <c r="B1" s="1" t="s">
        <v>57</v>
      </c>
      <c r="C1" s="1" t="s">
        <v>198</v>
      </c>
      <c r="D1" s="1" t="s">
        <v>199</v>
      </c>
      <c r="E1" s="1" t="s">
        <v>200</v>
      </c>
    </row>
    <row r="2" spans="1:5" x14ac:dyDescent="0.3">
      <c r="A2" t="s">
        <v>43</v>
      </c>
      <c r="B2" t="s">
        <v>201</v>
      </c>
      <c r="C2" t="s">
        <v>201</v>
      </c>
    </row>
    <row r="3" spans="1:5" x14ac:dyDescent="0.3">
      <c r="A3" t="s">
        <v>46</v>
      </c>
      <c r="B3" t="s">
        <v>202</v>
      </c>
      <c r="C3" t="s">
        <v>202</v>
      </c>
    </row>
    <row r="4" spans="1:5" x14ac:dyDescent="0.3">
      <c r="A4" t="s">
        <v>49</v>
      </c>
      <c r="B4" t="s">
        <v>203</v>
      </c>
      <c r="C4" t="s">
        <v>203</v>
      </c>
    </row>
    <row r="5" spans="1:5" x14ac:dyDescent="0.3">
      <c r="A5" t="s">
        <v>52</v>
      </c>
      <c r="B5" t="s">
        <v>204</v>
      </c>
      <c r="C5" t="s">
        <v>204</v>
      </c>
    </row>
    <row r="6" spans="1:5" x14ac:dyDescent="0.3">
      <c r="A6" t="s">
        <v>55</v>
      </c>
      <c r="B6" t="s">
        <v>205</v>
      </c>
      <c r="C6" t="s">
        <v>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>
      <selection activeCell="A2" sqref="A2"/>
    </sheetView>
  </sheetViews>
  <sheetFormatPr defaultColWidth="8.77734375" defaultRowHeight="14.4" x14ac:dyDescent="0.3"/>
  <cols>
    <col min="1" max="1" width="36.44140625" bestFit="1" customWidth="1"/>
    <col min="2" max="2" width="16.109375" bestFit="1" customWidth="1"/>
    <col min="3" max="3" width="10.33203125" style="6" bestFit="1" customWidth="1"/>
  </cols>
  <sheetData>
    <row r="1" spans="1:3" x14ac:dyDescent="0.3">
      <c r="A1" s="1" t="s">
        <v>0</v>
      </c>
      <c r="B1" s="1" t="s">
        <v>57</v>
      </c>
      <c r="C1" s="10" t="s">
        <v>78</v>
      </c>
    </row>
    <row r="2" spans="1:3" x14ac:dyDescent="0.3">
      <c r="A2" t="s">
        <v>11</v>
      </c>
      <c r="B2" t="s">
        <v>187</v>
      </c>
      <c r="C2" s="6" t="str">
        <f>"dc"&amp;RIGHT($B2,LEN($B2)-15)</f>
        <v>dc1</v>
      </c>
    </row>
    <row r="3" spans="1:3" x14ac:dyDescent="0.3">
      <c r="A3" t="s">
        <v>17</v>
      </c>
      <c r="B3" t="s">
        <v>188</v>
      </c>
      <c r="C3" s="6" t="str">
        <f t="shared" ref="C3:C12" si="0">"dc"&amp;RIGHT($B3,LEN($B3)-15)</f>
        <v>dc2</v>
      </c>
    </row>
    <row r="4" spans="1:3" x14ac:dyDescent="0.3">
      <c r="A4" t="s">
        <v>23</v>
      </c>
      <c r="B4" t="s">
        <v>189</v>
      </c>
      <c r="C4" s="6" t="str">
        <f t="shared" si="0"/>
        <v>dc3</v>
      </c>
    </row>
    <row r="5" spans="1:3" x14ac:dyDescent="0.3">
      <c r="A5" t="s">
        <v>29</v>
      </c>
      <c r="B5" t="s">
        <v>190</v>
      </c>
      <c r="C5" s="6" t="str">
        <f t="shared" si="0"/>
        <v>dc4</v>
      </c>
    </row>
    <row r="6" spans="1:3" x14ac:dyDescent="0.3">
      <c r="A6" t="s">
        <v>35</v>
      </c>
      <c r="B6" t="s">
        <v>191</v>
      </c>
      <c r="C6" s="6" t="str">
        <f t="shared" si="0"/>
        <v>dc5</v>
      </c>
    </row>
    <row r="7" spans="1:3" x14ac:dyDescent="0.3">
      <c r="A7" t="s">
        <v>15</v>
      </c>
      <c r="B7" t="s">
        <v>192</v>
      </c>
      <c r="C7" s="6" t="str">
        <f t="shared" si="0"/>
        <v>dc6</v>
      </c>
    </row>
    <row r="8" spans="1:3" x14ac:dyDescent="0.3">
      <c r="A8" t="s">
        <v>21</v>
      </c>
      <c r="B8" t="s">
        <v>193</v>
      </c>
      <c r="C8" s="6" t="str">
        <f t="shared" si="0"/>
        <v>dc7</v>
      </c>
    </row>
    <row r="9" spans="1:3" x14ac:dyDescent="0.3">
      <c r="A9" t="s">
        <v>27</v>
      </c>
      <c r="B9" t="s">
        <v>194</v>
      </c>
      <c r="C9" s="6" t="str">
        <f t="shared" si="0"/>
        <v>dc8</v>
      </c>
    </row>
    <row r="10" spans="1:3" x14ac:dyDescent="0.3">
      <c r="A10" t="s">
        <v>33</v>
      </c>
      <c r="B10" t="s">
        <v>195</v>
      </c>
      <c r="C10" s="6" t="str">
        <f t="shared" si="0"/>
        <v>dc9</v>
      </c>
    </row>
    <row r="11" spans="1:3" x14ac:dyDescent="0.3">
      <c r="A11" t="s">
        <v>39</v>
      </c>
      <c r="B11" t="s">
        <v>196</v>
      </c>
      <c r="C11" s="6" t="str">
        <f t="shared" si="0"/>
        <v>dc10</v>
      </c>
    </row>
    <row r="12" spans="1:3" x14ac:dyDescent="0.3">
      <c r="A12" t="s">
        <v>40</v>
      </c>
      <c r="B12" t="s">
        <v>197</v>
      </c>
      <c r="C12" s="6" t="str">
        <f t="shared" si="0"/>
        <v>dc11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8467-F8C5-45A4-BC6F-F91B803B840E}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0.33203125" style="35" customWidth="1"/>
    <col min="2" max="2" width="34.44140625" style="35" bestFit="1" customWidth="1"/>
    <col min="3" max="3" width="38.44140625" style="35" bestFit="1" customWidth="1"/>
    <col min="4" max="4" width="34.44140625" style="36" bestFit="1" customWidth="1"/>
    <col min="5" max="16384" width="8.88671875" style="35"/>
  </cols>
  <sheetData>
    <row r="1" spans="1:5" s="28" customFormat="1" x14ac:dyDescent="0.3">
      <c r="A1" s="28" t="s">
        <v>0</v>
      </c>
      <c r="B1" s="28" t="s">
        <v>137</v>
      </c>
      <c r="C1" s="28" t="s">
        <v>57</v>
      </c>
      <c r="D1" s="34" t="s">
        <v>78</v>
      </c>
      <c r="E1" s="28" t="s">
        <v>1105</v>
      </c>
    </row>
    <row r="2" spans="1:5" x14ac:dyDescent="0.3">
      <c r="A2" t="s">
        <v>1214</v>
      </c>
      <c r="B2" s="35" t="s">
        <v>1209</v>
      </c>
      <c r="C2" s="35" t="str">
        <f>$B2</f>
        <v>identifier_issuer1</v>
      </c>
      <c r="D2" s="36" t="str">
        <f>$C2</f>
        <v>identifier_issuer1</v>
      </c>
      <c r="E2" s="35" t="b">
        <v>1</v>
      </c>
    </row>
    <row r="3" spans="1:5" x14ac:dyDescent="0.3">
      <c r="A3" t="s">
        <v>1215</v>
      </c>
      <c r="B3" s="35" t="s">
        <v>1210</v>
      </c>
      <c r="C3" s="35" t="str">
        <f t="shared" ref="C3:C6" si="0">$B3</f>
        <v>identifier_issuer2</v>
      </c>
      <c r="D3" s="36" t="str">
        <f t="shared" ref="D3:D6" si="1">$C3</f>
        <v>identifier_issuer2</v>
      </c>
      <c r="E3" s="35" t="b">
        <v>1</v>
      </c>
    </row>
    <row r="4" spans="1:5" x14ac:dyDescent="0.3">
      <c r="A4" t="s">
        <v>1216</v>
      </c>
      <c r="B4" s="35" t="s">
        <v>1211</v>
      </c>
      <c r="C4" s="35" t="str">
        <f t="shared" si="0"/>
        <v>identifier_issuer3</v>
      </c>
      <c r="D4" s="36" t="str">
        <f t="shared" si="1"/>
        <v>identifier_issuer3</v>
      </c>
      <c r="E4" s="35" t="b">
        <v>1</v>
      </c>
    </row>
    <row r="5" spans="1:5" x14ac:dyDescent="0.3">
      <c r="A5" t="s">
        <v>1217</v>
      </c>
      <c r="B5" s="35" t="s">
        <v>1212</v>
      </c>
      <c r="C5" s="35" t="str">
        <f t="shared" si="0"/>
        <v>identifier_issuer4</v>
      </c>
      <c r="D5" s="36" t="str">
        <f t="shared" si="1"/>
        <v>identifier_issuer4</v>
      </c>
      <c r="E5" s="35" t="b">
        <v>1</v>
      </c>
    </row>
    <row r="6" spans="1:5" x14ac:dyDescent="0.3">
      <c r="A6" t="s">
        <v>1218</v>
      </c>
      <c r="B6" s="35" t="s">
        <v>1213</v>
      </c>
      <c r="C6" s="35" t="str">
        <f t="shared" si="0"/>
        <v>identifier_issuer5</v>
      </c>
      <c r="D6" s="36" t="str">
        <f t="shared" si="1"/>
        <v>identifier_issuer5</v>
      </c>
      <c r="E6" s="35" t="b">
        <v>1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9"/>
  <sheetViews>
    <sheetView workbookViewId="0">
      <selection activeCell="C7" sqref="C7"/>
    </sheetView>
  </sheetViews>
  <sheetFormatPr defaultColWidth="8.77734375" defaultRowHeight="14.4" x14ac:dyDescent="0.3"/>
  <cols>
    <col min="1" max="1" width="36.33203125" bestFit="1" customWidth="1"/>
    <col min="2" max="2" width="36.33203125" customWidth="1"/>
    <col min="3" max="3" width="27.77734375" bestFit="1" customWidth="1"/>
    <col min="4" max="4" width="18.77734375" bestFit="1" customWidth="1"/>
    <col min="6" max="6" width="21" bestFit="1" customWidth="1"/>
    <col min="7" max="7" width="36" bestFit="1" customWidth="1"/>
    <col min="8" max="8" width="20.33203125" style="6" bestFit="1" customWidth="1"/>
    <col min="9" max="10" width="14.44140625" style="6" bestFit="1" customWidth="1"/>
    <col min="11" max="11" width="25.44140625" style="6" bestFit="1" customWidth="1"/>
    <col min="12" max="12" width="18.109375" style="6" bestFit="1" customWidth="1"/>
    <col min="13" max="13" width="18.77734375" style="6" bestFit="1" customWidth="1"/>
  </cols>
  <sheetData>
    <row r="1" spans="1:13" x14ac:dyDescent="0.3">
      <c r="A1" s="1" t="s">
        <v>0</v>
      </c>
      <c r="B1" s="1" t="s">
        <v>840</v>
      </c>
      <c r="C1" s="1" t="s">
        <v>183</v>
      </c>
      <c r="D1" s="1" t="s">
        <v>57</v>
      </c>
      <c r="E1" s="1" t="s">
        <v>3</v>
      </c>
      <c r="F1" s="1" t="s">
        <v>184</v>
      </c>
      <c r="G1" s="1" t="s">
        <v>41</v>
      </c>
      <c r="H1" s="5" t="s">
        <v>769</v>
      </c>
      <c r="I1" s="5" t="s">
        <v>770</v>
      </c>
      <c r="J1" s="5" t="s">
        <v>771</v>
      </c>
      <c r="K1" s="5" t="s">
        <v>772</v>
      </c>
      <c r="L1" s="5" t="s">
        <v>773</v>
      </c>
      <c r="M1" s="17" t="s">
        <v>278</v>
      </c>
    </row>
    <row r="2" spans="1:13" x14ac:dyDescent="0.3">
      <c r="A2" t="s">
        <v>839</v>
      </c>
      <c r="B2" t="s">
        <v>846</v>
      </c>
      <c r="C2" t="s">
        <v>846</v>
      </c>
      <c r="D2" t="str">
        <f>LEFT(C2,FIND("@",C2)-1)</f>
        <v>root1_1</v>
      </c>
      <c r="E2" t="b">
        <v>1</v>
      </c>
      <c r="F2" t="s">
        <v>845</v>
      </c>
      <c r="G2" t="s">
        <v>43</v>
      </c>
      <c r="H2" s="18" t="str">
        <f>INDEX(Organization!$B:$B,MATCH($G2,Organization!$A:$A,0))</f>
        <v>org1</v>
      </c>
      <c r="I2" s="18" t="b">
        <f>ISNUMBER(SEARCH("ROOT", F2))</f>
        <v>1</v>
      </c>
      <c r="J2" s="18" t="b">
        <f>ISNUMBER(SEARCH("APP_ADMIN", $F2))</f>
        <v>0</v>
      </c>
      <c r="K2" s="18" t="b">
        <f>ISNUMBER(SEARCH("METADATA_ADMIN", $F2))</f>
        <v>0</v>
      </c>
      <c r="L2" s="18" t="b">
        <f>ISNUMBER(SEARCH("ORG_USER", $F2))</f>
        <v>0</v>
      </c>
      <c r="M2" s="6" t="b">
        <f>OR($I2,$J2)</f>
        <v>1</v>
      </c>
    </row>
    <row r="3" spans="1:13" x14ac:dyDescent="0.3">
      <c r="A3" t="s">
        <v>185</v>
      </c>
      <c r="B3" t="s">
        <v>847</v>
      </c>
      <c r="C3" t="s">
        <v>847</v>
      </c>
      <c r="D3" t="str">
        <f t="shared" ref="D3:D29" si="0">LEFT(C3,FIND("@",C3)-1)</f>
        <v>app_admin1_1</v>
      </c>
      <c r="E3" t="b">
        <v>1</v>
      </c>
      <c r="F3" t="s">
        <v>841</v>
      </c>
      <c r="G3" t="s">
        <v>43</v>
      </c>
      <c r="H3" s="18" t="str">
        <f>INDEX(Organization!$B:$B,MATCH($G3,Organization!$A:$A,0))</f>
        <v>org1</v>
      </c>
      <c r="I3" s="18" t="b">
        <f t="shared" ref="I3:I29" si="1">ISNUMBER(SEARCH("ROOT", F3))</f>
        <v>0</v>
      </c>
      <c r="J3" s="18" t="b">
        <f t="shared" ref="J3:J29" si="2">ISNUMBER(SEARCH("APP_ADMIN", $F3))</f>
        <v>1</v>
      </c>
      <c r="K3" s="18" t="b">
        <f t="shared" ref="K3:K29" si="3">ISNUMBER(SEARCH("METADATA_ADMIN", $F3))</f>
        <v>0</v>
      </c>
      <c r="L3" s="18" t="b">
        <f t="shared" ref="L3:L29" si="4">ISNUMBER(SEARCH("ORG_USER", $F3))</f>
        <v>0</v>
      </c>
      <c r="M3" s="6" t="b">
        <f t="shared" ref="M3:M29" si="5">OR($I3,$J3)</f>
        <v>1</v>
      </c>
    </row>
    <row r="4" spans="1:13" x14ac:dyDescent="0.3">
      <c r="A4" t="s">
        <v>186</v>
      </c>
      <c r="B4" s="20" t="s">
        <v>848</v>
      </c>
      <c r="C4" s="20" t="s">
        <v>848</v>
      </c>
      <c r="D4" t="str">
        <f t="shared" si="0"/>
        <v>refdata_admin1_1</v>
      </c>
      <c r="E4" t="b">
        <v>1</v>
      </c>
      <c r="F4" t="s">
        <v>842</v>
      </c>
      <c r="G4" t="s">
        <v>43</v>
      </c>
      <c r="H4" s="18" t="str">
        <f>INDEX(Organization!$B:$B,MATCH($G4,Organization!$A:$A,0))</f>
        <v>org1</v>
      </c>
      <c r="I4" s="18" t="b">
        <f t="shared" si="1"/>
        <v>0</v>
      </c>
      <c r="J4" s="18" t="b">
        <f t="shared" si="2"/>
        <v>0</v>
      </c>
      <c r="K4" s="18" t="b">
        <f t="shared" si="3"/>
        <v>0</v>
      </c>
      <c r="L4" s="18" t="b">
        <f t="shared" si="4"/>
        <v>0</v>
      </c>
      <c r="M4" s="6" t="b">
        <f t="shared" si="5"/>
        <v>0</v>
      </c>
    </row>
    <row r="5" spans="1:13" x14ac:dyDescent="0.3">
      <c r="A5" t="s">
        <v>44</v>
      </c>
      <c r="B5" t="s">
        <v>849</v>
      </c>
      <c r="C5" t="s">
        <v>849</v>
      </c>
      <c r="D5" t="str">
        <f t="shared" si="0"/>
        <v>org_admin1_1</v>
      </c>
      <c r="E5" t="b">
        <v>1</v>
      </c>
      <c r="F5" t="s">
        <v>843</v>
      </c>
      <c r="G5" t="s">
        <v>43</v>
      </c>
      <c r="H5" s="18" t="str">
        <f>INDEX(Organization!$B:$B,MATCH($G5,Organization!$A:$A,0))</f>
        <v>org1</v>
      </c>
      <c r="I5" s="18" t="b">
        <f t="shared" si="1"/>
        <v>0</v>
      </c>
      <c r="J5" s="18" t="b">
        <f t="shared" si="2"/>
        <v>0</v>
      </c>
      <c r="K5" s="18" t="b">
        <f t="shared" si="3"/>
        <v>0</v>
      </c>
      <c r="L5" s="18" t="b">
        <f t="shared" si="4"/>
        <v>0</v>
      </c>
      <c r="M5" s="6" t="b">
        <f t="shared" si="5"/>
        <v>0</v>
      </c>
    </row>
    <row r="6" spans="1:13" x14ac:dyDescent="0.3">
      <c r="A6" t="s">
        <v>47</v>
      </c>
      <c r="B6" t="s">
        <v>850</v>
      </c>
      <c r="C6" t="s">
        <v>850</v>
      </c>
      <c r="D6" t="str">
        <f t="shared" si="0"/>
        <v>org_admin2_1</v>
      </c>
      <c r="E6" t="b">
        <v>1</v>
      </c>
      <c r="F6" t="s">
        <v>843</v>
      </c>
      <c r="G6" t="s">
        <v>46</v>
      </c>
      <c r="H6" s="18" t="str">
        <f>INDEX(Organization!$B:$B,MATCH($G6,Organization!$A:$A,0))</f>
        <v>org2</v>
      </c>
      <c r="I6" s="18" t="b">
        <f t="shared" si="1"/>
        <v>0</v>
      </c>
      <c r="J6" s="18" t="b">
        <f t="shared" si="2"/>
        <v>0</v>
      </c>
      <c r="K6" s="18" t="b">
        <f t="shared" si="3"/>
        <v>0</v>
      </c>
      <c r="L6" s="18" t="b">
        <f t="shared" si="4"/>
        <v>0</v>
      </c>
      <c r="M6" s="6" t="b">
        <f t="shared" si="5"/>
        <v>0</v>
      </c>
    </row>
    <row r="7" spans="1:13" x14ac:dyDescent="0.3">
      <c r="A7" t="s">
        <v>50</v>
      </c>
      <c r="B7" t="s">
        <v>851</v>
      </c>
      <c r="C7" t="s">
        <v>851</v>
      </c>
      <c r="D7" t="str">
        <f t="shared" si="0"/>
        <v>org_admin3_1</v>
      </c>
      <c r="E7" t="b">
        <v>1</v>
      </c>
      <c r="F7" t="s">
        <v>843</v>
      </c>
      <c r="G7" t="s">
        <v>49</v>
      </c>
      <c r="H7" s="18" t="str">
        <f>INDEX(Organization!$B:$B,MATCH($G7,Organization!$A:$A,0))</f>
        <v>org3</v>
      </c>
      <c r="I7" s="18" t="b">
        <f t="shared" si="1"/>
        <v>0</v>
      </c>
      <c r="J7" s="18" t="b">
        <f t="shared" si="2"/>
        <v>0</v>
      </c>
      <c r="K7" s="18" t="b">
        <f t="shared" si="3"/>
        <v>0</v>
      </c>
      <c r="L7" s="18" t="b">
        <f t="shared" si="4"/>
        <v>0</v>
      </c>
      <c r="M7" s="6" t="b">
        <f t="shared" si="5"/>
        <v>0</v>
      </c>
    </row>
    <row r="8" spans="1:13" x14ac:dyDescent="0.3">
      <c r="A8" t="s">
        <v>53</v>
      </c>
      <c r="B8" t="s">
        <v>852</v>
      </c>
      <c r="C8" t="s">
        <v>852</v>
      </c>
      <c r="D8" t="str">
        <f t="shared" si="0"/>
        <v>org_admin4_1</v>
      </c>
      <c r="E8" t="b">
        <v>1</v>
      </c>
      <c r="F8" t="s">
        <v>843</v>
      </c>
      <c r="G8" t="s">
        <v>52</v>
      </c>
      <c r="H8" s="18" t="str">
        <f>INDEX(Organization!$B:$B,MATCH($G8,Organization!$A:$A,0))</f>
        <v>org4</v>
      </c>
      <c r="I8" s="18" t="b">
        <f t="shared" si="1"/>
        <v>0</v>
      </c>
      <c r="J8" s="18" t="b">
        <f t="shared" si="2"/>
        <v>0</v>
      </c>
      <c r="K8" s="18" t="b">
        <f t="shared" si="3"/>
        <v>0</v>
      </c>
      <c r="L8" s="18" t="b">
        <f t="shared" si="4"/>
        <v>0</v>
      </c>
      <c r="M8" s="6" t="b">
        <f t="shared" si="5"/>
        <v>0</v>
      </c>
    </row>
    <row r="9" spans="1:13" x14ac:dyDescent="0.3">
      <c r="A9" t="s">
        <v>56</v>
      </c>
      <c r="B9" t="s">
        <v>853</v>
      </c>
      <c r="C9" t="s">
        <v>853</v>
      </c>
      <c r="D9" t="str">
        <f t="shared" si="0"/>
        <v>org_admin5_1</v>
      </c>
      <c r="E9" t="b">
        <v>1</v>
      </c>
      <c r="F9" t="s">
        <v>843</v>
      </c>
      <c r="G9" t="s">
        <v>55</v>
      </c>
      <c r="H9" s="18" t="str">
        <f>INDEX(Organization!$B:$B,MATCH($G9,Organization!$A:$A,0))</f>
        <v>org5</v>
      </c>
      <c r="I9" s="18" t="b">
        <f t="shared" si="1"/>
        <v>0</v>
      </c>
      <c r="J9" s="18" t="b">
        <f t="shared" si="2"/>
        <v>0</v>
      </c>
      <c r="K9" s="18" t="b">
        <f t="shared" si="3"/>
        <v>0</v>
      </c>
      <c r="L9" s="18" t="b">
        <f t="shared" si="4"/>
        <v>0</v>
      </c>
      <c r="M9" s="6" t="b">
        <f t="shared" si="5"/>
        <v>0</v>
      </c>
    </row>
    <row r="10" spans="1:13" x14ac:dyDescent="0.3">
      <c r="A10" t="s">
        <v>10</v>
      </c>
      <c r="B10" t="s">
        <v>854</v>
      </c>
      <c r="C10" t="s">
        <v>854</v>
      </c>
      <c r="D10" t="str">
        <f t="shared" si="0"/>
        <v>org_user1_1</v>
      </c>
      <c r="E10" t="b">
        <v>1</v>
      </c>
      <c r="F10" t="s">
        <v>844</v>
      </c>
      <c r="G10" t="s">
        <v>43</v>
      </c>
      <c r="H10" s="18" t="str">
        <f>INDEX(Organization!$B:$B,MATCH($G10,Organization!$A:$A,0))</f>
        <v>org1</v>
      </c>
      <c r="I10" s="18" t="b">
        <f t="shared" si="1"/>
        <v>0</v>
      </c>
      <c r="J10" s="18" t="b">
        <f t="shared" si="2"/>
        <v>0</v>
      </c>
      <c r="K10" s="18" t="b">
        <f t="shared" si="3"/>
        <v>0</v>
      </c>
      <c r="L10" s="18" t="b">
        <f t="shared" si="4"/>
        <v>1</v>
      </c>
      <c r="M10" s="6" t="b">
        <f t="shared" si="5"/>
        <v>0</v>
      </c>
    </row>
    <row r="11" spans="1:13" x14ac:dyDescent="0.3">
      <c r="A11" t="s">
        <v>12</v>
      </c>
      <c r="B11" t="s">
        <v>855</v>
      </c>
      <c r="C11" t="s">
        <v>855</v>
      </c>
      <c r="D11" t="str">
        <f t="shared" si="0"/>
        <v>org_user1_2</v>
      </c>
      <c r="E11" t="b">
        <v>1</v>
      </c>
      <c r="F11" t="s">
        <v>844</v>
      </c>
      <c r="G11" t="s">
        <v>43</v>
      </c>
      <c r="H11" s="18" t="str">
        <f>INDEX(Organization!$B:$B,MATCH($G11,Organization!$A:$A,0))</f>
        <v>org1</v>
      </c>
      <c r="I11" s="18" t="b">
        <f t="shared" si="1"/>
        <v>0</v>
      </c>
      <c r="J11" s="18" t="b">
        <f t="shared" si="2"/>
        <v>0</v>
      </c>
      <c r="K11" s="18" t="b">
        <f t="shared" si="3"/>
        <v>0</v>
      </c>
      <c r="L11" s="18" t="b">
        <f t="shared" si="4"/>
        <v>1</v>
      </c>
      <c r="M11" s="6" t="b">
        <f t="shared" si="5"/>
        <v>0</v>
      </c>
    </row>
    <row r="12" spans="1:13" x14ac:dyDescent="0.3">
      <c r="A12" t="s">
        <v>13</v>
      </c>
      <c r="B12" t="s">
        <v>856</v>
      </c>
      <c r="C12" t="s">
        <v>856</v>
      </c>
      <c r="D12" t="str">
        <f t="shared" si="0"/>
        <v>org_user1_3</v>
      </c>
      <c r="E12" t="b">
        <v>1</v>
      </c>
      <c r="F12" t="s">
        <v>844</v>
      </c>
      <c r="G12" t="s">
        <v>43</v>
      </c>
      <c r="H12" s="18" t="str">
        <f>INDEX(Organization!$B:$B,MATCH($G12,Organization!$A:$A,0))</f>
        <v>org1</v>
      </c>
      <c r="I12" s="18" t="b">
        <f t="shared" si="1"/>
        <v>0</v>
      </c>
      <c r="J12" s="18" t="b">
        <f t="shared" si="2"/>
        <v>0</v>
      </c>
      <c r="K12" s="18" t="b">
        <f t="shared" si="3"/>
        <v>0</v>
      </c>
      <c r="L12" s="18" t="b">
        <f t="shared" si="4"/>
        <v>1</v>
      </c>
      <c r="M12" s="6" t="b">
        <f t="shared" si="5"/>
        <v>0</v>
      </c>
    </row>
    <row r="13" spans="1:13" x14ac:dyDescent="0.3">
      <c r="A13" t="s">
        <v>14</v>
      </c>
      <c r="B13" t="s">
        <v>857</v>
      </c>
      <c r="C13" t="s">
        <v>857</v>
      </c>
      <c r="D13" t="str">
        <f t="shared" si="0"/>
        <v>org_user1_4</v>
      </c>
      <c r="E13" t="b">
        <v>1</v>
      </c>
      <c r="F13" t="s">
        <v>844</v>
      </c>
      <c r="G13" t="s">
        <v>43</v>
      </c>
      <c r="H13" s="18" t="str">
        <f>INDEX(Organization!$B:$B,MATCH($G13,Organization!$A:$A,0))</f>
        <v>org1</v>
      </c>
      <c r="I13" s="18" t="b">
        <f t="shared" si="1"/>
        <v>0</v>
      </c>
      <c r="J13" s="18" t="b">
        <f t="shared" si="2"/>
        <v>0</v>
      </c>
      <c r="K13" s="18" t="b">
        <f t="shared" si="3"/>
        <v>0</v>
      </c>
      <c r="L13" s="18" t="b">
        <f t="shared" si="4"/>
        <v>1</v>
      </c>
      <c r="M13" s="6" t="b">
        <f t="shared" si="5"/>
        <v>0</v>
      </c>
    </row>
    <row r="14" spans="1:13" x14ac:dyDescent="0.3">
      <c r="A14" t="s">
        <v>16</v>
      </c>
      <c r="B14" t="s">
        <v>858</v>
      </c>
      <c r="C14" t="s">
        <v>858</v>
      </c>
      <c r="D14" t="str">
        <f t="shared" si="0"/>
        <v>org_user2_1</v>
      </c>
      <c r="E14" t="b">
        <v>1</v>
      </c>
      <c r="F14" t="s">
        <v>844</v>
      </c>
      <c r="G14" t="s">
        <v>46</v>
      </c>
      <c r="H14" s="18" t="str">
        <f>INDEX(Organization!$B:$B,MATCH($G14,Organization!$A:$A,0))</f>
        <v>org2</v>
      </c>
      <c r="I14" s="18" t="b">
        <f t="shared" si="1"/>
        <v>0</v>
      </c>
      <c r="J14" s="18" t="b">
        <f t="shared" si="2"/>
        <v>0</v>
      </c>
      <c r="K14" s="18" t="b">
        <f t="shared" si="3"/>
        <v>0</v>
      </c>
      <c r="L14" s="18" t="b">
        <f t="shared" si="4"/>
        <v>1</v>
      </c>
      <c r="M14" s="6" t="b">
        <f t="shared" si="5"/>
        <v>0</v>
      </c>
    </row>
    <row r="15" spans="1:13" x14ac:dyDescent="0.3">
      <c r="A15" t="s">
        <v>18</v>
      </c>
      <c r="B15" t="s">
        <v>859</v>
      </c>
      <c r="C15" t="s">
        <v>859</v>
      </c>
      <c r="D15" t="str">
        <f t="shared" si="0"/>
        <v>org_user2_2</v>
      </c>
      <c r="E15" t="b">
        <v>1</v>
      </c>
      <c r="F15" t="s">
        <v>844</v>
      </c>
      <c r="G15" t="s">
        <v>46</v>
      </c>
      <c r="H15" s="18" t="str">
        <f>INDEX(Organization!$B:$B,MATCH($G15,Organization!$A:$A,0))</f>
        <v>org2</v>
      </c>
      <c r="I15" s="18" t="b">
        <f t="shared" si="1"/>
        <v>0</v>
      </c>
      <c r="J15" s="18" t="b">
        <f t="shared" si="2"/>
        <v>0</v>
      </c>
      <c r="K15" s="18" t="b">
        <f t="shared" si="3"/>
        <v>0</v>
      </c>
      <c r="L15" s="18" t="b">
        <f t="shared" si="4"/>
        <v>1</v>
      </c>
      <c r="M15" s="6" t="b">
        <f t="shared" si="5"/>
        <v>0</v>
      </c>
    </row>
    <row r="16" spans="1:13" x14ac:dyDescent="0.3">
      <c r="A16" t="s">
        <v>19</v>
      </c>
      <c r="B16" t="s">
        <v>860</v>
      </c>
      <c r="C16" t="s">
        <v>860</v>
      </c>
      <c r="D16" t="str">
        <f t="shared" si="0"/>
        <v>org_user2_3</v>
      </c>
      <c r="E16" t="b">
        <v>1</v>
      </c>
      <c r="F16" t="s">
        <v>844</v>
      </c>
      <c r="G16" t="s">
        <v>46</v>
      </c>
      <c r="H16" s="18" t="str">
        <f>INDEX(Organization!$B:$B,MATCH($G16,Organization!$A:$A,0))</f>
        <v>org2</v>
      </c>
      <c r="I16" s="18" t="b">
        <f t="shared" si="1"/>
        <v>0</v>
      </c>
      <c r="J16" s="18" t="b">
        <f t="shared" si="2"/>
        <v>0</v>
      </c>
      <c r="K16" s="18" t="b">
        <f t="shared" si="3"/>
        <v>0</v>
      </c>
      <c r="L16" s="18" t="b">
        <f t="shared" si="4"/>
        <v>1</v>
      </c>
      <c r="M16" s="6" t="b">
        <f t="shared" si="5"/>
        <v>0</v>
      </c>
    </row>
    <row r="17" spans="1:13" x14ac:dyDescent="0.3">
      <c r="A17" t="s">
        <v>20</v>
      </c>
      <c r="B17" t="s">
        <v>861</v>
      </c>
      <c r="C17" t="s">
        <v>861</v>
      </c>
      <c r="D17" t="str">
        <f t="shared" si="0"/>
        <v>org_user2_4</v>
      </c>
      <c r="E17" t="b">
        <v>1</v>
      </c>
      <c r="F17" t="s">
        <v>844</v>
      </c>
      <c r="G17" t="s">
        <v>46</v>
      </c>
      <c r="H17" s="18" t="str">
        <f>INDEX(Organization!$B:$B,MATCH($G17,Organization!$A:$A,0))</f>
        <v>org2</v>
      </c>
      <c r="I17" s="18" t="b">
        <f t="shared" si="1"/>
        <v>0</v>
      </c>
      <c r="J17" s="18" t="b">
        <f t="shared" si="2"/>
        <v>0</v>
      </c>
      <c r="K17" s="18" t="b">
        <f t="shared" si="3"/>
        <v>0</v>
      </c>
      <c r="L17" s="18" t="b">
        <f t="shared" si="4"/>
        <v>1</v>
      </c>
      <c r="M17" s="6" t="b">
        <f t="shared" si="5"/>
        <v>0</v>
      </c>
    </row>
    <row r="18" spans="1:13" x14ac:dyDescent="0.3">
      <c r="A18" t="s">
        <v>22</v>
      </c>
      <c r="B18" t="s">
        <v>862</v>
      </c>
      <c r="C18" t="s">
        <v>862</v>
      </c>
      <c r="D18" t="str">
        <f t="shared" si="0"/>
        <v>org_user3_1</v>
      </c>
      <c r="E18" t="b">
        <v>1</v>
      </c>
      <c r="F18" t="s">
        <v>844</v>
      </c>
      <c r="G18" t="s">
        <v>49</v>
      </c>
      <c r="H18" s="18" t="str">
        <f>INDEX(Organization!$B:$B,MATCH($G18,Organization!$A:$A,0))</f>
        <v>org3</v>
      </c>
      <c r="I18" s="18" t="b">
        <f t="shared" si="1"/>
        <v>0</v>
      </c>
      <c r="J18" s="18" t="b">
        <f t="shared" si="2"/>
        <v>0</v>
      </c>
      <c r="K18" s="18" t="b">
        <f t="shared" si="3"/>
        <v>0</v>
      </c>
      <c r="L18" s="18" t="b">
        <f t="shared" si="4"/>
        <v>1</v>
      </c>
      <c r="M18" s="6" t="b">
        <f t="shared" si="5"/>
        <v>0</v>
      </c>
    </row>
    <row r="19" spans="1:13" x14ac:dyDescent="0.3">
      <c r="A19" t="s">
        <v>24</v>
      </c>
      <c r="B19" t="s">
        <v>863</v>
      </c>
      <c r="C19" t="s">
        <v>863</v>
      </c>
      <c r="D19" t="str">
        <f t="shared" si="0"/>
        <v>org_user3_2</v>
      </c>
      <c r="E19" t="b">
        <v>1</v>
      </c>
      <c r="F19" t="s">
        <v>844</v>
      </c>
      <c r="G19" t="s">
        <v>49</v>
      </c>
      <c r="H19" s="18" t="str">
        <f>INDEX(Organization!$B:$B,MATCH($G19,Organization!$A:$A,0))</f>
        <v>org3</v>
      </c>
      <c r="I19" s="18" t="b">
        <f t="shared" si="1"/>
        <v>0</v>
      </c>
      <c r="J19" s="18" t="b">
        <f t="shared" si="2"/>
        <v>0</v>
      </c>
      <c r="K19" s="18" t="b">
        <f t="shared" si="3"/>
        <v>0</v>
      </c>
      <c r="L19" s="18" t="b">
        <f t="shared" si="4"/>
        <v>1</v>
      </c>
      <c r="M19" s="6" t="b">
        <f t="shared" si="5"/>
        <v>0</v>
      </c>
    </row>
    <row r="20" spans="1:13" x14ac:dyDescent="0.3">
      <c r="A20" t="s">
        <v>25</v>
      </c>
      <c r="B20" t="s">
        <v>864</v>
      </c>
      <c r="C20" t="s">
        <v>864</v>
      </c>
      <c r="D20" t="str">
        <f t="shared" si="0"/>
        <v>org_user3_3</v>
      </c>
      <c r="E20" t="b">
        <v>1</v>
      </c>
      <c r="F20" t="s">
        <v>844</v>
      </c>
      <c r="G20" t="s">
        <v>49</v>
      </c>
      <c r="H20" s="18" t="str">
        <f>INDEX(Organization!$B:$B,MATCH($G20,Organization!$A:$A,0))</f>
        <v>org3</v>
      </c>
      <c r="I20" s="18" t="b">
        <f t="shared" si="1"/>
        <v>0</v>
      </c>
      <c r="J20" s="18" t="b">
        <f t="shared" si="2"/>
        <v>0</v>
      </c>
      <c r="K20" s="18" t="b">
        <f t="shared" si="3"/>
        <v>0</v>
      </c>
      <c r="L20" s="18" t="b">
        <f t="shared" si="4"/>
        <v>1</v>
      </c>
      <c r="M20" s="6" t="b">
        <f t="shared" si="5"/>
        <v>0</v>
      </c>
    </row>
    <row r="21" spans="1:13" x14ac:dyDescent="0.3">
      <c r="A21" t="s">
        <v>26</v>
      </c>
      <c r="B21" t="s">
        <v>865</v>
      </c>
      <c r="C21" t="s">
        <v>865</v>
      </c>
      <c r="D21" t="str">
        <f t="shared" si="0"/>
        <v>org_user3_4</v>
      </c>
      <c r="E21" t="b">
        <v>1</v>
      </c>
      <c r="F21" t="s">
        <v>844</v>
      </c>
      <c r="G21" t="s">
        <v>49</v>
      </c>
      <c r="H21" s="18" t="str">
        <f>INDEX(Organization!$B:$B,MATCH($G21,Organization!$A:$A,0))</f>
        <v>org3</v>
      </c>
      <c r="I21" s="18" t="b">
        <f t="shared" si="1"/>
        <v>0</v>
      </c>
      <c r="J21" s="18" t="b">
        <f t="shared" si="2"/>
        <v>0</v>
      </c>
      <c r="K21" s="18" t="b">
        <f t="shared" si="3"/>
        <v>0</v>
      </c>
      <c r="L21" s="18" t="b">
        <f t="shared" si="4"/>
        <v>1</v>
      </c>
      <c r="M21" s="6" t="b">
        <f t="shared" si="5"/>
        <v>0</v>
      </c>
    </row>
    <row r="22" spans="1:13" x14ac:dyDescent="0.3">
      <c r="A22" t="s">
        <v>28</v>
      </c>
      <c r="B22" t="s">
        <v>866</v>
      </c>
      <c r="C22" t="s">
        <v>866</v>
      </c>
      <c r="D22" t="str">
        <f t="shared" si="0"/>
        <v>org_user4_1</v>
      </c>
      <c r="E22" t="b">
        <v>1</v>
      </c>
      <c r="F22" t="s">
        <v>844</v>
      </c>
      <c r="G22" t="s">
        <v>52</v>
      </c>
      <c r="H22" s="18" t="str">
        <f>INDEX(Organization!$B:$B,MATCH($G22,Organization!$A:$A,0))</f>
        <v>org4</v>
      </c>
      <c r="I22" s="18" t="b">
        <f t="shared" si="1"/>
        <v>0</v>
      </c>
      <c r="J22" s="18" t="b">
        <f t="shared" si="2"/>
        <v>0</v>
      </c>
      <c r="K22" s="18" t="b">
        <f t="shared" si="3"/>
        <v>0</v>
      </c>
      <c r="L22" s="18" t="b">
        <f t="shared" si="4"/>
        <v>1</v>
      </c>
      <c r="M22" s="6" t="b">
        <f t="shared" si="5"/>
        <v>0</v>
      </c>
    </row>
    <row r="23" spans="1:13" x14ac:dyDescent="0.3">
      <c r="A23" t="s">
        <v>30</v>
      </c>
      <c r="B23" t="s">
        <v>867</v>
      </c>
      <c r="C23" t="s">
        <v>867</v>
      </c>
      <c r="D23" t="str">
        <f t="shared" si="0"/>
        <v>org_user4_2</v>
      </c>
      <c r="E23" t="b">
        <v>1</v>
      </c>
      <c r="F23" t="s">
        <v>844</v>
      </c>
      <c r="G23" t="s">
        <v>52</v>
      </c>
      <c r="H23" s="18" t="str">
        <f>INDEX(Organization!$B:$B,MATCH($G23,Organization!$A:$A,0))</f>
        <v>org4</v>
      </c>
      <c r="I23" s="18" t="b">
        <f t="shared" si="1"/>
        <v>0</v>
      </c>
      <c r="J23" s="18" t="b">
        <f t="shared" si="2"/>
        <v>0</v>
      </c>
      <c r="K23" s="18" t="b">
        <f t="shared" si="3"/>
        <v>0</v>
      </c>
      <c r="L23" s="18" t="b">
        <f t="shared" si="4"/>
        <v>1</v>
      </c>
      <c r="M23" s="6" t="b">
        <f t="shared" si="5"/>
        <v>0</v>
      </c>
    </row>
    <row r="24" spans="1:13" x14ac:dyDescent="0.3">
      <c r="A24" t="s">
        <v>31</v>
      </c>
      <c r="B24" t="s">
        <v>868</v>
      </c>
      <c r="C24" t="s">
        <v>868</v>
      </c>
      <c r="D24" t="str">
        <f t="shared" si="0"/>
        <v>org_user4_3</v>
      </c>
      <c r="E24" t="b">
        <v>1</v>
      </c>
      <c r="F24" t="s">
        <v>844</v>
      </c>
      <c r="G24" t="s">
        <v>52</v>
      </c>
      <c r="H24" s="18" t="str">
        <f>INDEX(Organization!$B:$B,MATCH($G24,Organization!$A:$A,0))</f>
        <v>org4</v>
      </c>
      <c r="I24" s="18" t="b">
        <f t="shared" si="1"/>
        <v>0</v>
      </c>
      <c r="J24" s="18" t="b">
        <f t="shared" si="2"/>
        <v>0</v>
      </c>
      <c r="K24" s="18" t="b">
        <f t="shared" si="3"/>
        <v>0</v>
      </c>
      <c r="L24" s="18" t="b">
        <f t="shared" si="4"/>
        <v>1</v>
      </c>
      <c r="M24" s="6" t="b">
        <f t="shared" si="5"/>
        <v>0</v>
      </c>
    </row>
    <row r="25" spans="1:13" x14ac:dyDescent="0.3">
      <c r="A25" t="s">
        <v>32</v>
      </c>
      <c r="B25" t="s">
        <v>869</v>
      </c>
      <c r="C25" t="s">
        <v>869</v>
      </c>
      <c r="D25" t="str">
        <f t="shared" si="0"/>
        <v>org_user4_4</v>
      </c>
      <c r="E25" t="b">
        <v>1</v>
      </c>
      <c r="F25" t="s">
        <v>844</v>
      </c>
      <c r="G25" t="s">
        <v>52</v>
      </c>
      <c r="H25" s="18" t="str">
        <f>INDEX(Organization!$B:$B,MATCH($G25,Organization!$A:$A,0))</f>
        <v>org4</v>
      </c>
      <c r="I25" s="18" t="b">
        <f t="shared" si="1"/>
        <v>0</v>
      </c>
      <c r="J25" s="18" t="b">
        <f t="shared" si="2"/>
        <v>0</v>
      </c>
      <c r="K25" s="18" t="b">
        <f t="shared" si="3"/>
        <v>0</v>
      </c>
      <c r="L25" s="18" t="b">
        <f t="shared" si="4"/>
        <v>1</v>
      </c>
      <c r="M25" s="6" t="b">
        <f t="shared" si="5"/>
        <v>0</v>
      </c>
    </row>
    <row r="26" spans="1:13" x14ac:dyDescent="0.3">
      <c r="A26" t="s">
        <v>34</v>
      </c>
      <c r="B26" t="s">
        <v>870</v>
      </c>
      <c r="C26" t="s">
        <v>870</v>
      </c>
      <c r="D26" t="str">
        <f t="shared" si="0"/>
        <v>org_user5_1</v>
      </c>
      <c r="E26" t="b">
        <v>1</v>
      </c>
      <c r="F26" t="s">
        <v>844</v>
      </c>
      <c r="G26" t="s">
        <v>55</v>
      </c>
      <c r="H26" s="18" t="str">
        <f>INDEX(Organization!$B:$B,MATCH($G26,Organization!$A:$A,0))</f>
        <v>org5</v>
      </c>
      <c r="I26" s="18" t="b">
        <f t="shared" si="1"/>
        <v>0</v>
      </c>
      <c r="J26" s="18" t="b">
        <f t="shared" si="2"/>
        <v>0</v>
      </c>
      <c r="K26" s="18" t="b">
        <f t="shared" si="3"/>
        <v>0</v>
      </c>
      <c r="L26" s="18" t="b">
        <f t="shared" si="4"/>
        <v>1</v>
      </c>
      <c r="M26" s="6" t="b">
        <f t="shared" si="5"/>
        <v>0</v>
      </c>
    </row>
    <row r="27" spans="1:13" x14ac:dyDescent="0.3">
      <c r="A27" t="s">
        <v>36</v>
      </c>
      <c r="B27" t="s">
        <v>871</v>
      </c>
      <c r="C27" t="s">
        <v>871</v>
      </c>
      <c r="D27" t="str">
        <f t="shared" si="0"/>
        <v>org_user5_2</v>
      </c>
      <c r="E27" t="b">
        <v>1</v>
      </c>
      <c r="F27" t="s">
        <v>844</v>
      </c>
      <c r="G27" t="s">
        <v>55</v>
      </c>
      <c r="H27" s="18" t="str">
        <f>INDEX(Organization!$B:$B,MATCH($G27,Organization!$A:$A,0))</f>
        <v>org5</v>
      </c>
      <c r="I27" s="18" t="b">
        <f t="shared" si="1"/>
        <v>0</v>
      </c>
      <c r="J27" s="18" t="b">
        <f t="shared" si="2"/>
        <v>0</v>
      </c>
      <c r="K27" s="18" t="b">
        <f t="shared" si="3"/>
        <v>0</v>
      </c>
      <c r="L27" s="18" t="b">
        <f t="shared" si="4"/>
        <v>1</v>
      </c>
      <c r="M27" s="6" t="b">
        <f t="shared" si="5"/>
        <v>0</v>
      </c>
    </row>
    <row r="28" spans="1:13" x14ac:dyDescent="0.3">
      <c r="A28" t="s">
        <v>37</v>
      </c>
      <c r="B28" t="s">
        <v>872</v>
      </c>
      <c r="C28" t="s">
        <v>872</v>
      </c>
      <c r="D28" t="str">
        <f t="shared" si="0"/>
        <v>org_user5_3</v>
      </c>
      <c r="E28" t="b">
        <v>1</v>
      </c>
      <c r="F28" t="s">
        <v>844</v>
      </c>
      <c r="G28" t="s">
        <v>55</v>
      </c>
      <c r="H28" s="18" t="str">
        <f>INDEX(Organization!$B:$B,MATCH($G28,Organization!$A:$A,0))</f>
        <v>org5</v>
      </c>
      <c r="I28" s="18" t="b">
        <f t="shared" si="1"/>
        <v>0</v>
      </c>
      <c r="J28" s="18" t="b">
        <f t="shared" si="2"/>
        <v>0</v>
      </c>
      <c r="K28" s="18" t="b">
        <f t="shared" si="3"/>
        <v>0</v>
      </c>
      <c r="L28" s="18" t="b">
        <f t="shared" si="4"/>
        <v>1</v>
      </c>
      <c r="M28" s="6" t="b">
        <f t="shared" si="5"/>
        <v>0</v>
      </c>
    </row>
    <row r="29" spans="1:13" x14ac:dyDescent="0.3">
      <c r="A29" t="s">
        <v>38</v>
      </c>
      <c r="B29" t="s">
        <v>873</v>
      </c>
      <c r="C29" t="s">
        <v>873</v>
      </c>
      <c r="D29" t="str">
        <f t="shared" si="0"/>
        <v>org_user5_4</v>
      </c>
      <c r="E29" t="b">
        <v>1</v>
      </c>
      <c r="F29" t="s">
        <v>844</v>
      </c>
      <c r="G29" t="s">
        <v>55</v>
      </c>
      <c r="H29" s="18" t="str">
        <f>INDEX(Organization!$B:$B,MATCH($G29,Organization!$A:$A,0))</f>
        <v>org5</v>
      </c>
      <c r="I29" s="18" t="b">
        <f t="shared" si="1"/>
        <v>0</v>
      </c>
      <c r="J29" s="18" t="b">
        <f t="shared" si="2"/>
        <v>0</v>
      </c>
      <c r="K29" s="18" t="b">
        <f t="shared" si="3"/>
        <v>0</v>
      </c>
      <c r="L29" s="18" t="b">
        <f t="shared" si="4"/>
        <v>1</v>
      </c>
      <c r="M29" s="6" t="b">
        <f t="shared" si="5"/>
        <v>0</v>
      </c>
    </row>
  </sheetData>
  <hyperlinks>
    <hyperlink ref="C4" r:id="rId1" xr:uid="{6720259D-8B8B-404B-BBFC-255A858BC201}"/>
    <hyperlink ref="B4" r:id="rId2" xr:uid="{20728C37-5C65-48C8-8BFF-B78EF176652E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8"/>
  <sheetViews>
    <sheetView workbookViewId="0">
      <selection activeCell="F2" sqref="F2"/>
    </sheetView>
  </sheetViews>
  <sheetFormatPr defaultColWidth="8.77734375" defaultRowHeight="14.4" x14ac:dyDescent="0.3"/>
  <cols>
    <col min="1" max="1" width="36" bestFit="1" customWidth="1"/>
    <col min="2" max="3" width="27" bestFit="1" customWidth="1"/>
    <col min="4" max="4" width="18" style="6" bestFit="1" customWidth="1"/>
    <col min="5" max="5" width="36.109375" bestFit="1" customWidth="1"/>
    <col min="6" max="6" width="18" bestFit="1" customWidth="1"/>
    <col min="7" max="7" width="20.109375" bestFit="1" customWidth="1"/>
    <col min="8" max="8" width="35.6640625" bestFit="1" customWidth="1"/>
    <col min="9" max="9" width="14.44140625" style="6" bestFit="1" customWidth="1"/>
    <col min="10" max="10" width="36" bestFit="1" customWidth="1"/>
    <col min="11" max="11" width="11.44140625" style="6" bestFit="1" customWidth="1"/>
  </cols>
  <sheetData>
    <row r="1" spans="1:11" x14ac:dyDescent="0.3">
      <c r="A1" s="1" t="s">
        <v>0</v>
      </c>
      <c r="B1" s="1" t="s">
        <v>840</v>
      </c>
      <c r="C1" s="1" t="s">
        <v>183</v>
      </c>
      <c r="D1" s="10" t="s">
        <v>270</v>
      </c>
      <c r="E1" s="1" t="s">
        <v>207</v>
      </c>
      <c r="F1" s="1" t="s">
        <v>208</v>
      </c>
      <c r="G1" s="1" t="s">
        <v>184</v>
      </c>
      <c r="H1" s="1" t="s">
        <v>209</v>
      </c>
      <c r="I1" s="10" t="s">
        <v>273</v>
      </c>
      <c r="J1" s="1" t="s">
        <v>41</v>
      </c>
      <c r="K1" s="10" t="s">
        <v>266</v>
      </c>
    </row>
    <row r="2" spans="1:11" x14ac:dyDescent="0.3">
      <c r="A2" t="s">
        <v>210</v>
      </c>
      <c r="B2" t="s">
        <v>726</v>
      </c>
      <c r="C2" t="s">
        <v>726</v>
      </c>
      <c r="D2" s="6" t="str">
        <f>LEFT($C2,LEN($C2)-9)</f>
        <v>app_admin1_1</v>
      </c>
      <c r="E2" t="s">
        <v>211</v>
      </c>
      <c r="F2" s="2">
        <v>45743.390918726589</v>
      </c>
      <c r="G2" t="s">
        <v>841</v>
      </c>
      <c r="H2" t="s">
        <v>839</v>
      </c>
      <c r="I2" s="6" t="str">
        <f>INDEX(User!$D:$D,MATCH($H2,User!$A:$A,0))</f>
        <v>root1_1</v>
      </c>
      <c r="J2" t="s">
        <v>43</v>
      </c>
      <c r="K2" s="6" t="str">
        <f>INDEX(Organization!$B:$B,MATCH($J2,Organization!$A:$A,0))</f>
        <v>org1</v>
      </c>
    </row>
    <row r="3" spans="1:11" x14ac:dyDescent="0.3">
      <c r="A3" t="s">
        <v>212</v>
      </c>
      <c r="B3" s="20" t="s">
        <v>727</v>
      </c>
      <c r="C3" s="20" t="s">
        <v>727</v>
      </c>
      <c r="D3" s="6" t="str">
        <f t="shared" ref="D3:D28" si="0">LEFT($C3,LEN($C3)-9)</f>
        <v>refdata_admin1_1</v>
      </c>
      <c r="E3" t="s">
        <v>213</v>
      </c>
      <c r="F3" s="2">
        <v>45743.390918741461</v>
      </c>
      <c r="G3" t="s">
        <v>842</v>
      </c>
      <c r="H3" t="s">
        <v>185</v>
      </c>
      <c r="I3" s="6" t="str">
        <f>INDEX(User!$D:$D,MATCH($H3,User!$A:$A,0))</f>
        <v>app_admin1_1</v>
      </c>
      <c r="J3" t="s">
        <v>43</v>
      </c>
      <c r="K3" s="6" t="str">
        <f>INDEX(Organization!$B:$B,MATCH($J3,Organization!$A:$A,0))</f>
        <v>org1</v>
      </c>
    </row>
    <row r="4" spans="1:11" x14ac:dyDescent="0.3">
      <c r="A4" t="s">
        <v>214</v>
      </c>
      <c r="B4" t="s">
        <v>728</v>
      </c>
      <c r="C4" t="s">
        <v>728</v>
      </c>
      <c r="D4" s="6" t="str">
        <f t="shared" si="0"/>
        <v>org_admin1_1</v>
      </c>
      <c r="E4" t="s">
        <v>215</v>
      </c>
      <c r="F4" s="2">
        <v>45743.390918746562</v>
      </c>
      <c r="G4" t="s">
        <v>843</v>
      </c>
      <c r="H4" t="s">
        <v>185</v>
      </c>
      <c r="I4" s="6" t="str">
        <f>INDEX(User!$D:$D,MATCH($H4,User!$A:$A,0))</f>
        <v>app_admin1_1</v>
      </c>
      <c r="J4" t="s">
        <v>43</v>
      </c>
      <c r="K4" s="6" t="str">
        <f>INDEX(Organization!$B:$B,MATCH($J4,Organization!$A:$A,0))</f>
        <v>org1</v>
      </c>
    </row>
    <row r="5" spans="1:11" x14ac:dyDescent="0.3">
      <c r="A5" t="s">
        <v>216</v>
      </c>
      <c r="B5" t="s">
        <v>729</v>
      </c>
      <c r="C5" t="s">
        <v>729</v>
      </c>
      <c r="D5" s="6" t="str">
        <f t="shared" si="0"/>
        <v>org_admin2_1</v>
      </c>
      <c r="E5" t="s">
        <v>217</v>
      </c>
      <c r="F5" s="2">
        <v>45743.390918763551</v>
      </c>
      <c r="G5" t="s">
        <v>843</v>
      </c>
      <c r="H5" t="s">
        <v>185</v>
      </c>
      <c r="I5" s="6" t="str">
        <f>INDEX(User!$D:$D,MATCH($H5,User!$A:$A,0))</f>
        <v>app_admin1_1</v>
      </c>
      <c r="J5" t="s">
        <v>46</v>
      </c>
      <c r="K5" s="6" t="str">
        <f>INDEX(Organization!$B:$B,MATCH($J5,Organization!$A:$A,0))</f>
        <v>org2</v>
      </c>
    </row>
    <row r="6" spans="1:11" x14ac:dyDescent="0.3">
      <c r="A6" t="s">
        <v>218</v>
      </c>
      <c r="B6" t="s">
        <v>730</v>
      </c>
      <c r="C6" t="s">
        <v>730</v>
      </c>
      <c r="D6" s="6" t="str">
        <f t="shared" si="0"/>
        <v>org_admin3_1</v>
      </c>
      <c r="E6" t="s">
        <v>219</v>
      </c>
      <c r="F6" s="2">
        <v>45743.390918772537</v>
      </c>
      <c r="G6" t="s">
        <v>843</v>
      </c>
      <c r="H6" t="s">
        <v>185</v>
      </c>
      <c r="I6" s="6" t="str">
        <f>INDEX(User!$D:$D,MATCH($H6,User!$A:$A,0))</f>
        <v>app_admin1_1</v>
      </c>
      <c r="J6" t="s">
        <v>49</v>
      </c>
      <c r="K6" s="6" t="str">
        <f>INDEX(Organization!$B:$B,MATCH($J6,Organization!$A:$A,0))</f>
        <v>org3</v>
      </c>
    </row>
    <row r="7" spans="1:11" x14ac:dyDescent="0.3">
      <c r="A7" t="s">
        <v>220</v>
      </c>
      <c r="B7" t="s">
        <v>731</v>
      </c>
      <c r="C7" t="s">
        <v>731</v>
      </c>
      <c r="D7" s="6" t="str">
        <f t="shared" si="0"/>
        <v>org_admin4_1</v>
      </c>
      <c r="E7" t="s">
        <v>221</v>
      </c>
      <c r="F7" s="2">
        <v>45743.390918781181</v>
      </c>
      <c r="G7" t="s">
        <v>843</v>
      </c>
      <c r="H7" t="s">
        <v>185</v>
      </c>
      <c r="I7" s="6" t="str">
        <f>INDEX(User!$D:$D,MATCH($H7,User!$A:$A,0))</f>
        <v>app_admin1_1</v>
      </c>
      <c r="J7" t="s">
        <v>52</v>
      </c>
      <c r="K7" s="6" t="str">
        <f>INDEX(Organization!$B:$B,MATCH($J7,Organization!$A:$A,0))</f>
        <v>org4</v>
      </c>
    </row>
    <row r="8" spans="1:11" x14ac:dyDescent="0.3">
      <c r="A8" t="s">
        <v>222</v>
      </c>
      <c r="B8" t="s">
        <v>732</v>
      </c>
      <c r="C8" t="s">
        <v>732</v>
      </c>
      <c r="D8" s="6" t="str">
        <f t="shared" si="0"/>
        <v>org_admin5_1</v>
      </c>
      <c r="E8" t="s">
        <v>223</v>
      </c>
      <c r="F8" s="2">
        <v>45743.3909187889</v>
      </c>
      <c r="G8" t="s">
        <v>843</v>
      </c>
      <c r="H8" t="s">
        <v>185</v>
      </c>
      <c r="I8" s="6" t="str">
        <f>INDEX(User!$D:$D,MATCH($H8,User!$A:$A,0))</f>
        <v>app_admin1_1</v>
      </c>
      <c r="J8" t="s">
        <v>55</v>
      </c>
      <c r="K8" s="6" t="str">
        <f>INDEX(Organization!$B:$B,MATCH($J8,Organization!$A:$A,0))</f>
        <v>org5</v>
      </c>
    </row>
    <row r="9" spans="1:11" x14ac:dyDescent="0.3">
      <c r="A9" t="s">
        <v>224</v>
      </c>
      <c r="B9" t="s">
        <v>733</v>
      </c>
      <c r="C9" t="s">
        <v>733</v>
      </c>
      <c r="D9" s="6" t="str">
        <f t="shared" si="0"/>
        <v>org_user1_1</v>
      </c>
      <c r="E9" t="s">
        <v>225</v>
      </c>
      <c r="F9" s="2">
        <v>45743.390918796598</v>
      </c>
      <c r="G9" t="s">
        <v>844</v>
      </c>
      <c r="H9" t="s">
        <v>185</v>
      </c>
      <c r="I9" s="6" t="str">
        <f>INDEX(User!$D:$D,MATCH($H9,User!$A:$A,0))</f>
        <v>app_admin1_1</v>
      </c>
      <c r="J9" t="s">
        <v>43</v>
      </c>
      <c r="K9" s="6" t="str">
        <f>INDEX(Organization!$B:$B,MATCH($J9,Organization!$A:$A,0))</f>
        <v>org1</v>
      </c>
    </row>
    <row r="10" spans="1:11" x14ac:dyDescent="0.3">
      <c r="A10" t="s">
        <v>226</v>
      </c>
      <c r="B10" t="s">
        <v>734</v>
      </c>
      <c r="C10" t="s">
        <v>734</v>
      </c>
      <c r="D10" s="6" t="str">
        <f t="shared" si="0"/>
        <v>org_user1_2</v>
      </c>
      <c r="E10" t="s">
        <v>227</v>
      </c>
      <c r="F10" s="2">
        <v>45743.390918801953</v>
      </c>
      <c r="G10" t="s">
        <v>844</v>
      </c>
      <c r="H10" t="s">
        <v>185</v>
      </c>
      <c r="I10" s="6" t="str">
        <f>INDEX(User!$D:$D,MATCH($H10,User!$A:$A,0))</f>
        <v>app_admin1_1</v>
      </c>
      <c r="J10" t="s">
        <v>43</v>
      </c>
      <c r="K10" s="6" t="str">
        <f>INDEX(Organization!$B:$B,MATCH($J10,Organization!$A:$A,0))</f>
        <v>org1</v>
      </c>
    </row>
    <row r="11" spans="1:11" x14ac:dyDescent="0.3">
      <c r="A11" t="s">
        <v>228</v>
      </c>
      <c r="B11" t="s">
        <v>735</v>
      </c>
      <c r="C11" t="s">
        <v>735</v>
      </c>
      <c r="D11" s="6" t="str">
        <f t="shared" si="0"/>
        <v>org_user1_3</v>
      </c>
      <c r="E11" t="s">
        <v>229</v>
      </c>
      <c r="F11" s="2">
        <v>45743.390918807163</v>
      </c>
      <c r="G11" t="s">
        <v>844</v>
      </c>
      <c r="H11" t="s">
        <v>185</v>
      </c>
      <c r="I11" s="6" t="str">
        <f>INDEX(User!$D:$D,MATCH($H11,User!$A:$A,0))</f>
        <v>app_admin1_1</v>
      </c>
      <c r="J11" t="s">
        <v>43</v>
      </c>
      <c r="K11" s="6" t="str">
        <f>INDEX(Organization!$B:$B,MATCH($J11,Organization!$A:$A,0))</f>
        <v>org1</v>
      </c>
    </row>
    <row r="12" spans="1:11" x14ac:dyDescent="0.3">
      <c r="A12" t="s">
        <v>230</v>
      </c>
      <c r="B12" t="s">
        <v>736</v>
      </c>
      <c r="C12" t="s">
        <v>736</v>
      </c>
      <c r="D12" s="6" t="str">
        <f t="shared" si="0"/>
        <v>org_user1_4</v>
      </c>
      <c r="E12" t="s">
        <v>231</v>
      </c>
      <c r="F12" s="2">
        <v>45743.3909188123</v>
      </c>
      <c r="G12" t="s">
        <v>844</v>
      </c>
      <c r="H12" t="s">
        <v>185</v>
      </c>
      <c r="I12" s="6" t="str">
        <f>INDEX(User!$D:$D,MATCH($H12,User!$A:$A,0))</f>
        <v>app_admin1_1</v>
      </c>
      <c r="J12" t="s">
        <v>43</v>
      </c>
      <c r="K12" s="6" t="str">
        <f>INDEX(Organization!$B:$B,MATCH($J12,Organization!$A:$A,0))</f>
        <v>org1</v>
      </c>
    </row>
    <row r="13" spans="1:11" x14ac:dyDescent="0.3">
      <c r="A13" t="s">
        <v>232</v>
      </c>
      <c r="B13" t="s">
        <v>737</v>
      </c>
      <c r="C13" t="s">
        <v>737</v>
      </c>
      <c r="D13" s="6" t="str">
        <f t="shared" si="0"/>
        <v>org_user2_1</v>
      </c>
      <c r="E13" t="s">
        <v>233</v>
      </c>
      <c r="F13" s="2">
        <v>45743.390918817633</v>
      </c>
      <c r="G13" t="s">
        <v>844</v>
      </c>
      <c r="H13" t="s">
        <v>185</v>
      </c>
      <c r="I13" s="6" t="str">
        <f>INDEX(User!$D:$D,MATCH($H13,User!$A:$A,0))</f>
        <v>app_admin1_1</v>
      </c>
      <c r="J13" t="s">
        <v>46</v>
      </c>
      <c r="K13" s="6" t="str">
        <f>INDEX(Organization!$B:$B,MATCH($J13,Organization!$A:$A,0))</f>
        <v>org2</v>
      </c>
    </row>
    <row r="14" spans="1:11" x14ac:dyDescent="0.3">
      <c r="A14" t="s">
        <v>234</v>
      </c>
      <c r="B14" t="s">
        <v>738</v>
      </c>
      <c r="C14" t="s">
        <v>738</v>
      </c>
      <c r="D14" s="6" t="str">
        <f t="shared" si="0"/>
        <v>org_user2_2</v>
      </c>
      <c r="E14" t="s">
        <v>235</v>
      </c>
      <c r="F14" s="2">
        <v>45743.390918822908</v>
      </c>
      <c r="G14" t="s">
        <v>844</v>
      </c>
      <c r="H14" t="s">
        <v>185</v>
      </c>
      <c r="I14" s="6" t="str">
        <f>INDEX(User!$D:$D,MATCH($H14,User!$A:$A,0))</f>
        <v>app_admin1_1</v>
      </c>
      <c r="J14" t="s">
        <v>46</v>
      </c>
      <c r="K14" s="6" t="str">
        <f>INDEX(Organization!$B:$B,MATCH($J14,Organization!$A:$A,0))</f>
        <v>org2</v>
      </c>
    </row>
    <row r="15" spans="1:11" x14ac:dyDescent="0.3">
      <c r="A15" t="s">
        <v>236</v>
      </c>
      <c r="B15" t="s">
        <v>739</v>
      </c>
      <c r="C15" t="s">
        <v>739</v>
      </c>
      <c r="D15" s="6" t="str">
        <f t="shared" si="0"/>
        <v>org_user2_3</v>
      </c>
      <c r="E15" t="s">
        <v>237</v>
      </c>
      <c r="F15" s="2">
        <v>45743.390918828743</v>
      </c>
      <c r="G15" t="s">
        <v>844</v>
      </c>
      <c r="H15" t="s">
        <v>185</v>
      </c>
      <c r="I15" s="6" t="str">
        <f>INDEX(User!$D:$D,MATCH($H15,User!$A:$A,0))</f>
        <v>app_admin1_1</v>
      </c>
      <c r="J15" t="s">
        <v>46</v>
      </c>
      <c r="K15" s="6" t="str">
        <f>INDEX(Organization!$B:$B,MATCH($J15,Organization!$A:$A,0))</f>
        <v>org2</v>
      </c>
    </row>
    <row r="16" spans="1:11" x14ac:dyDescent="0.3">
      <c r="A16" t="s">
        <v>238</v>
      </c>
      <c r="B16" t="s">
        <v>740</v>
      </c>
      <c r="C16" t="s">
        <v>740</v>
      </c>
      <c r="D16" s="6" t="str">
        <f t="shared" si="0"/>
        <v>org_user2_4</v>
      </c>
      <c r="E16" t="s">
        <v>239</v>
      </c>
      <c r="F16" s="2">
        <v>45743.390918834302</v>
      </c>
      <c r="G16" t="s">
        <v>844</v>
      </c>
      <c r="H16" t="s">
        <v>185</v>
      </c>
      <c r="I16" s="6" t="str">
        <f>INDEX(User!$D:$D,MATCH($H16,User!$A:$A,0))</f>
        <v>app_admin1_1</v>
      </c>
      <c r="J16" t="s">
        <v>46</v>
      </c>
      <c r="K16" s="6" t="str">
        <f>INDEX(Organization!$B:$B,MATCH($J16,Organization!$A:$A,0))</f>
        <v>org2</v>
      </c>
    </row>
    <row r="17" spans="1:11" x14ac:dyDescent="0.3">
      <c r="A17" t="s">
        <v>240</v>
      </c>
      <c r="B17" t="s">
        <v>741</v>
      </c>
      <c r="C17" t="s">
        <v>741</v>
      </c>
      <c r="D17" s="6" t="str">
        <f t="shared" si="0"/>
        <v>org_user3_1</v>
      </c>
      <c r="E17" t="s">
        <v>241</v>
      </c>
      <c r="F17" s="2">
        <v>45743.390918839839</v>
      </c>
      <c r="G17" t="s">
        <v>844</v>
      </c>
      <c r="H17" t="s">
        <v>185</v>
      </c>
      <c r="I17" s="6" t="str">
        <f>INDEX(User!$D:$D,MATCH($H17,User!$A:$A,0))</f>
        <v>app_admin1_1</v>
      </c>
      <c r="J17" t="s">
        <v>49</v>
      </c>
      <c r="K17" s="6" t="str">
        <f>INDEX(Organization!$B:$B,MATCH($J17,Organization!$A:$A,0))</f>
        <v>org3</v>
      </c>
    </row>
    <row r="18" spans="1:11" x14ac:dyDescent="0.3">
      <c r="A18" t="s">
        <v>242</v>
      </c>
      <c r="B18" t="s">
        <v>742</v>
      </c>
      <c r="C18" t="s">
        <v>742</v>
      </c>
      <c r="D18" s="6" t="str">
        <f t="shared" si="0"/>
        <v>org_user3_2</v>
      </c>
      <c r="E18" t="s">
        <v>243</v>
      </c>
      <c r="F18" s="2">
        <v>45743.390918845187</v>
      </c>
      <c r="G18" t="s">
        <v>844</v>
      </c>
      <c r="H18" t="s">
        <v>185</v>
      </c>
      <c r="I18" s="6" t="str">
        <f>INDEX(User!$D:$D,MATCH($H18,User!$A:$A,0))</f>
        <v>app_admin1_1</v>
      </c>
      <c r="J18" t="s">
        <v>49</v>
      </c>
      <c r="K18" s="6" t="str">
        <f>INDEX(Organization!$B:$B,MATCH($J18,Organization!$A:$A,0))</f>
        <v>org3</v>
      </c>
    </row>
    <row r="19" spans="1:11" x14ac:dyDescent="0.3">
      <c r="A19" t="s">
        <v>244</v>
      </c>
      <c r="B19" t="s">
        <v>743</v>
      </c>
      <c r="C19" t="s">
        <v>743</v>
      </c>
      <c r="D19" s="6" t="str">
        <f t="shared" si="0"/>
        <v>org_user3_3</v>
      </c>
      <c r="E19" t="s">
        <v>245</v>
      </c>
      <c r="F19" s="2">
        <v>45743.390918851088</v>
      </c>
      <c r="G19" t="s">
        <v>844</v>
      </c>
      <c r="H19" t="s">
        <v>185</v>
      </c>
      <c r="I19" s="6" t="str">
        <f>INDEX(User!$D:$D,MATCH($H19,User!$A:$A,0))</f>
        <v>app_admin1_1</v>
      </c>
      <c r="J19" t="s">
        <v>49</v>
      </c>
      <c r="K19" s="6" t="str">
        <f>INDEX(Organization!$B:$B,MATCH($J19,Organization!$A:$A,0))</f>
        <v>org3</v>
      </c>
    </row>
    <row r="20" spans="1:11" x14ac:dyDescent="0.3">
      <c r="A20" t="s">
        <v>246</v>
      </c>
      <c r="B20" t="s">
        <v>744</v>
      </c>
      <c r="C20" t="s">
        <v>744</v>
      </c>
      <c r="D20" s="6" t="str">
        <f t="shared" si="0"/>
        <v>org_user3_4</v>
      </c>
      <c r="E20" t="s">
        <v>247</v>
      </c>
      <c r="F20" s="2">
        <v>45743.39091885696</v>
      </c>
      <c r="G20" t="s">
        <v>844</v>
      </c>
      <c r="H20" t="s">
        <v>185</v>
      </c>
      <c r="I20" s="6" t="str">
        <f>INDEX(User!$D:$D,MATCH($H20,User!$A:$A,0))</f>
        <v>app_admin1_1</v>
      </c>
      <c r="J20" t="s">
        <v>49</v>
      </c>
      <c r="K20" s="6" t="str">
        <f>INDEX(Organization!$B:$B,MATCH($J20,Organization!$A:$A,0))</f>
        <v>org3</v>
      </c>
    </row>
    <row r="21" spans="1:11" x14ac:dyDescent="0.3">
      <c r="A21" t="s">
        <v>248</v>
      </c>
      <c r="B21" t="s">
        <v>745</v>
      </c>
      <c r="C21" t="s">
        <v>745</v>
      </c>
      <c r="D21" s="6" t="str">
        <f t="shared" si="0"/>
        <v>org_user4_1</v>
      </c>
      <c r="E21" t="s">
        <v>249</v>
      </c>
      <c r="F21" s="2">
        <v>45743.390918862962</v>
      </c>
      <c r="G21" t="s">
        <v>844</v>
      </c>
      <c r="H21" t="s">
        <v>185</v>
      </c>
      <c r="I21" s="6" t="str">
        <f>INDEX(User!$D:$D,MATCH($H21,User!$A:$A,0))</f>
        <v>app_admin1_1</v>
      </c>
      <c r="J21" t="s">
        <v>52</v>
      </c>
      <c r="K21" s="6" t="str">
        <f>INDEX(Organization!$B:$B,MATCH($J21,Organization!$A:$A,0))</f>
        <v>org4</v>
      </c>
    </row>
    <row r="22" spans="1:11" x14ac:dyDescent="0.3">
      <c r="A22" t="s">
        <v>250</v>
      </c>
      <c r="B22" t="s">
        <v>746</v>
      </c>
      <c r="C22" t="s">
        <v>746</v>
      </c>
      <c r="D22" s="6" t="str">
        <f t="shared" si="0"/>
        <v>org_user4_2</v>
      </c>
      <c r="E22" t="s">
        <v>251</v>
      </c>
      <c r="F22" s="2">
        <v>45743.390918868739</v>
      </c>
      <c r="G22" t="s">
        <v>844</v>
      </c>
      <c r="H22" t="s">
        <v>185</v>
      </c>
      <c r="I22" s="6" t="str">
        <f>INDEX(User!$D:$D,MATCH($H22,User!$A:$A,0))</f>
        <v>app_admin1_1</v>
      </c>
      <c r="J22" t="s">
        <v>52</v>
      </c>
      <c r="K22" s="6" t="str">
        <f>INDEX(Organization!$B:$B,MATCH($J22,Organization!$A:$A,0))</f>
        <v>org4</v>
      </c>
    </row>
    <row r="23" spans="1:11" x14ac:dyDescent="0.3">
      <c r="A23" t="s">
        <v>252</v>
      </c>
      <c r="B23" t="s">
        <v>747</v>
      </c>
      <c r="C23" t="s">
        <v>747</v>
      </c>
      <c r="D23" s="6" t="str">
        <f t="shared" si="0"/>
        <v>org_user4_3</v>
      </c>
      <c r="E23" t="s">
        <v>253</v>
      </c>
      <c r="F23" s="2">
        <v>45743.390918874728</v>
      </c>
      <c r="G23" t="s">
        <v>844</v>
      </c>
      <c r="H23" t="s">
        <v>185</v>
      </c>
      <c r="I23" s="6" t="str">
        <f>INDEX(User!$D:$D,MATCH($H23,User!$A:$A,0))</f>
        <v>app_admin1_1</v>
      </c>
      <c r="J23" t="s">
        <v>52</v>
      </c>
      <c r="K23" s="6" t="str">
        <f>INDEX(Organization!$B:$B,MATCH($J23,Organization!$A:$A,0))</f>
        <v>org4</v>
      </c>
    </row>
    <row r="24" spans="1:11" x14ac:dyDescent="0.3">
      <c r="A24" t="s">
        <v>254</v>
      </c>
      <c r="B24" t="s">
        <v>748</v>
      </c>
      <c r="C24" t="s">
        <v>748</v>
      </c>
      <c r="D24" s="6" t="str">
        <f t="shared" si="0"/>
        <v>org_user4_4</v>
      </c>
      <c r="E24" t="s">
        <v>255</v>
      </c>
      <c r="F24" s="2">
        <v>45743.390918881109</v>
      </c>
      <c r="G24" t="s">
        <v>844</v>
      </c>
      <c r="H24" t="s">
        <v>185</v>
      </c>
      <c r="I24" s="6" t="str">
        <f>INDEX(User!$D:$D,MATCH($H24,User!$A:$A,0))</f>
        <v>app_admin1_1</v>
      </c>
      <c r="J24" t="s">
        <v>52</v>
      </c>
      <c r="K24" s="6" t="str">
        <f>INDEX(Organization!$B:$B,MATCH($J24,Organization!$A:$A,0))</f>
        <v>org4</v>
      </c>
    </row>
    <row r="25" spans="1:11" x14ac:dyDescent="0.3">
      <c r="A25" t="s">
        <v>256</v>
      </c>
      <c r="B25" t="s">
        <v>749</v>
      </c>
      <c r="C25" t="s">
        <v>749</v>
      </c>
      <c r="D25" s="6" t="str">
        <f t="shared" si="0"/>
        <v>org_user5_1</v>
      </c>
      <c r="E25" t="s">
        <v>257</v>
      </c>
      <c r="F25" s="2">
        <v>45743.390918887373</v>
      </c>
      <c r="G25" t="s">
        <v>844</v>
      </c>
      <c r="H25" t="s">
        <v>185</v>
      </c>
      <c r="I25" s="6" t="str">
        <f>INDEX(User!$D:$D,MATCH($H25,User!$A:$A,0))</f>
        <v>app_admin1_1</v>
      </c>
      <c r="J25" t="s">
        <v>55</v>
      </c>
      <c r="K25" s="6" t="str">
        <f>INDEX(Organization!$B:$B,MATCH($J25,Organization!$A:$A,0))</f>
        <v>org5</v>
      </c>
    </row>
    <row r="26" spans="1:11" x14ac:dyDescent="0.3">
      <c r="A26" t="s">
        <v>258</v>
      </c>
      <c r="B26" t="s">
        <v>750</v>
      </c>
      <c r="C26" t="s">
        <v>750</v>
      </c>
      <c r="D26" s="6" t="str">
        <f t="shared" si="0"/>
        <v>org_user5_2</v>
      </c>
      <c r="E26" t="s">
        <v>259</v>
      </c>
      <c r="F26" s="2">
        <v>45743.39091889358</v>
      </c>
      <c r="G26" t="s">
        <v>844</v>
      </c>
      <c r="H26" t="s">
        <v>185</v>
      </c>
      <c r="I26" s="6" t="str">
        <f>INDEX(User!$D:$D,MATCH($H26,User!$A:$A,0))</f>
        <v>app_admin1_1</v>
      </c>
      <c r="J26" t="s">
        <v>55</v>
      </c>
      <c r="K26" s="6" t="str">
        <f>INDEX(Organization!$B:$B,MATCH($J26,Organization!$A:$A,0))</f>
        <v>org5</v>
      </c>
    </row>
    <row r="27" spans="1:11" x14ac:dyDescent="0.3">
      <c r="A27" t="s">
        <v>260</v>
      </c>
      <c r="B27" t="s">
        <v>751</v>
      </c>
      <c r="C27" t="s">
        <v>751</v>
      </c>
      <c r="D27" s="6" t="str">
        <f t="shared" si="0"/>
        <v>org_user5_3</v>
      </c>
      <c r="E27" t="s">
        <v>261</v>
      </c>
      <c r="F27" s="2">
        <v>45743.390918900091</v>
      </c>
      <c r="G27" t="s">
        <v>844</v>
      </c>
      <c r="H27" t="s">
        <v>185</v>
      </c>
      <c r="I27" s="6" t="str">
        <f>INDEX(User!$D:$D,MATCH($H27,User!$A:$A,0))</f>
        <v>app_admin1_1</v>
      </c>
      <c r="J27" t="s">
        <v>55</v>
      </c>
      <c r="K27" s="6" t="str">
        <f>INDEX(Organization!$B:$B,MATCH($J27,Organization!$A:$A,0))</f>
        <v>org5</v>
      </c>
    </row>
    <row r="28" spans="1:11" x14ac:dyDescent="0.3">
      <c r="A28" t="s">
        <v>262</v>
      </c>
      <c r="B28" t="s">
        <v>752</v>
      </c>
      <c r="C28" t="s">
        <v>752</v>
      </c>
      <c r="D28" s="6" t="str">
        <f t="shared" si="0"/>
        <v>org_user5_4</v>
      </c>
      <c r="E28" t="s">
        <v>263</v>
      </c>
      <c r="F28" s="2">
        <v>45743.390918906553</v>
      </c>
      <c r="G28" t="s">
        <v>844</v>
      </c>
      <c r="H28" t="s">
        <v>185</v>
      </c>
      <c r="I28" s="6" t="str">
        <f>INDEX(User!$D:$D,MATCH($H28,User!$A:$A,0))</f>
        <v>app_admin1_1</v>
      </c>
      <c r="J28" t="s">
        <v>55</v>
      </c>
      <c r="K28" s="6" t="str">
        <f>INDEX(Organization!$B:$B,MATCH($J28,Organization!$A:$A,0))</f>
        <v>org5</v>
      </c>
    </row>
  </sheetData>
  <hyperlinks>
    <hyperlink ref="C3" r:id="rId1" display="refdata_admin1_1@org1.org" xr:uid="{C6CE08DD-189A-544E-9566-622F7BE1E7EA}"/>
    <hyperlink ref="B3" r:id="rId2" display="refdata_admin1_1@org1.org" xr:uid="{8DE1F2C7-69F9-4371-8548-F3E32F7DB47B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"/>
  <sheetViews>
    <sheetView workbookViewId="0">
      <selection activeCell="C20" sqref="C20"/>
    </sheetView>
  </sheetViews>
  <sheetFormatPr defaultColWidth="8.77734375" defaultRowHeight="14.4" x14ac:dyDescent="0.3"/>
  <cols>
    <col min="1" max="1" width="35.77734375" bestFit="1" customWidth="1"/>
    <col min="2" max="2" width="14.5546875" bestFit="1" customWidth="1"/>
    <col min="3" max="3" width="9" style="6" bestFit="1" customWidth="1"/>
    <col min="4" max="4" width="20.109375" style="6" bestFit="1" customWidth="1"/>
    <col min="5" max="5" width="4.77734375" bestFit="1" customWidth="1"/>
    <col min="6" max="6" width="14.44140625" style="6" bestFit="1" customWidth="1"/>
    <col min="7" max="7" width="19.88671875" style="6" bestFit="1" customWidth="1"/>
    <col min="8" max="8" width="5.77734375" bestFit="1" customWidth="1"/>
  </cols>
  <sheetData>
    <row r="1" spans="1:8" x14ac:dyDescent="0.3">
      <c r="A1" s="1" t="s">
        <v>0</v>
      </c>
      <c r="B1" s="1" t="s">
        <v>181</v>
      </c>
      <c r="C1" s="10" t="s">
        <v>137</v>
      </c>
      <c r="D1" s="10" t="s">
        <v>138</v>
      </c>
      <c r="E1" s="1" t="s">
        <v>81</v>
      </c>
      <c r="F1" s="10" t="s">
        <v>182</v>
      </c>
      <c r="G1" s="10" t="s">
        <v>78</v>
      </c>
      <c r="H1" s="1" t="s">
        <v>148</v>
      </c>
    </row>
    <row r="2" spans="1:8" x14ac:dyDescent="0.3">
      <c r="A2" t="s">
        <v>438</v>
      </c>
      <c r="B2" t="s">
        <v>264</v>
      </c>
      <c r="C2" s="6" t="str">
        <f>"dim"&amp;E2</f>
        <v>dim1</v>
      </c>
      <c r="D2" s="6" t="str">
        <f>$C2&amp;"_"&amp;$B2</f>
        <v>dim1_TEXT</v>
      </c>
      <c r="E2">
        <v>1</v>
      </c>
      <c r="F2" s="6" t="str">
        <f>E2&amp;"_"</f>
        <v>1_</v>
      </c>
      <c r="G2" s="6" t="str">
        <f>$D2</f>
        <v>dim1_TEXT</v>
      </c>
      <c r="H2" t="s">
        <v>149</v>
      </c>
    </row>
    <row r="3" spans="1:8" x14ac:dyDescent="0.3">
      <c r="A3" t="s">
        <v>439</v>
      </c>
      <c r="B3" t="s">
        <v>264</v>
      </c>
      <c r="C3" s="6" t="str">
        <f t="shared" ref="C3:C23" si="0">"dim"&amp;E3</f>
        <v>dim2</v>
      </c>
      <c r="D3" s="6" t="str">
        <f t="shared" ref="D3:D23" si="1">$C3&amp;"_"&amp;$B3</f>
        <v>dim2_TEXT</v>
      </c>
      <c r="E3">
        <f>E2+1</f>
        <v>2</v>
      </c>
      <c r="F3" s="6" t="str">
        <f t="shared" ref="F3:F23" si="2">E3&amp;"_"</f>
        <v>2_</v>
      </c>
      <c r="G3" s="6" t="str">
        <f t="shared" ref="G3:G23" si="3">$D3</f>
        <v>dim2_TEXT</v>
      </c>
      <c r="H3" t="s">
        <v>149</v>
      </c>
    </row>
    <row r="4" spans="1:8" x14ac:dyDescent="0.3">
      <c r="A4" t="s">
        <v>440</v>
      </c>
      <c r="B4" t="s">
        <v>264</v>
      </c>
      <c r="C4" s="6" t="str">
        <f t="shared" si="0"/>
        <v>dim3</v>
      </c>
      <c r="D4" s="6" t="str">
        <f t="shared" si="1"/>
        <v>dim3_TEXT</v>
      </c>
      <c r="E4">
        <f t="shared" ref="E4:E21" si="4">E3+1</f>
        <v>3</v>
      </c>
      <c r="F4" s="6" t="str">
        <f t="shared" si="2"/>
        <v>3_</v>
      </c>
      <c r="G4" s="6" t="str">
        <f t="shared" si="3"/>
        <v>dim3_TEXT</v>
      </c>
      <c r="H4" t="s">
        <v>149</v>
      </c>
    </row>
    <row r="5" spans="1:8" x14ac:dyDescent="0.3">
      <c r="A5" t="s">
        <v>441</v>
      </c>
      <c r="B5" t="s">
        <v>264</v>
      </c>
      <c r="C5" s="6" t="str">
        <f t="shared" si="0"/>
        <v>dim4</v>
      </c>
      <c r="D5" s="6" t="str">
        <f t="shared" si="1"/>
        <v>dim4_TEXT</v>
      </c>
      <c r="E5">
        <f t="shared" si="4"/>
        <v>4</v>
      </c>
      <c r="F5" s="6" t="str">
        <f t="shared" si="2"/>
        <v>4_</v>
      </c>
      <c r="G5" s="6" t="str">
        <f t="shared" si="3"/>
        <v>dim4_TEXT</v>
      </c>
      <c r="H5" t="s">
        <v>149</v>
      </c>
    </row>
    <row r="6" spans="1:8" x14ac:dyDescent="0.3">
      <c r="A6" t="s">
        <v>442</v>
      </c>
      <c r="B6" t="s">
        <v>264</v>
      </c>
      <c r="C6" s="6" t="str">
        <f t="shared" si="0"/>
        <v>dim5</v>
      </c>
      <c r="D6" s="6" t="str">
        <f t="shared" si="1"/>
        <v>dim5_TEXT</v>
      </c>
      <c r="E6">
        <f t="shared" si="4"/>
        <v>5</v>
      </c>
      <c r="F6" s="6" t="str">
        <f t="shared" si="2"/>
        <v>5_</v>
      </c>
      <c r="G6" s="6" t="str">
        <f t="shared" si="3"/>
        <v>dim5_TEXT</v>
      </c>
      <c r="H6" t="s">
        <v>149</v>
      </c>
    </row>
    <row r="7" spans="1:8" x14ac:dyDescent="0.3">
      <c r="A7" t="s">
        <v>443</v>
      </c>
      <c r="B7" t="s">
        <v>264</v>
      </c>
      <c r="C7" s="6" t="str">
        <f t="shared" si="0"/>
        <v>dim6</v>
      </c>
      <c r="D7" s="6" t="str">
        <f t="shared" si="1"/>
        <v>dim6_TEXT</v>
      </c>
      <c r="E7">
        <f t="shared" si="4"/>
        <v>6</v>
      </c>
      <c r="F7" s="6" t="str">
        <f t="shared" si="2"/>
        <v>6_</v>
      </c>
      <c r="G7" s="6" t="str">
        <f t="shared" si="3"/>
        <v>dim6_TEXT</v>
      </c>
      <c r="H7" t="s">
        <v>149</v>
      </c>
    </row>
    <row r="8" spans="1:8" x14ac:dyDescent="0.3">
      <c r="A8" t="s">
        <v>444</v>
      </c>
      <c r="B8" t="s">
        <v>264</v>
      </c>
      <c r="C8" s="6" t="str">
        <f t="shared" si="0"/>
        <v>dim7</v>
      </c>
      <c r="D8" s="6" t="str">
        <f t="shared" si="1"/>
        <v>dim7_TEXT</v>
      </c>
      <c r="E8">
        <f t="shared" si="4"/>
        <v>7</v>
      </c>
      <c r="F8" s="6" t="str">
        <f t="shared" si="2"/>
        <v>7_</v>
      </c>
      <c r="G8" s="6" t="str">
        <f t="shared" si="3"/>
        <v>dim7_TEXT</v>
      </c>
      <c r="H8" t="s">
        <v>149</v>
      </c>
    </row>
    <row r="9" spans="1:8" x14ac:dyDescent="0.3">
      <c r="A9" t="s">
        <v>445</v>
      </c>
      <c r="B9" t="s">
        <v>264</v>
      </c>
      <c r="C9" s="6" t="str">
        <f t="shared" si="0"/>
        <v>dim8</v>
      </c>
      <c r="D9" s="6" t="str">
        <f t="shared" si="1"/>
        <v>dim8_TEXT</v>
      </c>
      <c r="E9">
        <f t="shared" si="4"/>
        <v>8</v>
      </c>
      <c r="F9" s="6" t="str">
        <f t="shared" si="2"/>
        <v>8_</v>
      </c>
      <c r="G9" s="6" t="str">
        <f t="shared" si="3"/>
        <v>dim8_TEXT</v>
      </c>
      <c r="H9" t="s">
        <v>149</v>
      </c>
    </row>
    <row r="10" spans="1:8" x14ac:dyDescent="0.3">
      <c r="A10" t="s">
        <v>446</v>
      </c>
      <c r="B10" t="s">
        <v>433</v>
      </c>
      <c r="C10" s="6" t="str">
        <f t="shared" si="0"/>
        <v>dim9</v>
      </c>
      <c r="D10" s="6" t="str">
        <f t="shared" si="1"/>
        <v>dim9_ORGANIZATION</v>
      </c>
      <c r="E10">
        <f t="shared" si="4"/>
        <v>9</v>
      </c>
      <c r="F10" s="6" t="str">
        <f t="shared" si="2"/>
        <v>9_</v>
      </c>
      <c r="G10" s="6" t="str">
        <f t="shared" si="3"/>
        <v>dim9_ORGANIZATION</v>
      </c>
      <c r="H10" t="s">
        <v>149</v>
      </c>
    </row>
    <row r="11" spans="1:8" x14ac:dyDescent="0.3">
      <c r="A11" t="s">
        <v>447</v>
      </c>
      <c r="B11" t="s">
        <v>433</v>
      </c>
      <c r="C11" s="6" t="str">
        <f t="shared" si="0"/>
        <v>dim10</v>
      </c>
      <c r="D11" s="6" t="str">
        <f t="shared" si="1"/>
        <v>dim10_ORGANIZATION</v>
      </c>
      <c r="E11">
        <f t="shared" si="4"/>
        <v>10</v>
      </c>
      <c r="F11" s="6" t="str">
        <f t="shared" si="2"/>
        <v>10_</v>
      </c>
      <c r="G11" s="6" t="str">
        <f t="shared" si="3"/>
        <v>dim10_ORGANIZATION</v>
      </c>
      <c r="H11" t="s">
        <v>149</v>
      </c>
    </row>
    <row r="12" spans="1:8" x14ac:dyDescent="0.3">
      <c r="A12" t="s">
        <v>448</v>
      </c>
      <c r="B12" t="s">
        <v>434</v>
      </c>
      <c r="C12" s="6" t="str">
        <f t="shared" si="0"/>
        <v>dim11</v>
      </c>
      <c r="D12" s="6" t="str">
        <f t="shared" si="1"/>
        <v>dim11_GEO</v>
      </c>
      <c r="E12">
        <f t="shared" si="4"/>
        <v>11</v>
      </c>
      <c r="F12" s="6" t="str">
        <f t="shared" si="2"/>
        <v>11_</v>
      </c>
      <c r="G12" s="6" t="str">
        <f t="shared" si="3"/>
        <v>dim11_GEO</v>
      </c>
      <c r="H12" t="s">
        <v>149</v>
      </c>
    </row>
    <row r="13" spans="1:8" x14ac:dyDescent="0.3">
      <c r="A13" t="s">
        <v>449</v>
      </c>
      <c r="B13" t="s">
        <v>434</v>
      </c>
      <c r="C13" s="6" t="str">
        <f t="shared" si="0"/>
        <v>dim12</v>
      </c>
      <c r="D13" s="6" t="str">
        <f t="shared" si="1"/>
        <v>dim12_GEO</v>
      </c>
      <c r="E13">
        <f t="shared" si="4"/>
        <v>12</v>
      </c>
      <c r="F13" s="6" t="str">
        <f t="shared" si="2"/>
        <v>12_</v>
      </c>
      <c r="G13" s="6" t="str">
        <f t="shared" si="3"/>
        <v>dim12_GEO</v>
      </c>
      <c r="H13" t="s">
        <v>149</v>
      </c>
    </row>
    <row r="14" spans="1:8" x14ac:dyDescent="0.3">
      <c r="A14" t="s">
        <v>450</v>
      </c>
      <c r="B14" t="s">
        <v>432</v>
      </c>
      <c r="C14" s="6" t="str">
        <f t="shared" si="0"/>
        <v>dim13</v>
      </c>
      <c r="D14" s="6" t="str">
        <f t="shared" si="1"/>
        <v>dim13_TIME</v>
      </c>
      <c r="E14">
        <f t="shared" si="4"/>
        <v>13</v>
      </c>
      <c r="F14" s="6" t="str">
        <f t="shared" si="2"/>
        <v>13_</v>
      </c>
      <c r="G14" s="6" t="str">
        <f t="shared" si="3"/>
        <v>dim13_TIME</v>
      </c>
      <c r="H14" t="s">
        <v>149</v>
      </c>
    </row>
    <row r="15" spans="1:8" x14ac:dyDescent="0.3">
      <c r="A15" t="s">
        <v>451</v>
      </c>
      <c r="B15" t="s">
        <v>432</v>
      </c>
      <c r="C15" s="6" t="str">
        <f t="shared" si="0"/>
        <v>dim14</v>
      </c>
      <c r="D15" s="6" t="str">
        <f t="shared" si="1"/>
        <v>dim14_TIME</v>
      </c>
      <c r="E15">
        <f t="shared" si="4"/>
        <v>14</v>
      </c>
      <c r="F15" s="6" t="str">
        <f t="shared" si="2"/>
        <v>14_</v>
      </c>
      <c r="G15" s="6" t="str">
        <f t="shared" si="3"/>
        <v>dim14_TIME</v>
      </c>
      <c r="H15" t="s">
        <v>149</v>
      </c>
    </row>
    <row r="16" spans="1:8" x14ac:dyDescent="0.3">
      <c r="A16" t="s">
        <v>452</v>
      </c>
      <c r="B16" t="s">
        <v>435</v>
      </c>
      <c r="C16" s="6" t="str">
        <f t="shared" si="0"/>
        <v>dim15</v>
      </c>
      <c r="D16" s="6" t="str">
        <f t="shared" si="1"/>
        <v>dim15_IDENTIFIER</v>
      </c>
      <c r="E16">
        <f t="shared" si="4"/>
        <v>15</v>
      </c>
      <c r="F16" s="6" t="str">
        <f t="shared" si="2"/>
        <v>15_</v>
      </c>
      <c r="G16" s="6" t="str">
        <f t="shared" si="3"/>
        <v>dim15_IDENTIFIER</v>
      </c>
      <c r="H16" t="s">
        <v>149</v>
      </c>
    </row>
    <row r="17" spans="1:8" x14ac:dyDescent="0.3">
      <c r="A17" t="s">
        <v>453</v>
      </c>
      <c r="B17" t="s">
        <v>435</v>
      </c>
      <c r="C17" s="6" t="str">
        <f t="shared" si="0"/>
        <v>dim16</v>
      </c>
      <c r="D17" s="6" t="str">
        <f t="shared" si="1"/>
        <v>dim16_IDENTIFIER</v>
      </c>
      <c r="E17">
        <f t="shared" si="4"/>
        <v>16</v>
      </c>
      <c r="F17" s="6" t="str">
        <f t="shared" si="2"/>
        <v>16_</v>
      </c>
      <c r="G17" s="6" t="str">
        <f t="shared" si="3"/>
        <v>dim16_IDENTIFIER</v>
      </c>
      <c r="H17" t="s">
        <v>149</v>
      </c>
    </row>
    <row r="18" spans="1:8" x14ac:dyDescent="0.3">
      <c r="A18" t="s">
        <v>454</v>
      </c>
      <c r="B18" t="s">
        <v>436</v>
      </c>
      <c r="C18" s="6" t="str">
        <f t="shared" si="0"/>
        <v>dim17</v>
      </c>
      <c r="D18" s="6" t="str">
        <f t="shared" si="1"/>
        <v>dim17_NUMBER</v>
      </c>
      <c r="E18">
        <f t="shared" si="4"/>
        <v>17</v>
      </c>
      <c r="F18" s="6" t="str">
        <f t="shared" si="2"/>
        <v>17_</v>
      </c>
      <c r="G18" s="6" t="str">
        <f t="shared" si="3"/>
        <v>dim17_NUMBER</v>
      </c>
      <c r="H18" t="s">
        <v>149</v>
      </c>
    </row>
    <row r="19" spans="1:8" x14ac:dyDescent="0.3">
      <c r="A19" t="s">
        <v>455</v>
      </c>
      <c r="B19" t="s">
        <v>436</v>
      </c>
      <c r="C19" s="6" t="str">
        <f t="shared" si="0"/>
        <v>dim18</v>
      </c>
      <c r="D19" s="6" t="str">
        <f t="shared" si="1"/>
        <v>dim18_NUMBER</v>
      </c>
      <c r="E19">
        <f t="shared" si="4"/>
        <v>18</v>
      </c>
      <c r="F19" s="6" t="str">
        <f t="shared" si="2"/>
        <v>18_</v>
      </c>
      <c r="G19" s="6" t="str">
        <f t="shared" si="3"/>
        <v>dim18_NUMBER</v>
      </c>
      <c r="H19" t="s">
        <v>149</v>
      </c>
    </row>
    <row r="20" spans="1:8" x14ac:dyDescent="0.3">
      <c r="A20" t="s">
        <v>1085</v>
      </c>
      <c r="B20" t="s">
        <v>264</v>
      </c>
      <c r="C20" s="6" t="str">
        <f t="shared" ref="C20:C21" si="5">"dim"&amp;E20</f>
        <v>dim19</v>
      </c>
      <c r="D20" s="6" t="str">
        <f t="shared" si="1"/>
        <v>dim19_TEXT</v>
      </c>
      <c r="E20">
        <f t="shared" si="4"/>
        <v>19</v>
      </c>
      <c r="F20" s="6" t="str">
        <f t="shared" ref="F20:F21" si="6">E20&amp;"_"</f>
        <v>19_</v>
      </c>
      <c r="G20" s="6" t="str">
        <f t="shared" si="3"/>
        <v>dim19_TEXT</v>
      </c>
      <c r="H20" t="s">
        <v>149</v>
      </c>
    </row>
    <row r="21" spans="1:8" x14ac:dyDescent="0.3">
      <c r="A21" t="s">
        <v>1086</v>
      </c>
      <c r="B21" t="s">
        <v>264</v>
      </c>
      <c r="C21" s="6" t="str">
        <f t="shared" si="5"/>
        <v>dim20</v>
      </c>
      <c r="D21" s="6" t="str">
        <f t="shared" si="1"/>
        <v>dim20_TEXT</v>
      </c>
      <c r="E21">
        <f t="shared" si="4"/>
        <v>20</v>
      </c>
      <c r="F21" s="6" t="str">
        <f t="shared" si="6"/>
        <v>20_</v>
      </c>
      <c r="G21" s="6" t="str">
        <f t="shared" si="3"/>
        <v>dim20_TEXT</v>
      </c>
      <c r="H21" t="s">
        <v>149</v>
      </c>
    </row>
    <row r="22" spans="1:8" x14ac:dyDescent="0.3">
      <c r="A22" t="s">
        <v>456</v>
      </c>
      <c r="B22" t="s">
        <v>437</v>
      </c>
      <c r="C22" s="6" t="str">
        <f t="shared" si="0"/>
        <v>dim21</v>
      </c>
      <c r="D22" s="6" t="str">
        <f t="shared" si="1"/>
        <v>dim21_OTHER</v>
      </c>
      <c r="E22">
        <v>21</v>
      </c>
      <c r="F22" s="6" t="str">
        <f t="shared" si="2"/>
        <v>21_</v>
      </c>
      <c r="G22" s="6" t="str">
        <f t="shared" si="3"/>
        <v>dim21_OTHER</v>
      </c>
      <c r="H22" t="s">
        <v>149</v>
      </c>
    </row>
    <row r="23" spans="1:8" x14ac:dyDescent="0.3">
      <c r="A23" t="s">
        <v>457</v>
      </c>
      <c r="B23" t="s">
        <v>437</v>
      </c>
      <c r="C23" s="6" t="str">
        <f t="shared" si="0"/>
        <v>dim22</v>
      </c>
      <c r="D23" s="6" t="str">
        <f t="shared" si="1"/>
        <v>dim22_OTHER</v>
      </c>
      <c r="E23">
        <v>22</v>
      </c>
      <c r="F23" s="6" t="str">
        <f t="shared" si="2"/>
        <v>22_</v>
      </c>
      <c r="G23" s="6" t="str">
        <f t="shared" si="3"/>
        <v>dim22_OTHER</v>
      </c>
      <c r="H23" t="s">
        <v>149</v>
      </c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7"/>
  <sheetViews>
    <sheetView workbookViewId="0">
      <pane ySplit="1" topLeftCell="A14" activePane="bottomLeft" state="frozen"/>
      <selection pane="bottomLeft" activeCell="A30" sqref="A30:A39"/>
    </sheetView>
  </sheetViews>
  <sheetFormatPr defaultColWidth="8.77734375" defaultRowHeight="14.4" x14ac:dyDescent="0.3"/>
  <cols>
    <col min="1" max="1" width="36" bestFit="1" customWidth="1"/>
    <col min="2" max="2" width="35.77734375" bestFit="1" customWidth="1"/>
    <col min="3" max="3" width="9" style="6" bestFit="1" customWidth="1"/>
    <col min="4" max="4" width="10.6640625" bestFit="1" customWidth="1"/>
    <col min="5" max="5" width="11.109375" style="6" bestFit="1" customWidth="1"/>
    <col min="6" max="6" width="11.44140625" style="6" bestFit="1" customWidth="1"/>
    <col min="7" max="7" width="11.109375" style="6" bestFit="1" customWidth="1"/>
    <col min="8" max="8" width="19.44140625" bestFit="1" customWidth="1"/>
    <col min="9" max="9" width="36.33203125" bestFit="1" customWidth="1"/>
    <col min="10" max="10" width="35.6640625" style="6" bestFit="1" customWidth="1"/>
    <col min="11" max="11" width="36.5546875" bestFit="1" customWidth="1"/>
    <col min="12" max="12" width="18.6640625" style="6" bestFit="1" customWidth="1"/>
    <col min="13" max="13" width="35.21875" bestFit="1" customWidth="1"/>
    <col min="14" max="14" width="31.77734375" style="6" bestFit="1" customWidth="1"/>
    <col min="15" max="15" width="56.33203125" style="6" bestFit="1" customWidth="1"/>
    <col min="16" max="16" width="5.77734375" bestFit="1" customWidth="1"/>
  </cols>
  <sheetData>
    <row r="1" spans="1:16" x14ac:dyDescent="0.3">
      <c r="A1" s="1" t="s">
        <v>0</v>
      </c>
      <c r="B1" s="1" t="s">
        <v>175</v>
      </c>
      <c r="C1" s="10" t="s">
        <v>753</v>
      </c>
      <c r="D1" s="1" t="s">
        <v>176</v>
      </c>
      <c r="E1" s="10" t="s">
        <v>137</v>
      </c>
      <c r="F1" s="10" t="s">
        <v>81</v>
      </c>
      <c r="G1" s="10" t="s">
        <v>138</v>
      </c>
      <c r="H1" s="1" t="s">
        <v>177</v>
      </c>
      <c r="I1" s="1" t="s">
        <v>178</v>
      </c>
      <c r="J1" s="10" t="s">
        <v>1208</v>
      </c>
      <c r="K1" s="1" t="s">
        <v>179</v>
      </c>
      <c r="L1" s="10" t="s">
        <v>1206</v>
      </c>
      <c r="M1" s="1" t="s">
        <v>180</v>
      </c>
      <c r="N1" s="10" t="s">
        <v>1207</v>
      </c>
      <c r="O1" s="10" t="s">
        <v>78</v>
      </c>
      <c r="P1" s="1" t="s">
        <v>148</v>
      </c>
    </row>
    <row r="2" spans="1:16" x14ac:dyDescent="0.3">
      <c r="A2" t="s">
        <v>458</v>
      </c>
      <c r="B2" t="s">
        <v>438</v>
      </c>
      <c r="C2" s="6" t="str">
        <f>INDEX(Dim!$C:$C,MATCH($B2,Dim!$A:$A,0))</f>
        <v>dim1</v>
      </c>
      <c r="D2" s="11" t="s">
        <v>754</v>
      </c>
      <c r="E2" s="6" t="str">
        <f>$C2&amp;$D2</f>
        <v>dim1_1</v>
      </c>
      <c r="F2" s="6">
        <f>RIGHT($D2,LEN($D2)-1)+1-1</f>
        <v>1</v>
      </c>
      <c r="G2" s="6" t="str">
        <f>$E2</f>
        <v>dim1_1</v>
      </c>
      <c r="H2" t="s">
        <v>297</v>
      </c>
      <c r="I2" t="s">
        <v>330</v>
      </c>
      <c r="J2" s="6" t="str">
        <f>IF($I2="","",INDEX(ConceptSet!$C:$C,MATCH($I2,ConceptSet!$A:$A,0)))</f>
        <v>Nominal_1</v>
      </c>
      <c r="L2" s="6" t="str">
        <f>IF($K2="","",INDEX(RegionSet!$B:$B,MATCH($K2,RegionSet!$A:$A,0)))</f>
        <v/>
      </c>
      <c r="N2" s="6" t="str">
        <f>IF($M2="","",INDEX(GeneticDistanceProtocol!$C:$C,MATCH($M2,GeneticDistanceProtocol!$A:$A,0)))</f>
        <v/>
      </c>
      <c r="O2" s="6" t="str">
        <f>$E2&amp;" ("&amp;$H2&amp;(IF($J2="","",";"&amp;$J2)&amp;(IF($L2="","",";"&amp;$L2)))&amp;")"</f>
        <v>dim1_1 (NOMINAL;Nominal_1)</v>
      </c>
      <c r="P2" t="s">
        <v>149</v>
      </c>
    </row>
    <row r="3" spans="1:16" x14ac:dyDescent="0.3">
      <c r="A3" t="s">
        <v>459</v>
      </c>
      <c r="B3" t="s">
        <v>439</v>
      </c>
      <c r="C3" s="6" t="str">
        <f>INDEX(Dim!$C:$C,MATCH($B3,Dim!$A:$A,0))</f>
        <v>dim2</v>
      </c>
      <c r="D3" s="11" t="s">
        <v>754</v>
      </c>
      <c r="E3" s="6" t="str">
        <f t="shared" ref="E3:E57" si="0">$C3&amp;$D3</f>
        <v>dim2_1</v>
      </c>
      <c r="F3" s="6">
        <f t="shared" ref="F3:F57" si="1">RIGHT($D3,LEN($D3)-1)+1-1</f>
        <v>1</v>
      </c>
      <c r="G3" s="6" t="str">
        <f t="shared" ref="G3:G57" si="2">$E3</f>
        <v>dim2_1</v>
      </c>
      <c r="H3" t="s">
        <v>297</v>
      </c>
      <c r="I3" t="s">
        <v>331</v>
      </c>
      <c r="J3" s="6" t="str">
        <f>IF($I3="","",INDEX(ConceptSet!$C:$C,MATCH($I3,ConceptSet!$A:$A,0)))</f>
        <v>Nominal_2</v>
      </c>
      <c r="L3" s="6" t="str">
        <f>IF($K3="","",INDEX(RegionSet!$B:$B,MATCH($K3,RegionSet!$A:$A,0)))</f>
        <v/>
      </c>
      <c r="N3" s="6" t="str">
        <f>IF($M3="","",INDEX(GeneticDistanceProtocol!$C:$C,MATCH($M3,GeneticDistanceProtocol!$A:$A,0)))</f>
        <v/>
      </c>
      <c r="O3" s="6" t="str">
        <f t="shared" ref="O3:O57" si="3">$E3&amp;" ("&amp;$H3&amp;(IF($J3="","",";"&amp;$J3)&amp;(IF($L3="","",";"&amp;$L3)))&amp;")"</f>
        <v>dim2_1 (NOMINAL;Nominal_2)</v>
      </c>
      <c r="P3" t="s">
        <v>149</v>
      </c>
    </row>
    <row r="4" spans="1:16" x14ac:dyDescent="0.3">
      <c r="A4" t="s">
        <v>460</v>
      </c>
      <c r="B4" t="s">
        <v>440</v>
      </c>
      <c r="C4" s="6" t="str">
        <f>INDEX(Dim!$C:$C,MATCH($B4,Dim!$A:$A,0))</f>
        <v>dim3</v>
      </c>
      <c r="D4" s="11" t="s">
        <v>754</v>
      </c>
      <c r="E4" s="6" t="str">
        <f t="shared" si="0"/>
        <v>dim3_1</v>
      </c>
      <c r="F4" s="6">
        <f t="shared" si="1"/>
        <v>1</v>
      </c>
      <c r="G4" s="6" t="str">
        <f t="shared" si="2"/>
        <v>dim3_1</v>
      </c>
      <c r="H4" t="s">
        <v>296</v>
      </c>
      <c r="I4" t="s">
        <v>332</v>
      </c>
      <c r="J4" s="6" t="str">
        <f>IF($I4="","",INDEX(ConceptSet!$C:$C,MATCH($I4,ConceptSet!$A:$A,0)))</f>
        <v>Ordinal_1</v>
      </c>
      <c r="L4" s="6" t="str">
        <f>IF($K4="","",INDEX(RegionSet!$B:$B,MATCH($K4,RegionSet!$A:$A,0)))</f>
        <v/>
      </c>
      <c r="N4" s="6" t="str">
        <f>IF($M4="","",INDEX(GeneticDistanceProtocol!$C:$C,MATCH($M4,GeneticDistanceProtocol!$A:$A,0)))</f>
        <v/>
      </c>
      <c r="O4" s="6" t="str">
        <f t="shared" si="3"/>
        <v>dim3_1 (ORDINAL;Ordinal_1)</v>
      </c>
      <c r="P4" t="s">
        <v>149</v>
      </c>
    </row>
    <row r="5" spans="1:16" x14ac:dyDescent="0.3">
      <c r="A5" t="s">
        <v>461</v>
      </c>
      <c r="B5" t="s">
        <v>441</v>
      </c>
      <c r="C5" s="6" t="str">
        <f>INDEX(Dim!$C:$C,MATCH($B5,Dim!$A:$A,0))</f>
        <v>dim4</v>
      </c>
      <c r="D5" s="11" t="s">
        <v>754</v>
      </c>
      <c r="E5" s="6" t="str">
        <f t="shared" si="0"/>
        <v>dim4_1</v>
      </c>
      <c r="F5" s="6">
        <f t="shared" si="1"/>
        <v>1</v>
      </c>
      <c r="G5" s="6" t="str">
        <f t="shared" si="2"/>
        <v>dim4_1</v>
      </c>
      <c r="H5" t="s">
        <v>296</v>
      </c>
      <c r="I5" t="s">
        <v>333</v>
      </c>
      <c r="J5" s="6" t="str">
        <f>IF($I5="","",INDEX(ConceptSet!$C:$C,MATCH($I5,ConceptSet!$A:$A,0)))</f>
        <v>Ordinal_2</v>
      </c>
      <c r="L5" s="6" t="str">
        <f>IF($K5="","",INDEX(RegionSet!$B:$B,MATCH($K5,RegionSet!$A:$A,0)))</f>
        <v/>
      </c>
      <c r="N5" s="6" t="str">
        <f>IF($M5="","",INDEX(GeneticDistanceProtocol!$C:$C,MATCH($M5,GeneticDistanceProtocol!$A:$A,0)))</f>
        <v/>
      </c>
      <c r="O5" s="6" t="str">
        <f t="shared" si="3"/>
        <v>dim4_1 (ORDINAL;Ordinal_2)</v>
      </c>
      <c r="P5" t="s">
        <v>149</v>
      </c>
    </row>
    <row r="6" spans="1:16" x14ac:dyDescent="0.3">
      <c r="A6" t="s">
        <v>462</v>
      </c>
      <c r="B6" t="s">
        <v>442</v>
      </c>
      <c r="C6" s="6" t="str">
        <f>INDEX(Dim!$C:$C,MATCH($B6,Dim!$A:$A,0))</f>
        <v>dim5</v>
      </c>
      <c r="D6" s="11" t="s">
        <v>754</v>
      </c>
      <c r="E6" s="6" t="str">
        <f t="shared" si="0"/>
        <v>dim5_1</v>
      </c>
      <c r="F6" s="6">
        <f t="shared" si="1"/>
        <v>1</v>
      </c>
      <c r="G6" s="6" t="str">
        <f t="shared" si="2"/>
        <v>dim5_1</v>
      </c>
      <c r="H6" t="s">
        <v>303</v>
      </c>
      <c r="I6" t="s">
        <v>339</v>
      </c>
      <c r="J6" s="6" t="str">
        <f>IF($I6="","",INDEX(ConceptSet!$C:$C,MATCH($I6,ConceptSet!$A:$A,0)))</f>
        <v>Regex_1</v>
      </c>
      <c r="L6" s="6" t="str">
        <f>IF($K6="","",INDEX(RegionSet!$B:$B,MATCH($K6,RegionSet!$A:$A,0)))</f>
        <v/>
      </c>
      <c r="N6" s="6" t="str">
        <f>IF($M6="","",INDEX(GeneticDistanceProtocol!$C:$C,MATCH($M6,GeneticDistanceProtocol!$A:$A,0)))</f>
        <v/>
      </c>
      <c r="O6" s="6" t="str">
        <f t="shared" si="3"/>
        <v>dim5_1 (REGULAR_LANGUAGE;Regex_1)</v>
      </c>
      <c r="P6" t="s">
        <v>149</v>
      </c>
    </row>
    <row r="7" spans="1:16" x14ac:dyDescent="0.3">
      <c r="A7" t="s">
        <v>463</v>
      </c>
      <c r="B7" t="s">
        <v>443</v>
      </c>
      <c r="C7" s="6" t="str">
        <f>INDEX(Dim!$C:$C,MATCH($B7,Dim!$A:$A,0))</f>
        <v>dim6</v>
      </c>
      <c r="D7" s="11" t="s">
        <v>754</v>
      </c>
      <c r="E7" s="6" t="str">
        <f t="shared" si="0"/>
        <v>dim6_1</v>
      </c>
      <c r="F7" s="6">
        <f t="shared" si="1"/>
        <v>1</v>
      </c>
      <c r="G7" s="6" t="str">
        <f t="shared" si="2"/>
        <v>dim6_1</v>
      </c>
      <c r="H7" t="s">
        <v>303</v>
      </c>
      <c r="I7" t="s">
        <v>340</v>
      </c>
      <c r="J7" s="6" t="str">
        <f>IF($I7="","",INDEX(ConceptSet!$C:$C,MATCH($I7,ConceptSet!$A:$A,0)))</f>
        <v>Regex_2</v>
      </c>
      <c r="L7" s="6" t="str">
        <f>IF($K7="","",INDEX(RegionSet!$B:$B,MATCH($K7,RegionSet!$A:$A,0)))</f>
        <v/>
      </c>
      <c r="N7" s="6" t="str">
        <f>IF($M7="","",INDEX(GeneticDistanceProtocol!$C:$C,MATCH($M7,GeneticDistanceProtocol!$A:$A,0)))</f>
        <v/>
      </c>
      <c r="O7" s="6" t="str">
        <f t="shared" si="3"/>
        <v>dim6_1 (REGULAR_LANGUAGE;Regex_2)</v>
      </c>
      <c r="P7" t="s">
        <v>149</v>
      </c>
    </row>
    <row r="8" spans="1:16" x14ac:dyDescent="0.3">
      <c r="A8" t="s">
        <v>464</v>
      </c>
      <c r="B8" t="s">
        <v>444</v>
      </c>
      <c r="C8" s="6" t="str">
        <f>INDEX(Dim!$C:$C,MATCH($B8,Dim!$A:$A,0))</f>
        <v>dim7</v>
      </c>
      <c r="D8" s="11" t="s">
        <v>754</v>
      </c>
      <c r="E8" s="6" t="str">
        <f t="shared" si="0"/>
        <v>dim7_1</v>
      </c>
      <c r="F8" s="6">
        <f t="shared" si="1"/>
        <v>1</v>
      </c>
      <c r="G8" s="6" t="str">
        <f t="shared" si="2"/>
        <v>dim7_1</v>
      </c>
      <c r="H8" t="s">
        <v>264</v>
      </c>
      <c r="J8" s="6" t="str">
        <f>IF($I8="","",INDEX(ConceptSet!$C:$C,MATCH($I8,ConceptSet!$A:$A,0)))</f>
        <v/>
      </c>
      <c r="L8" s="6" t="str">
        <f>IF($K8="","",INDEX(RegionSet!$B:$B,MATCH($K8,RegionSet!$A:$A,0)))</f>
        <v/>
      </c>
      <c r="N8" s="6" t="str">
        <f>IF($M8="","",INDEX(GeneticDistanceProtocol!$C:$C,MATCH($M8,GeneticDistanceProtocol!$A:$A,0)))</f>
        <v/>
      </c>
      <c r="O8" s="6" t="str">
        <f t="shared" si="3"/>
        <v>dim7_1 (TEXT)</v>
      </c>
      <c r="P8" t="s">
        <v>149</v>
      </c>
    </row>
    <row r="9" spans="1:16" x14ac:dyDescent="0.3">
      <c r="A9" t="s">
        <v>465</v>
      </c>
      <c r="B9" t="s">
        <v>445</v>
      </c>
      <c r="C9" s="6" t="str">
        <f>INDEX(Dim!$C:$C,MATCH($B9,Dim!$A:$A,0))</f>
        <v>dim8</v>
      </c>
      <c r="D9" s="11" t="s">
        <v>754</v>
      </c>
      <c r="E9" s="6" t="str">
        <f t="shared" si="0"/>
        <v>dim8_1</v>
      </c>
      <c r="F9" s="6">
        <f t="shared" si="1"/>
        <v>1</v>
      </c>
      <c r="G9" s="6" t="str">
        <f t="shared" si="2"/>
        <v>dim8_1</v>
      </c>
      <c r="H9" t="s">
        <v>264</v>
      </c>
      <c r="J9" s="6" t="str">
        <f>IF($I9="","",INDEX(ConceptSet!$C:$C,MATCH($I9,ConceptSet!$A:$A,0)))</f>
        <v/>
      </c>
      <c r="L9" s="6" t="str">
        <f>IF($K9="","",INDEX(RegionSet!$B:$B,MATCH($K9,RegionSet!$A:$A,0)))</f>
        <v/>
      </c>
      <c r="N9" s="6" t="str">
        <f>IF($M9="","",INDEX(GeneticDistanceProtocol!$C:$C,MATCH($M9,GeneticDistanceProtocol!$A:$A,0)))</f>
        <v/>
      </c>
      <c r="O9" s="6" t="str">
        <f t="shared" si="3"/>
        <v>dim8_1 (TEXT)</v>
      </c>
      <c r="P9" t="s">
        <v>149</v>
      </c>
    </row>
    <row r="10" spans="1:16" x14ac:dyDescent="0.3">
      <c r="A10" t="s">
        <v>466</v>
      </c>
      <c r="B10" t="s">
        <v>446</v>
      </c>
      <c r="C10" s="6" t="str">
        <f>INDEX(Dim!$C:$C,MATCH($B10,Dim!$A:$A,0))</f>
        <v>dim9</v>
      </c>
      <c r="D10" s="11" t="s">
        <v>754</v>
      </c>
      <c r="E10" s="6" t="str">
        <f t="shared" si="0"/>
        <v>dim9_1</v>
      </c>
      <c r="F10" s="6">
        <f t="shared" si="1"/>
        <v>1</v>
      </c>
      <c r="G10" s="6" t="str">
        <f t="shared" si="2"/>
        <v>dim9_1</v>
      </c>
      <c r="H10" t="s">
        <v>433</v>
      </c>
      <c r="J10" s="6" t="str">
        <f>IF($I10="","",INDEX(ConceptSet!$C:$C,MATCH($I10,ConceptSet!$A:$A,0)))</f>
        <v/>
      </c>
      <c r="L10" s="6" t="str">
        <f>IF($K10="","",INDEX(RegionSet!$B:$B,MATCH($K10,RegionSet!$A:$A,0)))</f>
        <v/>
      </c>
      <c r="N10" s="6" t="str">
        <f>IF($M10="","",INDEX(GeneticDistanceProtocol!$C:$C,MATCH($M10,GeneticDistanceProtocol!$A:$A,0)))</f>
        <v/>
      </c>
      <c r="O10" s="6" t="str">
        <f t="shared" si="3"/>
        <v>dim9_1 (ORGANIZATION)</v>
      </c>
      <c r="P10" t="s">
        <v>149</v>
      </c>
    </row>
    <row r="11" spans="1:16" x14ac:dyDescent="0.3">
      <c r="A11" t="s">
        <v>467</v>
      </c>
      <c r="B11" t="s">
        <v>447</v>
      </c>
      <c r="C11" s="6" t="str">
        <f>INDEX(Dim!$C:$C,MATCH($B11,Dim!$A:$A,0))</f>
        <v>dim10</v>
      </c>
      <c r="D11" s="11" t="s">
        <v>754</v>
      </c>
      <c r="E11" s="6" t="str">
        <f t="shared" si="0"/>
        <v>dim10_1</v>
      </c>
      <c r="F11" s="6">
        <f t="shared" si="1"/>
        <v>1</v>
      </c>
      <c r="G11" s="6" t="str">
        <f t="shared" si="2"/>
        <v>dim10_1</v>
      </c>
      <c r="H11" t="s">
        <v>433</v>
      </c>
      <c r="J11" s="6" t="str">
        <f>IF($I11="","",INDEX(ConceptSet!$C:$C,MATCH($I11,ConceptSet!$A:$A,0)))</f>
        <v/>
      </c>
      <c r="L11" s="6" t="str">
        <f>IF($K11="","",INDEX(RegionSet!$B:$B,MATCH($K11,RegionSet!$A:$A,0)))</f>
        <v/>
      </c>
      <c r="N11" s="6" t="str">
        <f>IF($M11="","",INDEX(GeneticDistanceProtocol!$C:$C,MATCH($M11,GeneticDistanceProtocol!$A:$A,0)))</f>
        <v/>
      </c>
      <c r="O11" s="6" t="str">
        <f t="shared" si="3"/>
        <v>dim10_1 (ORGANIZATION)</v>
      </c>
      <c r="P11" t="s">
        <v>149</v>
      </c>
    </row>
    <row r="12" spans="1:16" x14ac:dyDescent="0.3">
      <c r="A12" t="s">
        <v>468</v>
      </c>
      <c r="B12" t="s">
        <v>448</v>
      </c>
      <c r="C12" s="6" t="str">
        <f>INDEX(Dim!$C:$C,MATCH($B12,Dim!$A:$A,0))</f>
        <v>dim11</v>
      </c>
      <c r="D12" s="11" t="s">
        <v>754</v>
      </c>
      <c r="E12" s="6" t="str">
        <f t="shared" si="0"/>
        <v>dim11_1</v>
      </c>
      <c r="F12" s="6">
        <f t="shared" si="1"/>
        <v>1</v>
      </c>
      <c r="G12" s="6" t="str">
        <f t="shared" si="2"/>
        <v>dim11_1</v>
      </c>
      <c r="H12" t="s">
        <v>492</v>
      </c>
      <c r="J12" s="6" t="str">
        <f>IF($I12="","",INDEX(ConceptSet!$C:$C,MATCH($I12,ConceptSet!$A:$A,0)))</f>
        <v/>
      </c>
      <c r="K12" t="s">
        <v>380</v>
      </c>
      <c r="L12" s="6" t="str">
        <f>IF($K12="","",INDEX(RegionSet!$B:$B,MATCH($K12,RegionSet!$A:$A,0)))</f>
        <v>PC_L4</v>
      </c>
      <c r="N12" s="6" t="str">
        <f>IF($M12="","",INDEX(GeneticDistanceProtocol!$C:$C,MATCH($M12,GeneticDistanceProtocol!$A:$A,0)))</f>
        <v/>
      </c>
      <c r="O12" s="6" t="str">
        <f t="shared" si="3"/>
        <v>dim11_1 (GEO_REGION;PC_L4)</v>
      </c>
      <c r="P12" t="s">
        <v>149</v>
      </c>
    </row>
    <row r="13" spans="1:16" x14ac:dyDescent="0.3">
      <c r="A13" t="s">
        <v>469</v>
      </c>
      <c r="B13" t="s">
        <v>448</v>
      </c>
      <c r="C13" s="6" t="str">
        <f>INDEX(Dim!$C:$C,MATCH($B13,Dim!$A:$A,0))</f>
        <v>dim11</v>
      </c>
      <c r="D13" s="11" t="s">
        <v>755</v>
      </c>
      <c r="E13" s="6" t="str">
        <f t="shared" si="0"/>
        <v>dim11_2</v>
      </c>
      <c r="F13" s="6">
        <f t="shared" si="1"/>
        <v>2</v>
      </c>
      <c r="G13" s="6" t="str">
        <f t="shared" si="2"/>
        <v>dim11_2</v>
      </c>
      <c r="H13" t="s">
        <v>492</v>
      </c>
      <c r="J13" s="6" t="str">
        <f>IF($I13="","",INDEX(ConceptSet!$C:$C,MATCH($I13,ConceptSet!$A:$A,0)))</f>
        <v/>
      </c>
      <c r="K13" t="s">
        <v>381</v>
      </c>
      <c r="L13" s="6" t="str">
        <f>IF($K13="","",INDEX(RegionSet!$B:$B,MATCH($K13,RegionSet!$A:$A,0)))</f>
        <v>PC_L3</v>
      </c>
      <c r="N13" s="6" t="str">
        <f>IF($M13="","",INDEX(GeneticDistanceProtocol!$C:$C,MATCH($M13,GeneticDistanceProtocol!$A:$A,0)))</f>
        <v/>
      </c>
      <c r="O13" s="6" t="str">
        <f t="shared" si="3"/>
        <v>dim11_2 (GEO_REGION;PC_L3)</v>
      </c>
      <c r="P13" t="s">
        <v>149</v>
      </c>
    </row>
    <row r="14" spans="1:16" x14ac:dyDescent="0.3">
      <c r="A14" t="s">
        <v>470</v>
      </c>
      <c r="B14" t="s">
        <v>448</v>
      </c>
      <c r="C14" s="6" t="str">
        <f>INDEX(Dim!$C:$C,MATCH($B14,Dim!$A:$A,0))</f>
        <v>dim11</v>
      </c>
      <c r="D14" s="11" t="s">
        <v>756</v>
      </c>
      <c r="E14" s="6" t="str">
        <f t="shared" si="0"/>
        <v>dim11_3</v>
      </c>
      <c r="F14" s="6">
        <f t="shared" si="1"/>
        <v>3</v>
      </c>
      <c r="G14" s="6" t="str">
        <f t="shared" si="2"/>
        <v>dim11_3</v>
      </c>
      <c r="H14" t="s">
        <v>492</v>
      </c>
      <c r="J14" s="6" t="str">
        <f>IF($I14="","",INDEX(ConceptSet!$C:$C,MATCH($I14,ConceptSet!$A:$A,0)))</f>
        <v/>
      </c>
      <c r="K14" t="s">
        <v>382</v>
      </c>
      <c r="L14" s="6" t="str">
        <f>IF($K14="","",INDEX(RegionSet!$B:$B,MATCH($K14,RegionSet!$A:$A,0)))</f>
        <v>MUN</v>
      </c>
      <c r="N14" s="6" t="str">
        <f>IF($M14="","",INDEX(GeneticDistanceProtocol!$C:$C,MATCH($M14,GeneticDistanceProtocol!$A:$A,0)))</f>
        <v/>
      </c>
      <c r="O14" s="6" t="str">
        <f t="shared" si="3"/>
        <v>dim11_3 (GEO_REGION;MUN)</v>
      </c>
      <c r="P14" t="s">
        <v>149</v>
      </c>
    </row>
    <row r="15" spans="1:16" x14ac:dyDescent="0.3">
      <c r="A15" t="s">
        <v>471</v>
      </c>
      <c r="B15" t="s">
        <v>448</v>
      </c>
      <c r="C15" s="6" t="str">
        <f>INDEX(Dim!$C:$C,MATCH($B15,Dim!$A:$A,0))</f>
        <v>dim11</v>
      </c>
      <c r="D15" s="11" t="s">
        <v>757</v>
      </c>
      <c r="E15" s="6" t="str">
        <f t="shared" si="0"/>
        <v>dim11_4</v>
      </c>
      <c r="F15" s="6">
        <f t="shared" si="1"/>
        <v>4</v>
      </c>
      <c r="G15" s="6" t="str">
        <f t="shared" si="2"/>
        <v>dim11_4</v>
      </c>
      <c r="H15" t="s">
        <v>492</v>
      </c>
      <c r="J15" s="6" t="str">
        <f>IF($I15="","",INDEX(ConceptSet!$C:$C,MATCH($I15,ConceptSet!$A:$A,0)))</f>
        <v/>
      </c>
      <c r="K15" t="s">
        <v>383</v>
      </c>
      <c r="L15" s="6" t="str">
        <f>IF($K15="","",INDEX(RegionSet!$B:$B,MATCH($K15,RegionSet!$A:$A,0)))</f>
        <v>PV</v>
      </c>
      <c r="N15" s="6" t="str">
        <f>IF($M15="","",INDEX(GeneticDistanceProtocol!$C:$C,MATCH($M15,GeneticDistanceProtocol!$A:$A,0)))</f>
        <v/>
      </c>
      <c r="O15" s="6" t="str">
        <f t="shared" si="3"/>
        <v>dim11_4 (GEO_REGION;PV)</v>
      </c>
      <c r="P15" t="s">
        <v>149</v>
      </c>
    </row>
    <row r="16" spans="1:16" x14ac:dyDescent="0.3">
      <c r="A16" t="s">
        <v>472</v>
      </c>
      <c r="B16" t="s">
        <v>449</v>
      </c>
      <c r="C16" s="6" t="str">
        <f>INDEX(Dim!$C:$C,MATCH($B16,Dim!$A:$A,0))</f>
        <v>dim12</v>
      </c>
      <c r="D16" s="11" t="s">
        <v>754</v>
      </c>
      <c r="E16" s="6" t="str">
        <f t="shared" si="0"/>
        <v>dim12_1</v>
      </c>
      <c r="F16" s="6">
        <f t="shared" si="1"/>
        <v>1</v>
      </c>
      <c r="G16" s="6" t="str">
        <f t="shared" si="2"/>
        <v>dim12_1</v>
      </c>
      <c r="H16" t="s">
        <v>492</v>
      </c>
      <c r="J16" s="6" t="str">
        <f>IF($I16="","",INDEX(ConceptSet!$C:$C,MATCH($I16,ConceptSet!$A:$A,0)))</f>
        <v/>
      </c>
      <c r="K16" t="s">
        <v>380</v>
      </c>
      <c r="L16" s="6" t="str">
        <f>IF($K16="","",INDEX(RegionSet!$B:$B,MATCH($K16,RegionSet!$A:$A,0)))</f>
        <v>PC_L4</v>
      </c>
      <c r="N16" s="6" t="str">
        <f>IF($M16="","",INDEX(GeneticDistanceProtocol!$C:$C,MATCH($M16,GeneticDistanceProtocol!$A:$A,0)))</f>
        <v/>
      </c>
      <c r="O16" s="6" t="str">
        <f t="shared" si="3"/>
        <v>dim12_1 (GEO_REGION;PC_L4)</v>
      </c>
      <c r="P16" t="s">
        <v>149</v>
      </c>
    </row>
    <row r="17" spans="1:16" x14ac:dyDescent="0.3">
      <c r="A17" t="s">
        <v>473</v>
      </c>
      <c r="B17" t="s">
        <v>449</v>
      </c>
      <c r="C17" s="6" t="str">
        <f>INDEX(Dim!$C:$C,MATCH($B17,Dim!$A:$A,0))</f>
        <v>dim12</v>
      </c>
      <c r="D17" s="11" t="s">
        <v>755</v>
      </c>
      <c r="E17" s="6" t="str">
        <f t="shared" si="0"/>
        <v>dim12_2</v>
      </c>
      <c r="F17" s="6">
        <f t="shared" si="1"/>
        <v>2</v>
      </c>
      <c r="G17" s="6" t="str">
        <f t="shared" si="2"/>
        <v>dim12_2</v>
      </c>
      <c r="H17" t="s">
        <v>492</v>
      </c>
      <c r="J17" s="6" t="str">
        <f>IF($I17="","",INDEX(ConceptSet!$C:$C,MATCH($I17,ConceptSet!$A:$A,0)))</f>
        <v/>
      </c>
      <c r="K17" t="s">
        <v>381</v>
      </c>
      <c r="L17" s="6" t="str">
        <f>IF($K17="","",INDEX(RegionSet!$B:$B,MATCH($K17,RegionSet!$A:$A,0)))</f>
        <v>PC_L3</v>
      </c>
      <c r="N17" s="6" t="str">
        <f>IF($M17="","",INDEX(GeneticDistanceProtocol!$C:$C,MATCH($M17,GeneticDistanceProtocol!$A:$A,0)))</f>
        <v/>
      </c>
      <c r="O17" s="6" t="str">
        <f t="shared" si="3"/>
        <v>dim12_2 (GEO_REGION;PC_L3)</v>
      </c>
      <c r="P17" t="s">
        <v>149</v>
      </c>
    </row>
    <row r="18" spans="1:16" x14ac:dyDescent="0.3">
      <c r="A18" t="s">
        <v>474</v>
      </c>
      <c r="B18" t="s">
        <v>449</v>
      </c>
      <c r="C18" s="6" t="str">
        <f>INDEX(Dim!$C:$C,MATCH($B18,Dim!$A:$A,0))</f>
        <v>dim12</v>
      </c>
      <c r="D18" s="11" t="s">
        <v>756</v>
      </c>
      <c r="E18" s="6" t="str">
        <f t="shared" si="0"/>
        <v>dim12_3</v>
      </c>
      <c r="F18" s="6">
        <f t="shared" si="1"/>
        <v>3</v>
      </c>
      <c r="G18" s="6" t="str">
        <f t="shared" si="2"/>
        <v>dim12_3</v>
      </c>
      <c r="H18" t="s">
        <v>492</v>
      </c>
      <c r="J18" s="6" t="str">
        <f>IF($I18="","",INDEX(ConceptSet!$C:$C,MATCH($I18,ConceptSet!$A:$A,0)))</f>
        <v/>
      </c>
      <c r="K18" t="s">
        <v>382</v>
      </c>
      <c r="L18" s="6" t="str">
        <f>IF($K18="","",INDEX(RegionSet!$B:$B,MATCH($K18,RegionSet!$A:$A,0)))</f>
        <v>MUN</v>
      </c>
      <c r="N18" s="6" t="str">
        <f>IF($M18="","",INDEX(GeneticDistanceProtocol!$C:$C,MATCH($M18,GeneticDistanceProtocol!$A:$A,0)))</f>
        <v/>
      </c>
      <c r="O18" s="6" t="str">
        <f t="shared" si="3"/>
        <v>dim12_3 (GEO_REGION;MUN)</v>
      </c>
      <c r="P18" t="s">
        <v>149</v>
      </c>
    </row>
    <row r="19" spans="1:16" x14ac:dyDescent="0.3">
      <c r="A19" t="s">
        <v>475</v>
      </c>
      <c r="B19" t="s">
        <v>449</v>
      </c>
      <c r="C19" s="6" t="str">
        <f>INDEX(Dim!$C:$C,MATCH($B19,Dim!$A:$A,0))</f>
        <v>dim12</v>
      </c>
      <c r="D19" s="11" t="s">
        <v>757</v>
      </c>
      <c r="E19" s="6" t="str">
        <f t="shared" si="0"/>
        <v>dim12_4</v>
      </c>
      <c r="F19" s="6">
        <f t="shared" si="1"/>
        <v>4</v>
      </c>
      <c r="G19" s="6" t="str">
        <f t="shared" si="2"/>
        <v>dim12_4</v>
      </c>
      <c r="H19" t="s">
        <v>492</v>
      </c>
      <c r="J19" s="6" t="str">
        <f>IF($I19="","",INDEX(ConceptSet!$C:$C,MATCH($I19,ConceptSet!$A:$A,0)))</f>
        <v/>
      </c>
      <c r="K19" t="s">
        <v>383</v>
      </c>
      <c r="L19" s="6" t="str">
        <f>IF($K19="","",INDEX(RegionSet!$B:$B,MATCH($K19,RegionSet!$A:$A,0)))</f>
        <v>PV</v>
      </c>
      <c r="N19" s="6" t="str">
        <f>IF($M19="","",INDEX(GeneticDistanceProtocol!$C:$C,MATCH($M19,GeneticDistanceProtocol!$A:$A,0)))</f>
        <v/>
      </c>
      <c r="O19" s="6" t="str">
        <f t="shared" si="3"/>
        <v>dim12_4 (GEO_REGION;PV)</v>
      </c>
      <c r="P19" t="s">
        <v>149</v>
      </c>
    </row>
    <row r="20" spans="1:16" x14ac:dyDescent="0.3">
      <c r="A20" t="s">
        <v>476</v>
      </c>
      <c r="B20" t="s">
        <v>450</v>
      </c>
      <c r="C20" s="6" t="str">
        <f>INDEX(Dim!$C:$C,MATCH($B20,Dim!$A:$A,0))</f>
        <v>dim13</v>
      </c>
      <c r="D20" s="11" t="s">
        <v>754</v>
      </c>
      <c r="E20" s="6" t="str">
        <f t="shared" si="0"/>
        <v>dim13_1</v>
      </c>
      <c r="F20" s="6">
        <f t="shared" si="1"/>
        <v>1</v>
      </c>
      <c r="G20" s="6" t="str">
        <f t="shared" si="2"/>
        <v>dim13_1</v>
      </c>
      <c r="H20" t="s">
        <v>493</v>
      </c>
      <c r="J20" s="6" t="str">
        <f>IF($I20="","",INDEX(ConceptSet!$C:$C,MATCH($I20,ConceptSet!$A:$A,0)))</f>
        <v/>
      </c>
      <c r="L20" s="6" t="str">
        <f>IF($K20="","",INDEX(RegionSet!$B:$B,MATCH($K20,RegionSet!$A:$A,0)))</f>
        <v/>
      </c>
      <c r="N20" s="6" t="str">
        <f>IF($M20="","",INDEX(GeneticDistanceProtocol!$C:$C,MATCH($M20,GeneticDistanceProtocol!$A:$A,0)))</f>
        <v/>
      </c>
      <c r="O20" s="6" t="str">
        <f t="shared" si="3"/>
        <v>dim13_1 (TIME_DAY)</v>
      </c>
      <c r="P20" t="s">
        <v>149</v>
      </c>
    </row>
    <row r="21" spans="1:16" x14ac:dyDescent="0.3">
      <c r="A21" t="s">
        <v>477</v>
      </c>
      <c r="B21" t="s">
        <v>450</v>
      </c>
      <c r="C21" s="6" t="str">
        <f>INDEX(Dim!$C:$C,MATCH($B21,Dim!$A:$A,0))</f>
        <v>dim13</v>
      </c>
      <c r="D21" s="11" t="s">
        <v>755</v>
      </c>
      <c r="E21" s="6" t="str">
        <f t="shared" si="0"/>
        <v>dim13_2</v>
      </c>
      <c r="F21" s="6">
        <f t="shared" si="1"/>
        <v>2</v>
      </c>
      <c r="G21" s="6" t="str">
        <f t="shared" si="2"/>
        <v>dim13_2</v>
      </c>
      <c r="H21" t="s">
        <v>494</v>
      </c>
      <c r="J21" s="6" t="str">
        <f>IF($I21="","",INDEX(ConceptSet!$C:$C,MATCH($I21,ConceptSet!$A:$A,0)))</f>
        <v/>
      </c>
      <c r="L21" s="6" t="str">
        <f>IF($K21="","",INDEX(RegionSet!$B:$B,MATCH($K21,RegionSet!$A:$A,0)))</f>
        <v/>
      </c>
      <c r="N21" s="6" t="str">
        <f>IF($M21="","",INDEX(GeneticDistanceProtocol!$C:$C,MATCH($M21,GeneticDistanceProtocol!$A:$A,0)))</f>
        <v/>
      </c>
      <c r="O21" s="6" t="str">
        <f t="shared" si="3"/>
        <v>dim13_2 (TIME_WEEK)</v>
      </c>
      <c r="P21" t="s">
        <v>149</v>
      </c>
    </row>
    <row r="22" spans="1:16" x14ac:dyDescent="0.3">
      <c r="A22" t="s">
        <v>478</v>
      </c>
      <c r="B22" t="s">
        <v>450</v>
      </c>
      <c r="C22" s="6" t="str">
        <f>INDEX(Dim!$C:$C,MATCH($B22,Dim!$A:$A,0))</f>
        <v>dim13</v>
      </c>
      <c r="D22" s="11" t="s">
        <v>756</v>
      </c>
      <c r="E22" s="6" t="str">
        <f t="shared" si="0"/>
        <v>dim13_3</v>
      </c>
      <c r="F22" s="6">
        <f t="shared" si="1"/>
        <v>3</v>
      </c>
      <c r="G22" s="6" t="str">
        <f t="shared" si="2"/>
        <v>dim13_3</v>
      </c>
      <c r="H22" t="s">
        <v>495</v>
      </c>
      <c r="J22" s="6" t="str">
        <f>IF($I22="","",INDEX(ConceptSet!$C:$C,MATCH($I22,ConceptSet!$A:$A,0)))</f>
        <v/>
      </c>
      <c r="L22" s="6" t="str">
        <f>IF($K22="","",INDEX(RegionSet!$B:$B,MATCH($K22,RegionSet!$A:$A,0)))</f>
        <v/>
      </c>
      <c r="N22" s="6" t="str">
        <f>IF($M22="","",INDEX(GeneticDistanceProtocol!$C:$C,MATCH($M22,GeneticDistanceProtocol!$A:$A,0)))</f>
        <v/>
      </c>
      <c r="O22" s="6" t="str">
        <f t="shared" si="3"/>
        <v>dim13_3 (TIME_MONTH)</v>
      </c>
      <c r="P22" t="s">
        <v>149</v>
      </c>
    </row>
    <row r="23" spans="1:16" x14ac:dyDescent="0.3">
      <c r="A23" t="s">
        <v>479</v>
      </c>
      <c r="B23" t="s">
        <v>450</v>
      </c>
      <c r="C23" s="6" t="str">
        <f>INDEX(Dim!$C:$C,MATCH($B23,Dim!$A:$A,0))</f>
        <v>dim13</v>
      </c>
      <c r="D23" s="11" t="s">
        <v>757</v>
      </c>
      <c r="E23" s="6" t="str">
        <f t="shared" si="0"/>
        <v>dim13_4</v>
      </c>
      <c r="F23" s="6">
        <f t="shared" si="1"/>
        <v>4</v>
      </c>
      <c r="G23" s="6" t="str">
        <f t="shared" si="2"/>
        <v>dim13_4</v>
      </c>
      <c r="H23" t="s">
        <v>496</v>
      </c>
      <c r="J23" s="6" t="str">
        <f>IF($I23="","",INDEX(ConceptSet!$C:$C,MATCH($I23,ConceptSet!$A:$A,0)))</f>
        <v/>
      </c>
      <c r="L23" s="6" t="str">
        <f>IF($K23="","",INDEX(RegionSet!$B:$B,MATCH($K23,RegionSet!$A:$A,0)))</f>
        <v/>
      </c>
      <c r="N23" s="6" t="str">
        <f>IF($M23="","",INDEX(GeneticDistanceProtocol!$C:$C,MATCH($M23,GeneticDistanceProtocol!$A:$A,0)))</f>
        <v/>
      </c>
      <c r="O23" s="6" t="str">
        <f t="shared" si="3"/>
        <v>dim13_4 (TIME_QUARTER)</v>
      </c>
      <c r="P23" t="s">
        <v>149</v>
      </c>
    </row>
    <row r="24" spans="1:16" x14ac:dyDescent="0.3">
      <c r="A24" t="s">
        <v>480</v>
      </c>
      <c r="B24" t="s">
        <v>450</v>
      </c>
      <c r="C24" s="6" t="str">
        <f>INDEX(Dim!$C:$C,MATCH($B24,Dim!$A:$A,0))</f>
        <v>dim13</v>
      </c>
      <c r="D24" s="11" t="s">
        <v>758</v>
      </c>
      <c r="E24" s="6" t="str">
        <f t="shared" si="0"/>
        <v>dim13_5</v>
      </c>
      <c r="F24" s="6">
        <f t="shared" si="1"/>
        <v>5</v>
      </c>
      <c r="G24" s="6" t="str">
        <f t="shared" si="2"/>
        <v>dim13_5</v>
      </c>
      <c r="H24" t="s">
        <v>497</v>
      </c>
      <c r="J24" s="6" t="str">
        <f>IF($I24="","",INDEX(ConceptSet!$C:$C,MATCH($I24,ConceptSet!$A:$A,0)))</f>
        <v/>
      </c>
      <c r="L24" s="6" t="str">
        <f>IF($K24="","",INDEX(RegionSet!$B:$B,MATCH($K24,RegionSet!$A:$A,0)))</f>
        <v/>
      </c>
      <c r="N24" s="6" t="str">
        <f>IF($M24="","",INDEX(GeneticDistanceProtocol!$C:$C,MATCH($M24,GeneticDistanceProtocol!$A:$A,0)))</f>
        <v/>
      </c>
      <c r="O24" s="6" t="str">
        <f t="shared" si="3"/>
        <v>dim13_5 (TIME_YEAR)</v>
      </c>
      <c r="P24" t="s">
        <v>149</v>
      </c>
    </row>
    <row r="25" spans="1:16" x14ac:dyDescent="0.3">
      <c r="A25" t="s">
        <v>481</v>
      </c>
      <c r="B25" t="s">
        <v>451</v>
      </c>
      <c r="C25" s="6" t="str">
        <f>INDEX(Dim!$C:$C,MATCH($B25,Dim!$A:$A,0))</f>
        <v>dim14</v>
      </c>
      <c r="D25" s="11" t="s">
        <v>754</v>
      </c>
      <c r="E25" s="6" t="str">
        <f t="shared" si="0"/>
        <v>dim14_1</v>
      </c>
      <c r="F25" s="6">
        <f t="shared" si="1"/>
        <v>1</v>
      </c>
      <c r="G25" s="6" t="str">
        <f t="shared" si="2"/>
        <v>dim14_1</v>
      </c>
      <c r="H25" t="s">
        <v>493</v>
      </c>
      <c r="J25" s="6" t="str">
        <f>IF($I25="","",INDEX(ConceptSet!$C:$C,MATCH($I25,ConceptSet!$A:$A,0)))</f>
        <v/>
      </c>
      <c r="L25" s="6" t="str">
        <f>IF($K25="","",INDEX(RegionSet!$B:$B,MATCH($K25,RegionSet!$A:$A,0)))</f>
        <v/>
      </c>
      <c r="N25" s="6" t="str">
        <f>IF($M25="","",INDEX(GeneticDistanceProtocol!$C:$C,MATCH($M25,GeneticDistanceProtocol!$A:$A,0)))</f>
        <v/>
      </c>
      <c r="O25" s="6" t="str">
        <f t="shared" si="3"/>
        <v>dim14_1 (TIME_DAY)</v>
      </c>
      <c r="P25" t="s">
        <v>149</v>
      </c>
    </row>
    <row r="26" spans="1:16" x14ac:dyDescent="0.3">
      <c r="A26" t="s">
        <v>482</v>
      </c>
      <c r="B26" t="s">
        <v>451</v>
      </c>
      <c r="C26" s="6" t="str">
        <f>INDEX(Dim!$C:$C,MATCH($B26,Dim!$A:$A,0))</f>
        <v>dim14</v>
      </c>
      <c r="D26" s="11" t="s">
        <v>755</v>
      </c>
      <c r="E26" s="6" t="str">
        <f t="shared" si="0"/>
        <v>dim14_2</v>
      </c>
      <c r="F26" s="6">
        <f t="shared" si="1"/>
        <v>2</v>
      </c>
      <c r="G26" s="6" t="str">
        <f t="shared" si="2"/>
        <v>dim14_2</v>
      </c>
      <c r="H26" t="s">
        <v>494</v>
      </c>
      <c r="J26" s="6" t="str">
        <f>IF($I26="","",INDEX(ConceptSet!$C:$C,MATCH($I26,ConceptSet!$A:$A,0)))</f>
        <v/>
      </c>
      <c r="L26" s="6" t="str">
        <f>IF($K26="","",INDEX(RegionSet!$B:$B,MATCH($K26,RegionSet!$A:$A,0)))</f>
        <v/>
      </c>
      <c r="N26" s="6" t="str">
        <f>IF($M26="","",INDEX(GeneticDistanceProtocol!$C:$C,MATCH($M26,GeneticDistanceProtocol!$A:$A,0)))</f>
        <v/>
      </c>
      <c r="O26" s="6" t="str">
        <f t="shared" si="3"/>
        <v>dim14_2 (TIME_WEEK)</v>
      </c>
      <c r="P26" t="s">
        <v>149</v>
      </c>
    </row>
    <row r="27" spans="1:16" x14ac:dyDescent="0.3">
      <c r="A27" t="s">
        <v>483</v>
      </c>
      <c r="B27" t="s">
        <v>451</v>
      </c>
      <c r="C27" s="6" t="str">
        <f>INDEX(Dim!$C:$C,MATCH($B27,Dim!$A:$A,0))</f>
        <v>dim14</v>
      </c>
      <c r="D27" s="11" t="s">
        <v>756</v>
      </c>
      <c r="E27" s="6" t="str">
        <f t="shared" si="0"/>
        <v>dim14_3</v>
      </c>
      <c r="F27" s="6">
        <f t="shared" si="1"/>
        <v>3</v>
      </c>
      <c r="G27" s="6" t="str">
        <f t="shared" si="2"/>
        <v>dim14_3</v>
      </c>
      <c r="H27" t="s">
        <v>495</v>
      </c>
      <c r="J27" s="6" t="str">
        <f>IF($I27="","",INDEX(ConceptSet!$C:$C,MATCH($I27,ConceptSet!$A:$A,0)))</f>
        <v/>
      </c>
      <c r="L27" s="6" t="str">
        <f>IF($K27="","",INDEX(RegionSet!$B:$B,MATCH($K27,RegionSet!$A:$A,0)))</f>
        <v/>
      </c>
      <c r="N27" s="6" t="str">
        <f>IF($M27="","",INDEX(GeneticDistanceProtocol!$C:$C,MATCH($M27,GeneticDistanceProtocol!$A:$A,0)))</f>
        <v/>
      </c>
      <c r="O27" s="6" t="str">
        <f t="shared" si="3"/>
        <v>dim14_3 (TIME_MONTH)</v>
      </c>
      <c r="P27" t="s">
        <v>149</v>
      </c>
    </row>
    <row r="28" spans="1:16" x14ac:dyDescent="0.3">
      <c r="A28" t="s">
        <v>484</v>
      </c>
      <c r="B28" t="s">
        <v>451</v>
      </c>
      <c r="C28" s="6" t="str">
        <f>INDEX(Dim!$C:$C,MATCH($B28,Dim!$A:$A,0))</f>
        <v>dim14</v>
      </c>
      <c r="D28" s="11" t="s">
        <v>757</v>
      </c>
      <c r="E28" s="6" t="str">
        <f t="shared" si="0"/>
        <v>dim14_4</v>
      </c>
      <c r="F28" s="6">
        <f t="shared" si="1"/>
        <v>4</v>
      </c>
      <c r="G28" s="6" t="str">
        <f t="shared" si="2"/>
        <v>dim14_4</v>
      </c>
      <c r="H28" t="s">
        <v>496</v>
      </c>
      <c r="J28" s="6" t="str">
        <f>IF($I28="","",INDEX(ConceptSet!$C:$C,MATCH($I28,ConceptSet!$A:$A,0)))</f>
        <v/>
      </c>
      <c r="L28" s="6" t="str">
        <f>IF($K28="","",INDEX(RegionSet!$B:$B,MATCH($K28,RegionSet!$A:$A,0)))</f>
        <v/>
      </c>
      <c r="N28" s="6" t="str">
        <f>IF($M28="","",INDEX(GeneticDistanceProtocol!$C:$C,MATCH($M28,GeneticDistanceProtocol!$A:$A,0)))</f>
        <v/>
      </c>
      <c r="O28" s="6" t="str">
        <f t="shared" si="3"/>
        <v>dim14_4 (TIME_QUARTER)</v>
      </c>
      <c r="P28" t="s">
        <v>149</v>
      </c>
    </row>
    <row r="29" spans="1:16" x14ac:dyDescent="0.3">
      <c r="A29" t="s">
        <v>485</v>
      </c>
      <c r="B29" t="s">
        <v>451</v>
      </c>
      <c r="C29" s="6" t="str">
        <f>INDEX(Dim!$C:$C,MATCH($B29,Dim!$A:$A,0))</f>
        <v>dim14</v>
      </c>
      <c r="D29" s="11" t="s">
        <v>758</v>
      </c>
      <c r="E29" s="6" t="str">
        <f t="shared" si="0"/>
        <v>dim14_5</v>
      </c>
      <c r="F29" s="6">
        <f t="shared" si="1"/>
        <v>5</v>
      </c>
      <c r="G29" s="6" t="str">
        <f t="shared" si="2"/>
        <v>dim14_5</v>
      </c>
      <c r="H29" t="s">
        <v>497</v>
      </c>
      <c r="J29" s="6" t="str">
        <f>IF($I29="","",INDEX(ConceptSet!$C:$C,MATCH($I29,ConceptSet!$A:$A,0)))</f>
        <v/>
      </c>
      <c r="L29" s="6" t="str">
        <f>IF($K29="","",INDEX(RegionSet!$B:$B,MATCH($K29,RegionSet!$A:$A,0)))</f>
        <v/>
      </c>
      <c r="N29" s="6" t="str">
        <f>IF($M29="","",INDEX(GeneticDistanceProtocol!$C:$C,MATCH($M29,GeneticDistanceProtocol!$A:$A,0)))</f>
        <v/>
      </c>
      <c r="O29" s="6" t="str">
        <f t="shared" si="3"/>
        <v>dim14_5 (TIME_YEAR)</v>
      </c>
      <c r="P29" t="s">
        <v>149</v>
      </c>
    </row>
    <row r="30" spans="1:16" x14ac:dyDescent="0.3">
      <c r="A30" t="s">
        <v>486</v>
      </c>
      <c r="B30" t="s">
        <v>452</v>
      </c>
      <c r="C30" s="6" t="str">
        <f>INDEX(Dim!$C:$C,MATCH($B30,Dim!$A:$A,0))</f>
        <v>dim15</v>
      </c>
      <c r="D30" s="11" t="s">
        <v>754</v>
      </c>
      <c r="E30" s="6" t="str">
        <f t="shared" si="0"/>
        <v>dim15_1</v>
      </c>
      <c r="F30" s="6">
        <f t="shared" si="1"/>
        <v>1</v>
      </c>
      <c r="G30" s="6" t="str">
        <f t="shared" si="2"/>
        <v>dim15_1</v>
      </c>
      <c r="H30" t="s">
        <v>877</v>
      </c>
      <c r="J30" s="6" t="str">
        <f>IF($I30="","",INDEX(ConceptSet!$C:$C,MATCH($I30,ConceptSet!$A:$A,0)))</f>
        <v/>
      </c>
      <c r="L30" s="6" t="str">
        <f>IF($K30="","",INDEX(RegionSet!$B:$B,MATCH($K30,RegionSet!$A:$A,0)))</f>
        <v/>
      </c>
      <c r="N30" s="6" t="str">
        <f>IF($M30="","",INDEX(GeneticDistanceProtocol!$C:$C,MATCH($M30,GeneticDistanceProtocol!$A:$A,0)))</f>
        <v/>
      </c>
      <c r="O30" s="6" t="str">
        <f t="shared" si="3"/>
        <v>dim15_1 (ID_PERSON)</v>
      </c>
      <c r="P30" t="s">
        <v>149</v>
      </c>
    </row>
    <row r="31" spans="1:16" x14ac:dyDescent="0.3">
      <c r="A31" t="s">
        <v>1222</v>
      </c>
      <c r="B31" t="s">
        <v>452</v>
      </c>
      <c r="C31" s="6" t="str">
        <f>INDEX(Dim!$C:$C,MATCH($B31,Dim!$A:$A,0))</f>
        <v>dim15</v>
      </c>
      <c r="D31" s="11" t="s">
        <v>755</v>
      </c>
      <c r="E31" s="6" t="str">
        <f t="shared" si="0"/>
        <v>dim15_2</v>
      </c>
      <c r="F31" s="6">
        <f t="shared" si="1"/>
        <v>2</v>
      </c>
      <c r="G31" s="6" t="str">
        <f t="shared" si="2"/>
        <v>dim15_2</v>
      </c>
      <c r="H31" t="s">
        <v>1219</v>
      </c>
      <c r="O31" s="6" t="str">
        <f t="shared" si="3"/>
        <v>dim15_2 (ID_SAMPLE)</v>
      </c>
      <c r="P31" t="s">
        <v>149</v>
      </c>
    </row>
    <row r="32" spans="1:16" x14ac:dyDescent="0.3">
      <c r="A32" t="s">
        <v>1223</v>
      </c>
      <c r="B32" t="s">
        <v>452</v>
      </c>
      <c r="C32" s="6" t="str">
        <f>INDEX(Dim!$C:$C,MATCH($B32,Dim!$A:$A,0))</f>
        <v>dim15</v>
      </c>
      <c r="D32" s="11" t="s">
        <v>756</v>
      </c>
      <c r="E32" s="6" t="str">
        <f t="shared" si="0"/>
        <v>dim15_3</v>
      </c>
      <c r="F32" s="6">
        <f t="shared" si="1"/>
        <v>3</v>
      </c>
      <c r="G32" s="6" t="str">
        <f t="shared" si="2"/>
        <v>dim15_3</v>
      </c>
      <c r="H32" t="s">
        <v>878</v>
      </c>
      <c r="O32" s="6" t="str">
        <f t="shared" si="3"/>
        <v>dim15_3 (ID_CASE)</v>
      </c>
      <c r="P32" t="s">
        <v>149</v>
      </c>
    </row>
    <row r="33" spans="1:16" x14ac:dyDescent="0.3">
      <c r="A33" t="s">
        <v>1224</v>
      </c>
      <c r="B33" t="s">
        <v>452</v>
      </c>
      <c r="C33" s="6" t="str">
        <f>INDEX(Dim!$C:$C,MATCH($B33,Dim!$A:$A,0))</f>
        <v>dim15</v>
      </c>
      <c r="D33" s="11" t="s">
        <v>757</v>
      </c>
      <c r="E33" s="6" t="str">
        <f t="shared" si="0"/>
        <v>dim15_4</v>
      </c>
      <c r="F33" s="6">
        <f t="shared" si="1"/>
        <v>4</v>
      </c>
      <c r="G33" s="6" t="str">
        <f t="shared" si="2"/>
        <v>dim15_4</v>
      </c>
      <c r="H33" t="s">
        <v>1220</v>
      </c>
      <c r="O33" s="6" t="str">
        <f t="shared" si="3"/>
        <v>dim15_4 (ID_GENETIC_SEQUENCE)</v>
      </c>
      <c r="P33" t="s">
        <v>149</v>
      </c>
    </row>
    <row r="34" spans="1:16" x14ac:dyDescent="0.3">
      <c r="A34" t="s">
        <v>1225</v>
      </c>
      <c r="B34" t="s">
        <v>452</v>
      </c>
      <c r="C34" s="6" t="str">
        <f>INDEX(Dim!$C:$C,MATCH($B34,Dim!$A:$A,0))</f>
        <v>dim15</v>
      </c>
      <c r="D34" s="11" t="s">
        <v>758</v>
      </c>
      <c r="E34" s="6" t="str">
        <f t="shared" si="0"/>
        <v>dim15_5</v>
      </c>
      <c r="F34" s="6">
        <f t="shared" si="1"/>
        <v>5</v>
      </c>
      <c r="G34" s="6" t="str">
        <f t="shared" si="2"/>
        <v>dim15_5</v>
      </c>
      <c r="H34" t="s">
        <v>1221</v>
      </c>
      <c r="O34" s="6" t="str">
        <f t="shared" si="3"/>
        <v>dim15_5 (ID_EVENT)</v>
      </c>
      <c r="P34" t="s">
        <v>149</v>
      </c>
    </row>
    <row r="35" spans="1:16" x14ac:dyDescent="0.3">
      <c r="A35" t="s">
        <v>487</v>
      </c>
      <c r="B35" t="s">
        <v>453</v>
      </c>
      <c r="C35" s="6" t="str">
        <f>INDEX(Dim!$C:$C,MATCH($B35,Dim!$A:$A,0))</f>
        <v>dim16</v>
      </c>
      <c r="D35" s="11" t="s">
        <v>754</v>
      </c>
      <c r="E35" s="6" t="str">
        <f t="shared" si="0"/>
        <v>dim16_1</v>
      </c>
      <c r="F35" s="6">
        <f t="shared" si="1"/>
        <v>1</v>
      </c>
      <c r="G35" s="6" t="str">
        <f t="shared" si="2"/>
        <v>dim16_1</v>
      </c>
      <c r="H35" t="s">
        <v>877</v>
      </c>
      <c r="J35" s="6" t="str">
        <f>IF($I35="","",INDEX(ConceptSet!$C:$C,MATCH($I35,ConceptSet!$A:$A,0)))</f>
        <v/>
      </c>
      <c r="L35" s="6" t="str">
        <f>IF($K35="","",INDEX(RegionSet!$B:$B,MATCH($K35,RegionSet!$A:$A,0)))</f>
        <v/>
      </c>
      <c r="N35" s="6" t="str">
        <f>IF($M35="","",INDEX(GeneticDistanceProtocol!$C:$C,MATCH($M35,GeneticDistanceProtocol!$A:$A,0)))</f>
        <v/>
      </c>
      <c r="O35" s="6" t="str">
        <f t="shared" si="3"/>
        <v>dim16_1 (ID_PERSON)</v>
      </c>
      <c r="P35" t="s">
        <v>149</v>
      </c>
    </row>
    <row r="36" spans="1:16" x14ac:dyDescent="0.3">
      <c r="A36" t="s">
        <v>1226</v>
      </c>
      <c r="B36" t="s">
        <v>453</v>
      </c>
      <c r="C36" s="6" t="str">
        <f>INDEX(Dim!$C:$C,MATCH($B36,Dim!$A:$A,0))</f>
        <v>dim16</v>
      </c>
      <c r="D36" s="11" t="s">
        <v>755</v>
      </c>
      <c r="E36" s="6" t="str">
        <f t="shared" si="0"/>
        <v>dim16_2</v>
      </c>
      <c r="F36" s="6">
        <f t="shared" si="1"/>
        <v>2</v>
      </c>
      <c r="G36" s="6" t="str">
        <f t="shared" si="2"/>
        <v>dim16_2</v>
      </c>
      <c r="H36" t="s">
        <v>1219</v>
      </c>
      <c r="J36" s="6" t="str">
        <f>IF($I36="","",INDEX(ConceptSet!$C:$C,MATCH($I36,ConceptSet!$A:$A,0)))</f>
        <v/>
      </c>
      <c r="L36" s="6" t="str">
        <f>IF($K36="","",INDEX(RegionSet!$B:$B,MATCH($K36,RegionSet!$A:$A,0)))</f>
        <v/>
      </c>
      <c r="N36" s="6" t="str">
        <f>IF($M36="","",INDEX(GeneticDistanceProtocol!$C:$C,MATCH($M36,GeneticDistanceProtocol!$A:$A,0)))</f>
        <v/>
      </c>
      <c r="O36" s="6" t="str">
        <f t="shared" si="3"/>
        <v>dim16_2 (ID_SAMPLE)</v>
      </c>
      <c r="P36" t="s">
        <v>149</v>
      </c>
    </row>
    <row r="37" spans="1:16" x14ac:dyDescent="0.3">
      <c r="A37" t="s">
        <v>1227</v>
      </c>
      <c r="B37" t="s">
        <v>453</v>
      </c>
      <c r="C37" s="6" t="str">
        <f>INDEX(Dim!$C:$C,MATCH($B37,Dim!$A:$A,0))</f>
        <v>dim16</v>
      </c>
      <c r="D37" s="11" t="s">
        <v>756</v>
      </c>
      <c r="E37" s="6" t="str">
        <f t="shared" si="0"/>
        <v>dim16_3</v>
      </c>
      <c r="F37" s="6">
        <f t="shared" si="1"/>
        <v>3</v>
      </c>
      <c r="G37" s="6" t="str">
        <f t="shared" si="2"/>
        <v>dim16_3</v>
      </c>
      <c r="H37" t="s">
        <v>878</v>
      </c>
      <c r="J37" s="6" t="str">
        <f>IF($I37="","",INDEX(ConceptSet!$C:$C,MATCH($I37,ConceptSet!$A:$A,0)))</f>
        <v/>
      </c>
      <c r="L37" s="6" t="str">
        <f>IF($K37="","",INDEX(RegionSet!$B:$B,MATCH($K37,RegionSet!$A:$A,0)))</f>
        <v/>
      </c>
      <c r="N37" s="6" t="str">
        <f>IF($M37="","",INDEX(GeneticDistanceProtocol!$C:$C,MATCH($M37,GeneticDistanceProtocol!$A:$A,0)))</f>
        <v/>
      </c>
      <c r="O37" s="6" t="str">
        <f t="shared" si="3"/>
        <v>dim16_3 (ID_CASE)</v>
      </c>
      <c r="P37" t="s">
        <v>149</v>
      </c>
    </row>
    <row r="38" spans="1:16" x14ac:dyDescent="0.3">
      <c r="A38" t="s">
        <v>1228</v>
      </c>
      <c r="B38" t="s">
        <v>453</v>
      </c>
      <c r="C38" s="6" t="str">
        <f>INDEX(Dim!$C:$C,MATCH($B38,Dim!$A:$A,0))</f>
        <v>dim16</v>
      </c>
      <c r="D38" s="11" t="s">
        <v>757</v>
      </c>
      <c r="E38" s="6" t="str">
        <f t="shared" si="0"/>
        <v>dim16_4</v>
      </c>
      <c r="F38" s="6">
        <f t="shared" si="1"/>
        <v>4</v>
      </c>
      <c r="G38" s="6" t="str">
        <f t="shared" si="2"/>
        <v>dim16_4</v>
      </c>
      <c r="H38" t="s">
        <v>1220</v>
      </c>
      <c r="J38" s="6" t="str">
        <f>IF($I38="","",INDEX(ConceptSet!$C:$C,MATCH($I38,ConceptSet!$A:$A,0)))</f>
        <v/>
      </c>
      <c r="L38" s="6" t="str">
        <f>IF($K38="","",INDEX(RegionSet!$B:$B,MATCH($K38,RegionSet!$A:$A,0)))</f>
        <v/>
      </c>
      <c r="N38" s="6" t="str">
        <f>IF($M38="","",INDEX(GeneticDistanceProtocol!$C:$C,MATCH($M38,GeneticDistanceProtocol!$A:$A,0)))</f>
        <v/>
      </c>
      <c r="O38" s="6" t="str">
        <f t="shared" si="3"/>
        <v>dim16_4 (ID_GENETIC_SEQUENCE)</v>
      </c>
      <c r="P38" t="s">
        <v>149</v>
      </c>
    </row>
    <row r="39" spans="1:16" x14ac:dyDescent="0.3">
      <c r="A39" t="s">
        <v>1229</v>
      </c>
      <c r="B39" t="s">
        <v>453</v>
      </c>
      <c r="C39" s="6" t="str">
        <f>INDEX(Dim!$C:$C,MATCH($B39,Dim!$A:$A,0))</f>
        <v>dim16</v>
      </c>
      <c r="D39" s="11" t="s">
        <v>758</v>
      </c>
      <c r="E39" s="6" t="str">
        <f t="shared" si="0"/>
        <v>dim16_5</v>
      </c>
      <c r="F39" s="6">
        <f t="shared" si="1"/>
        <v>5</v>
      </c>
      <c r="G39" s="6" t="str">
        <f t="shared" si="2"/>
        <v>dim16_5</v>
      </c>
      <c r="H39" t="s">
        <v>1221</v>
      </c>
      <c r="J39" s="6" t="str">
        <f>IF($I39="","",INDEX(ConceptSet!$C:$C,MATCH($I39,ConceptSet!$A:$A,0)))</f>
        <v/>
      </c>
      <c r="L39" s="6" t="str">
        <f>IF($K39="","",INDEX(RegionSet!$B:$B,MATCH($K39,RegionSet!$A:$A,0)))</f>
        <v/>
      </c>
      <c r="N39" s="6" t="str">
        <f>IF($M39="","",INDEX(GeneticDistanceProtocol!$C:$C,MATCH($M39,GeneticDistanceProtocol!$A:$A,0)))</f>
        <v/>
      </c>
      <c r="O39" s="6" t="str">
        <f t="shared" si="3"/>
        <v>dim16_5 (ID_EVENT)</v>
      </c>
      <c r="P39" t="s">
        <v>149</v>
      </c>
    </row>
    <row r="40" spans="1:16" x14ac:dyDescent="0.3">
      <c r="A40" t="s">
        <v>488</v>
      </c>
      <c r="B40" t="s">
        <v>454</v>
      </c>
      <c r="C40" s="6" t="str">
        <f>INDEX(Dim!$C:$C,MATCH($B40,Dim!$A:$A,0))</f>
        <v>dim17</v>
      </c>
      <c r="D40" s="11" t="s">
        <v>754</v>
      </c>
      <c r="E40" s="6" t="str">
        <f t="shared" si="0"/>
        <v>dim17_1</v>
      </c>
      <c r="F40" s="6">
        <f t="shared" si="1"/>
        <v>1</v>
      </c>
      <c r="G40" s="6" t="str">
        <f t="shared" si="2"/>
        <v>dim17_1</v>
      </c>
      <c r="H40" t="s">
        <v>502</v>
      </c>
      <c r="J40" s="6" t="str">
        <f>IF($I40="","",INDEX(ConceptSet!$C:$C,MATCH($I40,ConceptSet!$A:$A,0)))</f>
        <v/>
      </c>
      <c r="L40" s="6" t="str">
        <f>IF($K40="","",INDEX(RegionSet!$B:$B,MATCH($K40,RegionSet!$A:$A,0)))</f>
        <v/>
      </c>
      <c r="N40" s="6" t="str">
        <f>IF($M40="","",INDEX(GeneticDistanceProtocol!$C:$C,MATCH($M40,GeneticDistanceProtocol!$A:$A,0)))</f>
        <v/>
      </c>
      <c r="O40" s="6" t="str">
        <f t="shared" si="3"/>
        <v>dim17_1 (DECIMAL_0)</v>
      </c>
      <c r="P40" t="s">
        <v>149</v>
      </c>
    </row>
    <row r="41" spans="1:16" x14ac:dyDescent="0.3">
      <c r="A41" t="s">
        <v>498</v>
      </c>
      <c r="B41" t="s">
        <v>454</v>
      </c>
      <c r="C41" s="6" t="str">
        <f>INDEX(Dim!$C:$C,MATCH($B41,Dim!$A:$A,0))</f>
        <v>dim17</v>
      </c>
      <c r="D41" s="11" t="s">
        <v>754</v>
      </c>
      <c r="E41" s="6" t="str">
        <f t="shared" si="0"/>
        <v>dim17_1</v>
      </c>
      <c r="F41" s="6">
        <f t="shared" si="1"/>
        <v>1</v>
      </c>
      <c r="G41" s="6" t="str">
        <f t="shared" si="2"/>
        <v>dim17_1</v>
      </c>
      <c r="H41" t="s">
        <v>341</v>
      </c>
      <c r="I41" t="s">
        <v>334</v>
      </c>
      <c r="J41" s="6" t="str">
        <f>IF($I41="","",INDEX(ConceptSet!$C:$C,MATCH($I41,ConceptSet!$A:$A,0)))</f>
        <v>Age in years, intervals 0, 5, 15, 25, 45, 65</v>
      </c>
      <c r="L41" s="6" t="str">
        <f>IF($K41="","",INDEX(RegionSet!$B:$B,MATCH($K41,RegionSet!$A:$A,0)))</f>
        <v/>
      </c>
      <c r="N41" s="6" t="str">
        <f>IF($M41="","",INDEX(GeneticDistanceProtocol!$C:$C,MATCH($M41,GeneticDistanceProtocol!$A:$A,0)))</f>
        <v/>
      </c>
      <c r="O41" s="6" t="str">
        <f t="shared" si="3"/>
        <v>dim17_1 (INTERVAL;Age in years, intervals 0, 5, 15, 25, 45, 65)</v>
      </c>
      <c r="P41" t="s">
        <v>149</v>
      </c>
    </row>
    <row r="42" spans="1:16" x14ac:dyDescent="0.3">
      <c r="A42" t="s">
        <v>499</v>
      </c>
      <c r="B42" t="s">
        <v>454</v>
      </c>
      <c r="C42" s="6" t="str">
        <f>INDEX(Dim!$C:$C,MATCH($B42,Dim!$A:$A,0))</f>
        <v>dim17</v>
      </c>
      <c r="D42" s="11" t="s">
        <v>754</v>
      </c>
      <c r="E42" s="6" t="str">
        <f t="shared" si="0"/>
        <v>dim17_1</v>
      </c>
      <c r="F42" s="6">
        <f t="shared" si="1"/>
        <v>1</v>
      </c>
      <c r="G42" s="6" t="str">
        <f t="shared" si="2"/>
        <v>dim17_1</v>
      </c>
      <c r="H42" t="s">
        <v>341</v>
      </c>
      <c r="I42" t="s">
        <v>335</v>
      </c>
      <c r="J42" s="6" t="str">
        <f>IF($I42="","",INDEX(ConceptSet!$C:$C,MATCH($I42,ConceptSet!$A:$A,0)))</f>
        <v>Age in years, intervals 0, 5, 19, 65</v>
      </c>
      <c r="L42" s="6" t="str">
        <f>IF($K42="","",INDEX(RegionSet!$B:$B,MATCH($K42,RegionSet!$A:$A,0)))</f>
        <v/>
      </c>
      <c r="N42" s="6" t="str">
        <f>IF($M42="","",INDEX(GeneticDistanceProtocol!$C:$C,MATCH($M42,GeneticDistanceProtocol!$A:$A,0)))</f>
        <v/>
      </c>
      <c r="O42" s="6" t="str">
        <f t="shared" si="3"/>
        <v>dim17_1 (INTERVAL;Age in years, intervals 0, 5, 19, 65)</v>
      </c>
      <c r="P42" t="s">
        <v>149</v>
      </c>
    </row>
    <row r="43" spans="1:16" x14ac:dyDescent="0.3">
      <c r="A43" t="s">
        <v>489</v>
      </c>
      <c r="B43" t="s">
        <v>455</v>
      </c>
      <c r="C43" s="6" t="str">
        <f>INDEX(Dim!$C:$C,MATCH($B43,Dim!$A:$A,0))</f>
        <v>dim18</v>
      </c>
      <c r="D43" s="11" t="s">
        <v>754</v>
      </c>
      <c r="E43" s="6" t="str">
        <f t="shared" si="0"/>
        <v>dim18_1</v>
      </c>
      <c r="F43" s="6">
        <f t="shared" si="1"/>
        <v>1</v>
      </c>
      <c r="G43" s="6" t="str">
        <f t="shared" si="2"/>
        <v>dim18_1</v>
      </c>
      <c r="H43" t="s">
        <v>503</v>
      </c>
      <c r="J43" s="6" t="str">
        <f>IF($I43="","",INDEX(ConceptSet!$C:$C,MATCH($I43,ConceptSet!$A:$A,0)))</f>
        <v/>
      </c>
      <c r="L43" s="6" t="str">
        <f>IF($K43="","",INDEX(RegionSet!$B:$B,MATCH($K43,RegionSet!$A:$A,0)))</f>
        <v/>
      </c>
      <c r="N43" s="6" t="str">
        <f>IF($M43="","",INDEX(GeneticDistanceProtocol!$C:$C,MATCH($M43,GeneticDistanceProtocol!$A:$A,0)))</f>
        <v/>
      </c>
      <c r="O43" s="6" t="str">
        <f t="shared" si="3"/>
        <v>dim18_1 (DECIMAL_2)</v>
      </c>
      <c r="P43" t="s">
        <v>149</v>
      </c>
    </row>
    <row r="44" spans="1:16" x14ac:dyDescent="0.3">
      <c r="A44" t="s">
        <v>500</v>
      </c>
      <c r="B44" t="s">
        <v>455</v>
      </c>
      <c r="C44" s="6" t="str">
        <f>INDEX(Dim!$C:$C,MATCH($B44,Dim!$A:$A,0))</f>
        <v>dim18</v>
      </c>
      <c r="D44" s="11" t="s">
        <v>754</v>
      </c>
      <c r="E44" s="6" t="str">
        <f t="shared" si="0"/>
        <v>dim18_1</v>
      </c>
      <c r="F44" s="6">
        <f t="shared" si="1"/>
        <v>1</v>
      </c>
      <c r="G44" s="6" t="str">
        <f t="shared" si="2"/>
        <v>dim18_1</v>
      </c>
      <c r="H44" t="s">
        <v>341</v>
      </c>
      <c r="I44" t="s">
        <v>338</v>
      </c>
      <c r="J44" s="6" t="str">
        <f>IF($I44="","",INDEX(ConceptSet!$C:$C,MATCH($I44,ConceptSet!$A:$A,0)))</f>
        <v>Age in months, intervals 0, 1, 2, 3</v>
      </c>
      <c r="L44" s="6" t="str">
        <f>IF($K44="","",INDEX(RegionSet!$B:$B,MATCH($K44,RegionSet!$A:$A,0)))</f>
        <v/>
      </c>
      <c r="N44" s="6" t="str">
        <f>IF($M44="","",INDEX(GeneticDistanceProtocol!$C:$C,MATCH($M44,GeneticDistanceProtocol!$A:$A,0)))</f>
        <v/>
      </c>
      <c r="O44" s="6" t="str">
        <f t="shared" si="3"/>
        <v>dim18_1 (INTERVAL;Age in months, intervals 0, 1, 2, 3)</v>
      </c>
      <c r="P44" t="s">
        <v>149</v>
      </c>
    </row>
    <row r="45" spans="1:16" x14ac:dyDescent="0.3">
      <c r="A45" t="s">
        <v>501</v>
      </c>
      <c r="B45" t="s">
        <v>455</v>
      </c>
      <c r="C45" s="6" t="str">
        <f>INDEX(Dim!$C:$C,MATCH($B45,Dim!$A:$A,0))</f>
        <v>dim18</v>
      </c>
      <c r="D45" s="11" t="s">
        <v>754</v>
      </c>
      <c r="E45" s="6" t="str">
        <f t="shared" si="0"/>
        <v>dim18_1</v>
      </c>
      <c r="F45" s="6">
        <f t="shared" si="1"/>
        <v>1</v>
      </c>
      <c r="G45" s="6" t="str">
        <f t="shared" si="2"/>
        <v>dim18_1</v>
      </c>
      <c r="H45" t="s">
        <v>341</v>
      </c>
      <c r="I45" t="s">
        <v>336</v>
      </c>
      <c r="J45" s="6" t="str">
        <f>IF($I45="","",INDEX(ConceptSet!$C:$C,MATCH($I45,ConceptSet!$A:$A,0)))</f>
        <v>Age in years, intervals 0, 15, 25, 35, 45</v>
      </c>
      <c r="L45" s="6" t="str">
        <f>IF($K45="","",INDEX(RegionSet!$B:$B,MATCH($K45,RegionSet!$A:$A,0)))</f>
        <v/>
      </c>
      <c r="N45" s="6" t="str">
        <f>IF($M45="","",INDEX(GeneticDistanceProtocol!$C:$C,MATCH($M45,GeneticDistanceProtocol!$A:$A,0)))</f>
        <v/>
      </c>
      <c r="O45" s="6" t="str">
        <f t="shared" si="3"/>
        <v>dim18_1 (INTERVAL;Age in years, intervals 0, 15, 25, 35, 45)</v>
      </c>
      <c r="P45" t="s">
        <v>149</v>
      </c>
    </row>
    <row r="46" spans="1:16" x14ac:dyDescent="0.3">
      <c r="A46" t="s">
        <v>1087</v>
      </c>
      <c r="B46" t="s">
        <v>455</v>
      </c>
      <c r="C46" s="6" t="str">
        <f>INDEX(Dim!$C:$C,MATCH($B46,Dim!$A:$A,0))</f>
        <v>dim18</v>
      </c>
      <c r="D46" s="11" t="s">
        <v>754</v>
      </c>
      <c r="E46" s="6" t="str">
        <f t="shared" si="0"/>
        <v>dim18_1</v>
      </c>
      <c r="F46" s="6">
        <f t="shared" si="1"/>
        <v>1</v>
      </c>
      <c r="G46" s="6" t="str">
        <f t="shared" si="2"/>
        <v>dim18_1</v>
      </c>
      <c r="H46" t="s">
        <v>341</v>
      </c>
      <c r="I46" t="s">
        <v>336</v>
      </c>
      <c r="J46" s="6" t="str">
        <f>IF($I46="","",INDEX(ConceptSet!$C:$C,MATCH($I46,ConceptSet!$A:$A,0)))</f>
        <v>Age in years, intervals 0, 15, 25, 35, 45</v>
      </c>
      <c r="L46" s="6" t="str">
        <f>IF($K46="","",INDEX(RegionSet!$B:$B,MATCH($K46,RegionSet!$A:$A,0)))</f>
        <v/>
      </c>
      <c r="N46" s="6" t="str">
        <f>IF($M46="","",INDEX(GeneticDistanceProtocol!$C:$C,MATCH($M46,GeneticDistanceProtocol!$A:$A,0)))</f>
        <v/>
      </c>
      <c r="O46" s="6" t="str">
        <f t="shared" si="3"/>
        <v>dim18_1 (INTERVAL;Age in years, intervals 0, 15, 25, 35, 45)</v>
      </c>
      <c r="P46" t="s">
        <v>149</v>
      </c>
    </row>
    <row r="47" spans="1:16" x14ac:dyDescent="0.3">
      <c r="A47" t="s">
        <v>1088</v>
      </c>
      <c r="B47" t="s">
        <v>455</v>
      </c>
      <c r="C47" s="6" t="str">
        <f>INDEX(Dim!$C:$C,MATCH($B47,Dim!$A:$A,0))</f>
        <v>dim18</v>
      </c>
      <c r="D47" s="11" t="s">
        <v>754</v>
      </c>
      <c r="E47" s="6" t="str">
        <f t="shared" si="0"/>
        <v>dim18_1</v>
      </c>
      <c r="F47" s="6">
        <f t="shared" si="1"/>
        <v>1</v>
      </c>
      <c r="G47" s="6" t="str">
        <f t="shared" si="2"/>
        <v>dim18_1</v>
      </c>
      <c r="H47" t="s">
        <v>341</v>
      </c>
      <c r="I47" t="s">
        <v>336</v>
      </c>
      <c r="J47" s="6" t="str">
        <f>IF($I47="","",INDEX(ConceptSet!$C:$C,MATCH($I47,ConceptSet!$A:$A,0)))</f>
        <v>Age in years, intervals 0, 15, 25, 35, 45</v>
      </c>
      <c r="L47" s="6" t="str">
        <f>IF($K47="","",INDEX(RegionSet!$B:$B,MATCH($K47,RegionSet!$A:$A,0)))</f>
        <v/>
      </c>
      <c r="N47" s="6" t="str">
        <f>IF($M47="","",INDEX(GeneticDistanceProtocol!$C:$C,MATCH($M47,GeneticDistanceProtocol!$A:$A,0)))</f>
        <v/>
      </c>
      <c r="O47" s="6" t="str">
        <f t="shared" si="3"/>
        <v>dim18_1 (INTERVAL;Age in years, intervals 0, 15, 25, 35, 45)</v>
      </c>
      <c r="P47" t="s">
        <v>149</v>
      </c>
    </row>
    <row r="48" spans="1:16" x14ac:dyDescent="0.3">
      <c r="A48" t="s">
        <v>1089</v>
      </c>
      <c r="B48" t="s">
        <v>1085</v>
      </c>
      <c r="C48" s="6" t="str">
        <f>INDEX(Dim!$C:$C,MATCH($B48,Dim!$A:$A,0))</f>
        <v>dim19</v>
      </c>
      <c r="D48" s="11" t="s">
        <v>754</v>
      </c>
      <c r="E48" s="6" t="str">
        <f t="shared" si="0"/>
        <v>dim19_1</v>
      </c>
      <c r="F48" s="6">
        <f t="shared" si="1"/>
        <v>1</v>
      </c>
      <c r="G48" s="6" t="str">
        <f t="shared" si="2"/>
        <v>dim19_1</v>
      </c>
      <c r="H48" t="s">
        <v>1097</v>
      </c>
      <c r="J48" s="6" t="str">
        <f>IF($I48="","",INDEX(ConceptSet!$C:$C,MATCH($I48,ConceptSet!$A:$A,0)))</f>
        <v/>
      </c>
      <c r="L48" s="6" t="str">
        <f>IF($K48="","",INDEX(RegionSet!$B:$B,MATCH($K48,RegionSet!$A:$A,0)))</f>
        <v/>
      </c>
      <c r="N48" s="6" t="str">
        <f>IF($M48="","",INDEX(GeneticDistanceProtocol!$C:$C,MATCH($M48,GeneticDistanceProtocol!$A:$A,0)))</f>
        <v/>
      </c>
      <c r="O48" s="6" t="str">
        <f t="shared" si="3"/>
        <v>dim19_1 (GENETIC_READS)</v>
      </c>
      <c r="P48" t="s">
        <v>149</v>
      </c>
    </row>
    <row r="49" spans="1:16" x14ac:dyDescent="0.3">
      <c r="A49" t="s">
        <v>1090</v>
      </c>
      <c r="B49" t="s">
        <v>1085</v>
      </c>
      <c r="C49" s="6" t="str">
        <f>INDEX(Dim!$C:$C,MATCH($B49,Dim!$A:$A,0))</f>
        <v>dim19</v>
      </c>
      <c r="D49" s="11" t="s">
        <v>755</v>
      </c>
      <c r="E49" s="6" t="str">
        <f t="shared" si="0"/>
        <v>dim19_2</v>
      </c>
      <c r="F49" s="6">
        <f t="shared" si="1"/>
        <v>2</v>
      </c>
      <c r="G49" s="6" t="str">
        <f t="shared" si="2"/>
        <v>dim19_2</v>
      </c>
      <c r="H49" t="s">
        <v>1098</v>
      </c>
      <c r="J49" s="6" t="str">
        <f>IF($I49="","",INDEX(ConceptSet!$C:$C,MATCH($I49,ConceptSet!$A:$A,0)))</f>
        <v/>
      </c>
      <c r="L49" s="6" t="str">
        <f>IF($K49="","",INDEX(RegionSet!$B:$B,MATCH($K49,RegionSet!$A:$A,0)))</f>
        <v/>
      </c>
      <c r="N49" s="6" t="str">
        <f>IF($M49="","",INDEX(GeneticDistanceProtocol!$C:$C,MATCH($M49,GeneticDistanceProtocol!$A:$A,0)))</f>
        <v/>
      </c>
      <c r="O49" s="6" t="str">
        <f t="shared" si="3"/>
        <v>dim19_2 (GENETIC_SEQUENCE)</v>
      </c>
      <c r="P49" t="s">
        <v>149</v>
      </c>
    </row>
    <row r="50" spans="1:16" x14ac:dyDescent="0.3">
      <c r="A50" t="s">
        <v>1093</v>
      </c>
      <c r="B50" t="s">
        <v>1085</v>
      </c>
      <c r="C50" s="6" t="str">
        <f>INDEX(Dim!$C:$C,MATCH($B50,Dim!$A:$A,0))</f>
        <v>dim19</v>
      </c>
      <c r="D50" s="11" t="s">
        <v>756</v>
      </c>
      <c r="E50" s="6" t="str">
        <f t="shared" si="0"/>
        <v>dim19_3</v>
      </c>
      <c r="F50" s="6">
        <f t="shared" si="1"/>
        <v>3</v>
      </c>
      <c r="G50" s="6" t="str">
        <f t="shared" si="2"/>
        <v>dim19_3</v>
      </c>
      <c r="H50" t="s">
        <v>1099</v>
      </c>
      <c r="J50" s="6" t="str">
        <f>IF($I50="","",INDEX(ConceptSet!$C:$C,MATCH($I50,ConceptSet!$A:$A,0)))</f>
        <v/>
      </c>
      <c r="L50" s="6" t="str">
        <f>IF($K50="","",INDEX(RegionSet!$B:$B,MATCH($K50,RegionSet!$A:$A,0)))</f>
        <v/>
      </c>
      <c r="N50" s="6" t="str">
        <f>IF($M50="","",INDEX(GeneticDistanceProtocol!$C:$C,MATCH($M50,GeneticDistanceProtocol!$A:$A,0)))</f>
        <v/>
      </c>
      <c r="O50" s="6" t="str">
        <f t="shared" si="3"/>
        <v>dim19_3 (GENETIC_PROFILE)</v>
      </c>
      <c r="P50" t="s">
        <v>149</v>
      </c>
    </row>
    <row r="51" spans="1:16" x14ac:dyDescent="0.3">
      <c r="A51" t="s">
        <v>1094</v>
      </c>
      <c r="B51" t="s">
        <v>1085</v>
      </c>
      <c r="C51" s="6" t="str">
        <f>INDEX(Dim!$C:$C,MATCH($B51,Dim!$A:$A,0))</f>
        <v>dim19</v>
      </c>
      <c r="D51" s="11" t="s">
        <v>757</v>
      </c>
      <c r="E51" s="6" t="str">
        <f t="shared" si="0"/>
        <v>dim19_4</v>
      </c>
      <c r="F51" s="6">
        <f t="shared" si="1"/>
        <v>4</v>
      </c>
      <c r="G51" s="6" t="str">
        <f t="shared" si="2"/>
        <v>dim19_4</v>
      </c>
      <c r="H51" t="s">
        <v>1100</v>
      </c>
      <c r="J51" s="6" t="str">
        <f>IF($I51="","",INDEX(ConceptSet!$C:$C,MATCH($I51,ConceptSet!$A:$A,0)))</f>
        <v/>
      </c>
      <c r="L51" s="6" t="str">
        <f>IF($K51="","",INDEX(RegionSet!$B:$B,MATCH($K51,RegionSet!$A:$A,0)))</f>
        <v/>
      </c>
      <c r="M51" s="29" t="s">
        <v>1106</v>
      </c>
      <c r="N51" s="6" t="str">
        <f>IF($M51="","",INDEX(GeneticDistanceProtocol!$C:$C,MATCH($M51,GeneticDistanceProtocol!$A:$A,0)))</f>
        <v>SALM cgMLST</v>
      </c>
      <c r="O51" s="6" t="str">
        <f t="shared" si="3"/>
        <v>dim19_4 (GENETIC_DISTANCE)</v>
      </c>
      <c r="P51" t="s">
        <v>149</v>
      </c>
    </row>
    <row r="52" spans="1:16" x14ac:dyDescent="0.3">
      <c r="A52" t="s">
        <v>1091</v>
      </c>
      <c r="B52" t="s">
        <v>1086</v>
      </c>
      <c r="C52" s="6" t="str">
        <f>INDEX(Dim!$C:$C,MATCH($B52,Dim!$A:$A,0))</f>
        <v>dim20</v>
      </c>
      <c r="D52" s="11" t="s">
        <v>754</v>
      </c>
      <c r="E52" s="6" t="str">
        <f t="shared" si="0"/>
        <v>dim20_1</v>
      </c>
      <c r="F52" s="6">
        <f t="shared" si="1"/>
        <v>1</v>
      </c>
      <c r="G52" s="6" t="str">
        <f t="shared" si="2"/>
        <v>dim20_1</v>
      </c>
      <c r="H52" t="s">
        <v>1097</v>
      </c>
      <c r="J52" s="6" t="str">
        <f>IF($I52="","",INDEX(ConceptSet!$C:$C,MATCH($I52,ConceptSet!$A:$A,0)))</f>
        <v/>
      </c>
      <c r="L52" s="6" t="str">
        <f>IF($K52="","",INDEX(RegionSet!$B:$B,MATCH($K52,RegionSet!$A:$A,0)))</f>
        <v/>
      </c>
      <c r="N52" s="6" t="str">
        <f>IF($M52="","",INDEX(GeneticDistanceProtocol!$C:$C,MATCH($M52,GeneticDistanceProtocol!$A:$A,0)))</f>
        <v/>
      </c>
      <c r="O52" s="6" t="str">
        <f t="shared" si="3"/>
        <v>dim20_1 (GENETIC_READS)</v>
      </c>
      <c r="P52" t="s">
        <v>149</v>
      </c>
    </row>
    <row r="53" spans="1:16" x14ac:dyDescent="0.3">
      <c r="A53" t="s">
        <v>1092</v>
      </c>
      <c r="B53" t="s">
        <v>1086</v>
      </c>
      <c r="C53" s="6" t="str">
        <f>INDEX(Dim!$C:$C,MATCH($B53,Dim!$A:$A,0))</f>
        <v>dim20</v>
      </c>
      <c r="D53" s="11" t="s">
        <v>755</v>
      </c>
      <c r="E53" s="6" t="str">
        <f t="shared" si="0"/>
        <v>dim20_2</v>
      </c>
      <c r="F53" s="6">
        <f t="shared" si="1"/>
        <v>2</v>
      </c>
      <c r="G53" s="6" t="str">
        <f t="shared" si="2"/>
        <v>dim20_2</v>
      </c>
      <c r="H53" t="s">
        <v>1098</v>
      </c>
      <c r="J53" s="6" t="str">
        <f>IF($I53="","",INDEX(ConceptSet!$C:$C,MATCH($I53,ConceptSet!$A:$A,0)))</f>
        <v/>
      </c>
      <c r="L53" s="6" t="str">
        <f>IF($K53="","",INDEX(RegionSet!$B:$B,MATCH($K53,RegionSet!$A:$A,0)))</f>
        <v/>
      </c>
      <c r="N53" s="6" t="str">
        <f>IF($M53="","",INDEX(GeneticDistanceProtocol!$C:$C,MATCH($M53,GeneticDistanceProtocol!$A:$A,0)))</f>
        <v/>
      </c>
      <c r="O53" s="6" t="str">
        <f t="shared" si="3"/>
        <v>dim20_2 (GENETIC_SEQUENCE)</v>
      </c>
      <c r="P53" t="s">
        <v>149</v>
      </c>
    </row>
    <row r="54" spans="1:16" x14ac:dyDescent="0.3">
      <c r="A54" t="s">
        <v>1095</v>
      </c>
      <c r="B54" t="s">
        <v>1086</v>
      </c>
      <c r="C54" s="6" t="str">
        <f>INDEX(Dim!$C:$C,MATCH($B54,Dim!$A:$A,0))</f>
        <v>dim20</v>
      </c>
      <c r="D54" s="11" t="s">
        <v>756</v>
      </c>
      <c r="E54" s="6" t="str">
        <f t="shared" si="0"/>
        <v>dim20_3</v>
      </c>
      <c r="F54" s="6">
        <f t="shared" si="1"/>
        <v>3</v>
      </c>
      <c r="G54" s="6" t="str">
        <f t="shared" si="2"/>
        <v>dim20_3</v>
      </c>
      <c r="H54" t="s">
        <v>1099</v>
      </c>
      <c r="J54" s="6" t="str">
        <f>IF($I54="","",INDEX(ConceptSet!$C:$C,MATCH($I54,ConceptSet!$A:$A,0)))</f>
        <v/>
      </c>
      <c r="L54" s="6" t="str">
        <f>IF($K54="","",INDEX(RegionSet!$B:$B,MATCH($K54,RegionSet!$A:$A,0)))</f>
        <v/>
      </c>
      <c r="N54" s="6" t="str">
        <f>IF($M54="","",INDEX(GeneticDistanceProtocol!$C:$C,MATCH($M54,GeneticDistanceProtocol!$A:$A,0)))</f>
        <v/>
      </c>
      <c r="O54" s="6" t="str">
        <f t="shared" si="3"/>
        <v>dim20_3 (GENETIC_PROFILE)</v>
      </c>
      <c r="P54" t="s">
        <v>149</v>
      </c>
    </row>
    <row r="55" spans="1:16" x14ac:dyDescent="0.3">
      <c r="A55" t="s">
        <v>1096</v>
      </c>
      <c r="B55" t="s">
        <v>1086</v>
      </c>
      <c r="C55" s="6" t="str">
        <f>INDEX(Dim!$C:$C,MATCH($B55,Dim!$A:$A,0))</f>
        <v>dim20</v>
      </c>
      <c r="D55" s="11" t="s">
        <v>757</v>
      </c>
      <c r="E55" s="6" t="str">
        <f t="shared" si="0"/>
        <v>dim20_4</v>
      </c>
      <c r="F55" s="6">
        <f t="shared" si="1"/>
        <v>4</v>
      </c>
      <c r="G55" s="6" t="str">
        <f t="shared" si="2"/>
        <v>dim20_4</v>
      </c>
      <c r="H55" t="s">
        <v>1100</v>
      </c>
      <c r="J55" s="6" t="str">
        <f>IF($I55="","",INDEX(ConceptSet!$C:$C,MATCH($I55,ConceptSet!$A:$A,0)))</f>
        <v/>
      </c>
      <c r="L55" s="6" t="str">
        <f>IF($K55="","",INDEX(RegionSet!$B:$B,MATCH($K55,RegionSet!$A:$A,0)))</f>
        <v/>
      </c>
      <c r="M55" s="29" t="s">
        <v>1112</v>
      </c>
      <c r="N55" s="6" t="str">
        <f>IF($M55="","",INDEX(GeneticDistanceProtocol!$C:$C,MATCH($M55,GeneticDistanceProtocol!$A:$A,0)))</f>
        <v>SALM SNP</v>
      </c>
      <c r="O55" s="6" t="str">
        <f t="shared" si="3"/>
        <v>dim20_4 (GENETIC_DISTANCE)</v>
      </c>
      <c r="P55" t="s">
        <v>149</v>
      </c>
    </row>
    <row r="56" spans="1:16" x14ac:dyDescent="0.3">
      <c r="A56" t="s">
        <v>490</v>
      </c>
      <c r="B56" t="s">
        <v>456</v>
      </c>
      <c r="C56" s="6" t="str">
        <f>INDEX(Dim!$C:$C,MATCH($B56,Dim!$A:$A,0))</f>
        <v>dim21</v>
      </c>
      <c r="D56" s="11" t="s">
        <v>754</v>
      </c>
      <c r="E56" s="6" t="str">
        <f t="shared" si="0"/>
        <v>dim21_1</v>
      </c>
      <c r="F56" s="6">
        <f t="shared" si="1"/>
        <v>1</v>
      </c>
      <c r="G56" s="6" t="str">
        <f t="shared" si="2"/>
        <v>dim21_1</v>
      </c>
      <c r="H56" t="s">
        <v>437</v>
      </c>
      <c r="J56" s="6" t="str">
        <f>IF($I56="","",INDEX(ConceptSet!$C:$C,MATCH($I56,ConceptSet!$A:$A,0)))</f>
        <v/>
      </c>
      <c r="L56" s="6" t="str">
        <f>IF($K56="","",INDEX(RegionSet!$B:$B,MATCH($K56,RegionSet!$A:$A,0)))</f>
        <v/>
      </c>
      <c r="N56" s="6" t="str">
        <f>IF($M56="","",INDEX(GeneticDistanceProtocol!$C:$C,MATCH($M56,GeneticDistanceProtocol!$A:$A,0)))</f>
        <v/>
      </c>
      <c r="O56" s="6" t="str">
        <f t="shared" si="3"/>
        <v>dim21_1 (OTHER)</v>
      </c>
      <c r="P56" t="s">
        <v>149</v>
      </c>
    </row>
    <row r="57" spans="1:16" x14ac:dyDescent="0.3">
      <c r="A57" t="s">
        <v>491</v>
      </c>
      <c r="B57" t="s">
        <v>457</v>
      </c>
      <c r="C57" s="6" t="str">
        <f>INDEX(Dim!$C:$C,MATCH($B57,Dim!$A:$A,0))</f>
        <v>dim22</v>
      </c>
      <c r="D57" s="11" t="s">
        <v>754</v>
      </c>
      <c r="E57" s="6" t="str">
        <f t="shared" si="0"/>
        <v>dim22_1</v>
      </c>
      <c r="F57" s="6">
        <f t="shared" si="1"/>
        <v>1</v>
      </c>
      <c r="G57" s="6" t="str">
        <f t="shared" si="2"/>
        <v>dim22_1</v>
      </c>
      <c r="H57" t="s">
        <v>437</v>
      </c>
      <c r="J57" s="6" t="str">
        <f>IF($I57="","",INDEX(ConceptSet!$C:$C,MATCH($I57,ConceptSet!$A:$A,0)))</f>
        <v/>
      </c>
      <c r="L57" s="6" t="str">
        <f>IF($K57="","",INDEX(RegionSet!$B:$B,MATCH($K57,RegionSet!$A:$A,0)))</f>
        <v/>
      </c>
      <c r="N57" s="6" t="str">
        <f>IF($M57="","",INDEX(GeneticDistanceProtocol!$C:$C,MATCH($M57,GeneticDistanceProtocol!$A:$A,0)))</f>
        <v/>
      </c>
      <c r="O57" s="6" t="str">
        <f t="shared" si="3"/>
        <v>dim22_1 (OTHER)</v>
      </c>
      <c r="P57" t="s">
        <v>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9DBA-4D09-4E45-A394-72AC78245E1D}">
  <dimension ref="A1:C6"/>
  <sheetViews>
    <sheetView workbookViewId="0">
      <selection activeCell="C2" sqref="C2"/>
    </sheetView>
  </sheetViews>
  <sheetFormatPr defaultColWidth="8.77734375" defaultRowHeight="14.4" x14ac:dyDescent="0.3"/>
  <cols>
    <col min="1" max="1" width="34.77734375" bestFit="1" customWidth="1"/>
  </cols>
  <sheetData>
    <row r="1" spans="1:3" x14ac:dyDescent="0.3">
      <c r="A1" t="s">
        <v>0</v>
      </c>
      <c r="B1" t="s">
        <v>57</v>
      </c>
      <c r="C1" t="s">
        <v>279</v>
      </c>
    </row>
    <row r="2" spans="1:3" x14ac:dyDescent="0.3">
      <c r="A2" t="s">
        <v>116</v>
      </c>
      <c r="B2" t="s">
        <v>280</v>
      </c>
    </row>
    <row r="3" spans="1:3" x14ac:dyDescent="0.3">
      <c r="A3" t="s">
        <v>119</v>
      </c>
      <c r="B3" t="s">
        <v>281</v>
      </c>
    </row>
    <row r="4" spans="1:3" x14ac:dyDescent="0.3">
      <c r="A4" t="s">
        <v>122</v>
      </c>
      <c r="B4" t="s">
        <v>282</v>
      </c>
    </row>
    <row r="5" spans="1:3" x14ac:dyDescent="0.3">
      <c r="A5" t="s">
        <v>125</v>
      </c>
      <c r="B5" t="s">
        <v>283</v>
      </c>
    </row>
    <row r="6" spans="1:3" x14ac:dyDescent="0.3">
      <c r="A6" t="s">
        <v>128</v>
      </c>
      <c r="B6" t="s">
        <v>284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5204-3F7C-438F-A194-7543BC84CF2A}">
  <dimension ref="A1:C6"/>
  <sheetViews>
    <sheetView workbookViewId="0">
      <selection activeCell="B2" sqref="B2"/>
    </sheetView>
  </sheetViews>
  <sheetFormatPr defaultColWidth="8.77734375" defaultRowHeight="14.4" x14ac:dyDescent="0.3"/>
  <cols>
    <col min="1" max="1" width="35.33203125" bestFit="1" customWidth="1"/>
    <col min="2" max="2" width="16" bestFit="1" customWidth="1"/>
    <col min="3" max="3" width="10" bestFit="1" customWidth="1"/>
  </cols>
  <sheetData>
    <row r="1" spans="1:3" x14ac:dyDescent="0.3">
      <c r="A1" t="s">
        <v>0</v>
      </c>
      <c r="B1" t="s">
        <v>57</v>
      </c>
      <c r="C1" t="s">
        <v>285</v>
      </c>
    </row>
    <row r="2" spans="1:3" x14ac:dyDescent="0.3">
      <c r="A2" t="s">
        <v>117</v>
      </c>
      <c r="B2" t="s">
        <v>286</v>
      </c>
      <c r="C2" t="s">
        <v>291</v>
      </c>
    </row>
    <row r="3" spans="1:3" x14ac:dyDescent="0.3">
      <c r="A3" t="s">
        <v>120</v>
      </c>
      <c r="B3" t="s">
        <v>287</v>
      </c>
      <c r="C3" t="s">
        <v>291</v>
      </c>
    </row>
    <row r="4" spans="1:3" x14ac:dyDescent="0.3">
      <c r="A4" t="s">
        <v>123</v>
      </c>
      <c r="B4" t="s">
        <v>288</v>
      </c>
      <c r="C4" t="s">
        <v>291</v>
      </c>
    </row>
    <row r="5" spans="1:3" x14ac:dyDescent="0.3">
      <c r="A5" t="s">
        <v>126</v>
      </c>
      <c r="B5" t="s">
        <v>289</v>
      </c>
      <c r="C5" t="s">
        <v>291</v>
      </c>
    </row>
    <row r="6" spans="1:3" x14ac:dyDescent="0.3">
      <c r="A6" t="s">
        <v>129</v>
      </c>
      <c r="B6" t="s">
        <v>290</v>
      </c>
      <c r="C6" t="s">
        <v>291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>
      <selection activeCell="B2" sqref="B2"/>
    </sheetView>
  </sheetViews>
  <sheetFormatPr defaultColWidth="8.77734375" defaultRowHeight="14.4" x14ac:dyDescent="0.3"/>
  <cols>
    <col min="1" max="1" width="35.44140625" bestFit="1" customWidth="1"/>
    <col min="2" max="2" width="10" style="6" bestFit="1" customWidth="1"/>
    <col min="3" max="3" width="10" customWidth="1"/>
    <col min="4" max="4" width="10" bestFit="1" customWidth="1"/>
    <col min="5" max="5" width="34.77734375" bestFit="1" customWidth="1"/>
    <col min="6" max="6" width="34.77734375" style="13" customWidth="1"/>
    <col min="7" max="7" width="7" bestFit="1" customWidth="1"/>
    <col min="8" max="8" width="35.33203125" bestFit="1" customWidth="1"/>
    <col min="9" max="9" width="35.33203125" style="13" customWidth="1"/>
    <col min="10" max="10" width="15" bestFit="1" customWidth="1"/>
  </cols>
  <sheetData>
    <row r="1" spans="1:10" x14ac:dyDescent="0.3">
      <c r="A1" s="1" t="s">
        <v>0</v>
      </c>
      <c r="B1" s="10" t="s">
        <v>57</v>
      </c>
      <c r="C1" s="1" t="s">
        <v>919</v>
      </c>
      <c r="D1" s="1" t="s">
        <v>78</v>
      </c>
      <c r="E1" s="1" t="s">
        <v>111</v>
      </c>
      <c r="F1" s="12" t="s">
        <v>774</v>
      </c>
      <c r="G1" s="1" t="s">
        <v>112</v>
      </c>
      <c r="H1" s="1" t="s">
        <v>113</v>
      </c>
      <c r="I1" s="12" t="s">
        <v>775</v>
      </c>
      <c r="J1" s="1" t="s">
        <v>114</v>
      </c>
    </row>
    <row r="2" spans="1:10" x14ac:dyDescent="0.3">
      <c r="A2" t="s">
        <v>115</v>
      </c>
      <c r="B2" s="6" t="str">
        <f>"case_type"&amp;$C2</f>
        <v>case_type1</v>
      </c>
      <c r="C2">
        <v>1</v>
      </c>
      <c r="E2" t="s">
        <v>116</v>
      </c>
      <c r="F2" s="13" t="str">
        <f>INDEX(Disease!$B:$B,MATCH($E2,Disease!$A:$A,0))</f>
        <v>disease1</v>
      </c>
      <c r="H2" t="s">
        <v>117</v>
      </c>
      <c r="I2" s="13" t="str">
        <f>INDEX(EtiologicalAgent!$B:$B,MATCH($H2,EtiologicalAgent!$A:$A,0))</f>
        <v>etiological_agent1</v>
      </c>
    </row>
    <row r="3" spans="1:10" x14ac:dyDescent="0.3">
      <c r="A3" t="s">
        <v>118</v>
      </c>
      <c r="B3" s="6" t="str">
        <f t="shared" ref="B3:B6" si="0">"case_type"&amp;$C3</f>
        <v>case_type2</v>
      </c>
      <c r="C3">
        <v>2</v>
      </c>
      <c r="E3" t="s">
        <v>119</v>
      </c>
      <c r="F3" s="13" t="str">
        <f>INDEX(Disease!$B:$B,MATCH($E3,Disease!$A:$A,0))</f>
        <v>disease2</v>
      </c>
      <c r="H3" t="s">
        <v>120</v>
      </c>
      <c r="I3" s="13" t="str">
        <f>INDEX(EtiologicalAgent!$B:$B,MATCH($H3,EtiologicalAgent!$A:$A,0))</f>
        <v>etiological_agent2</v>
      </c>
    </row>
    <row r="4" spans="1:10" x14ac:dyDescent="0.3">
      <c r="A4" t="s">
        <v>121</v>
      </c>
      <c r="B4" s="6" t="str">
        <f t="shared" si="0"/>
        <v>case_type3</v>
      </c>
      <c r="C4">
        <v>3</v>
      </c>
      <c r="E4" t="s">
        <v>122</v>
      </c>
      <c r="F4" s="13" t="str">
        <f>INDEX(Disease!$B:$B,MATCH($E4,Disease!$A:$A,0))</f>
        <v>disease3</v>
      </c>
      <c r="H4" t="s">
        <v>123</v>
      </c>
      <c r="I4" s="13" t="str">
        <f>INDEX(EtiologicalAgent!$B:$B,MATCH($H4,EtiologicalAgent!$A:$A,0))</f>
        <v>etiological_agent3</v>
      </c>
    </row>
    <row r="5" spans="1:10" x14ac:dyDescent="0.3">
      <c r="A5" t="s">
        <v>124</v>
      </c>
      <c r="B5" s="6" t="str">
        <f t="shared" si="0"/>
        <v>case_type4</v>
      </c>
      <c r="C5">
        <v>4</v>
      </c>
      <c r="E5" t="s">
        <v>125</v>
      </c>
      <c r="F5" s="13" t="str">
        <f>INDEX(Disease!$B:$B,MATCH($E5,Disease!$A:$A,0))</f>
        <v>disease4</v>
      </c>
      <c r="H5" t="s">
        <v>126</v>
      </c>
      <c r="I5" s="13" t="str">
        <f>INDEX(EtiologicalAgent!$B:$B,MATCH($H5,EtiologicalAgent!$A:$A,0))</f>
        <v>etiological_agent4</v>
      </c>
    </row>
    <row r="6" spans="1:10" x14ac:dyDescent="0.3">
      <c r="A6" t="s">
        <v>127</v>
      </c>
      <c r="B6" s="6" t="str">
        <f t="shared" si="0"/>
        <v>case_type5</v>
      </c>
      <c r="C6">
        <v>5</v>
      </c>
      <c r="E6" t="s">
        <v>128</v>
      </c>
      <c r="F6" s="13" t="str">
        <f>INDEX(Disease!$B:$B,MATCH($E6,Disease!$A:$A,0))</f>
        <v>disease5</v>
      </c>
      <c r="H6" t="s">
        <v>129</v>
      </c>
      <c r="I6" s="13" t="str">
        <f>INDEX(EtiologicalAgent!$B:$B,MATCH($H6,EtiologicalAgent!$A:$A,0))</f>
        <v>etiological_agent5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A3" sqref="A3"/>
    </sheetView>
  </sheetViews>
  <sheetFormatPr defaultColWidth="8.77734375" defaultRowHeight="14.4" x14ac:dyDescent="0.3"/>
  <cols>
    <col min="1" max="1" width="34.109375" bestFit="1" customWidth="1"/>
    <col min="2" max="2" width="21.77734375" bestFit="1" customWidth="1"/>
    <col min="3" max="3" width="10" bestFit="1" customWidth="1"/>
    <col min="4" max="4" width="4.44140625" bestFit="1" customWidth="1"/>
    <col min="5" max="5" width="8.77734375" bestFit="1" customWidth="1"/>
  </cols>
  <sheetData>
    <row r="1" spans="1:5" x14ac:dyDescent="0.3">
      <c r="A1" s="1" t="s">
        <v>0</v>
      </c>
      <c r="B1" s="1" t="s">
        <v>57</v>
      </c>
      <c r="C1" s="1" t="s">
        <v>78</v>
      </c>
      <c r="D1" s="1" t="s">
        <v>81</v>
      </c>
      <c r="E1" s="1" t="s">
        <v>108</v>
      </c>
    </row>
    <row r="2" spans="1:5" x14ac:dyDescent="0.3">
      <c r="A2" t="s">
        <v>83</v>
      </c>
      <c r="B2" t="s">
        <v>109</v>
      </c>
      <c r="D2">
        <v>0</v>
      </c>
      <c r="E2" t="s">
        <v>110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D2" sqref="D2"/>
    </sheetView>
  </sheetViews>
  <sheetFormatPr defaultColWidth="8.77734375" defaultRowHeight="14.4" x14ac:dyDescent="0.3"/>
  <cols>
    <col min="1" max="1" width="35.77734375" bestFit="1" customWidth="1"/>
    <col min="2" max="2" width="15" bestFit="1" customWidth="1"/>
    <col min="3" max="3" width="10" bestFit="1" customWidth="1"/>
    <col min="4" max="4" width="34.109375" bestFit="1" customWidth="1"/>
    <col min="5" max="5" width="29.6640625" style="6" bestFit="1" customWidth="1"/>
    <col min="6" max="6" width="21" bestFit="1" customWidth="1"/>
    <col min="7" max="7" width="4.44140625" bestFit="1" customWidth="1"/>
  </cols>
  <sheetData>
    <row r="1" spans="1:7" x14ac:dyDescent="0.3">
      <c r="A1" s="1" t="s">
        <v>0</v>
      </c>
      <c r="B1" s="1" t="s">
        <v>57</v>
      </c>
      <c r="C1" s="1" t="s">
        <v>78</v>
      </c>
      <c r="D1" s="1" t="s">
        <v>79</v>
      </c>
      <c r="E1" s="10" t="s">
        <v>776</v>
      </c>
      <c r="F1" s="1" t="s">
        <v>80</v>
      </c>
      <c r="G1" s="1" t="s">
        <v>81</v>
      </c>
    </row>
    <row r="2" spans="1:7" x14ac:dyDescent="0.3">
      <c r="A2" t="s">
        <v>63</v>
      </c>
      <c r="B2" t="s">
        <v>82</v>
      </c>
      <c r="D2" t="s">
        <v>83</v>
      </c>
      <c r="E2" s="6" t="str">
        <f>INDEX(CaseTypeSetCategory!$B:$B,MATCH($D2,CaseTypeSetCategory!$A:$A,0))</f>
        <v>case_type_set_category1</v>
      </c>
      <c r="G2">
        <v>0</v>
      </c>
    </row>
    <row r="3" spans="1:7" x14ac:dyDescent="0.3">
      <c r="A3" t="s">
        <v>65</v>
      </c>
      <c r="B3" t="s">
        <v>84</v>
      </c>
      <c r="D3" t="s">
        <v>83</v>
      </c>
      <c r="E3" s="6" t="str">
        <f>INDEX(CaseTypeSetCategory!$B:$B,MATCH($D3,CaseTypeSetCategory!$A:$A,0))</f>
        <v>case_type_set_category1</v>
      </c>
      <c r="G3">
        <v>0</v>
      </c>
    </row>
    <row r="4" spans="1:7" x14ac:dyDescent="0.3">
      <c r="A4" t="s">
        <v>66</v>
      </c>
      <c r="B4" t="s">
        <v>85</v>
      </c>
      <c r="D4" t="s">
        <v>83</v>
      </c>
      <c r="E4" s="6" t="str">
        <f>INDEX(CaseTypeSetCategory!$B:$B,MATCH($D4,CaseTypeSetCategory!$A:$A,0))</f>
        <v>case_type_set_category1</v>
      </c>
      <c r="G4">
        <v>0</v>
      </c>
    </row>
    <row r="5" spans="1:7" x14ac:dyDescent="0.3">
      <c r="A5" t="s">
        <v>67</v>
      </c>
      <c r="B5" t="s">
        <v>86</v>
      </c>
      <c r="D5" t="s">
        <v>83</v>
      </c>
      <c r="E5" s="6" t="str">
        <f>INDEX(CaseTypeSetCategory!$B:$B,MATCH($D5,CaseTypeSetCategory!$A:$A,0))</f>
        <v>case_type_set_category1</v>
      </c>
      <c r="G5">
        <v>0</v>
      </c>
    </row>
    <row r="6" spans="1:7" x14ac:dyDescent="0.3">
      <c r="A6" t="s">
        <v>68</v>
      </c>
      <c r="B6" t="s">
        <v>87</v>
      </c>
      <c r="D6" t="s">
        <v>83</v>
      </c>
      <c r="E6" s="6" t="str">
        <f>INDEX(CaseTypeSetCategory!$B:$B,MATCH($D6,CaseTypeSetCategory!$A:$A,0))</f>
        <v>case_type_set_category1</v>
      </c>
      <c r="G6">
        <v>0</v>
      </c>
    </row>
    <row r="7" spans="1:7" x14ac:dyDescent="0.3">
      <c r="A7" t="s">
        <v>88</v>
      </c>
      <c r="B7" t="s">
        <v>89</v>
      </c>
      <c r="D7" t="s">
        <v>83</v>
      </c>
      <c r="E7" s="6" t="str">
        <f>INDEX(CaseTypeSetCategory!$B:$B,MATCH($D7,CaseTypeSetCategory!$A:$A,0))</f>
        <v>case_type_set_category1</v>
      </c>
      <c r="G7">
        <v>0</v>
      </c>
    </row>
    <row r="8" spans="1:7" x14ac:dyDescent="0.3">
      <c r="A8" t="s">
        <v>90</v>
      </c>
      <c r="B8" t="s">
        <v>91</v>
      </c>
      <c r="D8" t="s">
        <v>83</v>
      </c>
      <c r="E8" s="6" t="str">
        <f>INDEX(CaseTypeSetCategory!$B:$B,MATCH($D8,CaseTypeSetCategory!$A:$A,0))</f>
        <v>case_type_set_category1</v>
      </c>
      <c r="G8">
        <v>0</v>
      </c>
    </row>
    <row r="9" spans="1:7" x14ac:dyDescent="0.3">
      <c r="A9" t="s">
        <v>92</v>
      </c>
      <c r="B9" t="s">
        <v>93</v>
      </c>
      <c r="D9" t="s">
        <v>83</v>
      </c>
      <c r="E9" s="6" t="str">
        <f>INDEX(CaseTypeSetCategory!$B:$B,MATCH($D9,CaseTypeSetCategory!$A:$A,0))</f>
        <v>case_type_set_category1</v>
      </c>
      <c r="G9">
        <v>0</v>
      </c>
    </row>
    <row r="10" spans="1:7" x14ac:dyDescent="0.3">
      <c r="A10" t="s">
        <v>94</v>
      </c>
      <c r="B10" t="s">
        <v>95</v>
      </c>
      <c r="D10" t="s">
        <v>83</v>
      </c>
      <c r="E10" s="6" t="str">
        <f>INDEX(CaseTypeSetCategory!$B:$B,MATCH($D10,CaseTypeSetCategory!$A:$A,0))</f>
        <v>case_type_set_category1</v>
      </c>
      <c r="G10">
        <v>0</v>
      </c>
    </row>
    <row r="11" spans="1:7" x14ac:dyDescent="0.3">
      <c r="A11" t="s">
        <v>96</v>
      </c>
      <c r="B11" t="s">
        <v>97</v>
      </c>
      <c r="D11" t="s">
        <v>83</v>
      </c>
      <c r="E11" s="6" t="str">
        <f>INDEX(CaseTypeSetCategory!$B:$B,MATCH($D11,CaseTypeSetCategory!$A:$A,0))</f>
        <v>case_type_set_category1</v>
      </c>
      <c r="G11">
        <v>0</v>
      </c>
    </row>
    <row r="12" spans="1:7" x14ac:dyDescent="0.3">
      <c r="A12" t="s">
        <v>98</v>
      </c>
      <c r="B12" t="s">
        <v>99</v>
      </c>
      <c r="D12" t="s">
        <v>83</v>
      </c>
      <c r="E12" s="6" t="str">
        <f>INDEX(CaseTypeSetCategory!$B:$B,MATCH($D12,CaseTypeSetCategory!$A:$A,0))</f>
        <v>case_type_set_category1</v>
      </c>
      <c r="G12">
        <v>0</v>
      </c>
    </row>
    <row r="13" spans="1:7" x14ac:dyDescent="0.3">
      <c r="A13" t="s">
        <v>100</v>
      </c>
      <c r="B13" t="s">
        <v>101</v>
      </c>
      <c r="D13" t="s">
        <v>83</v>
      </c>
      <c r="E13" s="6" t="str">
        <f>INDEX(CaseTypeSetCategory!$B:$B,MATCH($D13,CaseTypeSetCategory!$A:$A,0))</f>
        <v>case_type_set_category1</v>
      </c>
      <c r="G13">
        <v>0</v>
      </c>
    </row>
    <row r="14" spans="1:7" x14ac:dyDescent="0.3">
      <c r="A14" t="s">
        <v>102</v>
      </c>
      <c r="B14" t="s">
        <v>103</v>
      </c>
      <c r="D14" t="s">
        <v>83</v>
      </c>
      <c r="E14" s="6" t="str">
        <f>INDEX(CaseTypeSetCategory!$B:$B,MATCH($D14,CaseTypeSetCategory!$A:$A,0))</f>
        <v>case_type_set_category1</v>
      </c>
      <c r="G14">
        <v>0</v>
      </c>
    </row>
    <row r="15" spans="1:7" x14ac:dyDescent="0.3">
      <c r="A15" t="s">
        <v>104</v>
      </c>
      <c r="B15" t="s">
        <v>105</v>
      </c>
      <c r="D15" t="s">
        <v>83</v>
      </c>
      <c r="E15" s="6" t="str">
        <f>INDEX(CaseTypeSetCategory!$B:$B,MATCH($D15,CaseTypeSetCategory!$A:$A,0))</f>
        <v>case_type_set_category1</v>
      </c>
      <c r="G15">
        <v>0</v>
      </c>
    </row>
    <row r="16" spans="1:7" x14ac:dyDescent="0.3">
      <c r="A16" t="s">
        <v>106</v>
      </c>
      <c r="B16" t="s">
        <v>107</v>
      </c>
      <c r="D16" t="s">
        <v>83</v>
      </c>
      <c r="E16" s="6" t="str">
        <f>INDEX(CaseTypeSetCategory!$B:$B,MATCH($D16,CaseTypeSetCategory!$A:$A,0))</f>
        <v>case_type_set_category1</v>
      </c>
      <c r="G16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26"/>
  <sheetViews>
    <sheetView workbookViewId="0">
      <selection activeCell="H1" sqref="A1:H26"/>
    </sheetView>
  </sheetViews>
  <sheetFormatPr defaultColWidth="8.77734375" defaultRowHeight="14.4" x14ac:dyDescent="0.3"/>
  <cols>
    <col min="1" max="2" width="35.77734375" bestFit="1" customWidth="1"/>
    <col min="3" max="3" width="20.44140625" style="6" bestFit="1" customWidth="1"/>
    <col min="4" max="4" width="12.6640625" bestFit="1" customWidth="1"/>
    <col min="5" max="5" width="35.44140625" bestFit="1" customWidth="1"/>
    <col min="6" max="6" width="17" style="6" bestFit="1" customWidth="1"/>
    <col min="7" max="7" width="9.109375" bestFit="1" customWidth="1"/>
    <col min="8" max="8" width="9.109375" style="6"/>
  </cols>
  <sheetData>
    <row r="1" spans="1:8" x14ac:dyDescent="0.3">
      <c r="A1" s="1" t="s">
        <v>0</v>
      </c>
      <c r="B1" s="1" t="s">
        <v>58</v>
      </c>
      <c r="C1" s="10" t="s">
        <v>777</v>
      </c>
      <c r="D1" s="1" t="s">
        <v>59</v>
      </c>
      <c r="E1" s="1" t="s">
        <v>133</v>
      </c>
      <c r="F1" s="10" t="s">
        <v>778</v>
      </c>
      <c r="G1" s="1" t="s">
        <v>134</v>
      </c>
      <c r="H1" s="16" t="s">
        <v>277</v>
      </c>
    </row>
    <row r="2" spans="1:8" x14ac:dyDescent="0.3">
      <c r="A2" t="s">
        <v>150</v>
      </c>
      <c r="B2" t="s">
        <v>63</v>
      </c>
      <c r="C2" s="6" t="str">
        <f>INDEX(CaseTypeSet!$B:$B,MATCH($B2,CaseTypeSet!$A:$A,0))</f>
        <v>case_type_set1</v>
      </c>
      <c r="E2" t="s">
        <v>115</v>
      </c>
      <c r="F2" s="6" t="str">
        <f>INDEX(CaseType!$B:$B,MATCH($E2,CaseType!$A:$A,0))</f>
        <v>case_type1</v>
      </c>
      <c r="H2" s="6" t="str">
        <f>$B2&amp;"|"&amp;$E2</f>
        <v>0195d18c-1cb8-5af5-9939-74dc8b5d3b5b|0195d18c-1ca6-fd99-9d76-fcfa0c0cf400</v>
      </c>
    </row>
    <row r="3" spans="1:8" hidden="1" x14ac:dyDescent="0.3">
      <c r="A3" t="s">
        <v>151</v>
      </c>
      <c r="B3" t="s">
        <v>65</v>
      </c>
      <c r="C3" s="6" t="str">
        <f>INDEX(CaseTypeSet!$B:$B,MATCH($B3,CaseTypeSet!$A:$A,0))</f>
        <v>case_type_set2</v>
      </c>
      <c r="E3" t="s">
        <v>118</v>
      </c>
      <c r="F3" s="6" t="str">
        <f>INDEX(CaseType!$B:$B,MATCH($E3,CaseType!$A:$A,0))</f>
        <v>case_type2</v>
      </c>
      <c r="H3"/>
    </row>
    <row r="4" spans="1:8" hidden="1" x14ac:dyDescent="0.3">
      <c r="A4" t="s">
        <v>152</v>
      </c>
      <c r="B4" t="s">
        <v>66</v>
      </c>
      <c r="C4" s="6" t="str">
        <f>INDEX(CaseTypeSet!$B:$B,MATCH($B4,CaseTypeSet!$A:$A,0))</f>
        <v>case_type_set3</v>
      </c>
      <c r="E4" t="s">
        <v>121</v>
      </c>
      <c r="F4" s="6" t="str">
        <f>INDEX(CaseType!$B:$B,MATCH($E4,CaseType!$A:$A,0))</f>
        <v>case_type3</v>
      </c>
      <c r="H4"/>
    </row>
    <row r="5" spans="1:8" hidden="1" x14ac:dyDescent="0.3">
      <c r="A5" t="s">
        <v>153</v>
      </c>
      <c r="B5" t="s">
        <v>67</v>
      </c>
      <c r="C5" s="6" t="str">
        <f>INDEX(CaseTypeSet!$B:$B,MATCH($B5,CaseTypeSet!$A:$A,0))</f>
        <v>case_type_set4</v>
      </c>
      <c r="E5" t="s">
        <v>124</v>
      </c>
      <c r="F5" s="6" t="str">
        <f>INDEX(CaseType!$B:$B,MATCH($E5,CaseType!$A:$A,0))</f>
        <v>case_type4</v>
      </c>
      <c r="H5"/>
    </row>
    <row r="6" spans="1:8" hidden="1" x14ac:dyDescent="0.3">
      <c r="A6" t="s">
        <v>154</v>
      </c>
      <c r="B6" t="s">
        <v>68</v>
      </c>
      <c r="C6" s="6" t="str">
        <f>INDEX(CaseTypeSet!$B:$B,MATCH($B6,CaseTypeSet!$A:$A,0))</f>
        <v>case_type_set5</v>
      </c>
      <c r="E6" t="s">
        <v>127</v>
      </c>
      <c r="F6" s="6" t="str">
        <f>INDEX(CaseType!$B:$B,MATCH($E6,CaseType!$A:$A,0))</f>
        <v>case_type5</v>
      </c>
      <c r="H6"/>
    </row>
    <row r="7" spans="1:8" x14ac:dyDescent="0.3">
      <c r="A7" t="s">
        <v>155</v>
      </c>
      <c r="B7" t="s">
        <v>88</v>
      </c>
      <c r="C7" s="6" t="str">
        <f>INDEX(CaseTypeSet!$B:$B,MATCH($B7,CaseTypeSet!$A:$A,0))</f>
        <v>case_type_set1,2</v>
      </c>
      <c r="E7" t="s">
        <v>115</v>
      </c>
      <c r="F7" s="6" t="str">
        <f>INDEX(CaseType!$B:$B,MATCH($E7,CaseType!$A:$A,0))</f>
        <v>case_type1</v>
      </c>
      <c r="H7" s="6" t="str">
        <f>$B7&amp;"|"&amp;$E7</f>
        <v>0195d18c-1cbb-d7b8-d852-987a801e0ad5|0195d18c-1ca6-fd99-9d76-fcfa0c0cf400</v>
      </c>
    </row>
    <row r="8" spans="1:8" hidden="1" x14ac:dyDescent="0.3">
      <c r="A8" t="s">
        <v>156</v>
      </c>
      <c r="B8" t="s">
        <v>88</v>
      </c>
      <c r="C8" s="6" t="str">
        <f>INDEX(CaseTypeSet!$B:$B,MATCH($B8,CaseTypeSet!$A:$A,0))</f>
        <v>case_type_set1,2</v>
      </c>
      <c r="E8" t="s">
        <v>118</v>
      </c>
      <c r="F8" s="6" t="str">
        <f>INDEX(CaseType!$B:$B,MATCH($E8,CaseType!$A:$A,0))</f>
        <v>case_type2</v>
      </c>
      <c r="H8"/>
    </row>
    <row r="9" spans="1:8" hidden="1" x14ac:dyDescent="0.3">
      <c r="A9" t="s">
        <v>157</v>
      </c>
      <c r="B9" t="s">
        <v>90</v>
      </c>
      <c r="C9" s="6" t="str">
        <f>INDEX(CaseTypeSet!$B:$B,MATCH($B9,CaseTypeSet!$A:$A,0))</f>
        <v>case_type_set1,3</v>
      </c>
      <c r="E9" t="s">
        <v>121</v>
      </c>
      <c r="F9" s="6" t="str">
        <f>INDEX(CaseType!$B:$B,MATCH($E9,CaseType!$A:$A,0))</f>
        <v>case_type3</v>
      </c>
      <c r="H9"/>
    </row>
    <row r="10" spans="1:8" x14ac:dyDescent="0.3">
      <c r="A10" t="s">
        <v>158</v>
      </c>
      <c r="B10" t="s">
        <v>90</v>
      </c>
      <c r="C10" s="6" t="str">
        <f>INDEX(CaseTypeSet!$B:$B,MATCH($B10,CaseTypeSet!$A:$A,0))</f>
        <v>case_type_set1,3</v>
      </c>
      <c r="E10" t="s">
        <v>115</v>
      </c>
      <c r="F10" s="6" t="str">
        <f>INDEX(CaseType!$B:$B,MATCH($E10,CaseType!$A:$A,0))</f>
        <v>case_type1</v>
      </c>
      <c r="H10" s="6" t="str">
        <f t="shared" ref="H10:H11" si="0">$B10&amp;"|"&amp;$E10</f>
        <v>0195d18c-1cbb-5047-ab67-71cb2cb84047|0195d18c-1ca6-fd99-9d76-fcfa0c0cf400</v>
      </c>
    </row>
    <row r="11" spans="1:8" x14ac:dyDescent="0.3">
      <c r="A11" t="s">
        <v>159</v>
      </c>
      <c r="B11" t="s">
        <v>92</v>
      </c>
      <c r="C11" s="6" t="str">
        <f>INDEX(CaseTypeSet!$B:$B,MATCH($B11,CaseTypeSet!$A:$A,0))</f>
        <v>case_type_set1,4</v>
      </c>
      <c r="E11" t="s">
        <v>115</v>
      </c>
      <c r="F11" s="6" t="str">
        <f>INDEX(CaseType!$B:$B,MATCH($E11,CaseType!$A:$A,0))</f>
        <v>case_type1</v>
      </c>
      <c r="H11" s="6" t="str">
        <f t="shared" si="0"/>
        <v>0195d18c-1cbc-41fb-3ad7-2eed31140bd6|0195d18c-1ca6-fd99-9d76-fcfa0c0cf400</v>
      </c>
    </row>
    <row r="12" spans="1:8" hidden="1" x14ac:dyDescent="0.3">
      <c r="A12" t="s">
        <v>160</v>
      </c>
      <c r="B12" t="s">
        <v>92</v>
      </c>
      <c r="C12" s="6" t="str">
        <f>INDEX(CaseTypeSet!$B:$B,MATCH($B12,CaseTypeSet!$A:$A,0))</f>
        <v>case_type_set1,4</v>
      </c>
      <c r="E12" t="s">
        <v>124</v>
      </c>
      <c r="F12" s="6" t="str">
        <f>INDEX(CaseType!$B:$B,MATCH($E12,CaseType!$A:$A,0))</f>
        <v>case_type4</v>
      </c>
      <c r="H12"/>
    </row>
    <row r="13" spans="1:8" hidden="1" x14ac:dyDescent="0.3">
      <c r="A13" t="s">
        <v>161</v>
      </c>
      <c r="B13" t="s">
        <v>94</v>
      </c>
      <c r="C13" s="6" t="str">
        <f>INDEX(CaseTypeSet!$B:$B,MATCH($B13,CaseTypeSet!$A:$A,0))</f>
        <v>case_type_set1,5</v>
      </c>
      <c r="E13" t="s">
        <v>127</v>
      </c>
      <c r="F13" s="6" t="str">
        <f>INDEX(CaseType!$B:$B,MATCH($E13,CaseType!$A:$A,0))</f>
        <v>case_type5</v>
      </c>
      <c r="H13"/>
    </row>
    <row r="14" spans="1:8" x14ac:dyDescent="0.3">
      <c r="A14" t="s">
        <v>162</v>
      </c>
      <c r="B14" t="s">
        <v>94</v>
      </c>
      <c r="C14" s="6" t="str">
        <f>INDEX(CaseTypeSet!$B:$B,MATCH($B14,CaseTypeSet!$A:$A,0))</f>
        <v>case_type_set1,5</v>
      </c>
      <c r="E14" t="s">
        <v>115</v>
      </c>
      <c r="F14" s="6" t="str">
        <f>INDEX(CaseType!$B:$B,MATCH($E14,CaseType!$A:$A,0))</f>
        <v>case_type1</v>
      </c>
      <c r="H14" s="6" t="str">
        <f>$B14&amp;"|"&amp;$E14</f>
        <v>0195d18c-1cbc-cf9a-b28d-bd77d3b30365|0195d18c-1ca6-fd99-9d76-fcfa0c0cf400</v>
      </c>
    </row>
    <row r="15" spans="1:8" hidden="1" x14ac:dyDescent="0.3">
      <c r="A15" t="s">
        <v>163</v>
      </c>
      <c r="B15" t="s">
        <v>96</v>
      </c>
      <c r="C15" s="6" t="str">
        <f>INDEX(CaseTypeSet!$B:$B,MATCH($B15,CaseTypeSet!$A:$A,0))</f>
        <v>case_type_set2,3</v>
      </c>
      <c r="E15" t="s">
        <v>121</v>
      </c>
      <c r="F15" s="6" t="str">
        <f>INDEX(CaseType!$B:$B,MATCH($E15,CaseType!$A:$A,0))</f>
        <v>case_type3</v>
      </c>
      <c r="H15"/>
    </row>
    <row r="16" spans="1:8" hidden="1" x14ac:dyDescent="0.3">
      <c r="A16" t="s">
        <v>164</v>
      </c>
      <c r="B16" t="s">
        <v>96</v>
      </c>
      <c r="C16" s="6" t="str">
        <f>INDEX(CaseTypeSet!$B:$B,MATCH($B16,CaseTypeSet!$A:$A,0))</f>
        <v>case_type_set2,3</v>
      </c>
      <c r="E16" t="s">
        <v>118</v>
      </c>
      <c r="F16" s="6" t="str">
        <f>INDEX(CaseType!$B:$B,MATCH($E16,CaseType!$A:$A,0))</f>
        <v>case_type2</v>
      </c>
      <c r="H16"/>
    </row>
    <row r="17" spans="1:6" customFormat="1" hidden="1" x14ac:dyDescent="0.3">
      <c r="A17" t="s">
        <v>165</v>
      </c>
      <c r="B17" t="s">
        <v>98</v>
      </c>
      <c r="C17" s="6" t="str">
        <f>INDEX(CaseTypeSet!$B:$B,MATCH($B17,CaseTypeSet!$A:$A,0))</f>
        <v>case_type_set2,4</v>
      </c>
      <c r="E17" t="s">
        <v>124</v>
      </c>
      <c r="F17" s="6" t="str">
        <f>INDEX(CaseType!$B:$B,MATCH($E17,CaseType!$A:$A,0))</f>
        <v>case_type4</v>
      </c>
    </row>
    <row r="18" spans="1:6" customFormat="1" hidden="1" x14ac:dyDescent="0.3">
      <c r="A18" t="s">
        <v>166</v>
      </c>
      <c r="B18" t="s">
        <v>98</v>
      </c>
      <c r="C18" s="6" t="str">
        <f>INDEX(CaseTypeSet!$B:$B,MATCH($B18,CaseTypeSet!$A:$A,0))</f>
        <v>case_type_set2,4</v>
      </c>
      <c r="E18" t="s">
        <v>118</v>
      </c>
      <c r="F18" s="6" t="str">
        <f>INDEX(CaseType!$B:$B,MATCH($E18,CaseType!$A:$A,0))</f>
        <v>case_type2</v>
      </c>
    </row>
    <row r="19" spans="1:6" customFormat="1" hidden="1" x14ac:dyDescent="0.3">
      <c r="A19" t="s">
        <v>167</v>
      </c>
      <c r="B19" t="s">
        <v>100</v>
      </c>
      <c r="C19" s="6" t="str">
        <f>INDEX(CaseTypeSet!$B:$B,MATCH($B19,CaseTypeSet!$A:$A,0))</f>
        <v>case_type_set2,5</v>
      </c>
      <c r="E19" t="s">
        <v>127</v>
      </c>
      <c r="F19" s="6" t="str">
        <f>INDEX(CaseType!$B:$B,MATCH($E19,CaseType!$A:$A,0))</f>
        <v>case_type5</v>
      </c>
    </row>
    <row r="20" spans="1:6" customFormat="1" hidden="1" x14ac:dyDescent="0.3">
      <c r="A20" t="s">
        <v>168</v>
      </c>
      <c r="B20" t="s">
        <v>100</v>
      </c>
      <c r="C20" s="6" t="str">
        <f>INDEX(CaseTypeSet!$B:$B,MATCH($B20,CaseTypeSet!$A:$A,0))</f>
        <v>case_type_set2,5</v>
      </c>
      <c r="E20" t="s">
        <v>118</v>
      </c>
      <c r="F20" s="6" t="str">
        <f>INDEX(CaseType!$B:$B,MATCH($E20,CaseType!$A:$A,0))</f>
        <v>case_type2</v>
      </c>
    </row>
    <row r="21" spans="1:6" customFormat="1" hidden="1" x14ac:dyDescent="0.3">
      <c r="A21" t="s">
        <v>169</v>
      </c>
      <c r="B21" t="s">
        <v>102</v>
      </c>
      <c r="C21" s="6" t="str">
        <f>INDEX(CaseTypeSet!$B:$B,MATCH($B21,CaseTypeSet!$A:$A,0))</f>
        <v>case_type_set3,4</v>
      </c>
      <c r="E21" t="s">
        <v>121</v>
      </c>
      <c r="F21" s="6" t="str">
        <f>INDEX(CaseType!$B:$B,MATCH($E21,CaseType!$A:$A,0))</f>
        <v>case_type3</v>
      </c>
    </row>
    <row r="22" spans="1:6" customFormat="1" hidden="1" x14ac:dyDescent="0.3">
      <c r="A22" t="s">
        <v>170</v>
      </c>
      <c r="B22" t="s">
        <v>102</v>
      </c>
      <c r="C22" s="6" t="str">
        <f>INDEX(CaseTypeSet!$B:$B,MATCH($B22,CaseTypeSet!$A:$A,0))</f>
        <v>case_type_set3,4</v>
      </c>
      <c r="E22" t="s">
        <v>124</v>
      </c>
      <c r="F22" s="6" t="str">
        <f>INDEX(CaseType!$B:$B,MATCH($E22,CaseType!$A:$A,0))</f>
        <v>case_type4</v>
      </c>
    </row>
    <row r="23" spans="1:6" customFormat="1" hidden="1" x14ac:dyDescent="0.3">
      <c r="A23" t="s">
        <v>171</v>
      </c>
      <c r="B23" t="s">
        <v>104</v>
      </c>
      <c r="C23" s="6" t="str">
        <f>INDEX(CaseTypeSet!$B:$B,MATCH($B23,CaseTypeSet!$A:$A,0))</f>
        <v>case_type_set3,5</v>
      </c>
      <c r="E23" t="s">
        <v>121</v>
      </c>
      <c r="F23" s="6" t="str">
        <f>INDEX(CaseType!$B:$B,MATCH($E23,CaseType!$A:$A,0))</f>
        <v>case_type3</v>
      </c>
    </row>
    <row r="24" spans="1:6" customFormat="1" hidden="1" x14ac:dyDescent="0.3">
      <c r="A24" t="s">
        <v>172</v>
      </c>
      <c r="B24" t="s">
        <v>104</v>
      </c>
      <c r="C24" s="6" t="str">
        <f>INDEX(CaseTypeSet!$B:$B,MATCH($B24,CaseTypeSet!$A:$A,0))</f>
        <v>case_type_set3,5</v>
      </c>
      <c r="E24" t="s">
        <v>127</v>
      </c>
      <c r="F24" s="6" t="str">
        <f>INDEX(CaseType!$B:$B,MATCH($E24,CaseType!$A:$A,0))</f>
        <v>case_type5</v>
      </c>
    </row>
    <row r="25" spans="1:6" customFormat="1" hidden="1" x14ac:dyDescent="0.3">
      <c r="A25" t="s">
        <v>173</v>
      </c>
      <c r="B25" t="s">
        <v>106</v>
      </c>
      <c r="C25" s="6" t="str">
        <f>INDEX(CaseTypeSet!$B:$B,MATCH($B25,CaseTypeSet!$A:$A,0))</f>
        <v>case_type_set4,5</v>
      </c>
      <c r="E25" t="s">
        <v>127</v>
      </c>
      <c r="F25" s="6" t="str">
        <f>INDEX(CaseType!$B:$B,MATCH($E25,CaseType!$A:$A,0))</f>
        <v>case_type5</v>
      </c>
    </row>
    <row r="26" spans="1:6" customFormat="1" hidden="1" x14ac:dyDescent="0.3">
      <c r="A26" t="s">
        <v>174</v>
      </c>
      <c r="B26" t="s">
        <v>106</v>
      </c>
      <c r="C26" s="6" t="str">
        <f>INDEX(CaseTypeSet!$B:$B,MATCH($B26,CaseTypeSet!$A:$A,0))</f>
        <v>case_type_set4,5</v>
      </c>
      <c r="E26" t="s">
        <v>124</v>
      </c>
      <c r="F26" s="6" t="str">
        <f>INDEX(CaseType!$B:$B,MATCH($E26,CaseType!$A:$A,0))</f>
        <v>case_type4</v>
      </c>
    </row>
  </sheetData>
  <autoFilter ref="A1:G26" xr:uid="{00000000-0001-0000-0B00-000000000000}">
    <filterColumn colId="5">
      <filters>
        <filter val="case_type1"/>
      </filters>
    </filterColumn>
  </autoFilter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A12C-F397-4060-B31F-06C426A004AD}">
  <dimension ref="A1:L48"/>
  <sheetViews>
    <sheetView workbookViewId="0">
      <pane ySplit="1" topLeftCell="A14" activePane="bottomLeft" state="frozen"/>
      <selection pane="bottomLeft" activeCell="A42" sqref="A42"/>
    </sheetView>
  </sheetViews>
  <sheetFormatPr defaultRowHeight="14.4" x14ac:dyDescent="0.3"/>
  <cols>
    <col min="1" max="1" width="36" bestFit="1" customWidth="1"/>
    <col min="2" max="2" width="36.33203125" bestFit="1" customWidth="1"/>
    <col min="3" max="3" width="17" style="6" bestFit="1" customWidth="1"/>
    <col min="4" max="4" width="10.109375" bestFit="1" customWidth="1"/>
    <col min="5" max="5" width="36.21875" bestFit="1" customWidth="1"/>
    <col min="6" max="6" width="15.6640625" bestFit="1" customWidth="1"/>
    <col min="7" max="7" width="15.33203125" style="6" bestFit="1" customWidth="1"/>
    <col min="8" max="8" width="15.33203125" style="6" customWidth="1"/>
    <col min="9" max="9" width="7" style="6" bestFit="1" customWidth="1"/>
    <col min="10" max="10" width="7" bestFit="1" customWidth="1"/>
    <col min="11" max="11" width="36.77734375" style="6" bestFit="1" customWidth="1"/>
    <col min="12" max="12" width="49.6640625" bestFit="1" customWidth="1"/>
  </cols>
  <sheetData>
    <row r="1" spans="1:12" x14ac:dyDescent="0.3">
      <c r="A1" t="s">
        <v>0</v>
      </c>
      <c r="B1" t="s">
        <v>133</v>
      </c>
      <c r="C1" s="6" t="s">
        <v>920</v>
      </c>
      <c r="D1" t="s">
        <v>136</v>
      </c>
      <c r="E1" t="s">
        <v>175</v>
      </c>
      <c r="F1" t="s">
        <v>875</v>
      </c>
      <c r="G1" s="6" t="s">
        <v>876</v>
      </c>
      <c r="H1" s="6" t="s">
        <v>921</v>
      </c>
      <c r="I1" s="6" t="s">
        <v>137</v>
      </c>
      <c r="J1" t="s">
        <v>81</v>
      </c>
      <c r="K1" s="6" t="s">
        <v>138</v>
      </c>
      <c r="L1" t="s">
        <v>78</v>
      </c>
    </row>
    <row r="2" spans="1:12" x14ac:dyDescent="0.3">
      <c r="A2" t="s">
        <v>879</v>
      </c>
      <c r="B2" t="s">
        <v>115</v>
      </c>
      <c r="C2" s="6">
        <f>INDEX(CaseType!$C:$C,MATCH($B2,CaseType!$A:$A,0))</f>
        <v>1</v>
      </c>
      <c r="D2">
        <v>0</v>
      </c>
      <c r="E2" t="s">
        <v>438</v>
      </c>
      <c r="F2" t="b">
        <v>0</v>
      </c>
      <c r="G2" s="6" t="str">
        <f>INDEX(Dim!$B:$B,MATCH($E2,Dim!$A:$A,0))</f>
        <v>TEXT</v>
      </c>
      <c r="H2" s="6" t="str">
        <f>INDEX(Dim!$F:$F,MATCH($E2,Dim!$A:$A,0))</f>
        <v>1_</v>
      </c>
      <c r="I2" s="6" t="str">
        <f>$C2&amp;"_"&amp;$H2&amp;$D2</f>
        <v>1_1_0</v>
      </c>
      <c r="J2">
        <v>1</v>
      </c>
      <c r="K2" s="6" t="str">
        <f t="shared" ref="K2:K46" si="0">"case_type_dim"&amp;$I2</f>
        <v>case_type_dim1_1_0</v>
      </c>
    </row>
    <row r="3" spans="1:12" x14ac:dyDescent="0.3">
      <c r="A3" t="s">
        <v>880</v>
      </c>
      <c r="B3" t="s">
        <v>115</v>
      </c>
      <c r="C3" s="6">
        <f>INDEX(CaseType!$C:$C,MATCH($B3,CaseType!$A:$A,0))</f>
        <v>1</v>
      </c>
      <c r="D3">
        <v>0</v>
      </c>
      <c r="E3" t="s">
        <v>439</v>
      </c>
      <c r="F3" t="b">
        <v>0</v>
      </c>
      <c r="G3" s="6" t="str">
        <f>INDEX(Dim!$B:$B,MATCH($E3,Dim!$A:$A,0))</f>
        <v>TEXT</v>
      </c>
      <c r="H3" s="6" t="str">
        <f>INDEX(Dim!$F:$F,MATCH($E3,Dim!$A:$A,0))</f>
        <v>2_</v>
      </c>
      <c r="I3" s="6" t="str">
        <f t="shared" ref="I3:I48" si="1">$C3&amp;"_"&amp;$H3&amp;$D3</f>
        <v>1_2_0</v>
      </c>
      <c r="J3">
        <v>2</v>
      </c>
      <c r="K3" s="6" t="str">
        <f t="shared" si="0"/>
        <v>case_type_dim1_2_0</v>
      </c>
    </row>
    <row r="4" spans="1:12" x14ac:dyDescent="0.3">
      <c r="A4" t="s">
        <v>881</v>
      </c>
      <c r="B4" t="s">
        <v>115</v>
      </c>
      <c r="C4" s="6">
        <f>INDEX(CaseType!$C:$C,MATCH($B4,CaseType!$A:$A,0))</f>
        <v>1</v>
      </c>
      <c r="D4">
        <v>0</v>
      </c>
      <c r="E4" t="s">
        <v>440</v>
      </c>
      <c r="F4" t="b">
        <v>0</v>
      </c>
      <c r="G4" s="6" t="str">
        <f>INDEX(Dim!$B:$B,MATCH($E4,Dim!$A:$A,0))</f>
        <v>TEXT</v>
      </c>
      <c r="H4" s="6" t="str">
        <f>INDEX(Dim!$F:$F,MATCH($E4,Dim!$A:$A,0))</f>
        <v>3_</v>
      </c>
      <c r="I4" s="6" t="str">
        <f t="shared" si="1"/>
        <v>1_3_0</v>
      </c>
      <c r="J4">
        <v>3</v>
      </c>
      <c r="K4" s="6" t="str">
        <f t="shared" si="0"/>
        <v>case_type_dim1_3_0</v>
      </c>
    </row>
    <row r="5" spans="1:12" x14ac:dyDescent="0.3">
      <c r="A5" t="s">
        <v>882</v>
      </c>
      <c r="B5" t="s">
        <v>115</v>
      </c>
      <c r="C5" s="6">
        <f>INDEX(CaseType!$C:$C,MATCH($B5,CaseType!$A:$A,0))</f>
        <v>1</v>
      </c>
      <c r="D5">
        <v>0</v>
      </c>
      <c r="E5" t="s">
        <v>441</v>
      </c>
      <c r="F5" t="b">
        <v>0</v>
      </c>
      <c r="G5" s="6" t="str">
        <f>INDEX(Dim!$B:$B,MATCH($E5,Dim!$A:$A,0))</f>
        <v>TEXT</v>
      </c>
      <c r="H5" s="6" t="str">
        <f>INDEX(Dim!$F:$F,MATCH($E5,Dim!$A:$A,0))</f>
        <v>4_</v>
      </c>
      <c r="I5" s="6" t="str">
        <f t="shared" si="1"/>
        <v>1_4_0</v>
      </c>
      <c r="J5">
        <v>4</v>
      </c>
      <c r="K5" s="6" t="str">
        <f t="shared" si="0"/>
        <v>case_type_dim1_4_0</v>
      </c>
    </row>
    <row r="6" spans="1:12" x14ac:dyDescent="0.3">
      <c r="A6" t="s">
        <v>883</v>
      </c>
      <c r="B6" t="s">
        <v>115</v>
      </c>
      <c r="C6" s="6">
        <f>INDEX(CaseType!$C:$C,MATCH($B6,CaseType!$A:$A,0))</f>
        <v>1</v>
      </c>
      <c r="D6">
        <v>0</v>
      </c>
      <c r="E6" t="s">
        <v>442</v>
      </c>
      <c r="F6" t="b">
        <v>0</v>
      </c>
      <c r="G6" s="6" t="str">
        <f>INDEX(Dim!$B:$B,MATCH($E6,Dim!$A:$A,0))</f>
        <v>TEXT</v>
      </c>
      <c r="H6" s="6" t="str">
        <f>INDEX(Dim!$F:$F,MATCH($E6,Dim!$A:$A,0))</f>
        <v>5_</v>
      </c>
      <c r="I6" s="6" t="str">
        <f t="shared" si="1"/>
        <v>1_5_0</v>
      </c>
      <c r="J6">
        <v>5</v>
      </c>
      <c r="K6" s="6" t="str">
        <f t="shared" si="0"/>
        <v>case_type_dim1_5_0</v>
      </c>
    </row>
    <row r="7" spans="1:12" x14ac:dyDescent="0.3">
      <c r="A7" t="s">
        <v>884</v>
      </c>
      <c r="B7" t="s">
        <v>115</v>
      </c>
      <c r="C7" s="6">
        <f>INDEX(CaseType!$C:$C,MATCH($B7,CaseType!$A:$A,0))</f>
        <v>1</v>
      </c>
      <c r="D7">
        <v>0</v>
      </c>
      <c r="E7" t="s">
        <v>443</v>
      </c>
      <c r="F7" t="b">
        <v>0</v>
      </c>
      <c r="G7" s="6" t="str">
        <f>INDEX(Dim!$B:$B,MATCH($E7,Dim!$A:$A,0))</f>
        <v>TEXT</v>
      </c>
      <c r="H7" s="6" t="str">
        <f>INDEX(Dim!$F:$F,MATCH($E7,Dim!$A:$A,0))</f>
        <v>6_</v>
      </c>
      <c r="I7" s="6" t="str">
        <f t="shared" si="1"/>
        <v>1_6_0</v>
      </c>
      <c r="J7">
        <v>6</v>
      </c>
      <c r="K7" s="6" t="str">
        <f t="shared" si="0"/>
        <v>case_type_dim1_6_0</v>
      </c>
    </row>
    <row r="8" spans="1:12" x14ac:dyDescent="0.3">
      <c r="A8" t="s">
        <v>885</v>
      </c>
      <c r="B8" t="s">
        <v>115</v>
      </c>
      <c r="C8" s="6">
        <f>INDEX(CaseType!$C:$C,MATCH($B8,CaseType!$A:$A,0))</f>
        <v>1</v>
      </c>
      <c r="D8">
        <v>0</v>
      </c>
      <c r="E8" t="s">
        <v>444</v>
      </c>
      <c r="F8" t="b">
        <v>0</v>
      </c>
      <c r="G8" s="6" t="str">
        <f>INDEX(Dim!$B:$B,MATCH($E8,Dim!$A:$A,0))</f>
        <v>TEXT</v>
      </c>
      <c r="H8" s="6" t="str">
        <f>INDEX(Dim!$F:$F,MATCH($E8,Dim!$A:$A,0))</f>
        <v>7_</v>
      </c>
      <c r="I8" s="6" t="str">
        <f t="shared" si="1"/>
        <v>1_7_0</v>
      </c>
      <c r="J8">
        <v>7</v>
      </c>
      <c r="K8" s="6" t="str">
        <f t="shared" si="0"/>
        <v>case_type_dim1_7_0</v>
      </c>
    </row>
    <row r="9" spans="1:12" x14ac:dyDescent="0.3">
      <c r="A9" t="s">
        <v>886</v>
      </c>
      <c r="B9" t="s">
        <v>115</v>
      </c>
      <c r="C9" s="6">
        <f>INDEX(CaseType!$C:$C,MATCH($B9,CaseType!$A:$A,0))</f>
        <v>1</v>
      </c>
      <c r="D9">
        <v>0</v>
      </c>
      <c r="E9" t="s">
        <v>445</v>
      </c>
      <c r="F9" t="b">
        <v>0</v>
      </c>
      <c r="G9" s="6" t="str">
        <f>INDEX(Dim!$B:$B,MATCH($E9,Dim!$A:$A,0))</f>
        <v>TEXT</v>
      </c>
      <c r="H9" s="6" t="str">
        <f>INDEX(Dim!$F:$F,MATCH($E9,Dim!$A:$A,0))</f>
        <v>8_</v>
      </c>
      <c r="I9" s="6" t="str">
        <f t="shared" si="1"/>
        <v>1_8_0</v>
      </c>
      <c r="J9">
        <v>8</v>
      </c>
      <c r="K9" s="6" t="str">
        <f t="shared" si="0"/>
        <v>case_type_dim1_8_0</v>
      </c>
    </row>
    <row r="10" spans="1:12" x14ac:dyDescent="0.3">
      <c r="A10" t="s">
        <v>887</v>
      </c>
      <c r="B10" t="s">
        <v>115</v>
      </c>
      <c r="C10" s="6">
        <f>INDEX(CaseType!$C:$C,MATCH($B10,CaseType!$A:$A,0))</f>
        <v>1</v>
      </c>
      <c r="D10">
        <v>0</v>
      </c>
      <c r="E10" t="s">
        <v>446</v>
      </c>
      <c r="F10" t="b">
        <v>0</v>
      </c>
      <c r="G10" s="6" t="str">
        <f>INDEX(Dim!$B:$B,MATCH($E10,Dim!$A:$A,0))</f>
        <v>ORGANIZATION</v>
      </c>
      <c r="H10" s="6" t="str">
        <f>INDEX(Dim!$F:$F,MATCH($E10,Dim!$A:$A,0))</f>
        <v>9_</v>
      </c>
      <c r="I10" s="6" t="str">
        <f t="shared" si="1"/>
        <v>1_9_0</v>
      </c>
      <c r="J10">
        <v>9</v>
      </c>
      <c r="K10" s="6" t="str">
        <f t="shared" si="0"/>
        <v>case_type_dim1_9_0</v>
      </c>
    </row>
    <row r="11" spans="1:12" x14ac:dyDescent="0.3">
      <c r="A11" t="s">
        <v>888</v>
      </c>
      <c r="B11" t="s">
        <v>115</v>
      </c>
      <c r="C11" s="6">
        <f>INDEX(CaseType!$C:$C,MATCH($B11,CaseType!$A:$A,0))</f>
        <v>1</v>
      </c>
      <c r="D11">
        <v>0</v>
      </c>
      <c r="E11" t="s">
        <v>447</v>
      </c>
      <c r="F11" t="b">
        <v>0</v>
      </c>
      <c r="G11" s="6" t="str">
        <f>INDEX(Dim!$B:$B,MATCH($E11,Dim!$A:$A,0))</f>
        <v>ORGANIZATION</v>
      </c>
      <c r="H11" s="6" t="str">
        <f>INDEX(Dim!$F:$F,MATCH($E11,Dim!$A:$A,0))</f>
        <v>10_</v>
      </c>
      <c r="I11" s="6" t="str">
        <f t="shared" si="1"/>
        <v>1_10_0</v>
      </c>
      <c r="J11">
        <v>10</v>
      </c>
      <c r="K11" s="6" t="str">
        <f t="shared" si="0"/>
        <v>case_type_dim1_10_0</v>
      </c>
    </row>
    <row r="12" spans="1:12" x14ac:dyDescent="0.3">
      <c r="A12" t="s">
        <v>889</v>
      </c>
      <c r="B12" t="s">
        <v>115</v>
      </c>
      <c r="C12" s="6">
        <f>INDEX(CaseType!$C:$C,MATCH($B12,CaseType!$A:$A,0))</f>
        <v>1</v>
      </c>
      <c r="D12">
        <v>0</v>
      </c>
      <c r="E12" t="s">
        <v>448</v>
      </c>
      <c r="F12" t="b">
        <v>0</v>
      </c>
      <c r="G12" s="6" t="str">
        <f>INDEX(Dim!$B:$B,MATCH($E12,Dim!$A:$A,0))</f>
        <v>GEO</v>
      </c>
      <c r="H12" s="6" t="str">
        <f>INDEX(Dim!$F:$F,MATCH($E12,Dim!$A:$A,0))</f>
        <v>11_</v>
      </c>
      <c r="I12" s="6" t="str">
        <f t="shared" si="1"/>
        <v>1_11_0</v>
      </c>
      <c r="J12">
        <v>11</v>
      </c>
      <c r="K12" s="6" t="str">
        <f t="shared" si="0"/>
        <v>case_type_dim1_11_0</v>
      </c>
    </row>
    <row r="13" spans="1:12" x14ac:dyDescent="0.3">
      <c r="A13" t="s">
        <v>890</v>
      </c>
      <c r="B13" t="s">
        <v>115</v>
      </c>
      <c r="C13" s="6">
        <f>INDEX(CaseType!$C:$C,MATCH($B13,CaseType!$A:$A,0))</f>
        <v>1</v>
      </c>
      <c r="D13">
        <v>0</v>
      </c>
      <c r="E13" t="s">
        <v>449</v>
      </c>
      <c r="F13" t="b">
        <v>0</v>
      </c>
      <c r="G13" s="6" t="str">
        <f>INDEX(Dim!$B:$B,MATCH($E13,Dim!$A:$A,0))</f>
        <v>GEO</v>
      </c>
      <c r="H13" s="6" t="str">
        <f>INDEX(Dim!$F:$F,MATCH($E13,Dim!$A:$A,0))</f>
        <v>12_</v>
      </c>
      <c r="I13" s="6" t="str">
        <f t="shared" si="1"/>
        <v>1_12_0</v>
      </c>
      <c r="J13">
        <v>12</v>
      </c>
      <c r="K13" s="6" t="str">
        <f t="shared" si="0"/>
        <v>case_type_dim1_12_0</v>
      </c>
    </row>
    <row r="14" spans="1:12" x14ac:dyDescent="0.3">
      <c r="A14" t="s">
        <v>891</v>
      </c>
      <c r="B14" t="s">
        <v>115</v>
      </c>
      <c r="C14" s="6">
        <f>INDEX(CaseType!$C:$C,MATCH($B14,CaseType!$A:$A,0))</f>
        <v>1</v>
      </c>
      <c r="D14">
        <v>0</v>
      </c>
      <c r="E14" t="s">
        <v>450</v>
      </c>
      <c r="F14" t="b">
        <v>0</v>
      </c>
      <c r="G14" s="6" t="str">
        <f>INDEX(Dim!$B:$B,MATCH($E14,Dim!$A:$A,0))</f>
        <v>TIME</v>
      </c>
      <c r="H14" s="6" t="str">
        <f>INDEX(Dim!$F:$F,MATCH($E14,Dim!$A:$A,0))</f>
        <v>13_</v>
      </c>
      <c r="I14" s="6" t="str">
        <f t="shared" si="1"/>
        <v>1_13_0</v>
      </c>
      <c r="J14">
        <v>13</v>
      </c>
      <c r="K14" s="6" t="str">
        <f t="shared" si="0"/>
        <v>case_type_dim1_13_0</v>
      </c>
    </row>
    <row r="15" spans="1:12" x14ac:dyDescent="0.3">
      <c r="A15" t="s">
        <v>892</v>
      </c>
      <c r="B15" t="s">
        <v>115</v>
      </c>
      <c r="C15" s="6">
        <f>INDEX(CaseType!$C:$C,MATCH($B15,CaseType!$A:$A,0))</f>
        <v>1</v>
      </c>
      <c r="D15">
        <v>0</v>
      </c>
      <c r="E15" t="s">
        <v>451</v>
      </c>
      <c r="F15" t="b">
        <v>0</v>
      </c>
      <c r="G15" s="6" t="str">
        <f>INDEX(Dim!$B:$B,MATCH($E15,Dim!$A:$A,0))</f>
        <v>TIME</v>
      </c>
      <c r="H15" s="6" t="str">
        <f>INDEX(Dim!$F:$F,MATCH($E15,Dim!$A:$A,0))</f>
        <v>14_</v>
      </c>
      <c r="I15" s="6" t="str">
        <f t="shared" si="1"/>
        <v>1_14_0</v>
      </c>
      <c r="J15">
        <v>14</v>
      </c>
      <c r="K15" s="6" t="str">
        <f t="shared" si="0"/>
        <v>case_type_dim1_14_0</v>
      </c>
    </row>
    <row r="16" spans="1:12" x14ac:dyDescent="0.3">
      <c r="A16" t="s">
        <v>893</v>
      </c>
      <c r="B16" t="s">
        <v>115</v>
      </c>
      <c r="C16" s="6">
        <f>INDEX(CaseType!$C:$C,MATCH($B16,CaseType!$A:$A,0))</f>
        <v>1</v>
      </c>
      <c r="D16">
        <v>0</v>
      </c>
      <c r="E16" t="s">
        <v>452</v>
      </c>
      <c r="F16" t="b">
        <v>0</v>
      </c>
      <c r="G16" s="6" t="str">
        <f>INDEX(Dim!$B:$B,MATCH($E16,Dim!$A:$A,0))</f>
        <v>IDENTIFIER</v>
      </c>
      <c r="H16" s="6" t="str">
        <f>INDEX(Dim!$F:$F,MATCH($E16,Dim!$A:$A,0))</f>
        <v>15_</v>
      </c>
      <c r="I16" s="6" t="str">
        <f t="shared" si="1"/>
        <v>1_15_0</v>
      </c>
      <c r="J16">
        <v>15</v>
      </c>
      <c r="K16" s="6" t="str">
        <f t="shared" si="0"/>
        <v>case_type_dim1_15_0</v>
      </c>
    </row>
    <row r="17" spans="1:11" x14ac:dyDescent="0.3">
      <c r="A17" t="s">
        <v>894</v>
      </c>
      <c r="B17" t="s">
        <v>115</v>
      </c>
      <c r="C17" s="6">
        <f>INDEX(CaseType!$C:$C,MATCH($B17,CaseType!$A:$A,0))</f>
        <v>1</v>
      </c>
      <c r="D17">
        <v>0</v>
      </c>
      <c r="E17" t="s">
        <v>453</v>
      </c>
      <c r="F17" t="b">
        <v>0</v>
      </c>
      <c r="G17" s="6" t="str">
        <f>INDEX(Dim!$B:$B,MATCH($E17,Dim!$A:$A,0))</f>
        <v>IDENTIFIER</v>
      </c>
      <c r="H17" s="6" t="str">
        <f>INDEX(Dim!$F:$F,MATCH($E17,Dim!$A:$A,0))</f>
        <v>16_</v>
      </c>
      <c r="I17" s="6" t="str">
        <f t="shared" si="1"/>
        <v>1_16_0</v>
      </c>
      <c r="J17">
        <v>16</v>
      </c>
      <c r="K17" s="6" t="str">
        <f t="shared" si="0"/>
        <v>case_type_dim1_16_0</v>
      </c>
    </row>
    <row r="18" spans="1:11" x14ac:dyDescent="0.3">
      <c r="A18" t="s">
        <v>895</v>
      </c>
      <c r="B18" t="s">
        <v>115</v>
      </c>
      <c r="C18" s="6">
        <f>INDEX(CaseType!$C:$C,MATCH($B18,CaseType!$A:$A,0))</f>
        <v>1</v>
      </c>
      <c r="D18">
        <v>0</v>
      </c>
      <c r="E18" t="s">
        <v>454</v>
      </c>
      <c r="F18" t="b">
        <v>0</v>
      </c>
      <c r="G18" s="6" t="str">
        <f>INDEX(Dim!$B:$B,MATCH($E18,Dim!$A:$A,0))</f>
        <v>NUMBER</v>
      </c>
      <c r="H18" s="6" t="str">
        <f>INDEX(Dim!$F:$F,MATCH($E18,Dim!$A:$A,0))</f>
        <v>17_</v>
      </c>
      <c r="I18" s="6" t="str">
        <f t="shared" si="1"/>
        <v>1_17_0</v>
      </c>
      <c r="J18">
        <v>17</v>
      </c>
      <c r="K18" s="6" t="str">
        <f t="shared" si="0"/>
        <v>case_type_dim1_17_0</v>
      </c>
    </row>
    <row r="19" spans="1:11" x14ac:dyDescent="0.3">
      <c r="A19" t="s">
        <v>896</v>
      </c>
      <c r="B19" t="s">
        <v>115</v>
      </c>
      <c r="C19" s="6">
        <f>INDEX(CaseType!$C:$C,MATCH($B19,CaseType!$A:$A,0))</f>
        <v>1</v>
      </c>
      <c r="D19">
        <v>0</v>
      </c>
      <c r="E19" t="s">
        <v>455</v>
      </c>
      <c r="F19" t="b">
        <v>0</v>
      </c>
      <c r="G19" s="6" t="str">
        <f>INDEX(Dim!$B:$B,MATCH($E19,Dim!$A:$A,0))</f>
        <v>NUMBER</v>
      </c>
      <c r="H19" s="6" t="str">
        <f>INDEX(Dim!$F:$F,MATCH($E19,Dim!$A:$A,0))</f>
        <v>18_</v>
      </c>
      <c r="I19" s="6" t="str">
        <f t="shared" si="1"/>
        <v>1_18_0</v>
      </c>
      <c r="J19">
        <v>18</v>
      </c>
      <c r="K19" s="6" t="str">
        <f t="shared" si="0"/>
        <v>case_type_dim1_18_0</v>
      </c>
    </row>
    <row r="20" spans="1:11" x14ac:dyDescent="0.3">
      <c r="A20" t="s">
        <v>1169</v>
      </c>
      <c r="B20" t="s">
        <v>115</v>
      </c>
      <c r="C20" s="6">
        <f>INDEX(CaseType!$C:$C,MATCH($B20,CaseType!$A:$A,0))</f>
        <v>1</v>
      </c>
      <c r="D20">
        <v>0</v>
      </c>
      <c r="E20" t="s">
        <v>1085</v>
      </c>
      <c r="F20" t="b">
        <v>0</v>
      </c>
      <c r="G20" s="6" t="str">
        <f>INDEX(Dim!$B:$B,MATCH($E20,Dim!$A:$A,0))</f>
        <v>TEXT</v>
      </c>
      <c r="H20" s="6" t="str">
        <f>INDEX(Dim!$F:$F,MATCH($E20,Dim!$A:$A,0))</f>
        <v>19_</v>
      </c>
      <c r="I20" s="6" t="str">
        <f t="shared" si="1"/>
        <v>1_19_0</v>
      </c>
      <c r="J20">
        <v>18</v>
      </c>
      <c r="K20" s="6" t="str">
        <f t="shared" si="0"/>
        <v>case_type_dim1_19_0</v>
      </c>
    </row>
    <row r="21" spans="1:11" x14ac:dyDescent="0.3">
      <c r="A21" t="s">
        <v>1170</v>
      </c>
      <c r="B21" t="s">
        <v>115</v>
      </c>
      <c r="C21" s="6">
        <f>INDEX(CaseType!$C:$C,MATCH($B21,CaseType!$A:$A,0))</f>
        <v>1</v>
      </c>
      <c r="D21">
        <v>0</v>
      </c>
      <c r="E21" t="s">
        <v>1086</v>
      </c>
      <c r="F21" t="b">
        <v>0</v>
      </c>
      <c r="G21" s="6" t="str">
        <f>INDEX(Dim!$B:$B,MATCH($E21,Dim!$A:$A,0))</f>
        <v>TEXT</v>
      </c>
      <c r="H21" s="6" t="str">
        <f>INDEX(Dim!$F:$F,MATCH($E21,Dim!$A:$A,0))</f>
        <v>20_</v>
      </c>
      <c r="I21" s="6" t="str">
        <f t="shared" si="1"/>
        <v>1_20_0</v>
      </c>
      <c r="J21">
        <v>18</v>
      </c>
      <c r="K21" s="6" t="str">
        <f t="shared" si="0"/>
        <v>case_type_dim1_20_0</v>
      </c>
    </row>
    <row r="22" spans="1:11" x14ac:dyDescent="0.3">
      <c r="A22" t="s">
        <v>897</v>
      </c>
      <c r="B22" t="s">
        <v>115</v>
      </c>
      <c r="C22" s="6">
        <f>INDEX(CaseType!$C:$C,MATCH($B22,CaseType!$A:$A,0))</f>
        <v>1</v>
      </c>
      <c r="D22">
        <v>0</v>
      </c>
      <c r="E22" t="s">
        <v>456</v>
      </c>
      <c r="F22" t="b">
        <v>0</v>
      </c>
      <c r="G22" s="6" t="str">
        <f>INDEX(Dim!$B:$B,MATCH($E22,Dim!$A:$A,0))</f>
        <v>OTHER</v>
      </c>
      <c r="H22" s="6" t="str">
        <f>INDEX(Dim!$F:$F,MATCH($E22,Dim!$A:$A,0))</f>
        <v>21_</v>
      </c>
      <c r="I22" s="6" t="str">
        <f t="shared" si="1"/>
        <v>1_21_0</v>
      </c>
      <c r="J22">
        <v>19</v>
      </c>
      <c r="K22" s="6" t="str">
        <f t="shared" si="0"/>
        <v>case_type_dim1_21_0</v>
      </c>
    </row>
    <row r="23" spans="1:11" x14ac:dyDescent="0.3">
      <c r="A23" t="s">
        <v>898</v>
      </c>
      <c r="B23" t="s">
        <v>115</v>
      </c>
      <c r="C23" s="6">
        <f>INDEX(CaseType!$C:$C,MATCH($B23,CaseType!$A:$A,0))</f>
        <v>1</v>
      </c>
      <c r="D23">
        <v>0</v>
      </c>
      <c r="E23" t="s">
        <v>457</v>
      </c>
      <c r="F23" t="b">
        <v>0</v>
      </c>
      <c r="G23" s="6" t="str">
        <f>INDEX(Dim!$B:$B,MATCH($E23,Dim!$A:$A,0))</f>
        <v>OTHER</v>
      </c>
      <c r="H23" s="6" t="str">
        <f>INDEX(Dim!$F:$F,MATCH($E23,Dim!$A:$A,0))</f>
        <v>22_</v>
      </c>
      <c r="I23" s="6" t="str">
        <f t="shared" si="1"/>
        <v>1_22_0</v>
      </c>
      <c r="J23">
        <v>20</v>
      </c>
      <c r="K23" s="6" t="str">
        <f t="shared" si="0"/>
        <v>case_type_dim1_22_0</v>
      </c>
    </row>
    <row r="24" spans="1:11" x14ac:dyDescent="0.3">
      <c r="A24" t="s">
        <v>899</v>
      </c>
      <c r="B24" t="s">
        <v>118</v>
      </c>
      <c r="C24" s="6">
        <f>INDEX(CaseType!$C:$C,MATCH($B24,CaseType!$A:$A,0))</f>
        <v>2</v>
      </c>
      <c r="D24">
        <v>0</v>
      </c>
      <c r="E24" t="s">
        <v>438</v>
      </c>
      <c r="F24" t="b">
        <v>0</v>
      </c>
      <c r="G24" s="6" t="str">
        <f>INDEX(Dim!$B:$B,MATCH($E24,Dim!$A:$A,0))</f>
        <v>TEXT</v>
      </c>
      <c r="H24" s="6" t="str">
        <f>INDEX(Dim!$F:$F,MATCH($E24,Dim!$A:$A,0))</f>
        <v>1_</v>
      </c>
      <c r="I24" s="6" t="str">
        <f t="shared" si="1"/>
        <v>2_1_0</v>
      </c>
      <c r="J24">
        <v>1</v>
      </c>
      <c r="K24" s="6" t="str">
        <f t="shared" si="0"/>
        <v>case_type_dim2_1_0</v>
      </c>
    </row>
    <row r="25" spans="1:11" x14ac:dyDescent="0.3">
      <c r="A25" t="s">
        <v>900</v>
      </c>
      <c r="B25" t="s">
        <v>118</v>
      </c>
      <c r="C25" s="6">
        <f>INDEX(CaseType!$C:$C,MATCH($B25,CaseType!$A:$A,0))</f>
        <v>2</v>
      </c>
      <c r="D25">
        <v>0</v>
      </c>
      <c r="E25" t="s">
        <v>439</v>
      </c>
      <c r="F25" t="b">
        <v>0</v>
      </c>
      <c r="G25" s="6" t="str">
        <f>INDEX(Dim!$B:$B,MATCH($E25,Dim!$A:$A,0))</f>
        <v>TEXT</v>
      </c>
      <c r="H25" s="6" t="str">
        <f>INDEX(Dim!$F:$F,MATCH($E25,Dim!$A:$A,0))</f>
        <v>2_</v>
      </c>
      <c r="I25" s="6" t="str">
        <f t="shared" si="1"/>
        <v>2_2_0</v>
      </c>
      <c r="J25">
        <v>2</v>
      </c>
      <c r="K25" s="6" t="str">
        <f t="shared" si="0"/>
        <v>case_type_dim2_2_0</v>
      </c>
    </row>
    <row r="26" spans="1:11" x14ac:dyDescent="0.3">
      <c r="A26" t="s">
        <v>901</v>
      </c>
      <c r="B26" t="s">
        <v>118</v>
      </c>
      <c r="C26" s="6">
        <f>INDEX(CaseType!$C:$C,MATCH($B26,CaseType!$A:$A,0))</f>
        <v>2</v>
      </c>
      <c r="D26">
        <v>0</v>
      </c>
      <c r="E26" t="s">
        <v>440</v>
      </c>
      <c r="F26" t="b">
        <v>0</v>
      </c>
      <c r="G26" s="6" t="str">
        <f>INDEX(Dim!$B:$B,MATCH($E26,Dim!$A:$A,0))</f>
        <v>TEXT</v>
      </c>
      <c r="H26" s="6" t="str">
        <f>INDEX(Dim!$F:$F,MATCH($E26,Dim!$A:$A,0))</f>
        <v>3_</v>
      </c>
      <c r="I26" s="6" t="str">
        <f t="shared" si="1"/>
        <v>2_3_0</v>
      </c>
      <c r="J26">
        <v>3</v>
      </c>
      <c r="K26" s="6" t="str">
        <f t="shared" si="0"/>
        <v>case_type_dim2_3_0</v>
      </c>
    </row>
    <row r="27" spans="1:11" x14ac:dyDescent="0.3">
      <c r="A27" t="s">
        <v>902</v>
      </c>
      <c r="B27" t="s">
        <v>118</v>
      </c>
      <c r="C27" s="6">
        <f>INDEX(CaseType!$C:$C,MATCH($B27,CaseType!$A:$A,0))</f>
        <v>2</v>
      </c>
      <c r="D27">
        <v>0</v>
      </c>
      <c r="E27" t="s">
        <v>441</v>
      </c>
      <c r="F27" t="b">
        <v>0</v>
      </c>
      <c r="G27" s="6" t="str">
        <f>INDEX(Dim!$B:$B,MATCH($E27,Dim!$A:$A,0))</f>
        <v>TEXT</v>
      </c>
      <c r="H27" s="6" t="str">
        <f>INDEX(Dim!$F:$F,MATCH($E27,Dim!$A:$A,0))</f>
        <v>4_</v>
      </c>
      <c r="I27" s="6" t="str">
        <f t="shared" si="1"/>
        <v>2_4_0</v>
      </c>
      <c r="J27">
        <v>4</v>
      </c>
      <c r="K27" s="6" t="str">
        <f t="shared" si="0"/>
        <v>case_type_dim2_4_0</v>
      </c>
    </row>
    <row r="28" spans="1:11" x14ac:dyDescent="0.3">
      <c r="A28" t="s">
        <v>903</v>
      </c>
      <c r="B28" t="s">
        <v>118</v>
      </c>
      <c r="C28" s="6">
        <f>INDEX(CaseType!$C:$C,MATCH($B28,CaseType!$A:$A,0))</f>
        <v>2</v>
      </c>
      <c r="D28">
        <v>0</v>
      </c>
      <c r="E28" t="s">
        <v>442</v>
      </c>
      <c r="F28" t="b">
        <v>0</v>
      </c>
      <c r="G28" s="6" t="str">
        <f>INDEX(Dim!$B:$B,MATCH($E28,Dim!$A:$A,0))</f>
        <v>TEXT</v>
      </c>
      <c r="H28" s="6" t="str">
        <f>INDEX(Dim!$F:$F,MATCH($E28,Dim!$A:$A,0))</f>
        <v>5_</v>
      </c>
      <c r="I28" s="6" t="str">
        <f t="shared" si="1"/>
        <v>2_5_0</v>
      </c>
      <c r="J28">
        <v>5</v>
      </c>
      <c r="K28" s="6" t="str">
        <f t="shared" si="0"/>
        <v>case_type_dim2_5_0</v>
      </c>
    </row>
    <row r="29" spans="1:11" x14ac:dyDescent="0.3">
      <c r="A29" t="s">
        <v>904</v>
      </c>
      <c r="B29" t="s">
        <v>118</v>
      </c>
      <c r="C29" s="6">
        <f>INDEX(CaseType!$C:$C,MATCH($B29,CaseType!$A:$A,0))</f>
        <v>2</v>
      </c>
      <c r="D29">
        <v>0</v>
      </c>
      <c r="E29" t="s">
        <v>443</v>
      </c>
      <c r="F29" t="b">
        <v>0</v>
      </c>
      <c r="G29" s="6" t="str">
        <f>INDEX(Dim!$B:$B,MATCH($E29,Dim!$A:$A,0))</f>
        <v>TEXT</v>
      </c>
      <c r="H29" s="6" t="str">
        <f>INDEX(Dim!$F:$F,MATCH($E29,Dim!$A:$A,0))</f>
        <v>6_</v>
      </c>
      <c r="I29" s="6" t="str">
        <f t="shared" si="1"/>
        <v>2_6_0</v>
      </c>
      <c r="J29">
        <v>6</v>
      </c>
      <c r="K29" s="6" t="str">
        <f t="shared" si="0"/>
        <v>case_type_dim2_6_0</v>
      </c>
    </row>
    <row r="30" spans="1:11" x14ac:dyDescent="0.3">
      <c r="A30" t="s">
        <v>905</v>
      </c>
      <c r="B30" t="s">
        <v>118</v>
      </c>
      <c r="C30" s="6">
        <f>INDEX(CaseType!$C:$C,MATCH($B30,CaseType!$A:$A,0))</f>
        <v>2</v>
      </c>
      <c r="D30">
        <v>0</v>
      </c>
      <c r="E30" t="s">
        <v>444</v>
      </c>
      <c r="F30" t="b">
        <v>0</v>
      </c>
      <c r="G30" s="6" t="str">
        <f>INDEX(Dim!$B:$B,MATCH($E30,Dim!$A:$A,0))</f>
        <v>TEXT</v>
      </c>
      <c r="H30" s="6" t="str">
        <f>INDEX(Dim!$F:$F,MATCH($E30,Dim!$A:$A,0))</f>
        <v>7_</v>
      </c>
      <c r="I30" s="6" t="str">
        <f t="shared" si="1"/>
        <v>2_7_0</v>
      </c>
      <c r="J30">
        <v>7</v>
      </c>
      <c r="K30" s="6" t="str">
        <f t="shared" si="0"/>
        <v>case_type_dim2_7_0</v>
      </c>
    </row>
    <row r="31" spans="1:11" x14ac:dyDescent="0.3">
      <c r="A31" t="s">
        <v>906</v>
      </c>
      <c r="B31" t="s">
        <v>118</v>
      </c>
      <c r="C31" s="6">
        <f>INDEX(CaseType!$C:$C,MATCH($B31,CaseType!$A:$A,0))</f>
        <v>2</v>
      </c>
      <c r="D31">
        <v>0</v>
      </c>
      <c r="E31" t="s">
        <v>445</v>
      </c>
      <c r="F31" t="b">
        <v>0</v>
      </c>
      <c r="G31" s="6" t="str">
        <f>INDEX(Dim!$B:$B,MATCH($E31,Dim!$A:$A,0))</f>
        <v>TEXT</v>
      </c>
      <c r="H31" s="6" t="str">
        <f>INDEX(Dim!$F:$F,MATCH($E31,Dim!$A:$A,0))</f>
        <v>8_</v>
      </c>
      <c r="I31" s="6" t="str">
        <f t="shared" si="1"/>
        <v>2_8_0</v>
      </c>
      <c r="J31">
        <v>8</v>
      </c>
      <c r="K31" s="6" t="str">
        <f t="shared" si="0"/>
        <v>case_type_dim2_8_0</v>
      </c>
    </row>
    <row r="32" spans="1:11" x14ac:dyDescent="0.3">
      <c r="A32" t="s">
        <v>907</v>
      </c>
      <c r="B32" t="s">
        <v>118</v>
      </c>
      <c r="C32" s="6">
        <f>INDEX(CaseType!$C:$C,MATCH($B32,CaseType!$A:$A,0))</f>
        <v>2</v>
      </c>
      <c r="D32">
        <v>0</v>
      </c>
      <c r="E32" t="s">
        <v>446</v>
      </c>
      <c r="F32" t="b">
        <v>0</v>
      </c>
      <c r="G32" s="6" t="str">
        <f>INDEX(Dim!$B:$B,MATCH($E32,Dim!$A:$A,0))</f>
        <v>ORGANIZATION</v>
      </c>
      <c r="H32" s="6" t="str">
        <f>INDEX(Dim!$F:$F,MATCH($E32,Dim!$A:$A,0))</f>
        <v>9_</v>
      </c>
      <c r="I32" s="6" t="str">
        <f t="shared" si="1"/>
        <v>2_9_0</v>
      </c>
      <c r="J32">
        <v>9</v>
      </c>
      <c r="K32" s="6" t="str">
        <f t="shared" si="0"/>
        <v>case_type_dim2_9_0</v>
      </c>
    </row>
    <row r="33" spans="1:11" x14ac:dyDescent="0.3">
      <c r="A33" t="s">
        <v>908</v>
      </c>
      <c r="B33" t="s">
        <v>118</v>
      </c>
      <c r="C33" s="6">
        <f>INDEX(CaseType!$C:$C,MATCH($B33,CaseType!$A:$A,0))</f>
        <v>2</v>
      </c>
      <c r="D33">
        <v>0</v>
      </c>
      <c r="E33" t="s">
        <v>447</v>
      </c>
      <c r="F33" t="b">
        <v>0</v>
      </c>
      <c r="G33" s="6" t="str">
        <f>INDEX(Dim!$B:$B,MATCH($E33,Dim!$A:$A,0))</f>
        <v>ORGANIZATION</v>
      </c>
      <c r="H33" s="6" t="str">
        <f>INDEX(Dim!$F:$F,MATCH($E33,Dim!$A:$A,0))</f>
        <v>10_</v>
      </c>
      <c r="I33" s="6" t="str">
        <f t="shared" si="1"/>
        <v>2_10_0</v>
      </c>
      <c r="J33">
        <v>10</v>
      </c>
      <c r="K33" s="6" t="str">
        <f t="shared" si="0"/>
        <v>case_type_dim2_10_0</v>
      </c>
    </row>
    <row r="34" spans="1:11" x14ac:dyDescent="0.3">
      <c r="A34" t="s">
        <v>909</v>
      </c>
      <c r="B34" t="s">
        <v>118</v>
      </c>
      <c r="C34" s="6">
        <f>INDEX(CaseType!$C:$C,MATCH($B34,CaseType!$A:$A,0))</f>
        <v>2</v>
      </c>
      <c r="D34">
        <v>0</v>
      </c>
      <c r="E34" t="s">
        <v>448</v>
      </c>
      <c r="F34" t="b">
        <v>0</v>
      </c>
      <c r="G34" s="6" t="str">
        <f>INDEX(Dim!$B:$B,MATCH($E34,Dim!$A:$A,0))</f>
        <v>GEO</v>
      </c>
      <c r="H34" s="6" t="str">
        <f>INDEX(Dim!$F:$F,MATCH($E34,Dim!$A:$A,0))</f>
        <v>11_</v>
      </c>
      <c r="I34" s="6" t="str">
        <f t="shared" si="1"/>
        <v>2_11_0</v>
      </c>
      <c r="J34">
        <v>11</v>
      </c>
      <c r="K34" s="6" t="str">
        <f t="shared" si="0"/>
        <v>case_type_dim2_11_0</v>
      </c>
    </row>
    <row r="35" spans="1:11" x14ac:dyDescent="0.3">
      <c r="A35" t="s">
        <v>910</v>
      </c>
      <c r="B35" t="s">
        <v>118</v>
      </c>
      <c r="C35" s="6">
        <f>INDEX(CaseType!$C:$C,MATCH($B35,CaseType!$A:$A,0))</f>
        <v>2</v>
      </c>
      <c r="D35">
        <v>0</v>
      </c>
      <c r="E35" t="s">
        <v>449</v>
      </c>
      <c r="F35" t="b">
        <v>0</v>
      </c>
      <c r="G35" s="6" t="str">
        <f>INDEX(Dim!$B:$B,MATCH($E35,Dim!$A:$A,0))</f>
        <v>GEO</v>
      </c>
      <c r="H35" s="6" t="str">
        <f>INDEX(Dim!$F:$F,MATCH($E35,Dim!$A:$A,0))</f>
        <v>12_</v>
      </c>
      <c r="I35" s="6" t="str">
        <f t="shared" si="1"/>
        <v>2_12_0</v>
      </c>
      <c r="J35">
        <v>12</v>
      </c>
      <c r="K35" s="6" t="str">
        <f t="shared" si="0"/>
        <v>case_type_dim2_12_0</v>
      </c>
    </row>
    <row r="36" spans="1:11" x14ac:dyDescent="0.3">
      <c r="A36" t="s">
        <v>911</v>
      </c>
      <c r="B36" t="s">
        <v>118</v>
      </c>
      <c r="C36" s="6">
        <f>INDEX(CaseType!$C:$C,MATCH($B36,CaseType!$A:$A,0))</f>
        <v>2</v>
      </c>
      <c r="D36">
        <v>0</v>
      </c>
      <c r="E36" t="s">
        <v>450</v>
      </c>
      <c r="F36" t="b">
        <v>0</v>
      </c>
      <c r="G36" s="6" t="str">
        <f>INDEX(Dim!$B:$B,MATCH($E36,Dim!$A:$A,0))</f>
        <v>TIME</v>
      </c>
      <c r="H36" s="6" t="str">
        <f>INDEX(Dim!$F:$F,MATCH($E36,Dim!$A:$A,0))</f>
        <v>13_</v>
      </c>
      <c r="I36" s="6" t="str">
        <f t="shared" si="1"/>
        <v>2_13_0</v>
      </c>
      <c r="J36">
        <v>13</v>
      </c>
      <c r="K36" s="6" t="str">
        <f t="shared" si="0"/>
        <v>case_type_dim2_13_0</v>
      </c>
    </row>
    <row r="37" spans="1:11" x14ac:dyDescent="0.3">
      <c r="A37" t="s">
        <v>912</v>
      </c>
      <c r="B37" t="s">
        <v>118</v>
      </c>
      <c r="C37" s="6">
        <f>INDEX(CaseType!$C:$C,MATCH($B37,CaseType!$A:$A,0))</f>
        <v>2</v>
      </c>
      <c r="D37">
        <v>0</v>
      </c>
      <c r="E37" t="s">
        <v>451</v>
      </c>
      <c r="F37" t="b">
        <v>0</v>
      </c>
      <c r="G37" s="6" t="str">
        <f>INDEX(Dim!$B:$B,MATCH($E37,Dim!$A:$A,0))</f>
        <v>TIME</v>
      </c>
      <c r="H37" s="6" t="str">
        <f>INDEX(Dim!$F:$F,MATCH($E37,Dim!$A:$A,0))</f>
        <v>14_</v>
      </c>
      <c r="I37" s="6" t="str">
        <f t="shared" si="1"/>
        <v>2_14_0</v>
      </c>
      <c r="J37">
        <v>14</v>
      </c>
      <c r="K37" s="6" t="str">
        <f t="shared" si="0"/>
        <v>case_type_dim2_14_0</v>
      </c>
    </row>
    <row r="38" spans="1:11" x14ac:dyDescent="0.3">
      <c r="A38" t="s">
        <v>913</v>
      </c>
      <c r="B38" t="s">
        <v>118</v>
      </c>
      <c r="C38" s="6">
        <f>INDEX(CaseType!$C:$C,MATCH($B38,CaseType!$A:$A,0))</f>
        <v>2</v>
      </c>
      <c r="D38">
        <v>0</v>
      </c>
      <c r="E38" t="s">
        <v>452</v>
      </c>
      <c r="F38" t="b">
        <v>0</v>
      </c>
      <c r="G38" s="6" t="str">
        <f>INDEX(Dim!$B:$B,MATCH($E38,Dim!$A:$A,0))</f>
        <v>IDENTIFIER</v>
      </c>
      <c r="H38" s="6" t="str">
        <f>INDEX(Dim!$F:$F,MATCH($E38,Dim!$A:$A,0))</f>
        <v>15_</v>
      </c>
      <c r="I38" s="6" t="str">
        <f t="shared" si="1"/>
        <v>2_15_0</v>
      </c>
      <c r="J38">
        <v>15</v>
      </c>
      <c r="K38" s="6" t="str">
        <f t="shared" si="0"/>
        <v>case_type_dim2_15_0</v>
      </c>
    </row>
    <row r="39" spans="1:11" x14ac:dyDescent="0.3">
      <c r="A39" t="s">
        <v>914</v>
      </c>
      <c r="B39" t="s">
        <v>118</v>
      </c>
      <c r="C39" s="6">
        <f>INDEX(CaseType!$C:$C,MATCH($B39,CaseType!$A:$A,0))</f>
        <v>2</v>
      </c>
      <c r="D39">
        <v>0</v>
      </c>
      <c r="E39" t="s">
        <v>453</v>
      </c>
      <c r="F39" t="b">
        <v>0</v>
      </c>
      <c r="G39" s="6" t="str">
        <f>INDEX(Dim!$B:$B,MATCH($E39,Dim!$A:$A,0))</f>
        <v>IDENTIFIER</v>
      </c>
      <c r="H39" s="6" t="str">
        <f>INDEX(Dim!$F:$F,MATCH($E39,Dim!$A:$A,0))</f>
        <v>16_</v>
      </c>
      <c r="I39" s="6" t="str">
        <f t="shared" si="1"/>
        <v>2_16_0</v>
      </c>
      <c r="J39">
        <v>16</v>
      </c>
      <c r="K39" s="6" t="str">
        <f t="shared" si="0"/>
        <v>case_type_dim2_16_0</v>
      </c>
    </row>
    <row r="40" spans="1:11" x14ac:dyDescent="0.3">
      <c r="A40" t="s">
        <v>915</v>
      </c>
      <c r="B40" t="s">
        <v>118</v>
      </c>
      <c r="C40" s="6">
        <f>INDEX(CaseType!$C:$C,MATCH($B40,CaseType!$A:$A,0))</f>
        <v>2</v>
      </c>
      <c r="D40">
        <v>0</v>
      </c>
      <c r="E40" t="s">
        <v>454</v>
      </c>
      <c r="F40" t="b">
        <v>0</v>
      </c>
      <c r="G40" s="6" t="str">
        <f>INDEX(Dim!$B:$B,MATCH($E40,Dim!$A:$A,0))</f>
        <v>NUMBER</v>
      </c>
      <c r="H40" s="6" t="str">
        <f>INDEX(Dim!$F:$F,MATCH($E40,Dim!$A:$A,0))</f>
        <v>17_</v>
      </c>
      <c r="I40" s="6" t="str">
        <f t="shared" si="1"/>
        <v>2_17_0</v>
      </c>
      <c r="J40">
        <v>17</v>
      </c>
      <c r="K40" s="6" t="str">
        <f t="shared" si="0"/>
        <v>case_type_dim2_17_0</v>
      </c>
    </row>
    <row r="41" spans="1:11" x14ac:dyDescent="0.3">
      <c r="A41" t="s">
        <v>916</v>
      </c>
      <c r="B41" t="s">
        <v>118</v>
      </c>
      <c r="C41" s="6">
        <f>INDEX(CaseType!$C:$C,MATCH($B41,CaseType!$A:$A,0))</f>
        <v>2</v>
      </c>
      <c r="D41">
        <v>0</v>
      </c>
      <c r="E41" t="s">
        <v>455</v>
      </c>
      <c r="F41" t="b">
        <v>0</v>
      </c>
      <c r="G41" s="6" t="str">
        <f>INDEX(Dim!$B:$B,MATCH($E41,Dim!$A:$A,0))</f>
        <v>NUMBER</v>
      </c>
      <c r="H41" s="6" t="str">
        <f>INDEX(Dim!$F:$F,MATCH($E41,Dim!$A:$A,0))</f>
        <v>18_</v>
      </c>
      <c r="I41" s="6" t="str">
        <f t="shared" si="1"/>
        <v>2_18_0</v>
      </c>
      <c r="J41">
        <v>18</v>
      </c>
      <c r="K41" s="6" t="str">
        <f t="shared" si="0"/>
        <v>case_type_dim2_18_0</v>
      </c>
    </row>
    <row r="42" spans="1:11" x14ac:dyDescent="0.3">
      <c r="A42" t="s">
        <v>1171</v>
      </c>
      <c r="B42" t="s">
        <v>118</v>
      </c>
      <c r="C42" s="6">
        <f>INDEX(CaseType!$C:$C,MATCH($B42,CaseType!$A:$A,0))</f>
        <v>2</v>
      </c>
      <c r="D42">
        <v>0</v>
      </c>
      <c r="E42" t="s">
        <v>1085</v>
      </c>
      <c r="F42" t="b">
        <v>0</v>
      </c>
      <c r="G42" s="6" t="str">
        <f>INDEX(Dim!$B:$B,MATCH($E42,Dim!$A:$A,0))</f>
        <v>TEXT</v>
      </c>
      <c r="H42" s="6" t="str">
        <f>INDEX(Dim!$F:$F,MATCH($E42,Dim!$A:$A,0))</f>
        <v>19_</v>
      </c>
      <c r="I42" s="6" t="str">
        <f t="shared" si="1"/>
        <v>2_19_0</v>
      </c>
      <c r="J42">
        <v>18</v>
      </c>
      <c r="K42" s="6" t="str">
        <f t="shared" si="0"/>
        <v>case_type_dim2_19_0</v>
      </c>
    </row>
    <row r="43" spans="1:11" x14ac:dyDescent="0.3">
      <c r="A43" t="s">
        <v>1172</v>
      </c>
      <c r="B43" t="s">
        <v>118</v>
      </c>
      <c r="C43" s="6">
        <f>INDEX(CaseType!$C:$C,MATCH($B43,CaseType!$A:$A,0))</f>
        <v>2</v>
      </c>
      <c r="D43">
        <v>0</v>
      </c>
      <c r="E43" t="s">
        <v>1086</v>
      </c>
      <c r="F43" t="b">
        <v>0</v>
      </c>
      <c r="G43" s="6" t="str">
        <f>INDEX(Dim!$B:$B,MATCH($E43,Dim!$A:$A,0))</f>
        <v>TEXT</v>
      </c>
      <c r="H43" s="6" t="str">
        <f>INDEX(Dim!$F:$F,MATCH($E43,Dim!$A:$A,0))</f>
        <v>20_</v>
      </c>
      <c r="I43" s="6" t="str">
        <f t="shared" si="1"/>
        <v>2_20_0</v>
      </c>
      <c r="J43">
        <v>18</v>
      </c>
      <c r="K43" s="6" t="str">
        <f t="shared" si="0"/>
        <v>case_type_dim2_20_0</v>
      </c>
    </row>
    <row r="44" spans="1:11" x14ac:dyDescent="0.3">
      <c r="A44" t="s">
        <v>917</v>
      </c>
      <c r="B44" t="s">
        <v>118</v>
      </c>
      <c r="C44" s="6">
        <f>INDEX(CaseType!$C:$C,MATCH($B44,CaseType!$A:$A,0))</f>
        <v>2</v>
      </c>
      <c r="D44">
        <v>0</v>
      </c>
      <c r="E44" t="s">
        <v>456</v>
      </c>
      <c r="F44" t="b">
        <v>0</v>
      </c>
      <c r="G44" s="6" t="str">
        <f>INDEX(Dim!$B:$B,MATCH($E44,Dim!$A:$A,0))</f>
        <v>OTHER</v>
      </c>
      <c r="H44" s="6" t="str">
        <f>INDEX(Dim!$F:$F,MATCH($E44,Dim!$A:$A,0))</f>
        <v>21_</v>
      </c>
      <c r="I44" s="6" t="str">
        <f t="shared" si="1"/>
        <v>2_21_0</v>
      </c>
      <c r="J44">
        <v>19</v>
      </c>
      <c r="K44" s="6" t="str">
        <f t="shared" si="0"/>
        <v>case_type_dim2_21_0</v>
      </c>
    </row>
    <row r="45" spans="1:11" x14ac:dyDescent="0.3">
      <c r="A45" t="s">
        <v>918</v>
      </c>
      <c r="B45" t="s">
        <v>118</v>
      </c>
      <c r="C45" s="6">
        <f>INDEX(CaseType!$C:$C,MATCH($B45,CaseType!$A:$A,0))</f>
        <v>2</v>
      </c>
      <c r="D45">
        <v>0</v>
      </c>
      <c r="E45" t="s">
        <v>457</v>
      </c>
      <c r="F45" t="b">
        <v>0</v>
      </c>
      <c r="G45" s="6" t="str">
        <f>INDEX(Dim!$B:$B,MATCH($E45,Dim!$A:$A,0))</f>
        <v>OTHER</v>
      </c>
      <c r="H45" s="6" t="str">
        <f>INDEX(Dim!$F:$F,MATCH($E45,Dim!$A:$A,0))</f>
        <v>22_</v>
      </c>
      <c r="I45" s="6" t="str">
        <f t="shared" si="1"/>
        <v>2_22_0</v>
      </c>
      <c r="J45">
        <v>20</v>
      </c>
      <c r="K45" s="6" t="str">
        <f t="shared" si="0"/>
        <v>case_type_dim2_22_0</v>
      </c>
    </row>
    <row r="46" spans="1:11" x14ac:dyDescent="0.3">
      <c r="A46" t="s">
        <v>925</v>
      </c>
      <c r="B46" t="s">
        <v>121</v>
      </c>
      <c r="C46" s="6">
        <f>INDEX(CaseType!$C:$C,MATCH($B46,CaseType!$A:$A,0))</f>
        <v>3</v>
      </c>
      <c r="D46">
        <v>0</v>
      </c>
      <c r="E46" t="s">
        <v>438</v>
      </c>
      <c r="F46" t="b">
        <v>0</v>
      </c>
      <c r="G46" s="6" t="str">
        <f>INDEX(Dim!$B:$B,MATCH($E46,Dim!$A:$A,0))</f>
        <v>TEXT</v>
      </c>
      <c r="H46" s="6" t="str">
        <f>INDEX(Dim!$F:$F,MATCH($E46,Dim!$A:$A,0))</f>
        <v>1_</v>
      </c>
      <c r="I46" s="6" t="str">
        <f t="shared" si="1"/>
        <v>3_1_0</v>
      </c>
      <c r="J46">
        <v>1</v>
      </c>
      <c r="K46" s="6" t="str">
        <f t="shared" si="0"/>
        <v>case_type_dim3_1_0</v>
      </c>
    </row>
    <row r="47" spans="1:11" x14ac:dyDescent="0.3">
      <c r="A47" t="s">
        <v>926</v>
      </c>
      <c r="B47" t="s">
        <v>124</v>
      </c>
      <c r="C47" s="6">
        <f>INDEX(CaseType!$C:$C,MATCH($B47,CaseType!$A:$A,0))</f>
        <v>4</v>
      </c>
      <c r="D47">
        <v>0</v>
      </c>
      <c r="E47" t="s">
        <v>438</v>
      </c>
      <c r="F47" t="b">
        <v>0</v>
      </c>
      <c r="G47" s="6" t="str">
        <f>INDEX(Dim!$B:$B,MATCH($E47,Dim!$A:$A,0))</f>
        <v>TEXT</v>
      </c>
      <c r="H47" s="6" t="str">
        <f>INDEX(Dim!$F:$F,MATCH($E47,Dim!$A:$A,0))</f>
        <v>1_</v>
      </c>
      <c r="I47" s="6" t="str">
        <f t="shared" si="1"/>
        <v>4_1_0</v>
      </c>
      <c r="J47">
        <v>1</v>
      </c>
      <c r="K47" s="6" t="str">
        <f t="shared" ref="K47:K48" si="2">"case_type_dim"&amp;$I47</f>
        <v>case_type_dim4_1_0</v>
      </c>
    </row>
    <row r="48" spans="1:11" x14ac:dyDescent="0.3">
      <c r="A48" t="s">
        <v>927</v>
      </c>
      <c r="B48" t="s">
        <v>127</v>
      </c>
      <c r="C48" s="6">
        <f>INDEX(CaseType!$C:$C,MATCH($B48,CaseType!$A:$A,0))</f>
        <v>5</v>
      </c>
      <c r="D48">
        <v>0</v>
      </c>
      <c r="E48" t="s">
        <v>438</v>
      </c>
      <c r="F48" t="b">
        <v>0</v>
      </c>
      <c r="G48" s="6" t="str">
        <f>INDEX(Dim!$B:$B,MATCH($E48,Dim!$A:$A,0))</f>
        <v>TEXT</v>
      </c>
      <c r="H48" s="6" t="str">
        <f>INDEX(Dim!$F:$F,MATCH($E48,Dim!$A:$A,0))</f>
        <v>1_</v>
      </c>
      <c r="I48" s="6" t="str">
        <f t="shared" si="1"/>
        <v>5_1_0</v>
      </c>
      <c r="J48">
        <v>1</v>
      </c>
      <c r="K48" s="6" t="str">
        <f t="shared" si="2"/>
        <v>case_type_dim5_1_0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5"/>
  <sheetViews>
    <sheetView workbookViewId="0">
      <pane ySplit="1" topLeftCell="A2" activePane="bottomLeft" state="frozen"/>
      <selection pane="bottomLeft" activeCell="A31" sqref="A31"/>
    </sheetView>
  </sheetViews>
  <sheetFormatPr defaultColWidth="8.77734375" defaultRowHeight="14.4" x14ac:dyDescent="0.3"/>
  <cols>
    <col min="1" max="1" width="35.6640625" bestFit="1" customWidth="1"/>
    <col min="2" max="2" width="35.44140625" bestFit="1" customWidth="1"/>
    <col min="3" max="3" width="19.77734375" style="6" bestFit="1" customWidth="1"/>
    <col min="4" max="4" width="35.33203125" bestFit="1" customWidth="1"/>
    <col min="5" max="5" width="19.21875" style="6" bestFit="1" customWidth="1"/>
    <col min="6" max="6" width="35.33203125" customWidth="1"/>
    <col min="7" max="7" width="35.33203125" style="6" customWidth="1"/>
    <col min="8" max="8" width="9.5546875" style="6" bestFit="1" customWidth="1"/>
    <col min="9" max="9" width="9.21875" bestFit="1" customWidth="1"/>
    <col min="10" max="10" width="39.44140625" style="6" bestFit="1" customWidth="1"/>
    <col min="11" max="11" width="10.6640625" bestFit="1" customWidth="1"/>
    <col min="12" max="12" width="10" bestFit="1" customWidth="1"/>
    <col min="13" max="13" width="10.21875" bestFit="1" customWidth="1"/>
    <col min="14" max="14" width="13.33203125" bestFit="1" customWidth="1"/>
    <col min="15" max="15" width="13.5546875" bestFit="1" customWidth="1"/>
    <col min="16" max="16" width="10.77734375" bestFit="1" customWidth="1"/>
    <col min="17" max="17" width="11.109375" bestFit="1" customWidth="1"/>
    <col min="18" max="18" width="7.33203125" bestFit="1" customWidth="1"/>
    <col min="19" max="19" width="33.21875" bestFit="1" customWidth="1"/>
    <col min="20" max="20" width="20.109375" bestFit="1" customWidth="1"/>
    <col min="21" max="21" width="5.44140625" bestFit="1" customWidth="1"/>
  </cols>
  <sheetData>
    <row r="1" spans="1:21" x14ac:dyDescent="0.3">
      <c r="A1" s="1" t="s">
        <v>0</v>
      </c>
      <c r="B1" s="1" t="s">
        <v>133</v>
      </c>
      <c r="C1" s="10" t="s">
        <v>759</v>
      </c>
      <c r="D1" s="1" t="s">
        <v>135</v>
      </c>
      <c r="E1" s="10" t="s">
        <v>924</v>
      </c>
      <c r="F1" s="1" t="s">
        <v>922</v>
      </c>
      <c r="G1" s="10" t="s">
        <v>923</v>
      </c>
      <c r="H1" s="10" t="s">
        <v>137</v>
      </c>
      <c r="I1" s="1" t="s">
        <v>81</v>
      </c>
      <c r="J1" s="10" t="s">
        <v>138</v>
      </c>
      <c r="K1" s="1" t="s">
        <v>78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</row>
    <row r="2" spans="1:21" x14ac:dyDescent="0.3">
      <c r="A2" t="s">
        <v>510</v>
      </c>
      <c r="B2" t="s">
        <v>115</v>
      </c>
      <c r="C2" s="6" t="str">
        <f>INDEX(CaseType!$B:$B,MATCH($B2,CaseType!$A:$A,0))</f>
        <v>case_type1</v>
      </c>
      <c r="D2" t="s">
        <v>458</v>
      </c>
      <c r="E2" s="6" t="str">
        <f>INDEX(Col!$H:$H,MATCH($D2,Col!$A:$A,0))</f>
        <v>NOMINAL</v>
      </c>
      <c r="F2" t="s">
        <v>879</v>
      </c>
      <c r="G2" s="6" t="str">
        <f>INDEX(CaseTypeDim!$I:$I,MATCH($F2,CaseTypeDim!$A:$A,0))</f>
        <v>1_1_0</v>
      </c>
      <c r="H2" s="6" t="str">
        <f t="shared" ref="H2:H41" si="0">$G2&amp;"_"&amp;$I2</f>
        <v>1_1_0_1</v>
      </c>
      <c r="I2">
        <v>1</v>
      </c>
      <c r="J2" s="6" t="str">
        <f t="shared" ref="J2:J41" si="1">"case_type_col"&amp;$H2&amp;"_"&amp;$E2</f>
        <v>case_type_col1_1_0_1_NOMINAL</v>
      </c>
      <c r="U2" t="s">
        <v>149</v>
      </c>
    </row>
    <row r="3" spans="1:21" x14ac:dyDescent="0.3">
      <c r="A3" t="s">
        <v>511</v>
      </c>
      <c r="B3" t="s">
        <v>115</v>
      </c>
      <c r="C3" s="6" t="str">
        <f>INDEX(CaseType!$B:$B,MATCH($B3,CaseType!$A:$A,0))</f>
        <v>case_type1</v>
      </c>
      <c r="D3" t="s">
        <v>459</v>
      </c>
      <c r="E3" s="6" t="str">
        <f>INDEX(Col!$H:$H,MATCH($D3,Col!$A:$A,0))</f>
        <v>NOMINAL</v>
      </c>
      <c r="F3" t="s">
        <v>880</v>
      </c>
      <c r="G3" s="6" t="str">
        <f>INDEX(CaseTypeDim!$I:$I,MATCH($F3,CaseTypeDim!$A:$A,0))</f>
        <v>1_2_0</v>
      </c>
      <c r="H3" s="6" t="str">
        <f t="shared" si="0"/>
        <v>1_2_0_1</v>
      </c>
      <c r="I3">
        <v>1</v>
      </c>
      <c r="J3" s="6" t="str">
        <f t="shared" si="1"/>
        <v>case_type_col1_2_0_1_NOMINAL</v>
      </c>
      <c r="U3" t="s">
        <v>149</v>
      </c>
    </row>
    <row r="4" spans="1:21" x14ac:dyDescent="0.3">
      <c r="A4" t="s">
        <v>512</v>
      </c>
      <c r="B4" t="s">
        <v>115</v>
      </c>
      <c r="C4" s="6" t="str">
        <f>INDEX(CaseType!$B:$B,MATCH($B4,CaseType!$A:$A,0))</f>
        <v>case_type1</v>
      </c>
      <c r="D4" t="s">
        <v>460</v>
      </c>
      <c r="E4" s="6" t="str">
        <f>INDEX(Col!$H:$H,MATCH($D4,Col!$A:$A,0))</f>
        <v>ORDINAL</v>
      </c>
      <c r="F4" t="s">
        <v>881</v>
      </c>
      <c r="G4" s="6" t="str">
        <f>INDEX(CaseTypeDim!$I:$I,MATCH($F4,CaseTypeDim!$A:$A,0))</f>
        <v>1_3_0</v>
      </c>
      <c r="H4" s="6" t="str">
        <f t="shared" si="0"/>
        <v>1_3_0_1</v>
      </c>
      <c r="I4">
        <v>1</v>
      </c>
      <c r="J4" s="6" t="str">
        <f t="shared" si="1"/>
        <v>case_type_col1_3_0_1_ORDINAL</v>
      </c>
      <c r="U4" t="s">
        <v>149</v>
      </c>
    </row>
    <row r="5" spans="1:21" x14ac:dyDescent="0.3">
      <c r="A5" t="s">
        <v>513</v>
      </c>
      <c r="B5" t="s">
        <v>115</v>
      </c>
      <c r="C5" s="6" t="str">
        <f>INDEX(CaseType!$B:$B,MATCH($B5,CaseType!$A:$A,0))</f>
        <v>case_type1</v>
      </c>
      <c r="D5" t="s">
        <v>461</v>
      </c>
      <c r="E5" s="6" t="str">
        <f>INDEX(Col!$H:$H,MATCH($D5,Col!$A:$A,0))</f>
        <v>ORDINAL</v>
      </c>
      <c r="F5" t="s">
        <v>882</v>
      </c>
      <c r="G5" s="6" t="str">
        <f>INDEX(CaseTypeDim!$I:$I,MATCH($F5,CaseTypeDim!$A:$A,0))</f>
        <v>1_4_0</v>
      </c>
      <c r="H5" s="6" t="str">
        <f t="shared" si="0"/>
        <v>1_4_0_1</v>
      </c>
      <c r="I5">
        <v>1</v>
      </c>
      <c r="J5" s="6" t="str">
        <f t="shared" si="1"/>
        <v>case_type_col1_4_0_1_ORDINAL</v>
      </c>
      <c r="U5" t="s">
        <v>149</v>
      </c>
    </row>
    <row r="6" spans="1:21" x14ac:dyDescent="0.3">
      <c r="A6" t="s">
        <v>514</v>
      </c>
      <c r="B6" t="s">
        <v>115</v>
      </c>
      <c r="C6" s="6" t="str">
        <f>INDEX(CaseType!$B:$B,MATCH($B6,CaseType!$A:$A,0))</f>
        <v>case_type1</v>
      </c>
      <c r="D6" t="s">
        <v>462</v>
      </c>
      <c r="E6" s="6" t="str">
        <f>INDEX(Col!$H:$H,MATCH($D6,Col!$A:$A,0))</f>
        <v>REGULAR_LANGUAGE</v>
      </c>
      <c r="F6" t="s">
        <v>883</v>
      </c>
      <c r="G6" s="6" t="str">
        <f>INDEX(CaseTypeDim!$I:$I,MATCH($F6,CaseTypeDim!$A:$A,0))</f>
        <v>1_5_0</v>
      </c>
      <c r="H6" s="6" t="str">
        <f t="shared" si="0"/>
        <v>1_5_0_1</v>
      </c>
      <c r="I6">
        <v>1</v>
      </c>
      <c r="J6" s="6" t="str">
        <f t="shared" si="1"/>
        <v>case_type_col1_5_0_1_REGULAR_LANGUAGE</v>
      </c>
      <c r="U6" t="s">
        <v>149</v>
      </c>
    </row>
    <row r="7" spans="1:21" x14ac:dyDescent="0.3">
      <c r="A7" t="s">
        <v>515</v>
      </c>
      <c r="B7" t="s">
        <v>115</v>
      </c>
      <c r="C7" s="6" t="str">
        <f>INDEX(CaseType!$B:$B,MATCH($B7,CaseType!$A:$A,0))</f>
        <v>case_type1</v>
      </c>
      <c r="D7" t="s">
        <v>463</v>
      </c>
      <c r="E7" s="6" t="str">
        <f>INDEX(Col!$H:$H,MATCH($D7,Col!$A:$A,0))</f>
        <v>REGULAR_LANGUAGE</v>
      </c>
      <c r="F7" t="s">
        <v>884</v>
      </c>
      <c r="G7" s="6" t="str">
        <f>INDEX(CaseTypeDim!$I:$I,MATCH($F7,CaseTypeDim!$A:$A,0))</f>
        <v>1_6_0</v>
      </c>
      <c r="H7" s="6" t="str">
        <f t="shared" si="0"/>
        <v>1_6_0_1</v>
      </c>
      <c r="I7">
        <v>1</v>
      </c>
      <c r="J7" s="6" t="str">
        <f t="shared" si="1"/>
        <v>case_type_col1_6_0_1_REGULAR_LANGUAGE</v>
      </c>
      <c r="U7" t="s">
        <v>149</v>
      </c>
    </row>
    <row r="8" spans="1:21" x14ac:dyDescent="0.3">
      <c r="A8" t="s">
        <v>516</v>
      </c>
      <c r="B8" t="s">
        <v>115</v>
      </c>
      <c r="C8" s="6" t="str">
        <f>INDEX(CaseType!$B:$B,MATCH($B8,CaseType!$A:$A,0))</f>
        <v>case_type1</v>
      </c>
      <c r="D8" t="s">
        <v>464</v>
      </c>
      <c r="E8" s="6" t="str">
        <f>INDEX(Col!$H:$H,MATCH($D8,Col!$A:$A,0))</f>
        <v>TEXT</v>
      </c>
      <c r="F8" t="s">
        <v>885</v>
      </c>
      <c r="G8" s="6" t="str">
        <f>INDEX(CaseTypeDim!$I:$I,MATCH($F8,CaseTypeDim!$A:$A,0))</f>
        <v>1_7_0</v>
      </c>
      <c r="H8" s="6" t="str">
        <f t="shared" si="0"/>
        <v>1_7_0_1</v>
      </c>
      <c r="I8">
        <v>1</v>
      </c>
      <c r="J8" s="6" t="str">
        <f t="shared" si="1"/>
        <v>case_type_col1_7_0_1_TEXT</v>
      </c>
      <c r="U8" t="s">
        <v>149</v>
      </c>
    </row>
    <row r="9" spans="1:21" x14ac:dyDescent="0.3">
      <c r="A9" t="s">
        <v>517</v>
      </c>
      <c r="B9" t="s">
        <v>115</v>
      </c>
      <c r="C9" s="6" t="str">
        <f>INDEX(CaseType!$B:$B,MATCH($B9,CaseType!$A:$A,0))</f>
        <v>case_type1</v>
      </c>
      <c r="D9" t="s">
        <v>465</v>
      </c>
      <c r="E9" s="6" t="str">
        <f>INDEX(Col!$H:$H,MATCH($D9,Col!$A:$A,0))</f>
        <v>TEXT</v>
      </c>
      <c r="F9" t="s">
        <v>886</v>
      </c>
      <c r="G9" s="6" t="str">
        <f>INDEX(CaseTypeDim!$I:$I,MATCH($F9,CaseTypeDim!$A:$A,0))</f>
        <v>1_8_0</v>
      </c>
      <c r="H9" s="6" t="str">
        <f t="shared" si="0"/>
        <v>1_8_0_1</v>
      </c>
      <c r="I9">
        <v>1</v>
      </c>
      <c r="J9" s="6" t="str">
        <f t="shared" si="1"/>
        <v>case_type_col1_8_0_1_TEXT</v>
      </c>
      <c r="U9" t="s">
        <v>149</v>
      </c>
    </row>
    <row r="10" spans="1:21" x14ac:dyDescent="0.3">
      <c r="A10" t="s">
        <v>518</v>
      </c>
      <c r="B10" t="s">
        <v>115</v>
      </c>
      <c r="C10" s="6" t="str">
        <f>INDEX(CaseType!$B:$B,MATCH($B10,CaseType!$A:$A,0))</f>
        <v>case_type1</v>
      </c>
      <c r="D10" t="s">
        <v>466</v>
      </c>
      <c r="E10" s="6" t="str">
        <f>INDEX(Col!$H:$H,MATCH($D10,Col!$A:$A,0))</f>
        <v>ORGANIZATION</v>
      </c>
      <c r="F10" t="s">
        <v>887</v>
      </c>
      <c r="G10" s="6" t="str">
        <f>INDEX(CaseTypeDim!$I:$I,MATCH($F10,CaseTypeDim!$A:$A,0))</f>
        <v>1_9_0</v>
      </c>
      <c r="H10" s="6" t="str">
        <f t="shared" si="0"/>
        <v>1_9_0_1</v>
      </c>
      <c r="I10">
        <v>1</v>
      </c>
      <c r="J10" s="6" t="str">
        <f t="shared" si="1"/>
        <v>case_type_col1_9_0_1_ORGANIZATION</v>
      </c>
      <c r="U10" t="s">
        <v>149</v>
      </c>
    </row>
    <row r="11" spans="1:21" x14ac:dyDescent="0.3">
      <c r="A11" t="s">
        <v>519</v>
      </c>
      <c r="B11" t="s">
        <v>115</v>
      </c>
      <c r="C11" s="6" t="str">
        <f>INDEX(CaseType!$B:$B,MATCH($B11,CaseType!$A:$A,0))</f>
        <v>case_type1</v>
      </c>
      <c r="D11" t="s">
        <v>467</v>
      </c>
      <c r="E11" s="6" t="str">
        <f>INDEX(Col!$H:$H,MATCH($D11,Col!$A:$A,0))</f>
        <v>ORGANIZATION</v>
      </c>
      <c r="F11" t="s">
        <v>888</v>
      </c>
      <c r="G11" s="6" t="str">
        <f>INDEX(CaseTypeDim!$I:$I,MATCH($F11,CaseTypeDim!$A:$A,0))</f>
        <v>1_10_0</v>
      </c>
      <c r="H11" s="6" t="str">
        <f t="shared" si="0"/>
        <v>1_10_0_1</v>
      </c>
      <c r="I11">
        <v>1</v>
      </c>
      <c r="J11" s="6" t="str">
        <f t="shared" si="1"/>
        <v>case_type_col1_10_0_1_ORGANIZATION</v>
      </c>
      <c r="U11" t="s">
        <v>149</v>
      </c>
    </row>
    <row r="12" spans="1:21" x14ac:dyDescent="0.3">
      <c r="A12" t="s">
        <v>520</v>
      </c>
      <c r="B12" t="s">
        <v>115</v>
      </c>
      <c r="C12" s="6" t="str">
        <f>INDEX(CaseType!$B:$B,MATCH($B12,CaseType!$A:$A,0))</f>
        <v>case_type1</v>
      </c>
      <c r="D12" t="s">
        <v>468</v>
      </c>
      <c r="E12" s="6" t="str">
        <f>INDEX(Col!$H:$H,MATCH($D12,Col!$A:$A,0))</f>
        <v>GEO_REGION</v>
      </c>
      <c r="F12" t="s">
        <v>889</v>
      </c>
      <c r="G12" s="6" t="str">
        <f>INDEX(CaseTypeDim!$I:$I,MATCH($F12,CaseTypeDim!$A:$A,0))</f>
        <v>1_11_0</v>
      </c>
      <c r="H12" s="6" t="str">
        <f t="shared" si="0"/>
        <v>1_11_0_1</v>
      </c>
      <c r="I12">
        <v>1</v>
      </c>
      <c r="J12" s="6" t="str">
        <f t="shared" si="1"/>
        <v>case_type_col1_11_0_1_GEO_REGION</v>
      </c>
      <c r="U12" t="s">
        <v>149</v>
      </c>
    </row>
    <row r="13" spans="1:21" x14ac:dyDescent="0.3">
      <c r="A13" t="s">
        <v>521</v>
      </c>
      <c r="B13" t="s">
        <v>115</v>
      </c>
      <c r="C13" s="6" t="str">
        <f>INDEX(CaseType!$B:$B,MATCH($B13,CaseType!$A:$A,0))</f>
        <v>case_type1</v>
      </c>
      <c r="D13" t="s">
        <v>469</v>
      </c>
      <c r="E13" s="6" t="str">
        <f>INDEX(Col!$H:$H,MATCH($D13,Col!$A:$A,0))</f>
        <v>GEO_REGION</v>
      </c>
      <c r="F13" t="s">
        <v>889</v>
      </c>
      <c r="G13" s="6" t="str">
        <f>INDEX(CaseTypeDim!$I:$I,MATCH($F13,CaseTypeDim!$A:$A,0))</f>
        <v>1_11_0</v>
      </c>
      <c r="H13" s="6" t="str">
        <f t="shared" si="0"/>
        <v>1_11_0_2</v>
      </c>
      <c r="I13">
        <v>2</v>
      </c>
      <c r="J13" s="6" t="str">
        <f t="shared" si="1"/>
        <v>case_type_col1_11_0_2_GEO_REGION</v>
      </c>
      <c r="U13" t="s">
        <v>149</v>
      </c>
    </row>
    <row r="14" spans="1:21" x14ac:dyDescent="0.3">
      <c r="A14" t="s">
        <v>522</v>
      </c>
      <c r="B14" t="s">
        <v>115</v>
      </c>
      <c r="C14" s="6" t="str">
        <f>INDEX(CaseType!$B:$B,MATCH($B14,CaseType!$A:$A,0))</f>
        <v>case_type1</v>
      </c>
      <c r="D14" t="s">
        <v>470</v>
      </c>
      <c r="E14" s="6" t="str">
        <f>INDEX(Col!$H:$H,MATCH($D14,Col!$A:$A,0))</f>
        <v>GEO_REGION</v>
      </c>
      <c r="F14" t="s">
        <v>889</v>
      </c>
      <c r="G14" s="6" t="str">
        <f>INDEX(CaseTypeDim!$I:$I,MATCH($F14,CaseTypeDim!$A:$A,0))</f>
        <v>1_11_0</v>
      </c>
      <c r="H14" s="6" t="str">
        <f t="shared" si="0"/>
        <v>1_11_0_3</v>
      </c>
      <c r="I14">
        <v>3</v>
      </c>
      <c r="J14" s="6" t="str">
        <f t="shared" si="1"/>
        <v>case_type_col1_11_0_3_GEO_REGION</v>
      </c>
      <c r="U14" t="s">
        <v>149</v>
      </c>
    </row>
    <row r="15" spans="1:21" x14ac:dyDescent="0.3">
      <c r="A15" t="s">
        <v>523</v>
      </c>
      <c r="B15" t="s">
        <v>115</v>
      </c>
      <c r="C15" s="6" t="str">
        <f>INDEX(CaseType!$B:$B,MATCH($B15,CaseType!$A:$A,0))</f>
        <v>case_type1</v>
      </c>
      <c r="D15" t="s">
        <v>471</v>
      </c>
      <c r="E15" s="6" t="str">
        <f>INDEX(Col!$H:$H,MATCH($D15,Col!$A:$A,0))</f>
        <v>GEO_REGION</v>
      </c>
      <c r="F15" t="s">
        <v>889</v>
      </c>
      <c r="G15" s="6" t="str">
        <f>INDEX(CaseTypeDim!$I:$I,MATCH($F15,CaseTypeDim!$A:$A,0))</f>
        <v>1_11_0</v>
      </c>
      <c r="H15" s="6" t="str">
        <f t="shared" si="0"/>
        <v>1_11_0_4</v>
      </c>
      <c r="I15">
        <v>4</v>
      </c>
      <c r="J15" s="6" t="str">
        <f t="shared" si="1"/>
        <v>case_type_col1_11_0_4_GEO_REGION</v>
      </c>
      <c r="U15" t="s">
        <v>149</v>
      </c>
    </row>
    <row r="16" spans="1:21" x14ac:dyDescent="0.3">
      <c r="A16" t="s">
        <v>524</v>
      </c>
      <c r="B16" t="s">
        <v>115</v>
      </c>
      <c r="C16" s="6" t="str">
        <f>INDEX(CaseType!$B:$B,MATCH($B16,CaseType!$A:$A,0))</f>
        <v>case_type1</v>
      </c>
      <c r="D16" t="s">
        <v>472</v>
      </c>
      <c r="E16" s="6" t="str">
        <f>INDEX(Col!$H:$H,MATCH($D16,Col!$A:$A,0))</f>
        <v>GEO_REGION</v>
      </c>
      <c r="F16" t="s">
        <v>890</v>
      </c>
      <c r="G16" s="6" t="str">
        <f>INDEX(CaseTypeDim!$I:$I,MATCH($F16,CaseTypeDim!$A:$A,0))</f>
        <v>1_12_0</v>
      </c>
      <c r="H16" s="6" t="str">
        <f t="shared" si="0"/>
        <v>1_12_0_1</v>
      </c>
      <c r="I16">
        <v>1</v>
      </c>
      <c r="J16" s="6" t="str">
        <f t="shared" si="1"/>
        <v>case_type_col1_12_0_1_GEO_REGION</v>
      </c>
      <c r="U16" t="s">
        <v>149</v>
      </c>
    </row>
    <row r="17" spans="1:21" x14ac:dyDescent="0.3">
      <c r="A17" t="s">
        <v>525</v>
      </c>
      <c r="B17" t="s">
        <v>115</v>
      </c>
      <c r="C17" s="6" t="str">
        <f>INDEX(CaseType!$B:$B,MATCH($B17,CaseType!$A:$A,0))</f>
        <v>case_type1</v>
      </c>
      <c r="D17" t="s">
        <v>473</v>
      </c>
      <c r="E17" s="6" t="str">
        <f>INDEX(Col!$H:$H,MATCH($D17,Col!$A:$A,0))</f>
        <v>GEO_REGION</v>
      </c>
      <c r="F17" t="s">
        <v>890</v>
      </c>
      <c r="G17" s="6" t="str">
        <f>INDEX(CaseTypeDim!$I:$I,MATCH($F17,CaseTypeDim!$A:$A,0))</f>
        <v>1_12_0</v>
      </c>
      <c r="H17" s="6" t="str">
        <f t="shared" si="0"/>
        <v>1_12_0_2</v>
      </c>
      <c r="I17">
        <v>2</v>
      </c>
      <c r="J17" s="6" t="str">
        <f t="shared" si="1"/>
        <v>case_type_col1_12_0_2_GEO_REGION</v>
      </c>
      <c r="U17" t="s">
        <v>149</v>
      </c>
    </row>
    <row r="18" spans="1:21" x14ac:dyDescent="0.3">
      <c r="A18" t="s">
        <v>526</v>
      </c>
      <c r="B18" t="s">
        <v>115</v>
      </c>
      <c r="C18" s="6" t="str">
        <f>INDEX(CaseType!$B:$B,MATCH($B18,CaseType!$A:$A,0))</f>
        <v>case_type1</v>
      </c>
      <c r="D18" t="s">
        <v>474</v>
      </c>
      <c r="E18" s="6" t="str">
        <f>INDEX(Col!$H:$H,MATCH($D18,Col!$A:$A,0))</f>
        <v>GEO_REGION</v>
      </c>
      <c r="F18" t="s">
        <v>890</v>
      </c>
      <c r="G18" s="6" t="str">
        <f>INDEX(CaseTypeDim!$I:$I,MATCH($F18,CaseTypeDim!$A:$A,0))</f>
        <v>1_12_0</v>
      </c>
      <c r="H18" s="6" t="str">
        <f t="shared" si="0"/>
        <v>1_12_0_3</v>
      </c>
      <c r="I18">
        <v>3</v>
      </c>
      <c r="J18" s="6" t="str">
        <f t="shared" si="1"/>
        <v>case_type_col1_12_0_3_GEO_REGION</v>
      </c>
      <c r="U18" t="s">
        <v>149</v>
      </c>
    </row>
    <row r="19" spans="1:21" x14ac:dyDescent="0.3">
      <c r="A19" t="s">
        <v>527</v>
      </c>
      <c r="B19" t="s">
        <v>115</v>
      </c>
      <c r="C19" s="6" t="str">
        <f>INDEX(CaseType!$B:$B,MATCH($B19,CaseType!$A:$A,0))</f>
        <v>case_type1</v>
      </c>
      <c r="D19" t="s">
        <v>475</v>
      </c>
      <c r="E19" s="6" t="str">
        <f>INDEX(Col!$H:$H,MATCH($D19,Col!$A:$A,0))</f>
        <v>GEO_REGION</v>
      </c>
      <c r="F19" t="s">
        <v>890</v>
      </c>
      <c r="G19" s="6" t="str">
        <f>INDEX(CaseTypeDim!$I:$I,MATCH($F19,CaseTypeDim!$A:$A,0))</f>
        <v>1_12_0</v>
      </c>
      <c r="H19" s="6" t="str">
        <f t="shared" si="0"/>
        <v>1_12_0_4</v>
      </c>
      <c r="I19">
        <v>4</v>
      </c>
      <c r="J19" s="6" t="str">
        <f t="shared" si="1"/>
        <v>case_type_col1_12_0_4_GEO_REGION</v>
      </c>
      <c r="U19" t="s">
        <v>149</v>
      </c>
    </row>
    <row r="20" spans="1:21" x14ac:dyDescent="0.3">
      <c r="A20" t="s">
        <v>528</v>
      </c>
      <c r="B20" t="s">
        <v>115</v>
      </c>
      <c r="C20" s="6" t="str">
        <f>INDEX(CaseType!$B:$B,MATCH($B20,CaseType!$A:$A,0))</f>
        <v>case_type1</v>
      </c>
      <c r="D20" t="s">
        <v>476</v>
      </c>
      <c r="E20" s="6" t="str">
        <f>INDEX(Col!$H:$H,MATCH($D20,Col!$A:$A,0))</f>
        <v>TIME_DAY</v>
      </c>
      <c r="F20" t="s">
        <v>891</v>
      </c>
      <c r="G20" s="6" t="str">
        <f>INDEX(CaseTypeDim!$I:$I,MATCH($F20,CaseTypeDim!$A:$A,0))</f>
        <v>1_13_0</v>
      </c>
      <c r="H20" s="6" t="str">
        <f t="shared" si="0"/>
        <v>1_13_0_1</v>
      </c>
      <c r="I20">
        <v>1</v>
      </c>
      <c r="J20" s="6" t="str">
        <f t="shared" si="1"/>
        <v>case_type_col1_13_0_1_TIME_DAY</v>
      </c>
      <c r="U20" t="s">
        <v>149</v>
      </c>
    </row>
    <row r="21" spans="1:21" x14ac:dyDescent="0.3">
      <c r="A21" t="s">
        <v>529</v>
      </c>
      <c r="B21" t="s">
        <v>115</v>
      </c>
      <c r="C21" s="6" t="str">
        <f>INDEX(CaseType!$B:$B,MATCH($B21,CaseType!$A:$A,0))</f>
        <v>case_type1</v>
      </c>
      <c r="D21" t="s">
        <v>477</v>
      </c>
      <c r="E21" s="6" t="str">
        <f>INDEX(Col!$H:$H,MATCH($D21,Col!$A:$A,0))</f>
        <v>TIME_WEEK</v>
      </c>
      <c r="F21" t="s">
        <v>891</v>
      </c>
      <c r="G21" s="6" t="str">
        <f>INDEX(CaseTypeDim!$I:$I,MATCH($F21,CaseTypeDim!$A:$A,0))</f>
        <v>1_13_0</v>
      </c>
      <c r="H21" s="6" t="str">
        <f t="shared" si="0"/>
        <v>1_13_0_2</v>
      </c>
      <c r="I21">
        <v>2</v>
      </c>
      <c r="J21" s="6" t="str">
        <f t="shared" si="1"/>
        <v>case_type_col1_13_0_2_TIME_WEEK</v>
      </c>
      <c r="U21" t="s">
        <v>149</v>
      </c>
    </row>
    <row r="22" spans="1:21" x14ac:dyDescent="0.3">
      <c r="A22" t="s">
        <v>530</v>
      </c>
      <c r="B22" t="s">
        <v>115</v>
      </c>
      <c r="C22" s="6" t="str">
        <f>INDEX(CaseType!$B:$B,MATCH($B22,CaseType!$A:$A,0))</f>
        <v>case_type1</v>
      </c>
      <c r="D22" t="s">
        <v>478</v>
      </c>
      <c r="E22" s="6" t="str">
        <f>INDEX(Col!$H:$H,MATCH($D22,Col!$A:$A,0))</f>
        <v>TIME_MONTH</v>
      </c>
      <c r="F22" t="s">
        <v>891</v>
      </c>
      <c r="G22" s="6" t="str">
        <f>INDEX(CaseTypeDim!$I:$I,MATCH($F22,CaseTypeDim!$A:$A,0))</f>
        <v>1_13_0</v>
      </c>
      <c r="H22" s="6" t="str">
        <f t="shared" si="0"/>
        <v>1_13_0_3</v>
      </c>
      <c r="I22">
        <v>3</v>
      </c>
      <c r="J22" s="6" t="str">
        <f t="shared" si="1"/>
        <v>case_type_col1_13_0_3_TIME_MONTH</v>
      </c>
      <c r="U22" t="s">
        <v>149</v>
      </c>
    </row>
    <row r="23" spans="1:21" x14ac:dyDescent="0.3">
      <c r="A23" t="s">
        <v>531</v>
      </c>
      <c r="B23" t="s">
        <v>115</v>
      </c>
      <c r="C23" s="6" t="str">
        <f>INDEX(CaseType!$B:$B,MATCH($B23,CaseType!$A:$A,0))</f>
        <v>case_type1</v>
      </c>
      <c r="D23" t="s">
        <v>479</v>
      </c>
      <c r="E23" s="6" t="str">
        <f>INDEX(Col!$H:$H,MATCH($D23,Col!$A:$A,0))</f>
        <v>TIME_QUARTER</v>
      </c>
      <c r="F23" t="s">
        <v>891</v>
      </c>
      <c r="G23" s="6" t="str">
        <f>INDEX(CaseTypeDim!$I:$I,MATCH($F23,CaseTypeDim!$A:$A,0))</f>
        <v>1_13_0</v>
      </c>
      <c r="H23" s="6" t="str">
        <f t="shared" si="0"/>
        <v>1_13_0_4</v>
      </c>
      <c r="I23">
        <v>4</v>
      </c>
      <c r="J23" s="6" t="str">
        <f t="shared" si="1"/>
        <v>case_type_col1_13_0_4_TIME_QUARTER</v>
      </c>
      <c r="U23" t="s">
        <v>149</v>
      </c>
    </row>
    <row r="24" spans="1:21" x14ac:dyDescent="0.3">
      <c r="A24" t="s">
        <v>532</v>
      </c>
      <c r="B24" t="s">
        <v>115</v>
      </c>
      <c r="C24" s="6" t="str">
        <f>INDEX(CaseType!$B:$B,MATCH($B24,CaseType!$A:$A,0))</f>
        <v>case_type1</v>
      </c>
      <c r="D24" t="s">
        <v>480</v>
      </c>
      <c r="E24" s="6" t="str">
        <f>INDEX(Col!$H:$H,MATCH($D24,Col!$A:$A,0))</f>
        <v>TIME_YEAR</v>
      </c>
      <c r="F24" t="s">
        <v>891</v>
      </c>
      <c r="G24" s="6" t="str">
        <f>INDEX(CaseTypeDim!$I:$I,MATCH($F24,CaseTypeDim!$A:$A,0))</f>
        <v>1_13_0</v>
      </c>
      <c r="H24" s="6" t="str">
        <f t="shared" si="0"/>
        <v>1_13_0_5</v>
      </c>
      <c r="I24">
        <v>5</v>
      </c>
      <c r="J24" s="6" t="str">
        <f t="shared" si="1"/>
        <v>case_type_col1_13_0_5_TIME_YEAR</v>
      </c>
      <c r="U24" t="s">
        <v>149</v>
      </c>
    </row>
    <row r="25" spans="1:21" x14ac:dyDescent="0.3">
      <c r="A25" t="s">
        <v>533</v>
      </c>
      <c r="B25" t="s">
        <v>115</v>
      </c>
      <c r="C25" s="6" t="str">
        <f>INDEX(CaseType!$B:$B,MATCH($B25,CaseType!$A:$A,0))</f>
        <v>case_type1</v>
      </c>
      <c r="D25" t="s">
        <v>481</v>
      </c>
      <c r="E25" s="6" t="str">
        <f>INDEX(Col!$H:$H,MATCH($D25,Col!$A:$A,0))</f>
        <v>TIME_DAY</v>
      </c>
      <c r="F25" t="s">
        <v>892</v>
      </c>
      <c r="G25" s="6" t="str">
        <f>INDEX(CaseTypeDim!$I:$I,MATCH($F25,CaseTypeDim!$A:$A,0))</f>
        <v>1_14_0</v>
      </c>
      <c r="H25" s="6" t="str">
        <f t="shared" si="0"/>
        <v>1_14_0_1</v>
      </c>
      <c r="I25">
        <v>1</v>
      </c>
      <c r="J25" s="6" t="str">
        <f t="shared" si="1"/>
        <v>case_type_col1_14_0_1_TIME_DAY</v>
      </c>
      <c r="U25" t="s">
        <v>149</v>
      </c>
    </row>
    <row r="26" spans="1:21" x14ac:dyDescent="0.3">
      <c r="A26" t="s">
        <v>534</v>
      </c>
      <c r="B26" t="s">
        <v>115</v>
      </c>
      <c r="C26" s="6" t="str">
        <f>INDEX(CaseType!$B:$B,MATCH($B26,CaseType!$A:$A,0))</f>
        <v>case_type1</v>
      </c>
      <c r="D26" t="s">
        <v>482</v>
      </c>
      <c r="E26" s="6" t="str">
        <f>INDEX(Col!$H:$H,MATCH($D26,Col!$A:$A,0))</f>
        <v>TIME_WEEK</v>
      </c>
      <c r="F26" t="s">
        <v>892</v>
      </c>
      <c r="G26" s="6" t="str">
        <f>INDEX(CaseTypeDim!$I:$I,MATCH($F26,CaseTypeDim!$A:$A,0))</f>
        <v>1_14_0</v>
      </c>
      <c r="H26" s="6" t="str">
        <f t="shared" si="0"/>
        <v>1_14_0_2</v>
      </c>
      <c r="I26">
        <v>2</v>
      </c>
      <c r="J26" s="6" t="str">
        <f t="shared" si="1"/>
        <v>case_type_col1_14_0_2_TIME_WEEK</v>
      </c>
      <c r="U26" t="s">
        <v>149</v>
      </c>
    </row>
    <row r="27" spans="1:21" x14ac:dyDescent="0.3">
      <c r="A27" t="s">
        <v>535</v>
      </c>
      <c r="B27" t="s">
        <v>115</v>
      </c>
      <c r="C27" s="6" t="str">
        <f>INDEX(CaseType!$B:$B,MATCH($B27,CaseType!$A:$A,0))</f>
        <v>case_type1</v>
      </c>
      <c r="D27" t="s">
        <v>483</v>
      </c>
      <c r="E27" s="6" t="str">
        <f>INDEX(Col!$H:$H,MATCH($D27,Col!$A:$A,0))</f>
        <v>TIME_MONTH</v>
      </c>
      <c r="F27" t="s">
        <v>892</v>
      </c>
      <c r="G27" s="6" t="str">
        <f>INDEX(CaseTypeDim!$I:$I,MATCH($F27,CaseTypeDim!$A:$A,0))</f>
        <v>1_14_0</v>
      </c>
      <c r="H27" s="6" t="str">
        <f t="shared" si="0"/>
        <v>1_14_0_3</v>
      </c>
      <c r="I27">
        <v>3</v>
      </c>
      <c r="J27" s="6" t="str">
        <f t="shared" si="1"/>
        <v>case_type_col1_14_0_3_TIME_MONTH</v>
      </c>
      <c r="U27" t="s">
        <v>149</v>
      </c>
    </row>
    <row r="28" spans="1:21" x14ac:dyDescent="0.3">
      <c r="A28" t="s">
        <v>536</v>
      </c>
      <c r="B28" t="s">
        <v>115</v>
      </c>
      <c r="C28" s="6" t="str">
        <f>INDEX(CaseType!$B:$B,MATCH($B28,CaseType!$A:$A,0))</f>
        <v>case_type1</v>
      </c>
      <c r="D28" t="s">
        <v>484</v>
      </c>
      <c r="E28" s="6" t="str">
        <f>INDEX(Col!$H:$H,MATCH($D28,Col!$A:$A,0))</f>
        <v>TIME_QUARTER</v>
      </c>
      <c r="F28" t="s">
        <v>892</v>
      </c>
      <c r="G28" s="6" t="str">
        <f>INDEX(CaseTypeDim!$I:$I,MATCH($F28,CaseTypeDim!$A:$A,0))</f>
        <v>1_14_0</v>
      </c>
      <c r="H28" s="6" t="str">
        <f t="shared" si="0"/>
        <v>1_14_0_4</v>
      </c>
      <c r="I28">
        <v>4</v>
      </c>
      <c r="J28" s="6" t="str">
        <f t="shared" si="1"/>
        <v>case_type_col1_14_0_4_TIME_QUARTER</v>
      </c>
      <c r="U28" t="s">
        <v>149</v>
      </c>
    </row>
    <row r="29" spans="1:21" x14ac:dyDescent="0.3">
      <c r="A29" t="s">
        <v>537</v>
      </c>
      <c r="B29" t="s">
        <v>115</v>
      </c>
      <c r="C29" s="6" t="str">
        <f>INDEX(CaseType!$B:$B,MATCH($B29,CaseType!$A:$A,0))</f>
        <v>case_type1</v>
      </c>
      <c r="D29" t="s">
        <v>485</v>
      </c>
      <c r="E29" s="6" t="str">
        <f>INDEX(Col!$H:$H,MATCH($D29,Col!$A:$A,0))</f>
        <v>TIME_YEAR</v>
      </c>
      <c r="F29" t="s">
        <v>892</v>
      </c>
      <c r="G29" s="6" t="str">
        <f>INDEX(CaseTypeDim!$I:$I,MATCH($F29,CaseTypeDim!$A:$A,0))</f>
        <v>1_14_0</v>
      </c>
      <c r="H29" s="6" t="str">
        <f t="shared" si="0"/>
        <v>1_14_0_5</v>
      </c>
      <c r="I29">
        <v>5</v>
      </c>
      <c r="J29" s="6" t="str">
        <f t="shared" si="1"/>
        <v>case_type_col1_14_0_5_TIME_YEAR</v>
      </c>
      <c r="U29" t="s">
        <v>149</v>
      </c>
    </row>
    <row r="30" spans="1:21" x14ac:dyDescent="0.3">
      <c r="A30" t="s">
        <v>538</v>
      </c>
      <c r="B30" t="s">
        <v>115</v>
      </c>
      <c r="C30" s="6" t="str">
        <f>INDEX(CaseType!$B:$B,MATCH($B30,CaseType!$A:$A,0))</f>
        <v>case_type1</v>
      </c>
      <c r="D30" t="s">
        <v>486</v>
      </c>
      <c r="E30" s="6" t="str">
        <f>INDEX(Col!$H:$H,MATCH($D30,Col!$A:$A,0))</f>
        <v>ID_PERSON</v>
      </c>
      <c r="F30" t="s">
        <v>893</v>
      </c>
      <c r="G30" s="6" t="str">
        <f>INDEX(CaseTypeDim!$I:$I,MATCH($F30,CaseTypeDim!$A:$A,0))</f>
        <v>1_15_0</v>
      </c>
      <c r="H30" s="6" t="str">
        <f t="shared" si="0"/>
        <v>1_15_0_1</v>
      </c>
      <c r="I30">
        <v>1</v>
      </c>
      <c r="J30" s="6" t="str">
        <f t="shared" si="1"/>
        <v>case_type_col1_15_0_1_ID_PERSON</v>
      </c>
      <c r="U30" t="s">
        <v>149</v>
      </c>
    </row>
    <row r="31" spans="1:21" x14ac:dyDescent="0.3">
      <c r="A31" t="s">
        <v>1230</v>
      </c>
      <c r="B31" t="s">
        <v>115</v>
      </c>
      <c r="C31" s="6" t="str">
        <f>INDEX(CaseType!$B:$B,MATCH($B31,CaseType!$A:$A,0))</f>
        <v>case_type1</v>
      </c>
      <c r="D31" t="s">
        <v>1222</v>
      </c>
      <c r="E31" s="6" t="str">
        <f>INDEX(Col!$H:$H,MATCH($D31,Col!$A:$A,0))</f>
        <v>ID_SAMPLE</v>
      </c>
      <c r="F31" t="s">
        <v>893</v>
      </c>
      <c r="G31" s="6" t="str">
        <f>INDEX(CaseTypeDim!$I:$I,MATCH($F31,CaseTypeDim!$A:$A,0))</f>
        <v>1_15_0</v>
      </c>
      <c r="H31" s="6" t="str">
        <f t="shared" si="0"/>
        <v>1_15_0_2</v>
      </c>
      <c r="I31">
        <v>2</v>
      </c>
      <c r="J31" s="6" t="str">
        <f t="shared" si="1"/>
        <v>case_type_col1_15_0_2_ID_SAMPLE</v>
      </c>
      <c r="U31" t="s">
        <v>149</v>
      </c>
    </row>
    <row r="32" spans="1:21" x14ac:dyDescent="0.3">
      <c r="A32" t="s">
        <v>1231</v>
      </c>
      <c r="B32" t="s">
        <v>115</v>
      </c>
      <c r="C32" s="6" t="str">
        <f>INDEX(CaseType!$B:$B,MATCH($B32,CaseType!$A:$A,0))</f>
        <v>case_type1</v>
      </c>
      <c r="D32" t="s">
        <v>1223</v>
      </c>
      <c r="E32" s="6" t="str">
        <f>INDEX(Col!$H:$H,MATCH($D32,Col!$A:$A,0))</f>
        <v>ID_CASE</v>
      </c>
      <c r="F32" t="s">
        <v>893</v>
      </c>
      <c r="G32" s="6" t="str">
        <f>INDEX(CaseTypeDim!$I:$I,MATCH($F32,CaseTypeDim!$A:$A,0))</f>
        <v>1_15_0</v>
      </c>
      <c r="H32" s="6" t="str">
        <f t="shared" si="0"/>
        <v>1_15_0_1</v>
      </c>
      <c r="I32">
        <v>1</v>
      </c>
      <c r="J32" s="6" t="str">
        <f t="shared" si="1"/>
        <v>case_type_col1_15_0_1_ID_CASE</v>
      </c>
      <c r="U32" t="s">
        <v>149</v>
      </c>
    </row>
    <row r="33" spans="1:21" x14ac:dyDescent="0.3">
      <c r="A33" t="s">
        <v>1232</v>
      </c>
      <c r="B33" t="s">
        <v>115</v>
      </c>
      <c r="C33" s="6" t="str">
        <f>INDEX(CaseType!$B:$B,MATCH($B33,CaseType!$A:$A,0))</f>
        <v>case_type1</v>
      </c>
      <c r="D33" t="s">
        <v>1224</v>
      </c>
      <c r="E33" s="6" t="str">
        <f>INDEX(Col!$H:$H,MATCH($D33,Col!$A:$A,0))</f>
        <v>ID_GENETIC_SEQUENCE</v>
      </c>
      <c r="F33" t="s">
        <v>893</v>
      </c>
      <c r="G33" s="6" t="str">
        <f>INDEX(CaseTypeDim!$I:$I,MATCH($F33,CaseTypeDim!$A:$A,0))</f>
        <v>1_15_0</v>
      </c>
      <c r="H33" s="6" t="str">
        <f t="shared" si="0"/>
        <v>1_15_0_4</v>
      </c>
      <c r="I33">
        <v>4</v>
      </c>
      <c r="J33" s="6" t="str">
        <f t="shared" si="1"/>
        <v>case_type_col1_15_0_4_ID_GENETIC_SEQUENCE</v>
      </c>
      <c r="U33" t="s">
        <v>149</v>
      </c>
    </row>
    <row r="34" spans="1:21" x14ac:dyDescent="0.3">
      <c r="A34" t="s">
        <v>1233</v>
      </c>
      <c r="B34" t="s">
        <v>115</v>
      </c>
      <c r="C34" s="6" t="str">
        <f>INDEX(CaseType!$B:$B,MATCH($B34,CaseType!$A:$A,0))</f>
        <v>case_type1</v>
      </c>
      <c r="D34" t="s">
        <v>1225</v>
      </c>
      <c r="E34" s="6" t="str">
        <f>INDEX(Col!$H:$H,MATCH($D34,Col!$A:$A,0))</f>
        <v>ID_EVENT</v>
      </c>
      <c r="F34" t="s">
        <v>893</v>
      </c>
      <c r="G34" s="6" t="str">
        <f>INDEX(CaseTypeDim!$I:$I,MATCH($F34,CaseTypeDim!$A:$A,0))</f>
        <v>1_15_0</v>
      </c>
      <c r="H34" s="6" t="str">
        <f t="shared" si="0"/>
        <v>1_15_0_5</v>
      </c>
      <c r="I34">
        <v>5</v>
      </c>
      <c r="J34" s="6" t="str">
        <f t="shared" si="1"/>
        <v>case_type_col1_15_0_5_ID_EVENT</v>
      </c>
      <c r="U34" t="s">
        <v>149</v>
      </c>
    </row>
    <row r="35" spans="1:21" x14ac:dyDescent="0.3">
      <c r="A35" t="s">
        <v>539</v>
      </c>
      <c r="B35" t="s">
        <v>115</v>
      </c>
      <c r="C35" s="6" t="str">
        <f>INDEX(CaseType!$B:$B,MATCH($B35,CaseType!$A:$A,0))</f>
        <v>case_type1</v>
      </c>
      <c r="D35" t="s">
        <v>487</v>
      </c>
      <c r="E35" s="6" t="str">
        <f>INDEX(Col!$H:$H,MATCH($D35,Col!$A:$A,0))</f>
        <v>ID_PERSON</v>
      </c>
      <c r="F35" t="s">
        <v>894</v>
      </c>
      <c r="G35" s="6" t="str">
        <f>INDEX(CaseTypeDim!$I:$I,MATCH($F35,CaseTypeDim!$A:$A,0))</f>
        <v>1_16_0</v>
      </c>
      <c r="H35" s="6" t="str">
        <f t="shared" si="0"/>
        <v>1_16_0_1</v>
      </c>
      <c r="I35">
        <v>1</v>
      </c>
      <c r="J35" s="6" t="str">
        <f t="shared" si="1"/>
        <v>case_type_col1_16_0_1_ID_PERSON</v>
      </c>
      <c r="U35" t="s">
        <v>149</v>
      </c>
    </row>
    <row r="36" spans="1:21" x14ac:dyDescent="0.3">
      <c r="A36" t="s">
        <v>1234</v>
      </c>
      <c r="B36" t="s">
        <v>115</v>
      </c>
      <c r="C36" s="6" t="str">
        <f>INDEX(CaseType!$B:$B,MATCH($B36,CaseType!$A:$A,0))</f>
        <v>case_type1</v>
      </c>
      <c r="D36" t="s">
        <v>1226</v>
      </c>
      <c r="E36" s="6" t="str">
        <f>INDEX(Col!$H:$H,MATCH($D36,Col!$A:$A,0))</f>
        <v>ID_SAMPLE</v>
      </c>
      <c r="F36" t="s">
        <v>894</v>
      </c>
      <c r="G36" s="6" t="str">
        <f>INDEX(CaseTypeDim!$I:$I,MATCH($F36,CaseTypeDim!$A:$A,0))</f>
        <v>1_16_0</v>
      </c>
      <c r="H36" s="6" t="str">
        <f t="shared" si="0"/>
        <v>1_16_0_2</v>
      </c>
      <c r="I36">
        <v>2</v>
      </c>
      <c r="J36" s="6" t="str">
        <f t="shared" si="1"/>
        <v>case_type_col1_16_0_2_ID_SAMPLE</v>
      </c>
      <c r="U36" t="s">
        <v>149</v>
      </c>
    </row>
    <row r="37" spans="1:21" x14ac:dyDescent="0.3">
      <c r="A37" t="s">
        <v>1235</v>
      </c>
      <c r="B37" t="s">
        <v>115</v>
      </c>
      <c r="C37" s="6" t="str">
        <f>INDEX(CaseType!$B:$B,MATCH($B37,CaseType!$A:$A,0))</f>
        <v>case_type1</v>
      </c>
      <c r="D37" t="s">
        <v>1227</v>
      </c>
      <c r="E37" s="6" t="str">
        <f>INDEX(Col!$H:$H,MATCH($D37,Col!$A:$A,0))</f>
        <v>ID_CASE</v>
      </c>
      <c r="F37" t="s">
        <v>894</v>
      </c>
      <c r="G37" s="6" t="str">
        <f>INDEX(CaseTypeDim!$I:$I,MATCH($F37,CaseTypeDim!$A:$A,0))</f>
        <v>1_16_0</v>
      </c>
      <c r="H37" s="6" t="str">
        <f t="shared" si="0"/>
        <v>1_16_0_3</v>
      </c>
      <c r="I37">
        <v>3</v>
      </c>
      <c r="J37" s="6" t="str">
        <f t="shared" si="1"/>
        <v>case_type_col1_16_0_3_ID_CASE</v>
      </c>
      <c r="U37" t="s">
        <v>149</v>
      </c>
    </row>
    <row r="38" spans="1:21" x14ac:dyDescent="0.3">
      <c r="A38" t="s">
        <v>1236</v>
      </c>
      <c r="B38" t="s">
        <v>115</v>
      </c>
      <c r="C38" s="6" t="str">
        <f>INDEX(CaseType!$B:$B,MATCH($B38,CaseType!$A:$A,0))</f>
        <v>case_type1</v>
      </c>
      <c r="D38" t="s">
        <v>1228</v>
      </c>
      <c r="E38" s="6" t="str">
        <f>INDEX(Col!$H:$H,MATCH($D38,Col!$A:$A,0))</f>
        <v>ID_GENETIC_SEQUENCE</v>
      </c>
      <c r="F38" t="s">
        <v>894</v>
      </c>
      <c r="G38" s="6" t="str">
        <f>INDEX(CaseTypeDim!$I:$I,MATCH($F38,CaseTypeDim!$A:$A,0))</f>
        <v>1_16_0</v>
      </c>
      <c r="H38" s="6" t="str">
        <f t="shared" si="0"/>
        <v>1_16_0_4</v>
      </c>
      <c r="I38">
        <v>4</v>
      </c>
      <c r="J38" s="6" t="str">
        <f t="shared" si="1"/>
        <v>case_type_col1_16_0_4_ID_GENETIC_SEQUENCE</v>
      </c>
      <c r="U38" t="s">
        <v>149</v>
      </c>
    </row>
    <row r="39" spans="1:21" x14ac:dyDescent="0.3">
      <c r="A39" t="s">
        <v>1237</v>
      </c>
      <c r="B39" t="s">
        <v>115</v>
      </c>
      <c r="C39" s="6" t="str">
        <f>INDEX(CaseType!$B:$B,MATCH($B39,CaseType!$A:$A,0))</f>
        <v>case_type1</v>
      </c>
      <c r="D39" t="s">
        <v>1229</v>
      </c>
      <c r="E39" s="6" t="str">
        <f>INDEX(Col!$H:$H,MATCH($D39,Col!$A:$A,0))</f>
        <v>ID_EVENT</v>
      </c>
      <c r="F39" t="s">
        <v>894</v>
      </c>
      <c r="G39" s="6" t="str">
        <f>INDEX(CaseTypeDim!$I:$I,MATCH($F39,CaseTypeDim!$A:$A,0))</f>
        <v>1_16_0</v>
      </c>
      <c r="H39" s="6" t="str">
        <f t="shared" si="0"/>
        <v>1_16_0_5</v>
      </c>
      <c r="I39">
        <v>5</v>
      </c>
      <c r="J39" s="6" t="str">
        <f t="shared" si="1"/>
        <v>case_type_col1_16_0_5_ID_EVENT</v>
      </c>
      <c r="U39" t="s">
        <v>149</v>
      </c>
    </row>
    <row r="40" spans="1:21" x14ac:dyDescent="0.3">
      <c r="A40" t="s">
        <v>540</v>
      </c>
      <c r="B40" t="s">
        <v>115</v>
      </c>
      <c r="C40" s="6" t="str">
        <f>INDEX(CaseType!$B:$B,MATCH($B40,CaseType!$A:$A,0))</f>
        <v>case_type1</v>
      </c>
      <c r="D40" t="s">
        <v>488</v>
      </c>
      <c r="E40" s="6" t="str">
        <f>INDEX(Col!$H:$H,MATCH($D40,Col!$A:$A,0))</f>
        <v>DECIMAL_0</v>
      </c>
      <c r="F40" t="s">
        <v>895</v>
      </c>
      <c r="G40" s="6" t="str">
        <f>INDEX(CaseTypeDim!$I:$I,MATCH($F40,CaseTypeDim!$A:$A,0))</f>
        <v>1_17_0</v>
      </c>
      <c r="H40" s="6" t="str">
        <f t="shared" si="0"/>
        <v>1_17_0_1</v>
      </c>
      <c r="I40">
        <v>1</v>
      </c>
      <c r="J40" s="6" t="str">
        <f t="shared" si="1"/>
        <v>case_type_col1_17_0_1_DECIMAL_0</v>
      </c>
      <c r="U40" t="s">
        <v>149</v>
      </c>
    </row>
    <row r="41" spans="1:21" x14ac:dyDescent="0.3">
      <c r="A41" t="s">
        <v>541</v>
      </c>
      <c r="B41" t="s">
        <v>115</v>
      </c>
      <c r="C41" s="6" t="str">
        <f>INDEX(CaseType!$B:$B,MATCH($B41,CaseType!$A:$A,0))</f>
        <v>case_type1</v>
      </c>
      <c r="D41" t="s">
        <v>498</v>
      </c>
      <c r="E41" s="6" t="str">
        <f>INDEX(Col!$H:$H,MATCH($D41,Col!$A:$A,0))</f>
        <v>INTERVAL</v>
      </c>
      <c r="F41" t="s">
        <v>895</v>
      </c>
      <c r="G41" s="6" t="str">
        <f>INDEX(CaseTypeDim!$I:$I,MATCH($F41,CaseTypeDim!$A:$A,0))</f>
        <v>1_17_0</v>
      </c>
      <c r="H41" s="6" t="str">
        <f t="shared" si="0"/>
        <v>1_17_0_2</v>
      </c>
      <c r="I41">
        <v>2</v>
      </c>
      <c r="J41" s="6" t="str">
        <f t="shared" si="1"/>
        <v>case_type_col1_17_0_2_INTERVAL</v>
      </c>
      <c r="U41" t="s">
        <v>149</v>
      </c>
    </row>
    <row r="42" spans="1:21" x14ac:dyDescent="0.3">
      <c r="A42" t="s">
        <v>542</v>
      </c>
      <c r="B42" t="s">
        <v>115</v>
      </c>
      <c r="C42" s="6" t="str">
        <f>INDEX(CaseType!$B:$B,MATCH($B42,CaseType!$A:$A,0))</f>
        <v>case_type1</v>
      </c>
      <c r="D42" t="s">
        <v>499</v>
      </c>
      <c r="E42" s="6" t="str">
        <f>INDEX(Col!$H:$H,MATCH($D42,Col!$A:$A,0))</f>
        <v>INTERVAL</v>
      </c>
      <c r="F42" t="s">
        <v>895</v>
      </c>
      <c r="G42" s="6" t="str">
        <f>INDEX(CaseTypeDim!$I:$I,MATCH($F42,CaseTypeDim!$A:$A,0))</f>
        <v>1_17_0</v>
      </c>
      <c r="H42" s="6" t="str">
        <f t="shared" ref="H42:H85" si="2">$G42&amp;"_"&amp;$I42</f>
        <v>1_17_0_3</v>
      </c>
      <c r="I42">
        <v>3</v>
      </c>
      <c r="J42" s="6" t="str">
        <f t="shared" ref="J42:J85" si="3">"case_type_col"&amp;$H42&amp;"_"&amp;$E42</f>
        <v>case_type_col1_17_0_3_INTERVAL</v>
      </c>
      <c r="U42" t="s">
        <v>149</v>
      </c>
    </row>
    <row r="43" spans="1:21" x14ac:dyDescent="0.3">
      <c r="A43" t="s">
        <v>543</v>
      </c>
      <c r="B43" t="s">
        <v>115</v>
      </c>
      <c r="C43" s="6" t="str">
        <f>INDEX(CaseType!$B:$B,MATCH($B43,CaseType!$A:$A,0))</f>
        <v>case_type1</v>
      </c>
      <c r="D43" t="s">
        <v>489</v>
      </c>
      <c r="E43" s="6" t="str">
        <f>INDEX(Col!$H:$H,MATCH($D43,Col!$A:$A,0))</f>
        <v>DECIMAL_2</v>
      </c>
      <c r="F43" t="s">
        <v>896</v>
      </c>
      <c r="G43" s="6" t="str">
        <f>INDEX(CaseTypeDim!$I:$I,MATCH($F43,CaseTypeDim!$A:$A,0))</f>
        <v>1_18_0</v>
      </c>
      <c r="H43" s="6" t="str">
        <f t="shared" si="2"/>
        <v>1_18_0_1</v>
      </c>
      <c r="I43">
        <v>1</v>
      </c>
      <c r="J43" s="6" t="str">
        <f t="shared" si="3"/>
        <v>case_type_col1_18_0_1_DECIMAL_2</v>
      </c>
      <c r="U43" t="s">
        <v>149</v>
      </c>
    </row>
    <row r="44" spans="1:21" x14ac:dyDescent="0.3">
      <c r="A44" t="s">
        <v>544</v>
      </c>
      <c r="B44" t="s">
        <v>115</v>
      </c>
      <c r="C44" s="6" t="str">
        <f>INDEX(CaseType!$B:$B,MATCH($B44,CaseType!$A:$A,0))</f>
        <v>case_type1</v>
      </c>
      <c r="D44" t="s">
        <v>500</v>
      </c>
      <c r="E44" s="6" t="str">
        <f>INDEX(Col!$H:$H,MATCH($D44,Col!$A:$A,0))</f>
        <v>INTERVAL</v>
      </c>
      <c r="F44" t="s">
        <v>896</v>
      </c>
      <c r="G44" s="6" t="str">
        <f>INDEX(CaseTypeDim!$I:$I,MATCH($F44,CaseTypeDim!$A:$A,0))</f>
        <v>1_18_0</v>
      </c>
      <c r="H44" s="6" t="str">
        <f t="shared" si="2"/>
        <v>1_18_0_2</v>
      </c>
      <c r="I44">
        <v>2</v>
      </c>
      <c r="J44" s="6" t="str">
        <f t="shared" si="3"/>
        <v>case_type_col1_18_0_2_INTERVAL</v>
      </c>
      <c r="U44" t="s">
        <v>149</v>
      </c>
    </row>
    <row r="45" spans="1:21" x14ac:dyDescent="0.3">
      <c r="A45" t="s">
        <v>545</v>
      </c>
      <c r="B45" t="s">
        <v>115</v>
      </c>
      <c r="C45" s="6" t="str">
        <f>INDEX(CaseType!$B:$B,MATCH($B45,CaseType!$A:$A,0))</f>
        <v>case_type1</v>
      </c>
      <c r="D45" t="s">
        <v>501</v>
      </c>
      <c r="E45" s="6" t="str">
        <f>INDEX(Col!$H:$H,MATCH($D45,Col!$A:$A,0))</f>
        <v>INTERVAL</v>
      </c>
      <c r="F45" t="s">
        <v>896</v>
      </c>
      <c r="G45" s="6" t="str">
        <f>INDEX(CaseTypeDim!$I:$I,MATCH($F45,CaseTypeDim!$A:$A,0))</f>
        <v>1_18_0</v>
      </c>
      <c r="H45" s="6" t="str">
        <f t="shared" si="2"/>
        <v>1_18_0_3</v>
      </c>
      <c r="I45">
        <v>3</v>
      </c>
      <c r="J45" s="6" t="str">
        <f t="shared" si="3"/>
        <v>case_type_col1_18_0_3_INTERVAL</v>
      </c>
      <c r="U45" t="s">
        <v>149</v>
      </c>
    </row>
    <row r="46" spans="1:21" x14ac:dyDescent="0.3">
      <c r="A46" t="s">
        <v>1173</v>
      </c>
      <c r="B46" t="s">
        <v>115</v>
      </c>
      <c r="C46" s="6" t="str">
        <f>INDEX(CaseType!$B:$B,MATCH($B46,CaseType!$A:$A,0))</f>
        <v>case_type1</v>
      </c>
      <c r="D46" t="s">
        <v>1089</v>
      </c>
      <c r="E46" s="6" t="str">
        <f>INDEX(Col!$H:$H,MATCH($D46,Col!$A:$A,0))</f>
        <v>GENETIC_READS</v>
      </c>
      <c r="F46" t="s">
        <v>1169</v>
      </c>
      <c r="G46" s="6" t="str">
        <f>INDEX(CaseTypeDim!$I:$I,MATCH($F46,CaseTypeDim!$A:$A,0))</f>
        <v>1_19_0</v>
      </c>
      <c r="H46" s="6" t="str">
        <f t="shared" si="2"/>
        <v>1_19_0_1</v>
      </c>
      <c r="I46">
        <v>1</v>
      </c>
      <c r="J46" s="6" t="str">
        <f t="shared" si="3"/>
        <v>case_type_col1_19_0_1_GENETIC_READS</v>
      </c>
      <c r="U46" t="s">
        <v>149</v>
      </c>
    </row>
    <row r="47" spans="1:21" x14ac:dyDescent="0.3">
      <c r="A47" t="s">
        <v>1174</v>
      </c>
      <c r="B47" t="s">
        <v>115</v>
      </c>
      <c r="C47" s="6" t="str">
        <f>INDEX(CaseType!$B:$B,MATCH($B47,CaseType!$A:$A,0))</f>
        <v>case_type1</v>
      </c>
      <c r="D47" t="s">
        <v>1090</v>
      </c>
      <c r="E47" s="6" t="str">
        <f>INDEX(Col!$H:$H,MATCH($D47,Col!$A:$A,0))</f>
        <v>GENETIC_SEQUENCE</v>
      </c>
      <c r="F47" t="s">
        <v>1169</v>
      </c>
      <c r="G47" s="6" t="str">
        <f>INDEX(CaseTypeDim!$I:$I,MATCH($F47,CaseTypeDim!$A:$A,0))</f>
        <v>1_19_0</v>
      </c>
      <c r="H47" s="6" t="str">
        <f t="shared" si="2"/>
        <v>1_19_0_2</v>
      </c>
      <c r="I47">
        <v>2</v>
      </c>
      <c r="J47" s="6" t="str">
        <f t="shared" si="3"/>
        <v>case_type_col1_19_0_2_GENETIC_SEQUENCE</v>
      </c>
      <c r="U47" t="s">
        <v>149</v>
      </c>
    </row>
    <row r="48" spans="1:21" x14ac:dyDescent="0.3">
      <c r="A48" t="s">
        <v>1175</v>
      </c>
      <c r="B48" t="s">
        <v>115</v>
      </c>
      <c r="C48" s="6" t="str">
        <f>INDEX(CaseType!$B:$B,MATCH($B48,CaseType!$A:$A,0))</f>
        <v>case_type1</v>
      </c>
      <c r="D48" t="s">
        <v>1093</v>
      </c>
      <c r="E48" s="6" t="str">
        <f>INDEX(Col!$H:$H,MATCH($D48,Col!$A:$A,0))</f>
        <v>GENETIC_PROFILE</v>
      </c>
      <c r="F48" t="s">
        <v>1169</v>
      </c>
      <c r="G48" s="6" t="str">
        <f>INDEX(CaseTypeDim!$I:$I,MATCH($F48,CaseTypeDim!$A:$A,0))</f>
        <v>1_19_0</v>
      </c>
      <c r="H48" s="6" t="str">
        <f t="shared" si="2"/>
        <v>1_19_0_3</v>
      </c>
      <c r="I48">
        <v>3</v>
      </c>
      <c r="J48" s="6" t="str">
        <f t="shared" si="3"/>
        <v>case_type_col1_19_0_3_GENETIC_PROFILE</v>
      </c>
      <c r="U48" t="s">
        <v>149</v>
      </c>
    </row>
    <row r="49" spans="1:21" x14ac:dyDescent="0.3">
      <c r="A49" t="s">
        <v>1176</v>
      </c>
      <c r="B49" t="s">
        <v>115</v>
      </c>
      <c r="C49" s="6" t="str">
        <f>INDEX(CaseType!$B:$B,MATCH($B49,CaseType!$A:$A,0))</f>
        <v>case_type1</v>
      </c>
      <c r="D49" t="s">
        <v>1094</v>
      </c>
      <c r="E49" s="6" t="str">
        <f>INDEX(Col!$H:$H,MATCH($D49,Col!$A:$A,0))</f>
        <v>GENETIC_DISTANCE</v>
      </c>
      <c r="F49" t="s">
        <v>1169</v>
      </c>
      <c r="G49" s="6" t="str">
        <f>INDEX(CaseTypeDim!$I:$I,MATCH($F49,CaseTypeDim!$A:$A,0))</f>
        <v>1_19_0</v>
      </c>
      <c r="H49" s="6" t="str">
        <f t="shared" si="2"/>
        <v>1_19_0_4</v>
      </c>
      <c r="I49">
        <v>4</v>
      </c>
      <c r="J49" s="6" t="str">
        <f t="shared" si="3"/>
        <v>case_type_col1_19_0_4_GENETIC_DISTANCE</v>
      </c>
      <c r="U49" t="s">
        <v>149</v>
      </c>
    </row>
    <row r="50" spans="1:21" x14ac:dyDescent="0.3">
      <c r="A50" t="s">
        <v>1177</v>
      </c>
      <c r="B50" t="s">
        <v>115</v>
      </c>
      <c r="C50" s="6" t="str">
        <f>INDEX(CaseType!$B:$B,MATCH($B50,CaseType!$A:$A,0))</f>
        <v>case_type1</v>
      </c>
      <c r="D50" t="s">
        <v>1091</v>
      </c>
      <c r="E50" s="6" t="str">
        <f>INDEX(Col!$H:$H,MATCH($D50,Col!$A:$A,0))</f>
        <v>GENETIC_READS</v>
      </c>
      <c r="F50" t="s">
        <v>1170</v>
      </c>
      <c r="G50" s="6" t="str">
        <f>INDEX(CaseTypeDim!$I:$I,MATCH($F50,CaseTypeDim!$A:$A,0))</f>
        <v>1_20_0</v>
      </c>
      <c r="H50" s="6" t="str">
        <f t="shared" si="2"/>
        <v>1_20_0_1</v>
      </c>
      <c r="I50">
        <v>1</v>
      </c>
      <c r="J50" s="6" t="str">
        <f t="shared" si="3"/>
        <v>case_type_col1_20_0_1_GENETIC_READS</v>
      </c>
      <c r="U50" t="s">
        <v>149</v>
      </c>
    </row>
    <row r="51" spans="1:21" x14ac:dyDescent="0.3">
      <c r="A51" t="s">
        <v>1178</v>
      </c>
      <c r="B51" t="s">
        <v>115</v>
      </c>
      <c r="C51" s="6" t="str">
        <f>INDEX(CaseType!$B:$B,MATCH($B51,CaseType!$A:$A,0))</f>
        <v>case_type1</v>
      </c>
      <c r="D51" t="s">
        <v>1092</v>
      </c>
      <c r="E51" s="6" t="str">
        <f>INDEX(Col!$H:$H,MATCH($D51,Col!$A:$A,0))</f>
        <v>GENETIC_SEQUENCE</v>
      </c>
      <c r="F51" t="s">
        <v>1170</v>
      </c>
      <c r="G51" s="6" t="str">
        <f>INDEX(CaseTypeDim!$I:$I,MATCH($F51,CaseTypeDim!$A:$A,0))</f>
        <v>1_20_0</v>
      </c>
      <c r="H51" s="6" t="str">
        <f t="shared" si="2"/>
        <v>1_20_0_2</v>
      </c>
      <c r="I51">
        <v>2</v>
      </c>
      <c r="J51" s="6" t="str">
        <f t="shared" si="3"/>
        <v>case_type_col1_20_0_2_GENETIC_SEQUENCE</v>
      </c>
      <c r="U51" t="s">
        <v>149</v>
      </c>
    </row>
    <row r="52" spans="1:21" x14ac:dyDescent="0.3">
      <c r="A52" t="s">
        <v>1179</v>
      </c>
      <c r="B52" t="s">
        <v>115</v>
      </c>
      <c r="C52" s="6" t="str">
        <f>INDEX(CaseType!$B:$B,MATCH($B52,CaseType!$A:$A,0))</f>
        <v>case_type1</v>
      </c>
      <c r="D52" t="s">
        <v>1095</v>
      </c>
      <c r="E52" s="6" t="str">
        <f>INDEX(Col!$H:$H,MATCH($D52,Col!$A:$A,0))</f>
        <v>GENETIC_PROFILE</v>
      </c>
      <c r="F52" t="s">
        <v>1170</v>
      </c>
      <c r="G52" s="6" t="str">
        <f>INDEX(CaseTypeDim!$I:$I,MATCH($F52,CaseTypeDim!$A:$A,0))</f>
        <v>1_20_0</v>
      </c>
      <c r="H52" s="6" t="str">
        <f t="shared" si="2"/>
        <v>1_20_0_3</v>
      </c>
      <c r="I52">
        <v>3</v>
      </c>
      <c r="J52" s="6" t="str">
        <f t="shared" si="3"/>
        <v>case_type_col1_20_0_3_GENETIC_PROFILE</v>
      </c>
      <c r="U52" t="s">
        <v>149</v>
      </c>
    </row>
    <row r="53" spans="1:21" x14ac:dyDescent="0.3">
      <c r="A53" t="s">
        <v>1180</v>
      </c>
      <c r="B53" t="s">
        <v>115</v>
      </c>
      <c r="C53" s="6" t="str">
        <f>INDEX(CaseType!$B:$B,MATCH($B53,CaseType!$A:$A,0))</f>
        <v>case_type1</v>
      </c>
      <c r="D53" t="s">
        <v>1096</v>
      </c>
      <c r="E53" s="6" t="str">
        <f>INDEX(Col!$H:$H,MATCH($D53,Col!$A:$A,0))</f>
        <v>GENETIC_DISTANCE</v>
      </c>
      <c r="F53" t="s">
        <v>1170</v>
      </c>
      <c r="G53" s="6" t="str">
        <f>INDEX(CaseTypeDim!$I:$I,MATCH($F53,CaseTypeDim!$A:$A,0))</f>
        <v>1_20_0</v>
      </c>
      <c r="H53" s="6" t="str">
        <f t="shared" si="2"/>
        <v>1_20_0_4</v>
      </c>
      <c r="I53">
        <v>4</v>
      </c>
      <c r="J53" s="6" t="str">
        <f t="shared" si="3"/>
        <v>case_type_col1_20_0_4_GENETIC_DISTANCE</v>
      </c>
      <c r="U53" t="s">
        <v>149</v>
      </c>
    </row>
    <row r="54" spans="1:21" x14ac:dyDescent="0.3">
      <c r="A54" t="s">
        <v>546</v>
      </c>
      <c r="B54" t="s">
        <v>115</v>
      </c>
      <c r="C54" s="6" t="str">
        <f>INDEX(CaseType!$B:$B,MATCH($B54,CaseType!$A:$A,0))</f>
        <v>case_type1</v>
      </c>
      <c r="D54" t="s">
        <v>490</v>
      </c>
      <c r="E54" s="6" t="str">
        <f>INDEX(Col!$H:$H,MATCH($D54,Col!$A:$A,0))</f>
        <v>OTHER</v>
      </c>
      <c r="F54" t="s">
        <v>897</v>
      </c>
      <c r="G54" s="6" t="str">
        <f>INDEX(CaseTypeDim!$I:$I,MATCH($F54,CaseTypeDim!$A:$A,0))</f>
        <v>1_21_0</v>
      </c>
      <c r="H54" s="6" t="str">
        <f t="shared" si="2"/>
        <v>1_21_0_1</v>
      </c>
      <c r="I54">
        <v>1</v>
      </c>
      <c r="J54" s="6" t="str">
        <f t="shared" si="3"/>
        <v>case_type_col1_21_0_1_OTHER</v>
      </c>
      <c r="U54" t="s">
        <v>149</v>
      </c>
    </row>
    <row r="55" spans="1:21" x14ac:dyDescent="0.3">
      <c r="A55" t="s">
        <v>547</v>
      </c>
      <c r="B55" t="s">
        <v>115</v>
      </c>
      <c r="C55" s="6" t="str">
        <f>INDEX(CaseType!$B:$B,MATCH($B55,CaseType!$A:$A,0))</f>
        <v>case_type1</v>
      </c>
      <c r="D55" t="s">
        <v>491</v>
      </c>
      <c r="E55" s="6" t="str">
        <f>INDEX(Col!$H:$H,MATCH($D55,Col!$A:$A,0))</f>
        <v>OTHER</v>
      </c>
      <c r="F55" t="s">
        <v>898</v>
      </c>
      <c r="G55" s="6" t="str">
        <f>INDEX(CaseTypeDim!$I:$I,MATCH($F55,CaseTypeDim!$A:$A,0))</f>
        <v>1_22_0</v>
      </c>
      <c r="H55" s="6" t="str">
        <f t="shared" si="2"/>
        <v>1_22_0_1</v>
      </c>
      <c r="I55">
        <v>1</v>
      </c>
      <c r="J55" s="6" t="str">
        <f t="shared" si="3"/>
        <v>case_type_col1_22_0_1_OTHER</v>
      </c>
      <c r="U55" t="s">
        <v>149</v>
      </c>
    </row>
    <row r="56" spans="1:21" x14ac:dyDescent="0.3">
      <c r="A56" t="s">
        <v>548</v>
      </c>
      <c r="B56" t="s">
        <v>118</v>
      </c>
      <c r="C56" s="6" t="str">
        <f>INDEX(CaseType!$B:$B,MATCH($B56,CaseType!$A:$A,0))</f>
        <v>case_type2</v>
      </c>
      <c r="D56" t="s">
        <v>458</v>
      </c>
      <c r="E56" s="6" t="str">
        <f>INDEX(Col!$H:$H,MATCH($D56,Col!$A:$A,0))</f>
        <v>NOMINAL</v>
      </c>
      <c r="F56" t="s">
        <v>899</v>
      </c>
      <c r="G56" s="6" t="str">
        <f>INDEX(CaseTypeDim!$I:$I,MATCH($F56,CaseTypeDim!$A:$A,0))</f>
        <v>2_1_0</v>
      </c>
      <c r="H56" s="6" t="str">
        <f t="shared" si="2"/>
        <v>2_1_0_1</v>
      </c>
      <c r="I56">
        <v>1</v>
      </c>
      <c r="J56" s="6" t="str">
        <f t="shared" si="3"/>
        <v>case_type_col2_1_0_1_NOMINAL</v>
      </c>
      <c r="U56" t="s">
        <v>149</v>
      </c>
    </row>
    <row r="57" spans="1:21" x14ac:dyDescent="0.3">
      <c r="A57" t="s">
        <v>549</v>
      </c>
      <c r="B57" t="s">
        <v>118</v>
      </c>
      <c r="C57" s="6" t="str">
        <f>INDEX(CaseType!$B:$B,MATCH($B57,CaseType!$A:$A,0))</f>
        <v>case_type2</v>
      </c>
      <c r="D57" t="s">
        <v>460</v>
      </c>
      <c r="E57" s="6" t="str">
        <f>INDEX(Col!$H:$H,MATCH($D57,Col!$A:$A,0))</f>
        <v>ORDINAL</v>
      </c>
      <c r="F57" t="s">
        <v>901</v>
      </c>
      <c r="G57" s="6" t="str">
        <f>INDEX(CaseTypeDim!$I:$I,MATCH($F57,CaseTypeDim!$A:$A,0))</f>
        <v>2_3_0</v>
      </c>
      <c r="H57" s="6" t="str">
        <f t="shared" si="2"/>
        <v>2_3_0_1</v>
      </c>
      <c r="I57">
        <v>1</v>
      </c>
      <c r="J57" s="6" t="str">
        <f t="shared" si="3"/>
        <v>case_type_col2_3_0_1_ORDINAL</v>
      </c>
      <c r="U57" t="s">
        <v>149</v>
      </c>
    </row>
    <row r="58" spans="1:21" x14ac:dyDescent="0.3">
      <c r="A58" t="s">
        <v>550</v>
      </c>
      <c r="B58" t="s">
        <v>118</v>
      </c>
      <c r="C58" s="6" t="str">
        <f>INDEX(CaseType!$B:$B,MATCH($B58,CaseType!$A:$A,0))</f>
        <v>case_type2</v>
      </c>
      <c r="D58" t="s">
        <v>462</v>
      </c>
      <c r="E58" s="6" t="str">
        <f>INDEX(Col!$H:$H,MATCH($D58,Col!$A:$A,0))</f>
        <v>REGULAR_LANGUAGE</v>
      </c>
      <c r="F58" t="s">
        <v>903</v>
      </c>
      <c r="G58" s="6" t="str">
        <f>INDEX(CaseTypeDim!$I:$I,MATCH($F58,CaseTypeDim!$A:$A,0))</f>
        <v>2_5_0</v>
      </c>
      <c r="H58" s="6" t="str">
        <f t="shared" si="2"/>
        <v>2_5_0_1</v>
      </c>
      <c r="I58">
        <v>1</v>
      </c>
      <c r="J58" s="6" t="str">
        <f t="shared" si="3"/>
        <v>case_type_col2_5_0_1_REGULAR_LANGUAGE</v>
      </c>
      <c r="U58" t="s">
        <v>149</v>
      </c>
    </row>
    <row r="59" spans="1:21" x14ac:dyDescent="0.3">
      <c r="A59" t="s">
        <v>551</v>
      </c>
      <c r="B59" t="s">
        <v>118</v>
      </c>
      <c r="C59" s="6" t="str">
        <f>INDEX(CaseType!$B:$B,MATCH($B59,CaseType!$A:$A,0))</f>
        <v>case_type2</v>
      </c>
      <c r="D59" t="s">
        <v>464</v>
      </c>
      <c r="E59" s="6" t="str">
        <f>INDEX(Col!$H:$H,MATCH($D59,Col!$A:$A,0))</f>
        <v>TEXT</v>
      </c>
      <c r="F59" t="s">
        <v>905</v>
      </c>
      <c r="G59" s="6" t="str">
        <f>INDEX(CaseTypeDim!$I:$I,MATCH($F59,CaseTypeDim!$A:$A,0))</f>
        <v>2_7_0</v>
      </c>
      <c r="H59" s="6" t="str">
        <f t="shared" si="2"/>
        <v>2_7_0_1</v>
      </c>
      <c r="I59">
        <v>1</v>
      </c>
      <c r="J59" s="6" t="str">
        <f t="shared" si="3"/>
        <v>case_type_col2_7_0_1_TEXT</v>
      </c>
      <c r="U59" t="s">
        <v>149</v>
      </c>
    </row>
    <row r="60" spans="1:21" x14ac:dyDescent="0.3">
      <c r="A60" t="s">
        <v>552</v>
      </c>
      <c r="B60" t="s">
        <v>118</v>
      </c>
      <c r="C60" s="6" t="str">
        <f>INDEX(CaseType!$B:$B,MATCH($B60,CaseType!$A:$A,0))</f>
        <v>case_type2</v>
      </c>
      <c r="D60" t="s">
        <v>466</v>
      </c>
      <c r="E60" s="6" t="str">
        <f>INDEX(Col!$H:$H,MATCH($D60,Col!$A:$A,0))</f>
        <v>ORGANIZATION</v>
      </c>
      <c r="F60" t="s">
        <v>907</v>
      </c>
      <c r="G60" s="6" t="str">
        <f>INDEX(CaseTypeDim!$I:$I,MATCH($F60,CaseTypeDim!$A:$A,0))</f>
        <v>2_9_0</v>
      </c>
      <c r="H60" s="6" t="str">
        <f t="shared" si="2"/>
        <v>2_9_0_1</v>
      </c>
      <c r="I60">
        <v>1</v>
      </c>
      <c r="J60" s="6" t="str">
        <f t="shared" si="3"/>
        <v>case_type_col2_9_0_1_ORGANIZATION</v>
      </c>
      <c r="U60" t="s">
        <v>149</v>
      </c>
    </row>
    <row r="61" spans="1:21" x14ac:dyDescent="0.3">
      <c r="A61" t="s">
        <v>553</v>
      </c>
      <c r="B61" t="s">
        <v>118</v>
      </c>
      <c r="C61" s="6" t="str">
        <f>INDEX(CaseType!$B:$B,MATCH($B61,CaseType!$A:$A,0))</f>
        <v>case_type2</v>
      </c>
      <c r="D61" t="s">
        <v>468</v>
      </c>
      <c r="E61" s="6" t="str">
        <f>INDEX(Col!$H:$H,MATCH($D61,Col!$A:$A,0))</f>
        <v>GEO_REGION</v>
      </c>
      <c r="F61" t="s">
        <v>909</v>
      </c>
      <c r="G61" s="6" t="str">
        <f>INDEX(CaseTypeDim!$I:$I,MATCH($F61,CaseTypeDim!$A:$A,0))</f>
        <v>2_11_0</v>
      </c>
      <c r="H61" s="6" t="str">
        <f t="shared" si="2"/>
        <v>2_11_0_1</v>
      </c>
      <c r="I61">
        <v>1</v>
      </c>
      <c r="J61" s="6" t="str">
        <f t="shared" si="3"/>
        <v>case_type_col2_11_0_1_GEO_REGION</v>
      </c>
      <c r="U61" t="s">
        <v>149</v>
      </c>
    </row>
    <row r="62" spans="1:21" x14ac:dyDescent="0.3">
      <c r="A62" t="s">
        <v>554</v>
      </c>
      <c r="B62" t="s">
        <v>118</v>
      </c>
      <c r="C62" s="6" t="str">
        <f>INDEX(CaseType!$B:$B,MATCH($B62,CaseType!$A:$A,0))</f>
        <v>case_type2</v>
      </c>
      <c r="D62" t="s">
        <v>469</v>
      </c>
      <c r="E62" s="6" t="str">
        <f>INDEX(Col!$H:$H,MATCH($D62,Col!$A:$A,0))</f>
        <v>GEO_REGION</v>
      </c>
      <c r="F62" t="s">
        <v>909</v>
      </c>
      <c r="G62" s="6" t="str">
        <f>INDEX(CaseTypeDim!$I:$I,MATCH($F62,CaseTypeDim!$A:$A,0))</f>
        <v>2_11_0</v>
      </c>
      <c r="H62" s="6" t="str">
        <f t="shared" si="2"/>
        <v>2_11_0_2</v>
      </c>
      <c r="I62">
        <v>2</v>
      </c>
      <c r="J62" s="6" t="str">
        <f t="shared" si="3"/>
        <v>case_type_col2_11_0_2_GEO_REGION</v>
      </c>
      <c r="U62" t="s">
        <v>149</v>
      </c>
    </row>
    <row r="63" spans="1:21" x14ac:dyDescent="0.3">
      <c r="A63" t="s">
        <v>555</v>
      </c>
      <c r="B63" t="s">
        <v>118</v>
      </c>
      <c r="C63" s="6" t="str">
        <f>INDEX(CaseType!$B:$B,MATCH($B63,CaseType!$A:$A,0))</f>
        <v>case_type2</v>
      </c>
      <c r="D63" t="s">
        <v>470</v>
      </c>
      <c r="E63" s="6" t="str">
        <f>INDEX(Col!$H:$H,MATCH($D63,Col!$A:$A,0))</f>
        <v>GEO_REGION</v>
      </c>
      <c r="F63" t="s">
        <v>909</v>
      </c>
      <c r="G63" s="6" t="str">
        <f>INDEX(CaseTypeDim!$I:$I,MATCH($F63,CaseTypeDim!$A:$A,0))</f>
        <v>2_11_0</v>
      </c>
      <c r="H63" s="6" t="str">
        <f t="shared" si="2"/>
        <v>2_11_0_3</v>
      </c>
      <c r="I63">
        <v>3</v>
      </c>
      <c r="J63" s="6" t="str">
        <f t="shared" si="3"/>
        <v>case_type_col2_11_0_3_GEO_REGION</v>
      </c>
      <c r="U63" t="s">
        <v>149</v>
      </c>
    </row>
    <row r="64" spans="1:21" x14ac:dyDescent="0.3">
      <c r="A64" t="s">
        <v>556</v>
      </c>
      <c r="B64" t="s">
        <v>118</v>
      </c>
      <c r="C64" s="6" t="str">
        <f>INDEX(CaseType!$B:$B,MATCH($B64,CaseType!$A:$A,0))</f>
        <v>case_type2</v>
      </c>
      <c r="D64" t="s">
        <v>471</v>
      </c>
      <c r="E64" s="6" t="str">
        <f>INDEX(Col!$H:$H,MATCH($D64,Col!$A:$A,0))</f>
        <v>GEO_REGION</v>
      </c>
      <c r="F64" t="s">
        <v>909</v>
      </c>
      <c r="G64" s="6" t="str">
        <f>INDEX(CaseTypeDim!$I:$I,MATCH($F64,CaseTypeDim!$A:$A,0))</f>
        <v>2_11_0</v>
      </c>
      <c r="H64" s="6" t="str">
        <f t="shared" si="2"/>
        <v>2_11_0_4</v>
      </c>
      <c r="I64">
        <v>4</v>
      </c>
      <c r="J64" s="6" t="str">
        <f t="shared" si="3"/>
        <v>case_type_col2_11_0_4_GEO_REGION</v>
      </c>
      <c r="U64" t="s">
        <v>149</v>
      </c>
    </row>
    <row r="65" spans="1:21" x14ac:dyDescent="0.3">
      <c r="A65" t="s">
        <v>557</v>
      </c>
      <c r="B65" t="s">
        <v>118</v>
      </c>
      <c r="C65" s="6" t="str">
        <f>INDEX(CaseType!$B:$B,MATCH($B65,CaseType!$A:$A,0))</f>
        <v>case_type2</v>
      </c>
      <c r="D65" t="s">
        <v>476</v>
      </c>
      <c r="E65" s="6" t="str">
        <f>INDEX(Col!$H:$H,MATCH($D65,Col!$A:$A,0))</f>
        <v>TIME_DAY</v>
      </c>
      <c r="F65" t="s">
        <v>911</v>
      </c>
      <c r="G65" s="6" t="str">
        <f>INDEX(CaseTypeDim!$I:$I,MATCH($F65,CaseTypeDim!$A:$A,0))</f>
        <v>2_13_0</v>
      </c>
      <c r="H65" s="6" t="str">
        <f t="shared" si="2"/>
        <v>2_13_0_1</v>
      </c>
      <c r="I65">
        <v>1</v>
      </c>
      <c r="J65" s="6" t="str">
        <f t="shared" si="3"/>
        <v>case_type_col2_13_0_1_TIME_DAY</v>
      </c>
      <c r="U65" t="s">
        <v>149</v>
      </c>
    </row>
    <row r="66" spans="1:21" x14ac:dyDescent="0.3">
      <c r="A66" t="s">
        <v>558</v>
      </c>
      <c r="B66" t="s">
        <v>118</v>
      </c>
      <c r="C66" s="6" t="str">
        <f>INDEX(CaseType!$B:$B,MATCH($B66,CaseType!$A:$A,0))</f>
        <v>case_type2</v>
      </c>
      <c r="D66" t="s">
        <v>477</v>
      </c>
      <c r="E66" s="6" t="str">
        <f>INDEX(Col!$H:$H,MATCH($D66,Col!$A:$A,0))</f>
        <v>TIME_WEEK</v>
      </c>
      <c r="F66" t="s">
        <v>911</v>
      </c>
      <c r="G66" s="6" t="str">
        <f>INDEX(CaseTypeDim!$I:$I,MATCH($F66,CaseTypeDim!$A:$A,0))</f>
        <v>2_13_0</v>
      </c>
      <c r="H66" s="6" t="str">
        <f t="shared" si="2"/>
        <v>2_13_0_2</v>
      </c>
      <c r="I66">
        <v>2</v>
      </c>
      <c r="J66" s="6" t="str">
        <f t="shared" si="3"/>
        <v>case_type_col2_13_0_2_TIME_WEEK</v>
      </c>
      <c r="U66" t="s">
        <v>149</v>
      </c>
    </row>
    <row r="67" spans="1:21" x14ac:dyDescent="0.3">
      <c r="A67" t="s">
        <v>559</v>
      </c>
      <c r="B67" t="s">
        <v>118</v>
      </c>
      <c r="C67" s="6" t="str">
        <f>INDEX(CaseType!$B:$B,MATCH($B67,CaseType!$A:$A,0))</f>
        <v>case_type2</v>
      </c>
      <c r="D67" t="s">
        <v>478</v>
      </c>
      <c r="E67" s="6" t="str">
        <f>INDEX(Col!$H:$H,MATCH($D67,Col!$A:$A,0))</f>
        <v>TIME_MONTH</v>
      </c>
      <c r="F67" t="s">
        <v>911</v>
      </c>
      <c r="G67" s="6" t="str">
        <f>INDEX(CaseTypeDim!$I:$I,MATCH($F67,CaseTypeDim!$A:$A,0))</f>
        <v>2_13_0</v>
      </c>
      <c r="H67" s="6" t="str">
        <f t="shared" si="2"/>
        <v>2_13_0_3</v>
      </c>
      <c r="I67">
        <v>3</v>
      </c>
      <c r="J67" s="6" t="str">
        <f t="shared" si="3"/>
        <v>case_type_col2_13_0_3_TIME_MONTH</v>
      </c>
      <c r="U67" t="s">
        <v>149</v>
      </c>
    </row>
    <row r="68" spans="1:21" x14ac:dyDescent="0.3">
      <c r="A68" t="s">
        <v>560</v>
      </c>
      <c r="B68" t="s">
        <v>118</v>
      </c>
      <c r="C68" s="6" t="str">
        <f>INDEX(CaseType!$B:$B,MATCH($B68,CaseType!$A:$A,0))</f>
        <v>case_type2</v>
      </c>
      <c r="D68" t="s">
        <v>479</v>
      </c>
      <c r="E68" s="6" t="str">
        <f>INDEX(Col!$H:$H,MATCH($D68,Col!$A:$A,0))</f>
        <v>TIME_QUARTER</v>
      </c>
      <c r="F68" t="s">
        <v>911</v>
      </c>
      <c r="G68" s="6" t="str">
        <f>INDEX(CaseTypeDim!$I:$I,MATCH($F68,CaseTypeDim!$A:$A,0))</f>
        <v>2_13_0</v>
      </c>
      <c r="H68" s="6" t="str">
        <f t="shared" si="2"/>
        <v>2_13_0_4</v>
      </c>
      <c r="I68">
        <v>4</v>
      </c>
      <c r="J68" s="6" t="str">
        <f t="shared" si="3"/>
        <v>case_type_col2_13_0_4_TIME_QUARTER</v>
      </c>
      <c r="U68" t="s">
        <v>149</v>
      </c>
    </row>
    <row r="69" spans="1:21" x14ac:dyDescent="0.3">
      <c r="A69" t="s">
        <v>561</v>
      </c>
      <c r="B69" t="s">
        <v>118</v>
      </c>
      <c r="C69" s="6" t="str">
        <f>INDEX(CaseType!$B:$B,MATCH($B69,CaseType!$A:$A,0))</f>
        <v>case_type2</v>
      </c>
      <c r="D69" t="s">
        <v>480</v>
      </c>
      <c r="E69" s="6" t="str">
        <f>INDEX(Col!$H:$H,MATCH($D69,Col!$A:$A,0))</f>
        <v>TIME_YEAR</v>
      </c>
      <c r="F69" t="s">
        <v>911</v>
      </c>
      <c r="G69" s="6" t="str">
        <f>INDEX(CaseTypeDim!$I:$I,MATCH($F69,CaseTypeDim!$A:$A,0))</f>
        <v>2_13_0</v>
      </c>
      <c r="H69" s="6" t="str">
        <f t="shared" si="2"/>
        <v>2_13_0_5</v>
      </c>
      <c r="I69">
        <v>5</v>
      </c>
      <c r="J69" s="6" t="str">
        <f t="shared" si="3"/>
        <v>case_type_col2_13_0_5_TIME_YEAR</v>
      </c>
      <c r="U69" t="s">
        <v>149</v>
      </c>
    </row>
    <row r="70" spans="1:21" x14ac:dyDescent="0.3">
      <c r="A70" t="s">
        <v>562</v>
      </c>
      <c r="B70" t="s">
        <v>118</v>
      </c>
      <c r="C70" s="6" t="str">
        <f>INDEX(CaseType!$B:$B,MATCH($B70,CaseType!$A:$A,0))</f>
        <v>case_type2</v>
      </c>
      <c r="D70" t="s">
        <v>486</v>
      </c>
      <c r="E70" s="6" t="str">
        <f>INDEX(Col!$H:$H,MATCH($D70,Col!$A:$A,0))</f>
        <v>ID_PERSON</v>
      </c>
      <c r="F70" t="s">
        <v>913</v>
      </c>
      <c r="G70" s="6" t="str">
        <f>INDEX(CaseTypeDim!$I:$I,MATCH($F70,CaseTypeDim!$A:$A,0))</f>
        <v>2_15_0</v>
      </c>
      <c r="H70" s="6" t="str">
        <f t="shared" si="2"/>
        <v>2_15_0_1</v>
      </c>
      <c r="I70">
        <v>1</v>
      </c>
      <c r="J70" s="6" t="str">
        <f t="shared" si="3"/>
        <v>case_type_col2_15_0_1_ID_PERSON</v>
      </c>
      <c r="U70" t="s">
        <v>149</v>
      </c>
    </row>
    <row r="71" spans="1:21" x14ac:dyDescent="0.3">
      <c r="A71" t="s">
        <v>1238</v>
      </c>
      <c r="B71" t="s">
        <v>118</v>
      </c>
      <c r="C71" s="6" t="str">
        <f>INDEX(CaseType!$B:$B,MATCH($B71,CaseType!$A:$A,0))</f>
        <v>case_type2</v>
      </c>
      <c r="D71" t="s">
        <v>1222</v>
      </c>
      <c r="E71" s="6" t="str">
        <f>INDEX(Col!$H:$H,MATCH($D71,Col!$A:$A,0))</f>
        <v>ID_SAMPLE</v>
      </c>
      <c r="F71" t="s">
        <v>913</v>
      </c>
      <c r="G71" s="6" t="str">
        <f>INDEX(CaseTypeDim!$I:$I,MATCH($F71,CaseTypeDim!$A:$A,0))</f>
        <v>2_15_0</v>
      </c>
      <c r="H71" s="6" t="str">
        <f t="shared" si="2"/>
        <v>2_15_0_2</v>
      </c>
      <c r="I71">
        <v>2</v>
      </c>
      <c r="J71" s="6" t="str">
        <f t="shared" si="3"/>
        <v>case_type_col2_15_0_2_ID_SAMPLE</v>
      </c>
      <c r="U71" t="s">
        <v>149</v>
      </c>
    </row>
    <row r="72" spans="1:21" x14ac:dyDescent="0.3">
      <c r="A72" t="s">
        <v>1239</v>
      </c>
      <c r="B72" t="s">
        <v>118</v>
      </c>
      <c r="C72" s="6" t="str">
        <f>INDEX(CaseType!$B:$B,MATCH($B72,CaseType!$A:$A,0))</f>
        <v>case_type2</v>
      </c>
      <c r="D72" t="s">
        <v>1223</v>
      </c>
      <c r="E72" s="6" t="str">
        <f>INDEX(Col!$H:$H,MATCH($D72,Col!$A:$A,0))</f>
        <v>ID_CASE</v>
      </c>
      <c r="F72" t="s">
        <v>913</v>
      </c>
      <c r="G72" s="6" t="str">
        <f>INDEX(CaseTypeDim!$I:$I,MATCH($F72,CaseTypeDim!$A:$A,0))</f>
        <v>2_15_0</v>
      </c>
      <c r="H72" s="6" t="str">
        <f t="shared" si="2"/>
        <v>2_15_0_3</v>
      </c>
      <c r="I72">
        <v>3</v>
      </c>
      <c r="J72" s="6" t="str">
        <f t="shared" si="3"/>
        <v>case_type_col2_15_0_3_ID_CASE</v>
      </c>
      <c r="U72" t="s">
        <v>149</v>
      </c>
    </row>
    <row r="73" spans="1:21" x14ac:dyDescent="0.3">
      <c r="A73" t="s">
        <v>1240</v>
      </c>
      <c r="B73" t="s">
        <v>118</v>
      </c>
      <c r="C73" s="6" t="str">
        <f>INDEX(CaseType!$B:$B,MATCH($B73,CaseType!$A:$A,0))</f>
        <v>case_type2</v>
      </c>
      <c r="D73" t="s">
        <v>1224</v>
      </c>
      <c r="E73" s="6" t="str">
        <f>INDEX(Col!$H:$H,MATCH($D73,Col!$A:$A,0))</f>
        <v>ID_GENETIC_SEQUENCE</v>
      </c>
      <c r="F73" t="s">
        <v>913</v>
      </c>
      <c r="G73" s="6" t="str">
        <f>INDEX(CaseTypeDim!$I:$I,MATCH($F73,CaseTypeDim!$A:$A,0))</f>
        <v>2_15_0</v>
      </c>
      <c r="H73" s="6" t="str">
        <f t="shared" si="2"/>
        <v>2_15_0_4</v>
      </c>
      <c r="I73">
        <v>4</v>
      </c>
      <c r="J73" s="6" t="str">
        <f t="shared" si="3"/>
        <v>case_type_col2_15_0_4_ID_GENETIC_SEQUENCE</v>
      </c>
      <c r="U73" t="s">
        <v>149</v>
      </c>
    </row>
    <row r="74" spans="1:21" x14ac:dyDescent="0.3">
      <c r="A74" t="s">
        <v>1241</v>
      </c>
      <c r="B74" t="s">
        <v>118</v>
      </c>
      <c r="C74" s="6" t="str">
        <f>INDEX(CaseType!$B:$B,MATCH($B74,CaseType!$A:$A,0))</f>
        <v>case_type2</v>
      </c>
      <c r="D74" t="s">
        <v>1225</v>
      </c>
      <c r="E74" s="6" t="str">
        <f>INDEX(Col!$H:$H,MATCH($D74,Col!$A:$A,0))</f>
        <v>ID_EVENT</v>
      </c>
      <c r="F74" t="s">
        <v>913</v>
      </c>
      <c r="G74" s="6" t="str">
        <f>INDEX(CaseTypeDim!$I:$I,MATCH($F74,CaseTypeDim!$A:$A,0))</f>
        <v>2_15_0</v>
      </c>
      <c r="H74" s="6" t="str">
        <f t="shared" si="2"/>
        <v>2_15_0_5</v>
      </c>
      <c r="I74">
        <v>5</v>
      </c>
      <c r="J74" s="6" t="str">
        <f t="shared" si="3"/>
        <v>case_type_col2_15_0_5_ID_EVENT</v>
      </c>
      <c r="U74" t="s">
        <v>149</v>
      </c>
    </row>
    <row r="75" spans="1:21" x14ac:dyDescent="0.3">
      <c r="A75" t="s">
        <v>563</v>
      </c>
      <c r="B75" t="s">
        <v>118</v>
      </c>
      <c r="C75" s="6" t="str">
        <f>INDEX(CaseType!$B:$B,MATCH($B75,CaseType!$A:$A,0))</f>
        <v>case_type2</v>
      </c>
      <c r="D75" t="s">
        <v>488</v>
      </c>
      <c r="E75" s="6" t="str">
        <f>INDEX(Col!$H:$H,MATCH($D75,Col!$A:$A,0))</f>
        <v>DECIMAL_0</v>
      </c>
      <c r="F75" t="s">
        <v>915</v>
      </c>
      <c r="G75" s="6" t="str">
        <f>INDEX(CaseTypeDim!$I:$I,MATCH($F75,CaseTypeDim!$A:$A,0))</f>
        <v>2_17_0</v>
      </c>
      <c r="H75" s="6" t="str">
        <f t="shared" si="2"/>
        <v>2_17_0_1</v>
      </c>
      <c r="I75">
        <v>1</v>
      </c>
      <c r="J75" s="6" t="str">
        <f t="shared" si="3"/>
        <v>case_type_col2_17_0_1_DECIMAL_0</v>
      </c>
      <c r="U75" t="s">
        <v>149</v>
      </c>
    </row>
    <row r="76" spans="1:21" x14ac:dyDescent="0.3">
      <c r="A76" t="s">
        <v>564</v>
      </c>
      <c r="B76" t="s">
        <v>118</v>
      </c>
      <c r="C76" s="6" t="str">
        <f>INDEX(CaseType!$B:$B,MATCH($B76,CaseType!$A:$A,0))</f>
        <v>case_type2</v>
      </c>
      <c r="D76" t="s">
        <v>498</v>
      </c>
      <c r="E76" s="6" t="str">
        <f>INDEX(Col!$H:$H,MATCH($D76,Col!$A:$A,0))</f>
        <v>INTERVAL</v>
      </c>
      <c r="F76" t="s">
        <v>915</v>
      </c>
      <c r="G76" s="6" t="str">
        <f>INDEX(CaseTypeDim!$I:$I,MATCH($F76,CaseTypeDim!$A:$A,0))</f>
        <v>2_17_0</v>
      </c>
      <c r="H76" s="6" t="str">
        <f t="shared" si="2"/>
        <v>2_17_0_2</v>
      </c>
      <c r="I76">
        <v>2</v>
      </c>
      <c r="J76" s="6" t="str">
        <f t="shared" si="3"/>
        <v>case_type_col2_17_0_2_INTERVAL</v>
      </c>
      <c r="U76" t="s">
        <v>149</v>
      </c>
    </row>
    <row r="77" spans="1:21" x14ac:dyDescent="0.3">
      <c r="A77" t="s">
        <v>565</v>
      </c>
      <c r="B77" t="s">
        <v>118</v>
      </c>
      <c r="C77" s="6" t="str">
        <f>INDEX(CaseType!$B:$B,MATCH($B77,CaseType!$A:$A,0))</f>
        <v>case_type2</v>
      </c>
      <c r="D77" t="s">
        <v>499</v>
      </c>
      <c r="E77" s="6" t="str">
        <f>INDEX(Col!$H:$H,MATCH($D77,Col!$A:$A,0))</f>
        <v>INTERVAL</v>
      </c>
      <c r="F77" t="s">
        <v>915</v>
      </c>
      <c r="G77" s="6" t="str">
        <f>INDEX(CaseTypeDim!$I:$I,MATCH($F77,CaseTypeDim!$A:$A,0))</f>
        <v>2_17_0</v>
      </c>
      <c r="H77" s="6" t="str">
        <f t="shared" si="2"/>
        <v>2_17_0_3</v>
      </c>
      <c r="I77">
        <v>3</v>
      </c>
      <c r="J77" s="6" t="str">
        <f t="shared" si="3"/>
        <v>case_type_col2_17_0_3_INTERVAL</v>
      </c>
      <c r="U77" t="s">
        <v>149</v>
      </c>
    </row>
    <row r="78" spans="1:21" x14ac:dyDescent="0.3">
      <c r="A78" t="s">
        <v>1181</v>
      </c>
      <c r="B78" t="s">
        <v>118</v>
      </c>
      <c r="C78" s="6" t="str">
        <f>INDEX(CaseType!$B:$B,MATCH($B78,CaseType!$A:$A,0))</f>
        <v>case_type2</v>
      </c>
      <c r="D78" t="s">
        <v>1089</v>
      </c>
      <c r="E78" s="6" t="str">
        <f>INDEX(Col!$H:$H,MATCH($D78,Col!$A:$A,0))</f>
        <v>GENETIC_READS</v>
      </c>
      <c r="F78" t="s">
        <v>1171</v>
      </c>
      <c r="G78" s="6" t="str">
        <f>INDEX(CaseTypeDim!$I:$I,MATCH($F78,CaseTypeDim!$A:$A,0))</f>
        <v>2_19_0</v>
      </c>
      <c r="H78" s="6" t="str">
        <f t="shared" si="2"/>
        <v>2_19_0_1</v>
      </c>
      <c r="I78">
        <v>1</v>
      </c>
      <c r="J78" s="6" t="str">
        <f t="shared" si="3"/>
        <v>case_type_col2_19_0_1_GENETIC_READS</v>
      </c>
      <c r="U78" t="s">
        <v>149</v>
      </c>
    </row>
    <row r="79" spans="1:21" x14ac:dyDescent="0.3">
      <c r="A79" t="s">
        <v>1182</v>
      </c>
      <c r="B79" t="s">
        <v>118</v>
      </c>
      <c r="C79" s="6" t="str">
        <f>INDEX(CaseType!$B:$B,MATCH($B79,CaseType!$A:$A,0))</f>
        <v>case_type2</v>
      </c>
      <c r="D79" t="s">
        <v>1090</v>
      </c>
      <c r="E79" s="6" t="str">
        <f>INDEX(Col!$H:$H,MATCH($D79,Col!$A:$A,0))</f>
        <v>GENETIC_SEQUENCE</v>
      </c>
      <c r="F79" t="s">
        <v>1171</v>
      </c>
      <c r="G79" s="6" t="str">
        <f>INDEX(CaseTypeDim!$I:$I,MATCH($F79,CaseTypeDim!$A:$A,0))</f>
        <v>2_19_0</v>
      </c>
      <c r="H79" s="6" t="str">
        <f t="shared" si="2"/>
        <v>2_19_0_2</v>
      </c>
      <c r="I79">
        <v>2</v>
      </c>
      <c r="J79" s="6" t="str">
        <f t="shared" si="3"/>
        <v>case_type_col2_19_0_2_GENETIC_SEQUENCE</v>
      </c>
      <c r="U79" t="s">
        <v>149</v>
      </c>
    </row>
    <row r="80" spans="1:21" x14ac:dyDescent="0.3">
      <c r="A80" t="s">
        <v>1183</v>
      </c>
      <c r="B80" t="s">
        <v>118</v>
      </c>
      <c r="C80" s="6" t="str">
        <f>INDEX(CaseType!$B:$B,MATCH($B80,CaseType!$A:$A,0))</f>
        <v>case_type2</v>
      </c>
      <c r="D80" t="s">
        <v>1093</v>
      </c>
      <c r="E80" s="6" t="str">
        <f>INDEX(Col!$H:$H,MATCH($D80,Col!$A:$A,0))</f>
        <v>GENETIC_PROFILE</v>
      </c>
      <c r="F80" t="s">
        <v>1171</v>
      </c>
      <c r="G80" s="6" t="str">
        <f>INDEX(CaseTypeDim!$I:$I,MATCH($F80,CaseTypeDim!$A:$A,0))</f>
        <v>2_19_0</v>
      </c>
      <c r="H80" s="6" t="str">
        <f t="shared" si="2"/>
        <v>2_19_0_3</v>
      </c>
      <c r="I80">
        <v>3</v>
      </c>
      <c r="J80" s="6" t="str">
        <f t="shared" si="3"/>
        <v>case_type_col2_19_0_3_GENETIC_PROFILE</v>
      </c>
      <c r="U80" t="s">
        <v>149</v>
      </c>
    </row>
    <row r="81" spans="1:21" x14ac:dyDescent="0.3">
      <c r="A81" t="s">
        <v>1184</v>
      </c>
      <c r="B81" t="s">
        <v>118</v>
      </c>
      <c r="C81" s="6" t="str">
        <f>INDEX(CaseType!$B:$B,MATCH($B81,CaseType!$A:$A,0))</f>
        <v>case_type2</v>
      </c>
      <c r="D81" t="s">
        <v>1094</v>
      </c>
      <c r="E81" s="6" t="str">
        <f>INDEX(Col!$H:$H,MATCH($D81,Col!$A:$A,0))</f>
        <v>GENETIC_DISTANCE</v>
      </c>
      <c r="F81" t="s">
        <v>1171</v>
      </c>
      <c r="G81" s="6" t="str">
        <f>INDEX(CaseTypeDim!$I:$I,MATCH($F81,CaseTypeDim!$A:$A,0))</f>
        <v>2_19_0</v>
      </c>
      <c r="H81" s="6" t="str">
        <f t="shared" si="2"/>
        <v>2_19_0_4</v>
      </c>
      <c r="I81">
        <v>4</v>
      </c>
      <c r="J81" s="6" t="str">
        <f t="shared" si="3"/>
        <v>case_type_col2_19_0_4_GENETIC_DISTANCE</v>
      </c>
      <c r="U81" t="s">
        <v>149</v>
      </c>
    </row>
    <row r="82" spans="1:21" x14ac:dyDescent="0.3">
      <c r="A82" t="s">
        <v>566</v>
      </c>
      <c r="B82" t="s">
        <v>118</v>
      </c>
      <c r="C82" s="6" t="str">
        <f>INDEX(CaseType!$B:$B,MATCH($B82,CaseType!$A:$A,0))</f>
        <v>case_type2</v>
      </c>
      <c r="D82" t="s">
        <v>490</v>
      </c>
      <c r="E82" s="6" t="str">
        <f>INDEX(Col!$H:$H,MATCH($D82,Col!$A:$A,0))</f>
        <v>OTHER</v>
      </c>
      <c r="F82" t="s">
        <v>917</v>
      </c>
      <c r="G82" s="6" t="str">
        <f>INDEX(CaseTypeDim!$I:$I,MATCH($F82,CaseTypeDim!$A:$A,0))</f>
        <v>2_21_0</v>
      </c>
      <c r="H82" s="6" t="str">
        <f t="shared" si="2"/>
        <v>2_21_0_1</v>
      </c>
      <c r="I82">
        <v>1</v>
      </c>
      <c r="J82" s="6" t="str">
        <f t="shared" si="3"/>
        <v>case_type_col2_21_0_1_OTHER</v>
      </c>
      <c r="U82" t="s">
        <v>149</v>
      </c>
    </row>
    <row r="83" spans="1:21" x14ac:dyDescent="0.3">
      <c r="A83" t="s">
        <v>827</v>
      </c>
      <c r="B83" t="s">
        <v>121</v>
      </c>
      <c r="C83" s="6" t="str">
        <f>INDEX(CaseType!$B:$B,MATCH($B83,CaseType!$A:$A,0))</f>
        <v>case_type3</v>
      </c>
      <c r="D83" t="s">
        <v>458</v>
      </c>
      <c r="E83" s="6" t="str">
        <f>INDEX(Col!$H:$H,MATCH($D83,Col!$A:$A,0))</f>
        <v>NOMINAL</v>
      </c>
      <c r="F83" t="s">
        <v>925</v>
      </c>
      <c r="G83" s="6" t="str">
        <f>INDEX(CaseTypeDim!$I:$I,MATCH($F83,CaseTypeDim!$A:$A,0))</f>
        <v>3_1_0</v>
      </c>
      <c r="H83" s="6" t="str">
        <f t="shared" si="2"/>
        <v>3_1_0_1</v>
      </c>
      <c r="I83">
        <v>1</v>
      </c>
      <c r="J83" s="6" t="str">
        <f t="shared" si="3"/>
        <v>case_type_col3_1_0_1_NOMINAL</v>
      </c>
      <c r="U83" t="s">
        <v>149</v>
      </c>
    </row>
    <row r="84" spans="1:21" x14ac:dyDescent="0.3">
      <c r="A84" t="s">
        <v>828</v>
      </c>
      <c r="B84" t="s">
        <v>124</v>
      </c>
      <c r="C84" s="6" t="str">
        <f>INDEX(CaseType!$B:$B,MATCH($B84,CaseType!$A:$A,0))</f>
        <v>case_type4</v>
      </c>
      <c r="D84" t="s">
        <v>458</v>
      </c>
      <c r="E84" s="6" t="str">
        <f>INDEX(Col!$H:$H,MATCH($D84,Col!$A:$A,0))</f>
        <v>NOMINAL</v>
      </c>
      <c r="F84" t="s">
        <v>926</v>
      </c>
      <c r="G84" s="6" t="str">
        <f>INDEX(CaseTypeDim!$I:$I,MATCH($F84,CaseTypeDim!$A:$A,0))</f>
        <v>4_1_0</v>
      </c>
      <c r="H84" s="6" t="str">
        <f t="shared" si="2"/>
        <v>4_1_0_2</v>
      </c>
      <c r="I84">
        <v>2</v>
      </c>
      <c r="J84" s="6" t="str">
        <f t="shared" si="3"/>
        <v>case_type_col4_1_0_2_NOMINAL</v>
      </c>
      <c r="U84" t="s">
        <v>149</v>
      </c>
    </row>
    <row r="85" spans="1:21" x14ac:dyDescent="0.3">
      <c r="A85" t="s">
        <v>829</v>
      </c>
      <c r="B85" t="s">
        <v>127</v>
      </c>
      <c r="C85" s="6" t="str">
        <f>INDEX(CaseType!$B:$B,MATCH($B85,CaseType!$A:$A,0))</f>
        <v>case_type5</v>
      </c>
      <c r="D85" t="s">
        <v>458</v>
      </c>
      <c r="E85" s="6" t="str">
        <f>INDEX(Col!$H:$H,MATCH($D85,Col!$A:$A,0))</f>
        <v>NOMINAL</v>
      </c>
      <c r="F85" t="s">
        <v>927</v>
      </c>
      <c r="G85" s="6" t="str">
        <f>INDEX(CaseTypeDim!$I:$I,MATCH($F85,CaseTypeDim!$A:$A,0))</f>
        <v>5_1_0</v>
      </c>
      <c r="H85" s="6" t="str">
        <f t="shared" si="2"/>
        <v>5_1_0_3</v>
      </c>
      <c r="I85">
        <v>3</v>
      </c>
      <c r="J85" s="6" t="str">
        <f t="shared" si="3"/>
        <v>case_type_col5_1_0_3_NOMINAL</v>
      </c>
      <c r="U85" t="s">
        <v>149</v>
      </c>
    </row>
  </sheetData>
  <autoFilter ref="A1:U82" xr:uid="{00000000-0001-0000-0A00-000000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C33-6768-4AAE-A57E-F80585DED472}">
  <dimension ref="A1:Y33"/>
  <sheetViews>
    <sheetView zoomScale="110" zoomScaleNormal="110" workbookViewId="0">
      <pane ySplit="1" topLeftCell="A2" activePane="bottomLeft" state="frozen"/>
      <selection pane="bottomLeft" activeCell="D2" sqref="D2"/>
    </sheetView>
  </sheetViews>
  <sheetFormatPr defaultColWidth="5.6640625" defaultRowHeight="14.4" x14ac:dyDescent="0.3"/>
  <cols>
    <col min="1" max="1" width="7.44140625" bestFit="1" customWidth="1"/>
    <col min="2" max="2" width="7.44140625" customWidth="1"/>
    <col min="3" max="3" width="35.6640625" bestFit="1" customWidth="1"/>
    <col min="4" max="4" width="18" style="6" bestFit="1" customWidth="1"/>
    <col min="5" max="5" width="11.77734375" style="19" bestFit="1" customWidth="1"/>
    <col min="6" max="6" width="35.44140625" style="6" bestFit="1" customWidth="1"/>
    <col min="7" max="7" width="29.6640625" style="6" bestFit="1" customWidth="1"/>
    <col min="8" max="8" width="37.109375" style="6" bestFit="1" customWidth="1"/>
    <col min="9" max="9" width="62.77734375" style="6" bestFit="1" customWidth="1"/>
    <col min="10" max="10" width="41.6640625" style="6" bestFit="1" customWidth="1"/>
    <col min="11" max="11" width="45" style="6" bestFit="1" customWidth="1"/>
    <col min="12" max="12" width="30.44140625" style="6" bestFit="1" customWidth="1"/>
    <col min="13" max="13" width="56.109375" style="6" bestFit="1" customWidth="1"/>
    <col min="14" max="14" width="35" style="6" bestFit="1" customWidth="1"/>
    <col min="15" max="15" width="38.109375" style="6" bestFit="1" customWidth="1"/>
    <col min="16" max="16" width="33.44140625" bestFit="1" customWidth="1"/>
    <col min="17" max="17" width="25.21875" style="6" bestFit="1" customWidth="1"/>
    <col min="18" max="18" width="38.109375" customWidth="1"/>
    <col min="19" max="19" width="38.109375" style="6" customWidth="1"/>
    <col min="20" max="20" width="38.109375" customWidth="1"/>
    <col min="21" max="21" width="36.109375" bestFit="1" customWidth="1"/>
    <col min="22" max="22" width="33.44140625" style="6" bestFit="1" customWidth="1"/>
    <col min="23" max="23" width="38.109375" customWidth="1"/>
    <col min="24" max="25" width="42.5546875" style="6" bestFit="1" customWidth="1"/>
  </cols>
  <sheetData>
    <row r="1" spans="1:25" x14ac:dyDescent="0.3">
      <c r="A1" t="s">
        <v>274</v>
      </c>
      <c r="B1" t="s">
        <v>826</v>
      </c>
      <c r="C1" t="s">
        <v>275</v>
      </c>
      <c r="D1" s="6" t="s">
        <v>292</v>
      </c>
      <c r="E1" s="19" t="s">
        <v>276</v>
      </c>
      <c r="F1" s="6" t="s">
        <v>779</v>
      </c>
      <c r="G1" s="6" t="s">
        <v>780</v>
      </c>
      <c r="H1" s="6" t="s">
        <v>781</v>
      </c>
      <c r="I1" s="6" t="s">
        <v>782</v>
      </c>
      <c r="J1" s="6" t="s">
        <v>783</v>
      </c>
      <c r="K1" s="6" t="s">
        <v>784</v>
      </c>
      <c r="L1" s="6" t="s">
        <v>785</v>
      </c>
      <c r="M1" s="6" t="s">
        <v>786</v>
      </c>
      <c r="N1" s="6" t="s">
        <v>787</v>
      </c>
      <c r="O1" s="6" t="s">
        <v>788</v>
      </c>
      <c r="P1" t="s">
        <v>133</v>
      </c>
      <c r="Q1" s="6" t="s">
        <v>766</v>
      </c>
      <c r="R1" t="s">
        <v>691</v>
      </c>
      <c r="S1" s="6" t="s">
        <v>789</v>
      </c>
      <c r="T1" t="s">
        <v>825</v>
      </c>
      <c r="U1" t="s">
        <v>690</v>
      </c>
      <c r="V1" s="6" t="s">
        <v>760</v>
      </c>
      <c r="W1" t="s">
        <v>761</v>
      </c>
      <c r="X1" s="6" t="s">
        <v>790</v>
      </c>
      <c r="Y1" s="6" t="s">
        <v>791</v>
      </c>
    </row>
    <row r="2" spans="1:25" x14ac:dyDescent="0.3">
      <c r="A2">
        <v>1</v>
      </c>
      <c r="B2" t="b">
        <v>1</v>
      </c>
      <c r="C2" t="s">
        <v>839</v>
      </c>
      <c r="D2" s="6" t="str">
        <f>INDEX(User!$D:$D,MATCH($C2,User!$A:$A,0))</f>
        <v>root1_1</v>
      </c>
      <c r="E2" s="19" t="b">
        <f ca="1">OR($G2,AND($I2,$J2,$M2,$N2))</f>
        <v>1</v>
      </c>
      <c r="F2" s="6" t="str">
        <f>INDEX(User!$G:$G,MATCH($C2,User!$A:$A,0))</f>
        <v>018d074d-ea0c-e942-07db-a3cc0ba1d653</v>
      </c>
      <c r="G2" s="6" t="b">
        <f>INDEX(User!$M:$M,MATCH($C2,User!$A:$A,0))</f>
        <v>1</v>
      </c>
      <c r="H2" s="6">
        <f>IF(ISNA(MATCH($F2&amp;"|"&amp;$R2,OrganizationAccessCasePolicy!$V:$V,0)),"",MATCH($F2&amp;"|"&amp;$R2,OrganizationAccessCasePolicy!$V:$V,0))</f>
        <v>2</v>
      </c>
      <c r="I2" s="6" t="b" cm="1">
        <f t="array" aca="1" ref="I2" ca="1">IF($H2="",FALSE,NOT(ISNA(MATCH(INDIRECT("OrganizationAccessCasePolicy!D"&amp;$H2)&amp;"|"&amp;$V2,CaseTypeSetMember!$H:$H,0))))</f>
        <v>1</v>
      </c>
      <c r="J2" s="6" t="b" cm="1">
        <f t="array" aca="1" ref="J2" ca="1">IF($H2="",FALSE,AND(INDIRECT("OrganizationAccessCasePolicy!H"&amp;$H2),NOT(ISNA(MATCH(INDIRECT("OrganizationAccessCasePolicy!D"&amp;$H2)&amp;"|"&amp;$V2,CaseTypeSetMember!$H:$H,0)))))</f>
        <v>1</v>
      </c>
      <c r="K2" s="6" t="b" cm="1">
        <f t="array" aca="1" ref="K2" ca="1">IF($H2="",FALSE,AND(INDIRECT("OrganizationAccessCasePolicy!I"&amp;$H2),NOT(ISNA(MATCH(INDIRECT("OrganizationAccessCasePolicy!D"&amp;$H2)&amp;"|"&amp;$V2,CaseTypeSetMember!$H:$H,0)))))</f>
        <v>1</v>
      </c>
      <c r="L2" s="6" t="str">
        <f>IF(ISNA(MATCH($C2&amp;"|"&amp;$R2,UserAccessCasePolicy!$W:$W,0)),"",MATCH($C2&amp;"|"&amp;$R2,UserAccessCasePolicy!$W:$W,0))</f>
        <v/>
      </c>
      <c r="M2" s="6" t="b" cm="1">
        <f t="array" aca="1" ref="M2" ca="1">IF($L2="",FALSE,NOT(ISNA(MATCH(INDIRECT("UserAccessCasePolicy!D"&amp;$L2)&amp;"|"&amp;$V2,CaseTypeSetMember!$H:$H,0))))</f>
        <v>0</v>
      </c>
      <c r="N2" s="6" t="b" cm="1">
        <f t="array" aca="1" ref="N2" ca="1">IF($L2="",FALSE,AND(INDIRECT("UserAccessCasePolicy!G"&amp;$L2),NOT(ISNA(MATCH(INDIRECT("UserAccessCasePolicy!D"&amp;$L2)&amp;"|"&amp;$V2,CaseTypeSetMember!$H:$H,0)))))</f>
        <v>0</v>
      </c>
      <c r="O2" s="6" t="b" cm="1">
        <f t="array" aca="1" ref="O2" ca="1">IF($L2="",FALSE,AND(INDIRECT("UserAccessCasePolicy!H"&amp;$L2),NOT(ISNA(MATCH(INDIRECT("UserAccessCasePolicy!D"&amp;$L2)&amp;"|"&amp;$V2,CaseTypeSetMember!$H:$H,0)))))</f>
        <v>0</v>
      </c>
      <c r="P2" t="s">
        <v>115</v>
      </c>
      <c r="Q2" s="6" t="str">
        <f>INDEX(CaseType!$B:$B,MATCH($P2,CaseType!$A:$A,0))</f>
        <v>case_type1</v>
      </c>
      <c r="R2" t="s">
        <v>11</v>
      </c>
      <c r="S2" s="6" t="str">
        <f>INDEX(DataCollection!$B:$B,MATCH($R2,DataCollection!$A:$A,0))</f>
        <v>data_collection1</v>
      </c>
      <c r="T2" t="b">
        <v>0</v>
      </c>
      <c r="U2" t="s">
        <v>667</v>
      </c>
      <c r="V2" s="6" t="str">
        <f>INDEX(_CaseData!$B:$B,MATCH($U2,_CaseData!$A:$A,0))</f>
        <v>0195d18c-1ca6-fd99-9d76-fcfa0c0cf400</v>
      </c>
      <c r="W2" t="s">
        <v>11</v>
      </c>
      <c r="X2" s="6" t="b">
        <f>$V2=$P2</f>
        <v>1</v>
      </c>
      <c r="Y2" s="6" t="b">
        <f t="shared" ref="Y2:Y33" si="0">$W2=$R2</f>
        <v>1</v>
      </c>
    </row>
    <row r="3" spans="1:25" x14ac:dyDescent="0.3">
      <c r="A3">
        <v>2</v>
      </c>
      <c r="B3" t="b">
        <v>1</v>
      </c>
      <c r="C3" t="s">
        <v>185</v>
      </c>
      <c r="D3" s="6" t="str">
        <f>INDEX(User!$D:$D,MATCH($C3,User!$A:$A,0))</f>
        <v>app_admin1_1</v>
      </c>
      <c r="E3" s="19" t="b">
        <f t="shared" ref="E3:E33" ca="1" si="1">OR($G3,AND($I3,$J3,$M3,$N3))</f>
        <v>1</v>
      </c>
      <c r="F3" s="6" t="str">
        <f>INDEX(User!$G:$G,MATCH($C3,User!$A:$A,0))</f>
        <v>018d074d-ea0c-e942-07db-a3cc0ba1d653</v>
      </c>
      <c r="G3" s="6" t="b">
        <f>INDEX(User!$M:$M,MATCH($C3,User!$A:$A,0))</f>
        <v>1</v>
      </c>
      <c r="H3" s="6">
        <f>IF(ISNA(MATCH($F3&amp;"|"&amp;$R3,OrganizationAccessCasePolicy!$V:$V,0)),"",MATCH($F3&amp;"|"&amp;$R3,OrganizationAccessCasePolicy!$V:$V,0))</f>
        <v>2</v>
      </c>
      <c r="I3" s="6" t="b" cm="1">
        <f t="array" aca="1" ref="I3" ca="1">IF($H3="",FALSE,NOT(ISNA(MATCH(INDIRECT("OrganizationAccessCasePolicy!D"&amp;$H3)&amp;"|"&amp;$V3,CaseTypeSetMember!$H:$H,0))))</f>
        <v>1</v>
      </c>
      <c r="J3" s="6" t="b" cm="1">
        <f t="array" aca="1" ref="J3" ca="1">IF($H3="",FALSE,AND(INDIRECT("OrganizationAccessCasePolicy!H"&amp;$H3),NOT(ISNA(MATCH(INDIRECT("OrganizationAccessCasePolicy!D"&amp;$H3)&amp;"|"&amp;$V3,CaseTypeSetMember!$H:$H,0)))))</f>
        <v>1</v>
      </c>
      <c r="K3" s="6" t="b" cm="1">
        <f t="array" aca="1" ref="K3" ca="1">IF($H3="",FALSE,AND(INDIRECT("OrganizationAccessCasePolicy!I"&amp;$H3),NOT(ISNA(MATCH(INDIRECT("OrganizationAccessCasePolicy!D"&amp;$H3)&amp;"|"&amp;$V3,CaseTypeSetMember!$H:$H,0)))))</f>
        <v>1</v>
      </c>
      <c r="L3" s="6" t="str">
        <f>IF(ISNA(MATCH($C3&amp;"|"&amp;$R3,UserAccessCasePolicy!$W:$W,0)),"",MATCH($C3&amp;"|"&amp;$R3,UserAccessCasePolicy!$W:$W,0))</f>
        <v/>
      </c>
      <c r="M3" s="6" t="b" cm="1">
        <f t="array" aca="1" ref="M3" ca="1">IF($L3="",FALSE,NOT(ISNA(MATCH(INDIRECT("UserAccessCasePolicy!D"&amp;$L3)&amp;"|"&amp;$V3,CaseTypeSetMember!$H:$H,0))))</f>
        <v>0</v>
      </c>
      <c r="N3" s="6" t="b" cm="1">
        <f t="array" aca="1" ref="N3" ca="1">IF($L3="",FALSE,AND(INDIRECT("UserAccessCasePolicy!G"&amp;$L3),NOT(ISNA(MATCH(INDIRECT("UserAccessCasePolicy!D"&amp;$L3)&amp;"|"&amp;$V3,CaseTypeSetMember!$H:$H,0)))))</f>
        <v>0</v>
      </c>
      <c r="O3" s="6" t="b" cm="1">
        <f t="array" aca="1" ref="O3" ca="1">IF($L3="",FALSE,AND(INDIRECT("UserAccessCasePolicy!H"&amp;$L3),NOT(ISNA(MATCH(INDIRECT("UserAccessCasePolicy!D"&amp;$L3)&amp;"|"&amp;$V3,CaseTypeSetMember!$H:$H,0)))))</f>
        <v>0</v>
      </c>
      <c r="P3" t="s">
        <v>115</v>
      </c>
      <c r="Q3" s="6" t="str">
        <f>INDEX(CaseType!$B:$B,MATCH($P3,CaseType!$A:$A,0))</f>
        <v>case_type1</v>
      </c>
      <c r="R3" t="s">
        <v>11</v>
      </c>
      <c r="S3" s="6" t="str">
        <f>INDEX(DataCollection!$B:$B,MATCH($R3,DataCollection!$A:$A,0))</f>
        <v>data_collection1</v>
      </c>
      <c r="T3" t="b">
        <v>0</v>
      </c>
      <c r="U3" t="s">
        <v>667</v>
      </c>
      <c r="V3" s="6" t="str">
        <f>INDEX(_CaseData!$B:$B,MATCH($U3,_CaseData!$A:$A,0))</f>
        <v>0195d18c-1ca6-fd99-9d76-fcfa0c0cf400</v>
      </c>
      <c r="W3" t="s">
        <v>11</v>
      </c>
      <c r="X3" s="6" t="b">
        <f t="shared" ref="X3:X33" si="2">$V3=$P3</f>
        <v>1</v>
      </c>
      <c r="Y3" s="6" t="b">
        <f t="shared" si="0"/>
        <v>1</v>
      </c>
    </row>
    <row r="4" spans="1:25" x14ac:dyDescent="0.3">
      <c r="A4">
        <v>3</v>
      </c>
      <c r="B4" t="b">
        <v>1</v>
      </c>
      <c r="C4" t="s">
        <v>186</v>
      </c>
      <c r="D4" s="6" t="str">
        <f>INDEX(User!$D:$D,MATCH($C4,User!$A:$A,0))</f>
        <v>refdata_admin1_1</v>
      </c>
      <c r="E4" s="19" t="b">
        <f t="shared" ca="1" si="1"/>
        <v>0</v>
      </c>
      <c r="F4" s="6" t="str">
        <f>INDEX(User!$G:$G,MATCH($C4,User!$A:$A,0))</f>
        <v>018d074d-ea0c-e942-07db-a3cc0ba1d653</v>
      </c>
      <c r="G4" s="6" t="b">
        <f>INDEX(User!$M:$M,MATCH($C4,User!$A:$A,0))</f>
        <v>0</v>
      </c>
      <c r="H4" s="6">
        <f>IF(ISNA(MATCH($F4&amp;"|"&amp;$R4,OrganizationAccessCasePolicy!$V:$V,0)),"",MATCH($F4&amp;"|"&amp;$R4,OrganizationAccessCasePolicy!$V:$V,0))</f>
        <v>2</v>
      </c>
      <c r="I4" s="6" t="b" cm="1">
        <f t="array" aca="1" ref="I4" ca="1">IF($H4="",FALSE,NOT(ISNA(MATCH(INDIRECT("OrganizationAccessCasePolicy!D"&amp;$H4)&amp;"|"&amp;$V4,CaseTypeSetMember!$H:$H,0))))</f>
        <v>1</v>
      </c>
      <c r="J4" s="6" t="b" cm="1">
        <f t="array" aca="1" ref="J4" ca="1">IF($H4="",FALSE,AND(INDIRECT("OrganizationAccessCasePolicy!H"&amp;$H4),NOT(ISNA(MATCH(INDIRECT("OrganizationAccessCasePolicy!D"&amp;$H4)&amp;"|"&amp;$V4,CaseTypeSetMember!$H:$H,0)))))</f>
        <v>1</v>
      </c>
      <c r="K4" s="6" t="b" cm="1">
        <f t="array" aca="1" ref="K4" ca="1">IF($H4="",FALSE,AND(INDIRECT("OrganizationAccessCasePolicy!I"&amp;$H4),NOT(ISNA(MATCH(INDIRECT("OrganizationAccessCasePolicy!D"&amp;$H4)&amp;"|"&amp;$V4,CaseTypeSetMember!$H:$H,0)))))</f>
        <v>1</v>
      </c>
      <c r="L4" s="6" t="str">
        <f>IF(ISNA(MATCH($C4&amp;"|"&amp;$R4,UserAccessCasePolicy!$W:$W,0)),"",MATCH($C4&amp;"|"&amp;$R4,UserAccessCasePolicy!$W:$W,0))</f>
        <v/>
      </c>
      <c r="M4" s="6" t="b" cm="1">
        <f t="array" aca="1" ref="M4" ca="1">IF($L4="",FALSE,NOT(ISNA(MATCH(INDIRECT("UserAccessCasePolicy!D"&amp;$L4)&amp;"|"&amp;$V4,CaseTypeSetMember!$H:$H,0))))</f>
        <v>0</v>
      </c>
      <c r="N4" s="6" t="b" cm="1">
        <f t="array" aca="1" ref="N4" ca="1">IF($L4="",FALSE,AND(INDIRECT("UserAccessCasePolicy!G"&amp;$L4),NOT(ISNA(MATCH(INDIRECT("UserAccessCasePolicy!D"&amp;$L4)&amp;"|"&amp;$V4,CaseTypeSetMember!$H:$H,0)))))</f>
        <v>0</v>
      </c>
      <c r="O4" s="6" t="b" cm="1">
        <f t="array" aca="1" ref="O4" ca="1">IF($L4="",FALSE,AND(INDIRECT("UserAccessCasePolicy!H"&amp;$L4),NOT(ISNA(MATCH(INDIRECT("UserAccessCasePolicy!D"&amp;$L4)&amp;"|"&amp;$V4,CaseTypeSetMember!$H:$H,0)))))</f>
        <v>0</v>
      </c>
      <c r="P4" t="s">
        <v>115</v>
      </c>
      <c r="Q4" s="6" t="str">
        <f>INDEX(CaseType!$B:$B,MATCH($P4,CaseType!$A:$A,0))</f>
        <v>case_type1</v>
      </c>
      <c r="R4" t="s">
        <v>11</v>
      </c>
      <c r="S4" s="6" t="str">
        <f>INDEX(DataCollection!$B:$B,MATCH($R4,DataCollection!$A:$A,0))</f>
        <v>data_collection1</v>
      </c>
      <c r="T4" t="b">
        <v>0</v>
      </c>
      <c r="U4" t="s">
        <v>667</v>
      </c>
      <c r="V4" s="6" t="str">
        <f>INDEX(_CaseData!$B:$B,MATCH($U4,_CaseData!$A:$A,0))</f>
        <v>0195d18c-1ca6-fd99-9d76-fcfa0c0cf400</v>
      </c>
      <c r="W4" t="s">
        <v>11</v>
      </c>
      <c r="X4" s="6" t="b">
        <f t="shared" si="2"/>
        <v>1</v>
      </c>
      <c r="Y4" s="6" t="b">
        <f t="shared" si="0"/>
        <v>1</v>
      </c>
    </row>
    <row r="5" spans="1:25" x14ac:dyDescent="0.3">
      <c r="A5">
        <v>4</v>
      </c>
      <c r="B5" t="b">
        <v>1</v>
      </c>
      <c r="C5" t="s">
        <v>44</v>
      </c>
      <c r="D5" s="6" t="str">
        <f>INDEX(User!$D:$D,MATCH($C5,User!$A:$A,0))</f>
        <v>org_admin1_1</v>
      </c>
      <c r="E5" s="19" t="b">
        <f t="shared" ca="1" si="1"/>
        <v>0</v>
      </c>
      <c r="F5" s="6" t="str">
        <f>INDEX(User!$G:$G,MATCH($C5,User!$A:$A,0))</f>
        <v>018d074d-ea0c-e942-07db-a3cc0ba1d653</v>
      </c>
      <c r="G5" s="6" t="b">
        <f>INDEX(User!$M:$M,MATCH($C5,User!$A:$A,0))</f>
        <v>0</v>
      </c>
      <c r="H5" s="6">
        <f>IF(ISNA(MATCH($F5&amp;"|"&amp;$R5,OrganizationAccessCasePolicy!$V:$V,0)),"",MATCH($F5&amp;"|"&amp;$R5,OrganizationAccessCasePolicy!$V:$V,0))</f>
        <v>2</v>
      </c>
      <c r="I5" s="6" t="b" cm="1">
        <f t="array" aca="1" ref="I5" ca="1">IF($H5="",FALSE,NOT(ISNA(MATCH(INDIRECT("OrganizationAccessCasePolicy!D"&amp;$H5)&amp;"|"&amp;$V5,CaseTypeSetMember!$H:$H,0))))</f>
        <v>1</v>
      </c>
      <c r="J5" s="6" t="b" cm="1">
        <f t="array" aca="1" ref="J5" ca="1">IF($H5="",FALSE,AND(INDIRECT("OrganizationAccessCasePolicy!H"&amp;$H5),NOT(ISNA(MATCH(INDIRECT("OrganizationAccessCasePolicy!D"&amp;$H5)&amp;"|"&amp;$V5,CaseTypeSetMember!$H:$H,0)))))</f>
        <v>1</v>
      </c>
      <c r="K5" s="6" t="b" cm="1">
        <f t="array" aca="1" ref="K5" ca="1">IF($H5="",FALSE,AND(INDIRECT("OrganizationAccessCasePolicy!I"&amp;$H5),NOT(ISNA(MATCH(INDIRECT("OrganizationAccessCasePolicy!D"&amp;$H5)&amp;"|"&amp;$V5,CaseTypeSetMember!$H:$H,0)))))</f>
        <v>1</v>
      </c>
      <c r="L5" s="6" t="str">
        <f>IF(ISNA(MATCH($C5&amp;"|"&amp;$R5,UserAccessCasePolicy!$W:$W,0)),"",MATCH($C5&amp;"|"&amp;$R5,UserAccessCasePolicy!$W:$W,0))</f>
        <v/>
      </c>
      <c r="M5" s="6" t="b" cm="1">
        <f t="array" aca="1" ref="M5" ca="1">IF($L5="",FALSE,NOT(ISNA(MATCH(INDIRECT("UserAccessCasePolicy!D"&amp;$L5)&amp;"|"&amp;$V5,CaseTypeSetMember!$H:$H,0))))</f>
        <v>0</v>
      </c>
      <c r="N5" s="6" t="b" cm="1">
        <f t="array" aca="1" ref="N5" ca="1">IF($L5="",FALSE,AND(INDIRECT("UserAccessCasePolicy!G"&amp;$L5),NOT(ISNA(MATCH(INDIRECT("UserAccessCasePolicy!D"&amp;$L5)&amp;"|"&amp;$V5,CaseTypeSetMember!$H:$H,0)))))</f>
        <v>0</v>
      </c>
      <c r="O5" s="6" t="b" cm="1">
        <f t="array" aca="1" ref="O5" ca="1">IF($L5="",FALSE,AND(INDIRECT("UserAccessCasePolicy!H"&amp;$L5),NOT(ISNA(MATCH(INDIRECT("UserAccessCasePolicy!D"&amp;$L5)&amp;"|"&amp;$V5,CaseTypeSetMember!$H:$H,0)))))</f>
        <v>0</v>
      </c>
      <c r="P5" t="s">
        <v>115</v>
      </c>
      <c r="Q5" s="6" t="str">
        <f>INDEX(CaseType!$B:$B,MATCH($P5,CaseType!$A:$A,0))</f>
        <v>case_type1</v>
      </c>
      <c r="R5" t="s">
        <v>11</v>
      </c>
      <c r="S5" s="6" t="str">
        <f>INDEX(DataCollection!$B:$B,MATCH($R5,DataCollection!$A:$A,0))</f>
        <v>data_collection1</v>
      </c>
      <c r="T5" t="b">
        <v>0</v>
      </c>
      <c r="U5" t="s">
        <v>667</v>
      </c>
      <c r="V5" s="6" t="str">
        <f>INDEX(_CaseData!$B:$B,MATCH($U5,_CaseData!$A:$A,0))</f>
        <v>0195d18c-1ca6-fd99-9d76-fcfa0c0cf400</v>
      </c>
      <c r="W5" t="s">
        <v>11</v>
      </c>
      <c r="X5" s="6" t="b">
        <f t="shared" si="2"/>
        <v>1</v>
      </c>
      <c r="Y5" s="6" t="b">
        <f t="shared" si="0"/>
        <v>1</v>
      </c>
    </row>
    <row r="6" spans="1:25" x14ac:dyDescent="0.3">
      <c r="A6">
        <v>5</v>
      </c>
      <c r="B6" t="b">
        <v>1</v>
      </c>
      <c r="C6" t="s">
        <v>10</v>
      </c>
      <c r="D6" s="6" t="str">
        <f>INDEX(User!$D:$D,MATCH($C6,User!$A:$A,0))</f>
        <v>org_user1_1</v>
      </c>
      <c r="E6" s="19" t="b">
        <f t="shared" ca="1" si="1"/>
        <v>1</v>
      </c>
      <c r="F6" s="6" t="str">
        <f>INDEX(User!$G:$G,MATCH($C6,User!$A:$A,0))</f>
        <v>018d074d-ea0c-e942-07db-a3cc0ba1d653</v>
      </c>
      <c r="G6" s="6" t="b">
        <f>INDEX(User!$M:$M,MATCH($C6,User!$A:$A,0))</f>
        <v>0</v>
      </c>
      <c r="H6" s="6">
        <f>IF(ISNA(MATCH($F6&amp;"|"&amp;$R6,OrganizationAccessCasePolicy!$V:$V,0)),"",MATCH($F6&amp;"|"&amp;$R6,OrganizationAccessCasePolicy!$V:$V,0))</f>
        <v>2</v>
      </c>
      <c r="I6" s="6" t="b" cm="1">
        <f t="array" aca="1" ref="I6" ca="1">IF($H6="",FALSE,NOT(ISNA(MATCH(INDIRECT("OrganizationAccessCasePolicy!D"&amp;$H6)&amp;"|"&amp;$V6,CaseTypeSetMember!$H:$H,0))))</f>
        <v>1</v>
      </c>
      <c r="J6" s="6" t="b" cm="1">
        <f t="array" aca="1" ref="J6" ca="1">IF($H6="",FALSE,AND(INDIRECT("OrganizationAccessCasePolicy!H"&amp;$H6),NOT(ISNA(MATCH(INDIRECT("OrganizationAccessCasePolicy!D"&amp;$H6)&amp;"|"&amp;$V6,CaseTypeSetMember!$H:$H,0)))))</f>
        <v>1</v>
      </c>
      <c r="K6" s="6" t="b" cm="1">
        <f t="array" aca="1" ref="K6" ca="1">IF($H6="",FALSE,AND(INDIRECT("OrganizationAccessCasePolicy!I"&amp;$H6),NOT(ISNA(MATCH(INDIRECT("OrganizationAccessCasePolicy!D"&amp;$H6)&amp;"|"&amp;$V6,CaseTypeSetMember!$H:$H,0)))))</f>
        <v>1</v>
      </c>
      <c r="L6" s="6">
        <f>IF(ISNA(MATCH($C6&amp;"|"&amp;$R6,UserAccessCasePolicy!$W:$W,0)),"",MATCH($C6&amp;"|"&amp;$R6,UserAccessCasePolicy!$W:$W,0))</f>
        <v>2</v>
      </c>
      <c r="M6" s="6" t="b" cm="1">
        <f t="array" aca="1" ref="M6" ca="1">IF($L6="",FALSE,NOT(ISNA(MATCH(INDIRECT("UserAccessCasePolicy!D"&amp;$L6)&amp;"|"&amp;$V6,CaseTypeSetMember!$H:$H,0))))</f>
        <v>1</v>
      </c>
      <c r="N6" s="6" t="b" cm="1">
        <f t="array" aca="1" ref="N6" ca="1">IF($L6="",FALSE,AND(INDIRECT("UserAccessCasePolicy!G"&amp;$L6),NOT(ISNA(MATCH(INDIRECT("UserAccessCasePolicy!D"&amp;$L6)&amp;"|"&amp;$V6,CaseTypeSetMember!$H:$H,0)))))</f>
        <v>1</v>
      </c>
      <c r="O6" s="6" t="b" cm="1">
        <f t="array" aca="1" ref="O6" ca="1">IF($L6="",FALSE,AND(INDIRECT("UserAccessCasePolicy!H"&amp;$L6),NOT(ISNA(MATCH(INDIRECT("UserAccessCasePolicy!D"&amp;$L6)&amp;"|"&amp;$V6,CaseTypeSetMember!$H:$H,0)))))</f>
        <v>1</v>
      </c>
      <c r="P6" t="s">
        <v>115</v>
      </c>
      <c r="Q6" s="6" t="str">
        <f>INDEX(CaseType!$B:$B,MATCH($P6,CaseType!$A:$A,0))</f>
        <v>case_type1</v>
      </c>
      <c r="R6" t="s">
        <v>11</v>
      </c>
      <c r="S6" s="6" t="str">
        <f>INDEX(DataCollection!$B:$B,MATCH($R6,DataCollection!$A:$A,0))</f>
        <v>data_collection1</v>
      </c>
      <c r="T6" t="b">
        <v>0</v>
      </c>
      <c r="U6" t="s">
        <v>667</v>
      </c>
      <c r="V6" s="6" t="str">
        <f>INDEX(_CaseData!$B:$B,MATCH($U6,_CaseData!$A:$A,0))</f>
        <v>0195d18c-1ca6-fd99-9d76-fcfa0c0cf400</v>
      </c>
      <c r="W6" t="s">
        <v>11</v>
      </c>
      <c r="X6" s="6" t="b">
        <f t="shared" si="2"/>
        <v>1</v>
      </c>
      <c r="Y6" s="6" t="b">
        <f t="shared" si="0"/>
        <v>1</v>
      </c>
    </row>
    <row r="7" spans="1:25" x14ac:dyDescent="0.3">
      <c r="A7">
        <v>6</v>
      </c>
      <c r="B7" t="b">
        <v>1</v>
      </c>
      <c r="C7" t="s">
        <v>839</v>
      </c>
      <c r="D7" s="6" t="str">
        <f>INDEX(User!$D:$D,MATCH($C7,User!$A:$A,0))</f>
        <v>root1_1</v>
      </c>
      <c r="E7" s="19" t="b">
        <f t="shared" ca="1" si="1"/>
        <v>1</v>
      </c>
      <c r="F7" s="6" t="str">
        <f>INDEX(User!$G:$G,MATCH($C7,User!$A:$A,0))</f>
        <v>018d074d-ea0c-e942-07db-a3cc0ba1d653</v>
      </c>
      <c r="G7" s="6" t="b">
        <f>INDEX(User!$M:$M,MATCH($C7,User!$A:$A,0))</f>
        <v>1</v>
      </c>
      <c r="H7" s="6">
        <f>IF(ISNA(MATCH($F7&amp;"|"&amp;$R7,OrganizationAccessCasePolicy!$V:$V,0)),"",MATCH($F7&amp;"|"&amp;$R7,OrganizationAccessCasePolicy!$V:$V,0))</f>
        <v>2</v>
      </c>
      <c r="I7" s="6" t="b" cm="1">
        <f t="array" aca="1" ref="I7" ca="1">IF($H7="",FALSE,NOT(ISNA(MATCH(INDIRECT("OrganizationAccessCasePolicy!D"&amp;$H7)&amp;"|"&amp;$V7,CaseTypeSetMember!$H:$H,0))))</f>
        <v>1</v>
      </c>
      <c r="J7" s="6" t="b" cm="1">
        <f t="array" aca="1" ref="J7" ca="1">IF($H7="",FALSE,AND(INDIRECT("OrganizationAccessCasePolicy!H"&amp;$H7),NOT(ISNA(MATCH(INDIRECT("OrganizationAccessCasePolicy!D"&amp;$H7)&amp;"|"&amp;$V7,CaseTypeSetMember!$H:$H,0)))))</f>
        <v>1</v>
      </c>
      <c r="K7" s="6" t="b" cm="1">
        <f t="array" aca="1" ref="K7" ca="1">IF($H7="",FALSE,AND(INDIRECT("OrganizationAccessCasePolicy!I"&amp;$H7),NOT(ISNA(MATCH(INDIRECT("OrganizationAccessCasePolicy!D"&amp;$H7)&amp;"|"&amp;$V7,CaseTypeSetMember!$H:$H,0)))))</f>
        <v>1</v>
      </c>
      <c r="L7" s="6" t="str">
        <f>IF(ISNA(MATCH($C7&amp;"|"&amp;$R7,UserAccessCasePolicy!$W:$W,0)),"",MATCH($C7&amp;"|"&amp;$R7,UserAccessCasePolicy!$W:$W,0))</f>
        <v/>
      </c>
      <c r="M7" s="6" t="b" cm="1">
        <f t="array" aca="1" ref="M7" ca="1">IF($L7="",FALSE,NOT(ISNA(MATCH(INDIRECT("UserAccessCasePolicy!D"&amp;$L7)&amp;"|"&amp;$V7,CaseTypeSetMember!$H:$H,0))))</f>
        <v>0</v>
      </c>
      <c r="N7" s="6" t="b" cm="1">
        <f t="array" aca="1" ref="N7" ca="1">IF($L7="",FALSE,AND(INDIRECT("UserAccessCasePolicy!G"&amp;$L7),NOT(ISNA(MATCH(INDIRECT("UserAccessCasePolicy!D"&amp;$L7)&amp;"|"&amp;$V7,CaseTypeSetMember!$H:$H,0)))))</f>
        <v>0</v>
      </c>
      <c r="O7" s="6" t="b" cm="1">
        <f t="array" aca="1" ref="O7" ca="1">IF($L7="",FALSE,AND(INDIRECT("UserAccessCasePolicy!H"&amp;$L7),NOT(ISNA(MATCH(INDIRECT("UserAccessCasePolicy!D"&amp;$L7)&amp;"|"&amp;$V7,CaseTypeSetMember!$H:$H,0)))))</f>
        <v>0</v>
      </c>
      <c r="P7" t="s">
        <v>115</v>
      </c>
      <c r="Q7" s="6" t="str">
        <f>INDEX(CaseType!$B:$B,MATCH($P7,CaseType!$A:$A,0))</f>
        <v>case_type1</v>
      </c>
      <c r="R7" t="s">
        <v>11</v>
      </c>
      <c r="S7" s="6" t="str">
        <f>INDEX(DataCollection!$B:$B,MATCH($R7,DataCollection!$A:$A,0))</f>
        <v>data_collection1</v>
      </c>
      <c r="T7" t="b">
        <v>0</v>
      </c>
      <c r="U7" t="s">
        <v>667</v>
      </c>
      <c r="V7" s="6" t="str">
        <f>INDEX(_CaseData!$B:$B,MATCH($U7,_CaseData!$A:$A,0))</f>
        <v>0195d18c-1ca6-fd99-9d76-fcfa0c0cf400</v>
      </c>
      <c r="W7" t="s">
        <v>11</v>
      </c>
      <c r="X7" s="6" t="b">
        <f t="shared" si="2"/>
        <v>1</v>
      </c>
      <c r="Y7" s="6" t="b">
        <f t="shared" si="0"/>
        <v>1</v>
      </c>
    </row>
    <row r="8" spans="1:25" x14ac:dyDescent="0.3">
      <c r="A8">
        <v>7</v>
      </c>
      <c r="B8" t="b">
        <v>1</v>
      </c>
      <c r="C8" t="s">
        <v>185</v>
      </c>
      <c r="D8" s="6" t="str">
        <f>INDEX(User!$D:$D,MATCH($C8,User!$A:$A,0))</f>
        <v>app_admin1_1</v>
      </c>
      <c r="E8" s="19" t="b">
        <f t="shared" ca="1" si="1"/>
        <v>1</v>
      </c>
      <c r="F8" s="6" t="str">
        <f>INDEX(User!$G:$G,MATCH($C8,User!$A:$A,0))</f>
        <v>018d074d-ea0c-e942-07db-a3cc0ba1d653</v>
      </c>
      <c r="G8" s="6" t="b">
        <f>INDEX(User!$M:$M,MATCH($C8,User!$A:$A,0))</f>
        <v>1</v>
      </c>
      <c r="H8" s="6">
        <f>IF(ISNA(MATCH($F8&amp;"|"&amp;$R8,OrganizationAccessCasePolicy!$V:$V,0)),"",MATCH($F8&amp;"|"&amp;$R8,OrganizationAccessCasePolicy!$V:$V,0))</f>
        <v>2</v>
      </c>
      <c r="I8" s="6" t="b" cm="1">
        <f t="array" aca="1" ref="I8" ca="1">IF($H8="",FALSE,NOT(ISNA(MATCH(INDIRECT("OrganizationAccessCasePolicy!D"&amp;$H8)&amp;"|"&amp;$V8,CaseTypeSetMember!$H:$H,0))))</f>
        <v>1</v>
      </c>
      <c r="J8" s="6" t="b" cm="1">
        <f t="array" aca="1" ref="J8" ca="1">IF($H8="",FALSE,AND(INDIRECT("OrganizationAccessCasePolicy!H"&amp;$H8),NOT(ISNA(MATCH(INDIRECT("OrganizationAccessCasePolicy!D"&amp;$H8)&amp;"|"&amp;$V8,CaseTypeSetMember!$H:$H,0)))))</f>
        <v>1</v>
      </c>
      <c r="K8" s="6" t="b" cm="1">
        <f t="array" aca="1" ref="K8" ca="1">IF($H8="",FALSE,AND(INDIRECT("OrganizationAccessCasePolicy!I"&amp;$H8),NOT(ISNA(MATCH(INDIRECT("OrganizationAccessCasePolicy!D"&amp;$H8)&amp;"|"&amp;$V8,CaseTypeSetMember!$H:$H,0)))))</f>
        <v>1</v>
      </c>
      <c r="L8" s="6" t="str">
        <f>IF(ISNA(MATCH($C8&amp;"|"&amp;$R8,UserAccessCasePolicy!$W:$W,0)),"",MATCH($C8&amp;"|"&amp;$R8,UserAccessCasePolicy!$W:$W,0))</f>
        <v/>
      </c>
      <c r="M8" s="6" t="b" cm="1">
        <f t="array" aca="1" ref="M8" ca="1">IF($L8="",FALSE,NOT(ISNA(MATCH(INDIRECT("UserAccessCasePolicy!D"&amp;$L8)&amp;"|"&amp;$V8,CaseTypeSetMember!$H:$H,0))))</f>
        <v>0</v>
      </c>
      <c r="N8" s="6" t="b" cm="1">
        <f t="array" aca="1" ref="N8" ca="1">IF($L8="",FALSE,AND(INDIRECT("UserAccessCasePolicy!G"&amp;$L8),NOT(ISNA(MATCH(INDIRECT("UserAccessCasePolicy!D"&amp;$L8)&amp;"|"&amp;$V8,CaseTypeSetMember!$H:$H,0)))))</f>
        <v>0</v>
      </c>
      <c r="O8" s="6" t="b" cm="1">
        <f t="array" aca="1" ref="O8" ca="1">IF($L8="",FALSE,AND(INDIRECT("UserAccessCasePolicy!H"&amp;$L8),NOT(ISNA(MATCH(INDIRECT("UserAccessCasePolicy!D"&amp;$L8)&amp;"|"&amp;$V8,CaseTypeSetMember!$H:$H,0)))))</f>
        <v>0</v>
      </c>
      <c r="P8" t="s">
        <v>115</v>
      </c>
      <c r="Q8" s="6" t="str">
        <f>INDEX(CaseType!$B:$B,MATCH($P8,CaseType!$A:$A,0))</f>
        <v>case_type1</v>
      </c>
      <c r="R8" t="s">
        <v>11</v>
      </c>
      <c r="S8" s="6" t="str">
        <f>INDEX(DataCollection!$B:$B,MATCH($R8,DataCollection!$A:$A,0))</f>
        <v>data_collection1</v>
      </c>
      <c r="T8" t="b">
        <v>0</v>
      </c>
      <c r="U8" t="s">
        <v>667</v>
      </c>
      <c r="V8" s="6" t="str">
        <f>INDEX(_CaseData!$B:$B,MATCH($U8,_CaseData!$A:$A,0))</f>
        <v>0195d18c-1ca6-fd99-9d76-fcfa0c0cf400</v>
      </c>
      <c r="W8" t="s">
        <v>11</v>
      </c>
      <c r="X8" s="6" t="b">
        <f t="shared" si="2"/>
        <v>1</v>
      </c>
      <c r="Y8" s="6" t="b">
        <f t="shared" si="0"/>
        <v>1</v>
      </c>
    </row>
    <row r="9" spans="1:25" x14ac:dyDescent="0.3">
      <c r="A9">
        <v>8</v>
      </c>
      <c r="B9" t="b">
        <v>1</v>
      </c>
      <c r="C9" t="s">
        <v>44</v>
      </c>
      <c r="D9" s="6" t="str">
        <f>INDEX(User!$D:$D,MATCH($C9,User!$A:$A,0))</f>
        <v>org_admin1_1</v>
      </c>
      <c r="E9" s="19" t="b">
        <f t="shared" ca="1" si="1"/>
        <v>0</v>
      </c>
      <c r="F9" s="6" t="str">
        <f>INDEX(User!$G:$G,MATCH($C9,User!$A:$A,0))</f>
        <v>018d074d-ea0c-e942-07db-a3cc0ba1d653</v>
      </c>
      <c r="G9" s="6" t="b">
        <f>INDEX(User!$M:$M,MATCH($C9,User!$A:$A,0))</f>
        <v>0</v>
      </c>
      <c r="H9" s="6">
        <f>IF(ISNA(MATCH($F9&amp;"|"&amp;$R9,OrganizationAccessCasePolicy!$V:$V,0)),"",MATCH($F9&amp;"|"&amp;$R9,OrganizationAccessCasePolicy!$V:$V,0))</f>
        <v>2</v>
      </c>
      <c r="I9" s="6" t="b" cm="1">
        <f t="array" aca="1" ref="I9" ca="1">IF($H9="",FALSE,NOT(ISNA(MATCH(INDIRECT("OrganizationAccessCasePolicy!D"&amp;$H9)&amp;"|"&amp;$V9,CaseTypeSetMember!$H:$H,0))))</f>
        <v>1</v>
      </c>
      <c r="J9" s="6" t="b" cm="1">
        <f t="array" aca="1" ref="J9" ca="1">IF($H9="",FALSE,AND(INDIRECT("OrganizationAccessCasePolicy!H"&amp;$H9),NOT(ISNA(MATCH(INDIRECT("OrganizationAccessCasePolicy!D"&amp;$H9)&amp;"|"&amp;$V9,CaseTypeSetMember!$H:$H,0)))))</f>
        <v>1</v>
      </c>
      <c r="K9" s="6" t="b" cm="1">
        <f t="array" aca="1" ref="K9" ca="1">IF($H9="",FALSE,AND(INDIRECT("OrganizationAccessCasePolicy!I"&amp;$H9),NOT(ISNA(MATCH(INDIRECT("OrganizationAccessCasePolicy!D"&amp;$H9)&amp;"|"&amp;$V9,CaseTypeSetMember!$H:$H,0)))))</f>
        <v>1</v>
      </c>
      <c r="L9" s="6" t="str">
        <f>IF(ISNA(MATCH($C9&amp;"|"&amp;$R9,UserAccessCasePolicy!$W:$W,0)),"",MATCH($C9&amp;"|"&amp;$R9,UserAccessCasePolicy!$W:$W,0))</f>
        <v/>
      </c>
      <c r="M9" s="6" t="b" cm="1">
        <f t="array" aca="1" ref="M9" ca="1">IF($L9="",FALSE,NOT(ISNA(MATCH(INDIRECT("UserAccessCasePolicy!D"&amp;$L9)&amp;"|"&amp;$V9,CaseTypeSetMember!$H:$H,0))))</f>
        <v>0</v>
      </c>
      <c r="N9" s="6" t="b" cm="1">
        <f t="array" aca="1" ref="N9" ca="1">IF($L9="",FALSE,AND(INDIRECT("UserAccessCasePolicy!G"&amp;$L9),NOT(ISNA(MATCH(INDIRECT("UserAccessCasePolicy!D"&amp;$L9)&amp;"|"&amp;$V9,CaseTypeSetMember!$H:$H,0)))))</f>
        <v>0</v>
      </c>
      <c r="O9" s="6" t="b" cm="1">
        <f t="array" aca="1" ref="O9" ca="1">IF($L9="",FALSE,AND(INDIRECT("UserAccessCasePolicy!H"&amp;$L9),NOT(ISNA(MATCH(INDIRECT("UserAccessCasePolicy!D"&amp;$L9)&amp;"|"&amp;$V9,CaseTypeSetMember!$H:$H,0)))))</f>
        <v>0</v>
      </c>
      <c r="P9" t="s">
        <v>115</v>
      </c>
      <c r="Q9" s="6" t="str">
        <f>INDEX(CaseType!$B:$B,MATCH($P9,CaseType!$A:$A,0))</f>
        <v>case_type1</v>
      </c>
      <c r="R9" t="s">
        <v>11</v>
      </c>
      <c r="S9" s="6" t="str">
        <f>INDEX(DataCollection!$B:$B,MATCH($R9,DataCollection!$A:$A,0))</f>
        <v>data_collection1</v>
      </c>
      <c r="T9" t="b">
        <v>0</v>
      </c>
      <c r="U9" t="s">
        <v>667</v>
      </c>
      <c r="V9" s="6" t="str">
        <f>INDEX(_CaseData!$B:$B,MATCH($U9,_CaseData!$A:$A,0))</f>
        <v>0195d18c-1ca6-fd99-9d76-fcfa0c0cf400</v>
      </c>
      <c r="W9" t="s">
        <v>11</v>
      </c>
      <c r="X9" s="6" t="b">
        <f t="shared" si="2"/>
        <v>1</v>
      </c>
      <c r="Y9" s="6" t="b">
        <f t="shared" si="0"/>
        <v>1</v>
      </c>
    </row>
    <row r="10" spans="1:25" x14ac:dyDescent="0.3">
      <c r="A10">
        <v>9</v>
      </c>
      <c r="B10" t="b">
        <v>1</v>
      </c>
      <c r="C10" t="s">
        <v>47</v>
      </c>
      <c r="D10" s="6" t="str">
        <f>INDEX(User!$D:$D,MATCH($C10,User!$A:$A,0))</f>
        <v>org_admin2_1</v>
      </c>
      <c r="E10" s="19" t="b">
        <f t="shared" ca="1" si="1"/>
        <v>0</v>
      </c>
      <c r="F10" s="6" t="str">
        <f>INDEX(User!$G:$G,MATCH($C10,User!$A:$A,0))</f>
        <v>0195d18c-1c92-0ed4-2e94-b4f66d82baf3</v>
      </c>
      <c r="G10" s="6" t="b">
        <f>INDEX(User!$M:$M,MATCH($C10,User!$A:$A,0))</f>
        <v>0</v>
      </c>
      <c r="H10" s="6" t="str">
        <f>IF(ISNA(MATCH($F10&amp;"|"&amp;$R10,OrganizationAccessCasePolicy!$V:$V,0)),"",MATCH($F10&amp;"|"&amp;$R10,OrganizationAccessCasePolicy!$V:$V,0))</f>
        <v/>
      </c>
      <c r="I10" s="6" t="b" cm="1">
        <f t="array" aca="1" ref="I10" ca="1">IF($H10="",FALSE,NOT(ISNA(MATCH(INDIRECT("OrganizationAccessCasePolicy!D"&amp;$H10)&amp;"|"&amp;$V10,CaseTypeSetMember!$H:$H,0))))</f>
        <v>0</v>
      </c>
      <c r="J10" s="6" t="b" cm="1">
        <f t="array" aca="1" ref="J10" ca="1">IF($H10="",FALSE,AND(INDIRECT("OrganizationAccessCasePolicy!H"&amp;$H10),NOT(ISNA(MATCH(INDIRECT("OrganizationAccessCasePolicy!D"&amp;$H10)&amp;"|"&amp;$V10,CaseTypeSetMember!$H:$H,0)))))</f>
        <v>0</v>
      </c>
      <c r="K10" s="6" t="b" cm="1">
        <f t="array" aca="1" ref="K10" ca="1">IF($H10="",FALSE,AND(INDIRECT("OrganizationAccessCasePolicy!I"&amp;$H10),NOT(ISNA(MATCH(INDIRECT("OrganizationAccessCasePolicy!D"&amp;$H10)&amp;"|"&amp;$V10,CaseTypeSetMember!$H:$H,0)))))</f>
        <v>0</v>
      </c>
      <c r="L10" s="6" t="str">
        <f>IF(ISNA(MATCH($C10&amp;"|"&amp;$R10,UserAccessCasePolicy!$W:$W,0)),"",MATCH($C10&amp;"|"&amp;$R10,UserAccessCasePolicy!$W:$W,0))</f>
        <v/>
      </c>
      <c r="M10" s="6" t="b" cm="1">
        <f t="array" aca="1" ref="M10" ca="1">IF($L10="",FALSE,NOT(ISNA(MATCH(INDIRECT("UserAccessCasePolicy!D"&amp;$L10)&amp;"|"&amp;$V10,CaseTypeSetMember!$H:$H,0))))</f>
        <v>0</v>
      </c>
      <c r="N10" s="6" t="b" cm="1">
        <f t="array" aca="1" ref="N10" ca="1">IF($L10="",FALSE,AND(INDIRECT("UserAccessCasePolicy!G"&amp;$L10),NOT(ISNA(MATCH(INDIRECT("UserAccessCasePolicy!D"&amp;$L10)&amp;"|"&amp;$V10,CaseTypeSetMember!$H:$H,0)))))</f>
        <v>0</v>
      </c>
      <c r="O10" s="6" t="b" cm="1">
        <f t="array" aca="1" ref="O10" ca="1">IF($L10="",FALSE,AND(INDIRECT("UserAccessCasePolicy!H"&amp;$L10),NOT(ISNA(MATCH(INDIRECT("UserAccessCasePolicy!D"&amp;$L10)&amp;"|"&amp;$V10,CaseTypeSetMember!$H:$H,0)))))</f>
        <v>0</v>
      </c>
      <c r="P10" t="s">
        <v>115</v>
      </c>
      <c r="Q10" s="6" t="str">
        <f>INDEX(CaseType!$B:$B,MATCH($P10,CaseType!$A:$A,0))</f>
        <v>case_type1</v>
      </c>
      <c r="R10" t="s">
        <v>11</v>
      </c>
      <c r="S10" s="6" t="str">
        <f>INDEX(DataCollection!$B:$B,MATCH($R10,DataCollection!$A:$A,0))</f>
        <v>data_collection1</v>
      </c>
      <c r="T10" t="b">
        <v>0</v>
      </c>
      <c r="U10" t="s">
        <v>667</v>
      </c>
      <c r="V10" s="6" t="str">
        <f>INDEX(_CaseData!$B:$B,MATCH($U10,_CaseData!$A:$A,0))</f>
        <v>0195d18c-1ca6-fd99-9d76-fcfa0c0cf400</v>
      </c>
      <c r="W10" t="s">
        <v>11</v>
      </c>
      <c r="X10" s="6" t="b">
        <f t="shared" si="2"/>
        <v>1</v>
      </c>
      <c r="Y10" s="6" t="b">
        <f t="shared" si="0"/>
        <v>1</v>
      </c>
    </row>
    <row r="11" spans="1:25" x14ac:dyDescent="0.3">
      <c r="A11">
        <v>10</v>
      </c>
      <c r="B11" t="b">
        <v>1</v>
      </c>
      <c r="C11" t="s">
        <v>50</v>
      </c>
      <c r="D11" s="6" t="str">
        <f>INDEX(User!$D:$D,MATCH($C11,User!$A:$A,0))</f>
        <v>org_admin3_1</v>
      </c>
      <c r="E11" s="19" t="b">
        <f t="shared" ca="1" si="1"/>
        <v>0</v>
      </c>
      <c r="F11" s="6" t="str">
        <f>INDEX(User!$G:$G,MATCH($C11,User!$A:$A,0))</f>
        <v>0195d18c-1c92-52b3-93e0-43dc1f2aa037</v>
      </c>
      <c r="G11" s="6" t="b">
        <f>INDEX(User!$M:$M,MATCH($C11,User!$A:$A,0))</f>
        <v>0</v>
      </c>
      <c r="H11" s="6" t="str">
        <f>IF(ISNA(MATCH($F11&amp;"|"&amp;$R11,OrganizationAccessCasePolicy!$V:$V,0)),"",MATCH($F11&amp;"|"&amp;$R11,OrganizationAccessCasePolicy!$V:$V,0))</f>
        <v/>
      </c>
      <c r="I11" s="6" t="b" cm="1">
        <f t="array" aca="1" ref="I11" ca="1">IF($H11="",FALSE,NOT(ISNA(MATCH(INDIRECT("OrganizationAccessCasePolicy!D"&amp;$H11)&amp;"|"&amp;$V11,CaseTypeSetMember!$H:$H,0))))</f>
        <v>0</v>
      </c>
      <c r="J11" s="6" t="b" cm="1">
        <f t="array" aca="1" ref="J11" ca="1">IF($H11="",FALSE,AND(INDIRECT("OrganizationAccessCasePolicy!H"&amp;$H11),NOT(ISNA(MATCH(INDIRECT("OrganizationAccessCasePolicy!D"&amp;$H11)&amp;"|"&amp;$V11,CaseTypeSetMember!$H:$H,0)))))</f>
        <v>0</v>
      </c>
      <c r="K11" s="6" t="b" cm="1">
        <f t="array" aca="1" ref="K11" ca="1">IF($H11="",FALSE,AND(INDIRECT("OrganizationAccessCasePolicy!I"&amp;$H11),NOT(ISNA(MATCH(INDIRECT("OrganizationAccessCasePolicy!D"&amp;$H11)&amp;"|"&amp;$V11,CaseTypeSetMember!$H:$H,0)))))</f>
        <v>0</v>
      </c>
      <c r="L11" s="6" t="str">
        <f>IF(ISNA(MATCH($C11&amp;"|"&amp;$R11,UserAccessCasePolicy!$W:$W,0)),"",MATCH($C11&amp;"|"&amp;$R11,UserAccessCasePolicy!$W:$W,0))</f>
        <v/>
      </c>
      <c r="M11" s="6" t="b" cm="1">
        <f t="array" aca="1" ref="M11" ca="1">IF($L11="",FALSE,NOT(ISNA(MATCH(INDIRECT("UserAccessCasePolicy!D"&amp;$L11)&amp;"|"&amp;$V11,CaseTypeSetMember!$H:$H,0))))</f>
        <v>0</v>
      </c>
      <c r="N11" s="6" t="b" cm="1">
        <f t="array" aca="1" ref="N11" ca="1">IF($L11="",FALSE,AND(INDIRECT("UserAccessCasePolicy!G"&amp;$L11),NOT(ISNA(MATCH(INDIRECT("UserAccessCasePolicy!D"&amp;$L11)&amp;"|"&amp;$V11,CaseTypeSetMember!$H:$H,0)))))</f>
        <v>0</v>
      </c>
      <c r="O11" s="6" t="b" cm="1">
        <f t="array" aca="1" ref="O11" ca="1">IF($L11="",FALSE,AND(INDIRECT("UserAccessCasePolicy!H"&amp;$L11),NOT(ISNA(MATCH(INDIRECT("UserAccessCasePolicy!D"&amp;$L11)&amp;"|"&amp;$V11,CaseTypeSetMember!$H:$H,0)))))</f>
        <v>0</v>
      </c>
      <c r="P11" t="s">
        <v>115</v>
      </c>
      <c r="Q11" s="6" t="str">
        <f>INDEX(CaseType!$B:$B,MATCH($P11,CaseType!$A:$A,0))</f>
        <v>case_type1</v>
      </c>
      <c r="R11" t="s">
        <v>11</v>
      </c>
      <c r="S11" s="6" t="str">
        <f>INDEX(DataCollection!$B:$B,MATCH($R11,DataCollection!$A:$A,0))</f>
        <v>data_collection1</v>
      </c>
      <c r="T11" t="b">
        <v>0</v>
      </c>
      <c r="U11" t="s">
        <v>667</v>
      </c>
      <c r="V11" s="6" t="str">
        <f>INDEX(_CaseData!$B:$B,MATCH($U11,_CaseData!$A:$A,0))</f>
        <v>0195d18c-1ca6-fd99-9d76-fcfa0c0cf400</v>
      </c>
      <c r="W11" t="s">
        <v>11</v>
      </c>
      <c r="X11" s="6" t="b">
        <f t="shared" si="2"/>
        <v>1</v>
      </c>
      <c r="Y11" s="6" t="b">
        <f t="shared" si="0"/>
        <v>1</v>
      </c>
    </row>
    <row r="12" spans="1:25" x14ac:dyDescent="0.3">
      <c r="A12">
        <v>11</v>
      </c>
      <c r="B12" t="b">
        <v>1</v>
      </c>
      <c r="C12" t="s">
        <v>53</v>
      </c>
      <c r="D12" s="6" t="str">
        <f>INDEX(User!$D:$D,MATCH($C12,User!$A:$A,0))</f>
        <v>org_admin4_1</v>
      </c>
      <c r="E12" s="19" t="b">
        <f t="shared" ca="1" si="1"/>
        <v>0</v>
      </c>
      <c r="F12" s="6" t="str">
        <f>INDEX(User!$G:$G,MATCH($C12,User!$A:$A,0))</f>
        <v>0195d18c-1c92-d419-4c71-a570f428499b</v>
      </c>
      <c r="G12" s="6" t="b">
        <f>INDEX(User!$M:$M,MATCH($C12,User!$A:$A,0))</f>
        <v>0</v>
      </c>
      <c r="H12" s="6" t="str">
        <f>IF(ISNA(MATCH($F12&amp;"|"&amp;$R12,OrganizationAccessCasePolicy!$V:$V,0)),"",MATCH($F12&amp;"|"&amp;$R12,OrganizationAccessCasePolicy!$V:$V,0))</f>
        <v/>
      </c>
      <c r="I12" s="6" t="b" cm="1">
        <f t="array" aca="1" ref="I12" ca="1">IF($H12="",FALSE,NOT(ISNA(MATCH(INDIRECT("OrganizationAccessCasePolicy!D"&amp;$H12)&amp;"|"&amp;$V12,CaseTypeSetMember!$H:$H,0))))</f>
        <v>0</v>
      </c>
      <c r="J12" s="6" t="b" cm="1">
        <f t="array" aca="1" ref="J12" ca="1">IF($H12="",FALSE,AND(INDIRECT("OrganizationAccessCasePolicy!H"&amp;$H12),NOT(ISNA(MATCH(INDIRECT("OrganizationAccessCasePolicy!D"&amp;$H12)&amp;"|"&amp;$V12,CaseTypeSetMember!$H:$H,0)))))</f>
        <v>0</v>
      </c>
      <c r="K12" s="6" t="b" cm="1">
        <f t="array" aca="1" ref="K12" ca="1">IF($H12="",FALSE,AND(INDIRECT("OrganizationAccessCasePolicy!I"&amp;$H12),NOT(ISNA(MATCH(INDIRECT("OrganizationAccessCasePolicy!D"&amp;$H12)&amp;"|"&amp;$V12,CaseTypeSetMember!$H:$H,0)))))</f>
        <v>0</v>
      </c>
      <c r="L12" s="6" t="str">
        <f>IF(ISNA(MATCH($C12&amp;"|"&amp;$R12,UserAccessCasePolicy!$W:$W,0)),"",MATCH($C12&amp;"|"&amp;$R12,UserAccessCasePolicy!$W:$W,0))</f>
        <v/>
      </c>
      <c r="M12" s="6" t="b" cm="1">
        <f t="array" aca="1" ref="M12" ca="1">IF($L12="",FALSE,NOT(ISNA(MATCH(INDIRECT("UserAccessCasePolicy!D"&amp;$L12)&amp;"|"&amp;$V12,CaseTypeSetMember!$H:$H,0))))</f>
        <v>0</v>
      </c>
      <c r="N12" s="6" t="b" cm="1">
        <f t="array" aca="1" ref="N12" ca="1">IF($L12="",FALSE,AND(INDIRECT("UserAccessCasePolicy!G"&amp;$L12),NOT(ISNA(MATCH(INDIRECT("UserAccessCasePolicy!D"&amp;$L12)&amp;"|"&amp;$V12,CaseTypeSetMember!$H:$H,0)))))</f>
        <v>0</v>
      </c>
      <c r="O12" s="6" t="b" cm="1">
        <f t="array" aca="1" ref="O12" ca="1">IF($L12="",FALSE,AND(INDIRECT("UserAccessCasePolicy!H"&amp;$L12),NOT(ISNA(MATCH(INDIRECT("UserAccessCasePolicy!D"&amp;$L12)&amp;"|"&amp;$V12,CaseTypeSetMember!$H:$H,0)))))</f>
        <v>0</v>
      </c>
      <c r="P12" t="s">
        <v>115</v>
      </c>
      <c r="Q12" s="6" t="str">
        <f>INDEX(CaseType!$B:$B,MATCH($P12,CaseType!$A:$A,0))</f>
        <v>case_type1</v>
      </c>
      <c r="R12" t="s">
        <v>11</v>
      </c>
      <c r="S12" s="6" t="str">
        <f>INDEX(DataCollection!$B:$B,MATCH($R12,DataCollection!$A:$A,0))</f>
        <v>data_collection1</v>
      </c>
      <c r="T12" t="b">
        <v>0</v>
      </c>
      <c r="U12" t="s">
        <v>667</v>
      </c>
      <c r="V12" s="6" t="str">
        <f>INDEX(_CaseData!$B:$B,MATCH($U12,_CaseData!$A:$A,0))</f>
        <v>0195d18c-1ca6-fd99-9d76-fcfa0c0cf400</v>
      </c>
      <c r="W12" t="s">
        <v>11</v>
      </c>
      <c r="X12" s="6" t="b">
        <f t="shared" si="2"/>
        <v>1</v>
      </c>
      <c r="Y12" s="6" t="b">
        <f t="shared" si="0"/>
        <v>1</v>
      </c>
    </row>
    <row r="13" spans="1:25" x14ac:dyDescent="0.3">
      <c r="A13">
        <v>12</v>
      </c>
      <c r="B13" t="b">
        <v>1</v>
      </c>
      <c r="C13" t="s">
        <v>56</v>
      </c>
      <c r="D13" s="6" t="str">
        <f>INDEX(User!$D:$D,MATCH($C13,User!$A:$A,0))</f>
        <v>org_admin5_1</v>
      </c>
      <c r="E13" s="19" t="b">
        <f t="shared" ca="1" si="1"/>
        <v>0</v>
      </c>
      <c r="F13" s="6" t="str">
        <f>INDEX(User!$G:$G,MATCH($C13,User!$A:$A,0))</f>
        <v>0195d18c-1c93-02a2-6920-7e4dbfb73ce0</v>
      </c>
      <c r="G13" s="6" t="b">
        <f>INDEX(User!$M:$M,MATCH($C13,User!$A:$A,0))</f>
        <v>0</v>
      </c>
      <c r="H13" s="6" t="str">
        <f>IF(ISNA(MATCH($F13&amp;"|"&amp;$R13,OrganizationAccessCasePolicy!$V:$V,0)),"",MATCH($F13&amp;"|"&amp;$R13,OrganizationAccessCasePolicy!$V:$V,0))</f>
        <v/>
      </c>
      <c r="I13" s="6" t="b" cm="1">
        <f t="array" aca="1" ref="I13" ca="1">IF($H13="",FALSE,NOT(ISNA(MATCH(INDIRECT("OrganizationAccessCasePolicy!D"&amp;$H13)&amp;"|"&amp;$V13,CaseTypeSetMember!$H:$H,0))))</f>
        <v>0</v>
      </c>
      <c r="J13" s="6" t="b" cm="1">
        <f t="array" aca="1" ref="J13" ca="1">IF($H13="",FALSE,AND(INDIRECT("OrganizationAccessCasePolicy!H"&amp;$H13),NOT(ISNA(MATCH(INDIRECT("OrganizationAccessCasePolicy!D"&amp;$H13)&amp;"|"&amp;$V13,CaseTypeSetMember!$H:$H,0)))))</f>
        <v>0</v>
      </c>
      <c r="K13" s="6" t="b" cm="1">
        <f t="array" aca="1" ref="K13" ca="1">IF($H13="",FALSE,AND(INDIRECT("OrganizationAccessCasePolicy!I"&amp;$H13),NOT(ISNA(MATCH(INDIRECT("OrganizationAccessCasePolicy!D"&amp;$H13)&amp;"|"&amp;$V13,CaseTypeSetMember!$H:$H,0)))))</f>
        <v>0</v>
      </c>
      <c r="L13" s="6" t="str">
        <f>IF(ISNA(MATCH($C13&amp;"|"&amp;$R13,UserAccessCasePolicy!$W:$W,0)),"",MATCH($C13&amp;"|"&amp;$R13,UserAccessCasePolicy!$W:$W,0))</f>
        <v/>
      </c>
      <c r="M13" s="6" t="b" cm="1">
        <f t="array" aca="1" ref="M13" ca="1">IF($L13="",FALSE,NOT(ISNA(MATCH(INDIRECT("UserAccessCasePolicy!D"&amp;$L13)&amp;"|"&amp;$V13,CaseTypeSetMember!$H:$H,0))))</f>
        <v>0</v>
      </c>
      <c r="N13" s="6" t="b" cm="1">
        <f t="array" aca="1" ref="N13" ca="1">IF($L13="",FALSE,AND(INDIRECT("UserAccessCasePolicy!G"&amp;$L13),NOT(ISNA(MATCH(INDIRECT("UserAccessCasePolicy!D"&amp;$L13)&amp;"|"&amp;$V13,CaseTypeSetMember!$H:$H,0)))))</f>
        <v>0</v>
      </c>
      <c r="O13" s="6" t="b" cm="1">
        <f t="array" aca="1" ref="O13" ca="1">IF($L13="",FALSE,AND(INDIRECT("UserAccessCasePolicy!H"&amp;$L13),NOT(ISNA(MATCH(INDIRECT("UserAccessCasePolicy!D"&amp;$L13)&amp;"|"&amp;$V13,CaseTypeSetMember!$H:$H,0)))))</f>
        <v>0</v>
      </c>
      <c r="P13" t="s">
        <v>115</v>
      </c>
      <c r="Q13" s="6" t="str">
        <f>INDEX(CaseType!$B:$B,MATCH($P13,CaseType!$A:$A,0))</f>
        <v>case_type1</v>
      </c>
      <c r="R13" t="s">
        <v>11</v>
      </c>
      <c r="S13" s="6" t="str">
        <f>INDEX(DataCollection!$B:$B,MATCH($R13,DataCollection!$A:$A,0))</f>
        <v>data_collection1</v>
      </c>
      <c r="T13" t="b">
        <v>0</v>
      </c>
      <c r="U13" t="s">
        <v>667</v>
      </c>
      <c r="V13" s="6" t="str">
        <f>INDEX(_CaseData!$B:$B,MATCH($U13,_CaseData!$A:$A,0))</f>
        <v>0195d18c-1ca6-fd99-9d76-fcfa0c0cf400</v>
      </c>
      <c r="W13" t="s">
        <v>11</v>
      </c>
      <c r="X13" s="6" t="b">
        <f t="shared" si="2"/>
        <v>1</v>
      </c>
      <c r="Y13" s="6" t="b">
        <f t="shared" si="0"/>
        <v>1</v>
      </c>
    </row>
    <row r="14" spans="1:25" x14ac:dyDescent="0.3">
      <c r="A14">
        <v>13</v>
      </c>
      <c r="B14" t="b">
        <v>1</v>
      </c>
      <c r="C14" t="s">
        <v>10</v>
      </c>
      <c r="D14" s="6" t="str">
        <f>INDEX(User!$D:$D,MATCH($C14,User!$A:$A,0))</f>
        <v>org_user1_1</v>
      </c>
      <c r="E14" s="19" t="b">
        <f t="shared" ca="1" si="1"/>
        <v>1</v>
      </c>
      <c r="F14" s="6" t="str">
        <f>INDEX(User!$G:$G,MATCH($C14,User!$A:$A,0))</f>
        <v>018d074d-ea0c-e942-07db-a3cc0ba1d653</v>
      </c>
      <c r="G14" s="6" t="b">
        <f>INDEX(User!$M:$M,MATCH($C14,User!$A:$A,0))</f>
        <v>0</v>
      </c>
      <c r="H14" s="6">
        <f>IF(ISNA(MATCH($F14&amp;"|"&amp;$R14,OrganizationAccessCasePolicy!$V:$V,0)),"",MATCH($F14&amp;"|"&amp;$R14,OrganizationAccessCasePolicy!$V:$V,0))</f>
        <v>2</v>
      </c>
      <c r="I14" s="6" t="b" cm="1">
        <f t="array" aca="1" ref="I14" ca="1">IF($H14="",FALSE,NOT(ISNA(MATCH(INDIRECT("OrganizationAccessCasePolicy!D"&amp;$H14)&amp;"|"&amp;$V14,CaseTypeSetMember!$H:$H,0))))</f>
        <v>1</v>
      </c>
      <c r="J14" s="6" t="b" cm="1">
        <f t="array" aca="1" ref="J14" ca="1">IF($H14="",FALSE,AND(INDIRECT("OrganizationAccessCasePolicy!H"&amp;$H14),NOT(ISNA(MATCH(INDIRECT("OrganizationAccessCasePolicy!D"&amp;$H14)&amp;"|"&amp;$V14,CaseTypeSetMember!$H:$H,0)))))</f>
        <v>1</v>
      </c>
      <c r="K14" s="6" t="b" cm="1">
        <f t="array" aca="1" ref="K14" ca="1">IF($H14="",FALSE,AND(INDIRECT("OrganizationAccessCasePolicy!I"&amp;$H14),NOT(ISNA(MATCH(INDIRECT("OrganizationAccessCasePolicy!D"&amp;$H14)&amp;"|"&amp;$V14,CaseTypeSetMember!$H:$H,0)))))</f>
        <v>1</v>
      </c>
      <c r="L14" s="6">
        <f>IF(ISNA(MATCH($C14&amp;"|"&amp;$R14,UserAccessCasePolicy!$W:$W,0)),"",MATCH($C14&amp;"|"&amp;$R14,UserAccessCasePolicy!$W:$W,0))</f>
        <v>2</v>
      </c>
      <c r="M14" s="6" t="b" cm="1">
        <f t="array" aca="1" ref="M14" ca="1">IF($L14="",FALSE,NOT(ISNA(MATCH(INDIRECT("UserAccessCasePolicy!D"&amp;$L14)&amp;"|"&amp;$V14,CaseTypeSetMember!$H:$H,0))))</f>
        <v>1</v>
      </c>
      <c r="N14" s="6" t="b" cm="1">
        <f t="array" aca="1" ref="N14" ca="1">IF($L14="",FALSE,AND(INDIRECT("UserAccessCasePolicy!G"&amp;$L14),NOT(ISNA(MATCH(INDIRECT("UserAccessCasePolicy!D"&amp;$L14)&amp;"|"&amp;$V14,CaseTypeSetMember!$H:$H,0)))))</f>
        <v>1</v>
      </c>
      <c r="O14" s="6" t="b" cm="1">
        <f t="array" aca="1" ref="O14" ca="1">IF($L14="",FALSE,AND(INDIRECT("UserAccessCasePolicy!H"&amp;$L14),NOT(ISNA(MATCH(INDIRECT("UserAccessCasePolicy!D"&amp;$L14)&amp;"|"&amp;$V14,CaseTypeSetMember!$H:$H,0)))))</f>
        <v>1</v>
      </c>
      <c r="P14" t="s">
        <v>115</v>
      </c>
      <c r="Q14" s="6" t="str">
        <f>INDEX(CaseType!$B:$B,MATCH($P14,CaseType!$A:$A,0))</f>
        <v>case_type1</v>
      </c>
      <c r="R14" t="s">
        <v>11</v>
      </c>
      <c r="S14" s="6" t="str">
        <f>INDEX(DataCollection!$B:$B,MATCH($R14,DataCollection!$A:$A,0))</f>
        <v>data_collection1</v>
      </c>
      <c r="T14" t="b">
        <v>0</v>
      </c>
      <c r="U14" t="s">
        <v>667</v>
      </c>
      <c r="V14" s="6" t="str">
        <f>INDEX(_CaseData!$B:$B,MATCH($U14,_CaseData!$A:$A,0))</f>
        <v>0195d18c-1ca6-fd99-9d76-fcfa0c0cf400</v>
      </c>
      <c r="W14" t="s">
        <v>11</v>
      </c>
      <c r="X14" s="6" t="b">
        <f t="shared" si="2"/>
        <v>1</v>
      </c>
      <c r="Y14" s="6" t="b">
        <f t="shared" si="0"/>
        <v>1</v>
      </c>
    </row>
    <row r="15" spans="1:25" x14ac:dyDescent="0.3">
      <c r="A15">
        <v>14</v>
      </c>
      <c r="B15" t="b">
        <v>1</v>
      </c>
      <c r="C15" t="s">
        <v>12</v>
      </c>
      <c r="D15" s="6" t="str">
        <f>INDEX(User!$D:$D,MATCH($C15,User!$A:$A,0))</f>
        <v>org_user1_2</v>
      </c>
      <c r="E15" s="19" t="b">
        <f t="shared" ca="1" si="1"/>
        <v>0</v>
      </c>
      <c r="F15" s="6" t="str">
        <f>INDEX(User!$G:$G,MATCH($C15,User!$A:$A,0))</f>
        <v>018d074d-ea0c-e942-07db-a3cc0ba1d653</v>
      </c>
      <c r="G15" s="6" t="b">
        <f>INDEX(User!$M:$M,MATCH($C15,User!$A:$A,0))</f>
        <v>0</v>
      </c>
      <c r="H15" s="6">
        <f>IF(ISNA(MATCH($F15&amp;"|"&amp;$R15,OrganizationAccessCasePolicy!$V:$V,0)),"",MATCH($F15&amp;"|"&amp;$R15,OrganizationAccessCasePolicy!$V:$V,0))</f>
        <v>2</v>
      </c>
      <c r="I15" s="6" t="b" cm="1">
        <f t="array" aca="1" ref="I15" ca="1">IF($H15="",FALSE,NOT(ISNA(MATCH(INDIRECT("OrganizationAccessCasePolicy!D"&amp;$H15)&amp;"|"&amp;$V15,CaseTypeSetMember!$H:$H,0))))</f>
        <v>1</v>
      </c>
      <c r="J15" s="6" t="b" cm="1">
        <f t="array" aca="1" ref="J15" ca="1">IF($H15="",FALSE,AND(INDIRECT("OrganizationAccessCasePolicy!H"&amp;$H15),NOT(ISNA(MATCH(INDIRECT("OrganizationAccessCasePolicy!D"&amp;$H15)&amp;"|"&amp;$V15,CaseTypeSetMember!$H:$H,0)))))</f>
        <v>1</v>
      </c>
      <c r="K15" s="6" t="b" cm="1">
        <f t="array" aca="1" ref="K15" ca="1">IF($H15="",FALSE,AND(INDIRECT("OrganizationAccessCasePolicy!I"&amp;$H15),NOT(ISNA(MATCH(INDIRECT("OrganizationAccessCasePolicy!D"&amp;$H15)&amp;"|"&amp;$V15,CaseTypeSetMember!$H:$H,0)))))</f>
        <v>1</v>
      </c>
      <c r="L15" s="6" t="str">
        <f>IF(ISNA(MATCH($C15&amp;"|"&amp;$R15,UserAccessCasePolicy!$W:$W,0)),"",MATCH($C15&amp;"|"&amp;$R15,UserAccessCasePolicy!$W:$W,0))</f>
        <v/>
      </c>
      <c r="M15" s="6" t="b" cm="1">
        <f t="array" aca="1" ref="M15" ca="1">IF($L15="",FALSE,NOT(ISNA(MATCH(INDIRECT("UserAccessCasePolicy!D"&amp;$L15)&amp;"|"&amp;$V15,CaseTypeSetMember!$H:$H,0))))</f>
        <v>0</v>
      </c>
      <c r="N15" s="6" t="b" cm="1">
        <f t="array" aca="1" ref="N15" ca="1">IF($L15="",FALSE,AND(INDIRECT("UserAccessCasePolicy!G"&amp;$L15),NOT(ISNA(MATCH(INDIRECT("UserAccessCasePolicy!D"&amp;$L15)&amp;"|"&amp;$V15,CaseTypeSetMember!$H:$H,0)))))</f>
        <v>0</v>
      </c>
      <c r="O15" s="6" t="b" cm="1">
        <f t="array" aca="1" ref="O15" ca="1">IF($L15="",FALSE,AND(INDIRECT("UserAccessCasePolicy!H"&amp;$L15),NOT(ISNA(MATCH(INDIRECT("UserAccessCasePolicy!D"&amp;$L15)&amp;"|"&amp;$V15,CaseTypeSetMember!$H:$H,0)))))</f>
        <v>0</v>
      </c>
      <c r="P15" t="s">
        <v>115</v>
      </c>
      <c r="Q15" s="6" t="str">
        <f>INDEX(CaseType!$B:$B,MATCH($P15,CaseType!$A:$A,0))</f>
        <v>case_type1</v>
      </c>
      <c r="R15" t="s">
        <v>11</v>
      </c>
      <c r="S15" s="6" t="str">
        <f>INDEX(DataCollection!$B:$B,MATCH($R15,DataCollection!$A:$A,0))</f>
        <v>data_collection1</v>
      </c>
      <c r="T15" t="b">
        <v>0</v>
      </c>
      <c r="U15" t="s">
        <v>667</v>
      </c>
      <c r="V15" s="6" t="str">
        <f>INDEX(_CaseData!$B:$B,MATCH($U15,_CaseData!$A:$A,0))</f>
        <v>0195d18c-1ca6-fd99-9d76-fcfa0c0cf400</v>
      </c>
      <c r="W15" t="s">
        <v>11</v>
      </c>
      <c r="X15" s="6" t="b">
        <f t="shared" si="2"/>
        <v>1</v>
      </c>
      <c r="Y15" s="6" t="b">
        <f t="shared" si="0"/>
        <v>1</v>
      </c>
    </row>
    <row r="16" spans="1:25" x14ac:dyDescent="0.3">
      <c r="A16">
        <v>15</v>
      </c>
      <c r="B16" t="b">
        <v>1</v>
      </c>
      <c r="C16" t="s">
        <v>13</v>
      </c>
      <c r="D16" s="6" t="str">
        <f>INDEX(User!$D:$D,MATCH($C16,User!$A:$A,0))</f>
        <v>org_user1_3</v>
      </c>
      <c r="E16" s="19" t="b">
        <f t="shared" ca="1" si="1"/>
        <v>0</v>
      </c>
      <c r="F16" s="6" t="str">
        <f>INDEX(User!$G:$G,MATCH($C16,User!$A:$A,0))</f>
        <v>018d074d-ea0c-e942-07db-a3cc0ba1d653</v>
      </c>
      <c r="G16" s="6" t="b">
        <f>INDEX(User!$M:$M,MATCH($C16,User!$A:$A,0))</f>
        <v>0</v>
      </c>
      <c r="H16" s="6">
        <f>IF(ISNA(MATCH($F16&amp;"|"&amp;$R16,OrganizationAccessCasePolicy!$V:$V,0)),"",MATCH($F16&amp;"|"&amp;$R16,OrganizationAccessCasePolicy!$V:$V,0))</f>
        <v>2</v>
      </c>
      <c r="I16" s="6" t="b" cm="1">
        <f t="array" aca="1" ref="I16" ca="1">IF($H16="",FALSE,NOT(ISNA(MATCH(INDIRECT("OrganizationAccessCasePolicy!D"&amp;$H16)&amp;"|"&amp;$V16,CaseTypeSetMember!$H:$H,0))))</f>
        <v>1</v>
      </c>
      <c r="J16" s="6" t="b" cm="1">
        <f t="array" aca="1" ref="J16" ca="1">IF($H16="",FALSE,AND(INDIRECT("OrganizationAccessCasePolicy!H"&amp;$H16),NOT(ISNA(MATCH(INDIRECT("OrganizationAccessCasePolicy!D"&amp;$H16)&amp;"|"&amp;$V16,CaseTypeSetMember!$H:$H,0)))))</f>
        <v>1</v>
      </c>
      <c r="K16" s="6" t="b" cm="1">
        <f t="array" aca="1" ref="K16" ca="1">IF($H16="",FALSE,AND(INDIRECT("OrganizationAccessCasePolicy!I"&amp;$H16),NOT(ISNA(MATCH(INDIRECT("OrganizationAccessCasePolicy!D"&amp;$H16)&amp;"|"&amp;$V16,CaseTypeSetMember!$H:$H,0)))))</f>
        <v>1</v>
      </c>
      <c r="L16" s="6" t="str">
        <f>IF(ISNA(MATCH($C16&amp;"|"&amp;$R16,UserAccessCasePolicy!$W:$W,0)),"",MATCH($C16&amp;"|"&amp;$R16,UserAccessCasePolicy!$W:$W,0))</f>
        <v/>
      </c>
      <c r="M16" s="6" t="b" cm="1">
        <f t="array" aca="1" ref="M16" ca="1">IF($L16="",FALSE,NOT(ISNA(MATCH(INDIRECT("UserAccessCasePolicy!D"&amp;$L16)&amp;"|"&amp;$V16,CaseTypeSetMember!$H:$H,0))))</f>
        <v>0</v>
      </c>
      <c r="N16" s="6" t="b" cm="1">
        <f t="array" aca="1" ref="N16" ca="1">IF($L16="",FALSE,AND(INDIRECT("UserAccessCasePolicy!G"&amp;$L16),NOT(ISNA(MATCH(INDIRECT("UserAccessCasePolicy!D"&amp;$L16)&amp;"|"&amp;$V16,CaseTypeSetMember!$H:$H,0)))))</f>
        <v>0</v>
      </c>
      <c r="O16" s="6" t="b" cm="1">
        <f t="array" aca="1" ref="O16" ca="1">IF($L16="",FALSE,AND(INDIRECT("UserAccessCasePolicy!H"&amp;$L16),NOT(ISNA(MATCH(INDIRECT("UserAccessCasePolicy!D"&amp;$L16)&amp;"|"&amp;$V16,CaseTypeSetMember!$H:$H,0)))))</f>
        <v>0</v>
      </c>
      <c r="P16" t="s">
        <v>115</v>
      </c>
      <c r="Q16" s="6" t="str">
        <f>INDEX(CaseType!$B:$B,MATCH($P16,CaseType!$A:$A,0))</f>
        <v>case_type1</v>
      </c>
      <c r="R16" t="s">
        <v>11</v>
      </c>
      <c r="S16" s="6" t="str">
        <f>INDEX(DataCollection!$B:$B,MATCH($R16,DataCollection!$A:$A,0))</f>
        <v>data_collection1</v>
      </c>
      <c r="T16" t="b">
        <v>0</v>
      </c>
      <c r="U16" t="s">
        <v>667</v>
      </c>
      <c r="V16" s="6" t="str">
        <f>INDEX(_CaseData!$B:$B,MATCH($U16,_CaseData!$A:$A,0))</f>
        <v>0195d18c-1ca6-fd99-9d76-fcfa0c0cf400</v>
      </c>
      <c r="W16" t="s">
        <v>11</v>
      </c>
      <c r="X16" s="6" t="b">
        <f t="shared" si="2"/>
        <v>1</v>
      </c>
      <c r="Y16" s="6" t="b">
        <f t="shared" si="0"/>
        <v>1</v>
      </c>
    </row>
    <row r="17" spans="1:25" x14ac:dyDescent="0.3">
      <c r="A17">
        <v>16</v>
      </c>
      <c r="B17" t="b">
        <v>1</v>
      </c>
      <c r="C17" t="s">
        <v>14</v>
      </c>
      <c r="D17" s="6" t="str">
        <f>INDEX(User!$D:$D,MATCH($C17,User!$A:$A,0))</f>
        <v>org_user1_4</v>
      </c>
      <c r="E17" s="19" t="b">
        <f t="shared" ca="1" si="1"/>
        <v>0</v>
      </c>
      <c r="F17" s="6" t="str">
        <f>INDEX(User!$G:$G,MATCH($C17,User!$A:$A,0))</f>
        <v>018d074d-ea0c-e942-07db-a3cc0ba1d653</v>
      </c>
      <c r="G17" s="6" t="b">
        <f>INDEX(User!$M:$M,MATCH($C17,User!$A:$A,0))</f>
        <v>0</v>
      </c>
      <c r="H17" s="6">
        <f>IF(ISNA(MATCH($F17&amp;"|"&amp;$R17,OrganizationAccessCasePolicy!$V:$V,0)),"",MATCH($F17&amp;"|"&amp;$R17,OrganizationAccessCasePolicy!$V:$V,0))</f>
        <v>2</v>
      </c>
      <c r="I17" s="6" t="b" cm="1">
        <f t="array" aca="1" ref="I17" ca="1">IF($H17="",FALSE,NOT(ISNA(MATCH(INDIRECT("OrganizationAccessCasePolicy!D"&amp;$H17)&amp;"|"&amp;$V17,CaseTypeSetMember!$H:$H,0))))</f>
        <v>1</v>
      </c>
      <c r="J17" s="6" t="b" cm="1">
        <f t="array" aca="1" ref="J17" ca="1">IF($H17="",FALSE,AND(INDIRECT("OrganizationAccessCasePolicy!H"&amp;$H17),NOT(ISNA(MATCH(INDIRECT("OrganizationAccessCasePolicy!D"&amp;$H17)&amp;"|"&amp;$V17,CaseTypeSetMember!$H:$H,0)))))</f>
        <v>1</v>
      </c>
      <c r="K17" s="6" t="b" cm="1">
        <f t="array" aca="1" ref="K17" ca="1">IF($H17="",FALSE,AND(INDIRECT("OrganizationAccessCasePolicy!I"&amp;$H17),NOT(ISNA(MATCH(INDIRECT("OrganizationAccessCasePolicy!D"&amp;$H17)&amp;"|"&amp;$V17,CaseTypeSetMember!$H:$H,0)))))</f>
        <v>1</v>
      </c>
      <c r="L17" s="6" t="str">
        <f>IF(ISNA(MATCH($C17&amp;"|"&amp;$R17,UserAccessCasePolicy!$W:$W,0)),"",MATCH($C17&amp;"|"&amp;$R17,UserAccessCasePolicy!$W:$W,0))</f>
        <v/>
      </c>
      <c r="M17" s="6" t="b" cm="1">
        <f t="array" aca="1" ref="M17" ca="1">IF($L17="",FALSE,NOT(ISNA(MATCH(INDIRECT("UserAccessCasePolicy!D"&amp;$L17)&amp;"|"&amp;$V17,CaseTypeSetMember!$H:$H,0))))</f>
        <v>0</v>
      </c>
      <c r="N17" s="6" t="b" cm="1">
        <f t="array" aca="1" ref="N17" ca="1">IF($L17="",FALSE,AND(INDIRECT("UserAccessCasePolicy!G"&amp;$L17),NOT(ISNA(MATCH(INDIRECT("UserAccessCasePolicy!D"&amp;$L17)&amp;"|"&amp;$V17,CaseTypeSetMember!$H:$H,0)))))</f>
        <v>0</v>
      </c>
      <c r="O17" s="6" t="b" cm="1">
        <f t="array" aca="1" ref="O17" ca="1">IF($L17="",FALSE,AND(INDIRECT("UserAccessCasePolicy!H"&amp;$L17),NOT(ISNA(MATCH(INDIRECT("UserAccessCasePolicy!D"&amp;$L17)&amp;"|"&amp;$V17,CaseTypeSetMember!$H:$H,0)))))</f>
        <v>0</v>
      </c>
      <c r="P17" t="s">
        <v>115</v>
      </c>
      <c r="Q17" s="6" t="str">
        <f>INDEX(CaseType!$B:$B,MATCH($P17,CaseType!$A:$A,0))</f>
        <v>case_type1</v>
      </c>
      <c r="R17" t="s">
        <v>11</v>
      </c>
      <c r="S17" s="6" t="str">
        <f>INDEX(DataCollection!$B:$B,MATCH($R17,DataCollection!$A:$A,0))</f>
        <v>data_collection1</v>
      </c>
      <c r="T17" t="b">
        <v>0</v>
      </c>
      <c r="U17" t="s">
        <v>667</v>
      </c>
      <c r="V17" s="6" t="str">
        <f>INDEX(_CaseData!$B:$B,MATCH($U17,_CaseData!$A:$A,0))</f>
        <v>0195d18c-1ca6-fd99-9d76-fcfa0c0cf400</v>
      </c>
      <c r="W17" t="s">
        <v>11</v>
      </c>
      <c r="X17" s="6" t="b">
        <f t="shared" si="2"/>
        <v>1</v>
      </c>
      <c r="Y17" s="6" t="b">
        <f t="shared" si="0"/>
        <v>1</v>
      </c>
    </row>
    <row r="18" spans="1:25" x14ac:dyDescent="0.3">
      <c r="A18">
        <v>17</v>
      </c>
      <c r="B18" t="b">
        <v>1</v>
      </c>
      <c r="C18" t="s">
        <v>16</v>
      </c>
      <c r="D18" s="6" t="str">
        <f>INDEX(User!$D:$D,MATCH($C18,User!$A:$A,0))</f>
        <v>org_user2_1</v>
      </c>
      <c r="E18" s="19" t="b">
        <f t="shared" ca="1" si="1"/>
        <v>0</v>
      </c>
      <c r="F18" s="6" t="str">
        <f>INDEX(User!$G:$G,MATCH($C18,User!$A:$A,0))</f>
        <v>0195d18c-1c92-0ed4-2e94-b4f66d82baf3</v>
      </c>
      <c r="G18" s="6" t="b">
        <f>INDEX(User!$M:$M,MATCH($C18,User!$A:$A,0))</f>
        <v>0</v>
      </c>
      <c r="H18" s="6" t="str">
        <f>IF(ISNA(MATCH($F18&amp;"|"&amp;$R18,OrganizationAccessCasePolicy!$V:$V,0)),"",MATCH($F18&amp;"|"&amp;$R18,OrganizationAccessCasePolicy!$V:$V,0))</f>
        <v/>
      </c>
      <c r="I18" s="6" t="b" cm="1">
        <f t="array" aca="1" ref="I18" ca="1">IF($H18="",FALSE,NOT(ISNA(MATCH(INDIRECT("OrganizationAccessCasePolicy!D"&amp;$H18)&amp;"|"&amp;$V18,CaseTypeSetMember!$H:$H,0))))</f>
        <v>0</v>
      </c>
      <c r="J18" s="6" t="b" cm="1">
        <f t="array" aca="1" ref="J18" ca="1">IF($H18="",FALSE,AND(INDIRECT("OrganizationAccessCasePolicy!H"&amp;$H18),NOT(ISNA(MATCH(INDIRECT("OrganizationAccessCasePolicy!D"&amp;$H18)&amp;"|"&amp;$V18,CaseTypeSetMember!$H:$H,0)))))</f>
        <v>0</v>
      </c>
      <c r="K18" s="6" t="b" cm="1">
        <f t="array" aca="1" ref="K18" ca="1">IF($H18="",FALSE,AND(INDIRECT("OrganizationAccessCasePolicy!I"&amp;$H18),NOT(ISNA(MATCH(INDIRECT("OrganizationAccessCasePolicy!D"&amp;$H18)&amp;"|"&amp;$V18,CaseTypeSetMember!$H:$H,0)))))</f>
        <v>0</v>
      </c>
      <c r="L18" s="6" t="str">
        <f>IF(ISNA(MATCH($C18&amp;"|"&amp;$R18,UserAccessCasePolicy!$W:$W,0)),"",MATCH($C18&amp;"|"&amp;$R18,UserAccessCasePolicy!$W:$W,0))</f>
        <v/>
      </c>
      <c r="M18" s="6" t="b" cm="1">
        <f t="array" aca="1" ref="M18" ca="1">IF($L18="",FALSE,NOT(ISNA(MATCH(INDIRECT("UserAccessCasePolicy!D"&amp;$L18)&amp;"|"&amp;$V18,CaseTypeSetMember!$H:$H,0))))</f>
        <v>0</v>
      </c>
      <c r="N18" s="6" t="b" cm="1">
        <f t="array" aca="1" ref="N18" ca="1">IF($L18="",FALSE,AND(INDIRECT("UserAccessCasePolicy!G"&amp;$L18),NOT(ISNA(MATCH(INDIRECT("UserAccessCasePolicy!D"&amp;$L18)&amp;"|"&amp;$V18,CaseTypeSetMember!$H:$H,0)))))</f>
        <v>0</v>
      </c>
      <c r="O18" s="6" t="b" cm="1">
        <f t="array" aca="1" ref="O18" ca="1">IF($L18="",FALSE,AND(INDIRECT("UserAccessCasePolicy!H"&amp;$L18),NOT(ISNA(MATCH(INDIRECT("UserAccessCasePolicy!D"&amp;$L18)&amp;"|"&amp;$V18,CaseTypeSetMember!$H:$H,0)))))</f>
        <v>0</v>
      </c>
      <c r="P18" t="s">
        <v>115</v>
      </c>
      <c r="Q18" s="6" t="str">
        <f>INDEX(CaseType!$B:$B,MATCH($P18,CaseType!$A:$A,0))</f>
        <v>case_type1</v>
      </c>
      <c r="R18" t="s">
        <v>11</v>
      </c>
      <c r="S18" s="6" t="str">
        <f>INDEX(DataCollection!$B:$B,MATCH($R18,DataCollection!$A:$A,0))</f>
        <v>data_collection1</v>
      </c>
      <c r="T18" t="b">
        <v>0</v>
      </c>
      <c r="U18" t="s">
        <v>667</v>
      </c>
      <c r="V18" s="6" t="str">
        <f>INDEX(_CaseData!$B:$B,MATCH($U18,_CaseData!$A:$A,0))</f>
        <v>0195d18c-1ca6-fd99-9d76-fcfa0c0cf400</v>
      </c>
      <c r="W18" t="s">
        <v>11</v>
      </c>
      <c r="X18" s="6" t="b">
        <f t="shared" si="2"/>
        <v>1</v>
      </c>
      <c r="Y18" s="6" t="b">
        <f t="shared" si="0"/>
        <v>1</v>
      </c>
    </row>
    <row r="19" spans="1:25" x14ac:dyDescent="0.3">
      <c r="A19">
        <v>18</v>
      </c>
      <c r="B19" t="b">
        <v>1</v>
      </c>
      <c r="C19" t="s">
        <v>18</v>
      </c>
      <c r="D19" s="6" t="str">
        <f>INDEX(User!$D:$D,MATCH($C19,User!$A:$A,0))</f>
        <v>org_user2_2</v>
      </c>
      <c r="E19" s="19" t="b">
        <f t="shared" ca="1" si="1"/>
        <v>0</v>
      </c>
      <c r="F19" s="6" t="str">
        <f>INDEX(User!$G:$G,MATCH($C19,User!$A:$A,0))</f>
        <v>0195d18c-1c92-0ed4-2e94-b4f66d82baf3</v>
      </c>
      <c r="G19" s="6" t="b">
        <f>INDEX(User!$M:$M,MATCH($C19,User!$A:$A,0))</f>
        <v>0</v>
      </c>
      <c r="H19" s="6" t="str">
        <f>IF(ISNA(MATCH($F19&amp;"|"&amp;$R19,OrganizationAccessCasePolicy!$V:$V,0)),"",MATCH($F19&amp;"|"&amp;$R19,OrganizationAccessCasePolicy!$V:$V,0))</f>
        <v/>
      </c>
      <c r="I19" s="6" t="b" cm="1">
        <f t="array" aca="1" ref="I19" ca="1">IF($H19="",FALSE,NOT(ISNA(MATCH(INDIRECT("OrganizationAccessCasePolicy!D"&amp;$H19)&amp;"|"&amp;$V19,CaseTypeSetMember!$H:$H,0))))</f>
        <v>0</v>
      </c>
      <c r="J19" s="6" t="b" cm="1">
        <f t="array" aca="1" ref="J19" ca="1">IF($H19="",FALSE,AND(INDIRECT("OrganizationAccessCasePolicy!H"&amp;$H19),NOT(ISNA(MATCH(INDIRECT("OrganizationAccessCasePolicy!D"&amp;$H19)&amp;"|"&amp;$V19,CaseTypeSetMember!$H:$H,0)))))</f>
        <v>0</v>
      </c>
      <c r="K19" s="6" t="b" cm="1">
        <f t="array" aca="1" ref="K19" ca="1">IF($H19="",FALSE,AND(INDIRECT("OrganizationAccessCasePolicy!I"&amp;$H19),NOT(ISNA(MATCH(INDIRECT("OrganizationAccessCasePolicy!D"&amp;$H19)&amp;"|"&amp;$V19,CaseTypeSetMember!$H:$H,0)))))</f>
        <v>0</v>
      </c>
      <c r="L19" s="6" t="str">
        <f>IF(ISNA(MATCH($C19&amp;"|"&amp;$R19,UserAccessCasePolicy!$W:$W,0)),"",MATCH($C19&amp;"|"&amp;$R19,UserAccessCasePolicy!$W:$W,0))</f>
        <v/>
      </c>
      <c r="M19" s="6" t="b" cm="1">
        <f t="array" aca="1" ref="M19" ca="1">IF($L19="",FALSE,NOT(ISNA(MATCH(INDIRECT("UserAccessCasePolicy!D"&amp;$L19)&amp;"|"&amp;$V19,CaseTypeSetMember!$H:$H,0))))</f>
        <v>0</v>
      </c>
      <c r="N19" s="6" t="b" cm="1">
        <f t="array" aca="1" ref="N19" ca="1">IF($L19="",FALSE,AND(INDIRECT("UserAccessCasePolicy!G"&amp;$L19),NOT(ISNA(MATCH(INDIRECT("UserAccessCasePolicy!D"&amp;$L19)&amp;"|"&amp;$V19,CaseTypeSetMember!$H:$H,0)))))</f>
        <v>0</v>
      </c>
      <c r="O19" s="6" t="b" cm="1">
        <f t="array" aca="1" ref="O19" ca="1">IF($L19="",FALSE,AND(INDIRECT("UserAccessCasePolicy!H"&amp;$L19),NOT(ISNA(MATCH(INDIRECT("UserAccessCasePolicy!D"&amp;$L19)&amp;"|"&amp;$V19,CaseTypeSetMember!$H:$H,0)))))</f>
        <v>0</v>
      </c>
      <c r="P19" t="s">
        <v>115</v>
      </c>
      <c r="Q19" s="6" t="str">
        <f>INDEX(CaseType!$B:$B,MATCH($P19,CaseType!$A:$A,0))</f>
        <v>case_type1</v>
      </c>
      <c r="R19" t="s">
        <v>11</v>
      </c>
      <c r="S19" s="6" t="str">
        <f>INDEX(DataCollection!$B:$B,MATCH($R19,DataCollection!$A:$A,0))</f>
        <v>data_collection1</v>
      </c>
      <c r="T19" t="b">
        <v>0</v>
      </c>
      <c r="U19" t="s">
        <v>667</v>
      </c>
      <c r="V19" s="6" t="str">
        <f>INDEX(_CaseData!$B:$B,MATCH($U19,_CaseData!$A:$A,0))</f>
        <v>0195d18c-1ca6-fd99-9d76-fcfa0c0cf400</v>
      </c>
      <c r="W19" t="s">
        <v>11</v>
      </c>
      <c r="X19" s="6" t="b">
        <f t="shared" si="2"/>
        <v>1</v>
      </c>
      <c r="Y19" s="6" t="b">
        <f t="shared" si="0"/>
        <v>1</v>
      </c>
    </row>
    <row r="20" spans="1:25" x14ac:dyDescent="0.3">
      <c r="A20">
        <v>19</v>
      </c>
      <c r="B20" t="b">
        <v>1</v>
      </c>
      <c r="C20" t="s">
        <v>19</v>
      </c>
      <c r="D20" s="6" t="str">
        <f>INDEX(User!$D:$D,MATCH($C20,User!$A:$A,0))</f>
        <v>org_user2_3</v>
      </c>
      <c r="E20" s="19" t="b">
        <f t="shared" ca="1" si="1"/>
        <v>0</v>
      </c>
      <c r="F20" s="6" t="str">
        <f>INDEX(User!$G:$G,MATCH($C20,User!$A:$A,0))</f>
        <v>0195d18c-1c92-0ed4-2e94-b4f66d82baf3</v>
      </c>
      <c r="G20" s="6" t="b">
        <f>INDEX(User!$M:$M,MATCH($C20,User!$A:$A,0))</f>
        <v>0</v>
      </c>
      <c r="H20" s="6" t="str">
        <f>IF(ISNA(MATCH($F20&amp;"|"&amp;$R20,OrganizationAccessCasePolicy!$V:$V,0)),"",MATCH($F20&amp;"|"&amp;$R20,OrganizationAccessCasePolicy!$V:$V,0))</f>
        <v/>
      </c>
      <c r="I20" s="6" t="b" cm="1">
        <f t="array" aca="1" ref="I20" ca="1">IF($H20="",FALSE,NOT(ISNA(MATCH(INDIRECT("OrganizationAccessCasePolicy!D"&amp;$H20)&amp;"|"&amp;$V20,CaseTypeSetMember!$H:$H,0))))</f>
        <v>0</v>
      </c>
      <c r="J20" s="6" t="b" cm="1">
        <f t="array" aca="1" ref="J20" ca="1">IF($H20="",FALSE,AND(INDIRECT("OrganizationAccessCasePolicy!H"&amp;$H20),NOT(ISNA(MATCH(INDIRECT("OrganizationAccessCasePolicy!D"&amp;$H20)&amp;"|"&amp;$V20,CaseTypeSetMember!$H:$H,0)))))</f>
        <v>0</v>
      </c>
      <c r="K20" s="6" t="b" cm="1">
        <f t="array" aca="1" ref="K20" ca="1">IF($H20="",FALSE,AND(INDIRECT("OrganizationAccessCasePolicy!I"&amp;$H20),NOT(ISNA(MATCH(INDIRECT("OrganizationAccessCasePolicy!D"&amp;$H20)&amp;"|"&amp;$V20,CaseTypeSetMember!$H:$H,0)))))</f>
        <v>0</v>
      </c>
      <c r="L20" s="6" t="str">
        <f>IF(ISNA(MATCH($C20&amp;"|"&amp;$R20,UserAccessCasePolicy!$W:$W,0)),"",MATCH($C20&amp;"|"&amp;$R20,UserAccessCasePolicy!$W:$W,0))</f>
        <v/>
      </c>
      <c r="M20" s="6" t="b" cm="1">
        <f t="array" aca="1" ref="M20" ca="1">IF($L20="",FALSE,NOT(ISNA(MATCH(INDIRECT("UserAccessCasePolicy!D"&amp;$L20)&amp;"|"&amp;$V20,CaseTypeSetMember!$H:$H,0))))</f>
        <v>0</v>
      </c>
      <c r="N20" s="6" t="b" cm="1">
        <f t="array" aca="1" ref="N20" ca="1">IF($L20="",FALSE,AND(INDIRECT("UserAccessCasePolicy!G"&amp;$L20),NOT(ISNA(MATCH(INDIRECT("UserAccessCasePolicy!D"&amp;$L20)&amp;"|"&amp;$V20,CaseTypeSetMember!$H:$H,0)))))</f>
        <v>0</v>
      </c>
      <c r="O20" s="6" t="b" cm="1">
        <f t="array" aca="1" ref="O20" ca="1">IF($L20="",FALSE,AND(INDIRECT("UserAccessCasePolicy!H"&amp;$L20),NOT(ISNA(MATCH(INDIRECT("UserAccessCasePolicy!D"&amp;$L20)&amp;"|"&amp;$V20,CaseTypeSetMember!$H:$H,0)))))</f>
        <v>0</v>
      </c>
      <c r="P20" t="s">
        <v>115</v>
      </c>
      <c r="Q20" s="6" t="str">
        <f>INDEX(CaseType!$B:$B,MATCH($P20,CaseType!$A:$A,0))</f>
        <v>case_type1</v>
      </c>
      <c r="R20" t="s">
        <v>11</v>
      </c>
      <c r="S20" s="6" t="str">
        <f>INDEX(DataCollection!$B:$B,MATCH($R20,DataCollection!$A:$A,0))</f>
        <v>data_collection1</v>
      </c>
      <c r="T20" t="b">
        <v>0</v>
      </c>
      <c r="U20" t="s">
        <v>667</v>
      </c>
      <c r="V20" s="6" t="str">
        <f>INDEX(_CaseData!$B:$B,MATCH($U20,_CaseData!$A:$A,0))</f>
        <v>0195d18c-1ca6-fd99-9d76-fcfa0c0cf400</v>
      </c>
      <c r="W20" t="s">
        <v>11</v>
      </c>
      <c r="X20" s="6" t="b">
        <f t="shared" si="2"/>
        <v>1</v>
      </c>
      <c r="Y20" s="6" t="b">
        <f t="shared" si="0"/>
        <v>1</v>
      </c>
    </row>
    <row r="21" spans="1:25" x14ac:dyDescent="0.3">
      <c r="A21">
        <v>20</v>
      </c>
      <c r="B21" t="b">
        <v>1</v>
      </c>
      <c r="C21" t="s">
        <v>20</v>
      </c>
      <c r="D21" s="6" t="str">
        <f>INDEX(User!$D:$D,MATCH($C21,User!$A:$A,0))</f>
        <v>org_user2_4</v>
      </c>
      <c r="E21" s="19" t="b">
        <f t="shared" ca="1" si="1"/>
        <v>0</v>
      </c>
      <c r="F21" s="6" t="str">
        <f>INDEX(User!$G:$G,MATCH($C21,User!$A:$A,0))</f>
        <v>0195d18c-1c92-0ed4-2e94-b4f66d82baf3</v>
      </c>
      <c r="G21" s="6" t="b">
        <f>INDEX(User!$M:$M,MATCH($C21,User!$A:$A,0))</f>
        <v>0</v>
      </c>
      <c r="H21" s="6" t="str">
        <f>IF(ISNA(MATCH($F21&amp;"|"&amp;$R21,OrganizationAccessCasePolicy!$V:$V,0)),"",MATCH($F21&amp;"|"&amp;$R21,OrganizationAccessCasePolicy!$V:$V,0))</f>
        <v/>
      </c>
      <c r="I21" s="6" t="b" cm="1">
        <f t="array" aca="1" ref="I21" ca="1">IF($H21="",FALSE,NOT(ISNA(MATCH(INDIRECT("OrganizationAccessCasePolicy!D"&amp;$H21)&amp;"|"&amp;$V21,CaseTypeSetMember!$H:$H,0))))</f>
        <v>0</v>
      </c>
      <c r="J21" s="6" t="b" cm="1">
        <f t="array" aca="1" ref="J21" ca="1">IF($H21="",FALSE,AND(INDIRECT("OrganizationAccessCasePolicy!H"&amp;$H21),NOT(ISNA(MATCH(INDIRECT("OrganizationAccessCasePolicy!D"&amp;$H21)&amp;"|"&amp;$V21,CaseTypeSetMember!$H:$H,0)))))</f>
        <v>0</v>
      </c>
      <c r="K21" s="6" t="b" cm="1">
        <f t="array" aca="1" ref="K21" ca="1">IF($H21="",FALSE,AND(INDIRECT("OrganizationAccessCasePolicy!I"&amp;$H21),NOT(ISNA(MATCH(INDIRECT("OrganizationAccessCasePolicy!D"&amp;$H21)&amp;"|"&amp;$V21,CaseTypeSetMember!$H:$H,0)))))</f>
        <v>0</v>
      </c>
      <c r="L21" s="6" t="str">
        <f>IF(ISNA(MATCH($C21&amp;"|"&amp;$R21,UserAccessCasePolicy!$W:$W,0)),"",MATCH($C21&amp;"|"&amp;$R21,UserAccessCasePolicy!$W:$W,0))</f>
        <v/>
      </c>
      <c r="M21" s="6" t="b" cm="1">
        <f t="array" aca="1" ref="M21" ca="1">IF($L21="",FALSE,NOT(ISNA(MATCH(INDIRECT("UserAccessCasePolicy!D"&amp;$L21)&amp;"|"&amp;$V21,CaseTypeSetMember!$H:$H,0))))</f>
        <v>0</v>
      </c>
      <c r="N21" s="6" t="b" cm="1">
        <f t="array" aca="1" ref="N21" ca="1">IF($L21="",FALSE,AND(INDIRECT("UserAccessCasePolicy!G"&amp;$L21),NOT(ISNA(MATCH(INDIRECT("UserAccessCasePolicy!D"&amp;$L21)&amp;"|"&amp;$V21,CaseTypeSetMember!$H:$H,0)))))</f>
        <v>0</v>
      </c>
      <c r="O21" s="6" t="b" cm="1">
        <f t="array" aca="1" ref="O21" ca="1">IF($L21="",FALSE,AND(INDIRECT("UserAccessCasePolicy!H"&amp;$L21),NOT(ISNA(MATCH(INDIRECT("UserAccessCasePolicy!D"&amp;$L21)&amp;"|"&amp;$V21,CaseTypeSetMember!$H:$H,0)))))</f>
        <v>0</v>
      </c>
      <c r="P21" t="s">
        <v>115</v>
      </c>
      <c r="Q21" s="6" t="str">
        <f>INDEX(CaseType!$B:$B,MATCH($P21,CaseType!$A:$A,0))</f>
        <v>case_type1</v>
      </c>
      <c r="R21" t="s">
        <v>11</v>
      </c>
      <c r="S21" s="6" t="str">
        <f>INDEX(DataCollection!$B:$B,MATCH($R21,DataCollection!$A:$A,0))</f>
        <v>data_collection1</v>
      </c>
      <c r="T21" t="b">
        <v>0</v>
      </c>
      <c r="U21" t="s">
        <v>667</v>
      </c>
      <c r="V21" s="6" t="str">
        <f>INDEX(_CaseData!$B:$B,MATCH($U21,_CaseData!$A:$A,0))</f>
        <v>0195d18c-1ca6-fd99-9d76-fcfa0c0cf400</v>
      </c>
      <c r="W21" t="s">
        <v>11</v>
      </c>
      <c r="X21" s="6" t="b">
        <f t="shared" si="2"/>
        <v>1</v>
      </c>
      <c r="Y21" s="6" t="b">
        <f t="shared" si="0"/>
        <v>1</v>
      </c>
    </row>
    <row r="22" spans="1:25" x14ac:dyDescent="0.3">
      <c r="A22">
        <v>21</v>
      </c>
      <c r="B22" t="b">
        <v>1</v>
      </c>
      <c r="C22" t="s">
        <v>22</v>
      </c>
      <c r="D22" s="6" t="str">
        <f>INDEX(User!$D:$D,MATCH($C22,User!$A:$A,0))</f>
        <v>org_user3_1</v>
      </c>
      <c r="E22" s="19" t="b">
        <f t="shared" ca="1" si="1"/>
        <v>0</v>
      </c>
      <c r="F22" s="6" t="str">
        <f>INDEX(User!$G:$G,MATCH($C22,User!$A:$A,0))</f>
        <v>0195d18c-1c92-52b3-93e0-43dc1f2aa037</v>
      </c>
      <c r="G22" s="6" t="b">
        <f>INDEX(User!$M:$M,MATCH($C22,User!$A:$A,0))</f>
        <v>0</v>
      </c>
      <c r="H22" s="6" t="str">
        <f>IF(ISNA(MATCH($F22&amp;"|"&amp;$R22,OrganizationAccessCasePolicy!$V:$V,0)),"",MATCH($F22&amp;"|"&amp;$R22,OrganizationAccessCasePolicy!$V:$V,0))</f>
        <v/>
      </c>
      <c r="I22" s="6" t="b" cm="1">
        <f t="array" aca="1" ref="I22" ca="1">IF($H22="",FALSE,NOT(ISNA(MATCH(INDIRECT("OrganizationAccessCasePolicy!D"&amp;$H22)&amp;"|"&amp;$V22,CaseTypeSetMember!$H:$H,0))))</f>
        <v>0</v>
      </c>
      <c r="J22" s="6" t="b" cm="1">
        <f t="array" aca="1" ref="J22" ca="1">IF($H22="",FALSE,AND(INDIRECT("OrganizationAccessCasePolicy!H"&amp;$H22),NOT(ISNA(MATCH(INDIRECT("OrganizationAccessCasePolicy!D"&amp;$H22)&amp;"|"&amp;$V22,CaseTypeSetMember!$H:$H,0)))))</f>
        <v>0</v>
      </c>
      <c r="K22" s="6" t="b" cm="1">
        <f t="array" aca="1" ref="K22" ca="1">IF($H22="",FALSE,AND(INDIRECT("OrganizationAccessCasePolicy!I"&amp;$H22),NOT(ISNA(MATCH(INDIRECT("OrganizationAccessCasePolicy!D"&amp;$H22)&amp;"|"&amp;$V22,CaseTypeSetMember!$H:$H,0)))))</f>
        <v>0</v>
      </c>
      <c r="L22" s="6" t="str">
        <f>IF(ISNA(MATCH($C22&amp;"|"&amp;$R22,UserAccessCasePolicy!$W:$W,0)),"",MATCH($C22&amp;"|"&amp;$R22,UserAccessCasePolicy!$W:$W,0))</f>
        <v/>
      </c>
      <c r="M22" s="6" t="b" cm="1">
        <f t="array" aca="1" ref="M22" ca="1">IF($L22="",FALSE,NOT(ISNA(MATCH(INDIRECT("UserAccessCasePolicy!D"&amp;$L22)&amp;"|"&amp;$V22,CaseTypeSetMember!$H:$H,0))))</f>
        <v>0</v>
      </c>
      <c r="N22" s="6" t="b" cm="1">
        <f t="array" aca="1" ref="N22" ca="1">IF($L22="",FALSE,AND(INDIRECT("UserAccessCasePolicy!G"&amp;$L22),NOT(ISNA(MATCH(INDIRECT("UserAccessCasePolicy!D"&amp;$L22)&amp;"|"&amp;$V22,CaseTypeSetMember!$H:$H,0)))))</f>
        <v>0</v>
      </c>
      <c r="O22" s="6" t="b" cm="1">
        <f t="array" aca="1" ref="O22" ca="1">IF($L22="",FALSE,AND(INDIRECT("UserAccessCasePolicy!H"&amp;$L22),NOT(ISNA(MATCH(INDIRECT("UserAccessCasePolicy!D"&amp;$L22)&amp;"|"&amp;$V22,CaseTypeSetMember!$H:$H,0)))))</f>
        <v>0</v>
      </c>
      <c r="P22" t="s">
        <v>115</v>
      </c>
      <c r="Q22" s="6" t="str">
        <f>INDEX(CaseType!$B:$B,MATCH($P22,CaseType!$A:$A,0))</f>
        <v>case_type1</v>
      </c>
      <c r="R22" t="s">
        <v>11</v>
      </c>
      <c r="S22" s="6" t="str">
        <f>INDEX(DataCollection!$B:$B,MATCH($R22,DataCollection!$A:$A,0))</f>
        <v>data_collection1</v>
      </c>
      <c r="T22" t="b">
        <v>0</v>
      </c>
      <c r="U22" t="s">
        <v>667</v>
      </c>
      <c r="V22" s="6" t="str">
        <f>INDEX(_CaseData!$B:$B,MATCH($U22,_CaseData!$A:$A,0))</f>
        <v>0195d18c-1ca6-fd99-9d76-fcfa0c0cf400</v>
      </c>
      <c r="W22" t="s">
        <v>11</v>
      </c>
      <c r="X22" s="6" t="b">
        <f t="shared" si="2"/>
        <v>1</v>
      </c>
      <c r="Y22" s="6" t="b">
        <f t="shared" si="0"/>
        <v>1</v>
      </c>
    </row>
    <row r="23" spans="1:25" x14ac:dyDescent="0.3">
      <c r="A23">
        <v>22</v>
      </c>
      <c r="B23" t="b">
        <v>1</v>
      </c>
      <c r="C23" t="s">
        <v>24</v>
      </c>
      <c r="D23" s="6" t="str">
        <f>INDEX(User!$D:$D,MATCH($C23,User!$A:$A,0))</f>
        <v>org_user3_2</v>
      </c>
      <c r="E23" s="19" t="b">
        <f t="shared" ca="1" si="1"/>
        <v>0</v>
      </c>
      <c r="F23" s="6" t="str">
        <f>INDEX(User!$G:$G,MATCH($C23,User!$A:$A,0))</f>
        <v>0195d18c-1c92-52b3-93e0-43dc1f2aa037</v>
      </c>
      <c r="G23" s="6" t="b">
        <f>INDEX(User!$M:$M,MATCH($C23,User!$A:$A,0))</f>
        <v>0</v>
      </c>
      <c r="H23" s="6" t="str">
        <f>IF(ISNA(MATCH($F23&amp;"|"&amp;$R23,OrganizationAccessCasePolicy!$V:$V,0)),"",MATCH($F23&amp;"|"&amp;$R23,OrganizationAccessCasePolicy!$V:$V,0))</f>
        <v/>
      </c>
      <c r="I23" s="6" t="b" cm="1">
        <f t="array" aca="1" ref="I23" ca="1">IF($H23="",FALSE,NOT(ISNA(MATCH(INDIRECT("OrganizationAccessCasePolicy!D"&amp;$H23)&amp;"|"&amp;$V23,CaseTypeSetMember!$H:$H,0))))</f>
        <v>0</v>
      </c>
      <c r="J23" s="6" t="b" cm="1">
        <f t="array" aca="1" ref="J23" ca="1">IF($H23="",FALSE,AND(INDIRECT("OrganizationAccessCasePolicy!H"&amp;$H23),NOT(ISNA(MATCH(INDIRECT("OrganizationAccessCasePolicy!D"&amp;$H23)&amp;"|"&amp;$V23,CaseTypeSetMember!$H:$H,0)))))</f>
        <v>0</v>
      </c>
      <c r="K23" s="6" t="b" cm="1">
        <f t="array" aca="1" ref="K23" ca="1">IF($H23="",FALSE,AND(INDIRECT("OrganizationAccessCasePolicy!I"&amp;$H23),NOT(ISNA(MATCH(INDIRECT("OrganizationAccessCasePolicy!D"&amp;$H23)&amp;"|"&amp;$V23,CaseTypeSetMember!$H:$H,0)))))</f>
        <v>0</v>
      </c>
      <c r="L23" s="6" t="str">
        <f>IF(ISNA(MATCH($C23&amp;"|"&amp;$R23,UserAccessCasePolicy!$W:$W,0)),"",MATCH($C23&amp;"|"&amp;$R23,UserAccessCasePolicy!$W:$W,0))</f>
        <v/>
      </c>
      <c r="M23" s="6" t="b" cm="1">
        <f t="array" aca="1" ref="M23" ca="1">IF($L23="",FALSE,NOT(ISNA(MATCH(INDIRECT("UserAccessCasePolicy!D"&amp;$L23)&amp;"|"&amp;$V23,CaseTypeSetMember!$H:$H,0))))</f>
        <v>0</v>
      </c>
      <c r="N23" s="6" t="b" cm="1">
        <f t="array" aca="1" ref="N23" ca="1">IF($L23="",FALSE,AND(INDIRECT("UserAccessCasePolicy!G"&amp;$L23),NOT(ISNA(MATCH(INDIRECT("UserAccessCasePolicy!D"&amp;$L23)&amp;"|"&amp;$V23,CaseTypeSetMember!$H:$H,0)))))</f>
        <v>0</v>
      </c>
      <c r="O23" s="6" t="b" cm="1">
        <f t="array" aca="1" ref="O23" ca="1">IF($L23="",FALSE,AND(INDIRECT("UserAccessCasePolicy!H"&amp;$L23),NOT(ISNA(MATCH(INDIRECT("UserAccessCasePolicy!D"&amp;$L23)&amp;"|"&amp;$V23,CaseTypeSetMember!$H:$H,0)))))</f>
        <v>0</v>
      </c>
      <c r="P23" t="s">
        <v>115</v>
      </c>
      <c r="Q23" s="6" t="str">
        <f>INDEX(CaseType!$B:$B,MATCH($P23,CaseType!$A:$A,0))</f>
        <v>case_type1</v>
      </c>
      <c r="R23" t="s">
        <v>11</v>
      </c>
      <c r="S23" s="6" t="str">
        <f>INDEX(DataCollection!$B:$B,MATCH($R23,DataCollection!$A:$A,0))</f>
        <v>data_collection1</v>
      </c>
      <c r="T23" t="b">
        <v>0</v>
      </c>
      <c r="U23" t="s">
        <v>667</v>
      </c>
      <c r="V23" s="6" t="str">
        <f>INDEX(_CaseData!$B:$B,MATCH($U23,_CaseData!$A:$A,0))</f>
        <v>0195d18c-1ca6-fd99-9d76-fcfa0c0cf400</v>
      </c>
      <c r="W23" t="s">
        <v>11</v>
      </c>
      <c r="X23" s="6" t="b">
        <f t="shared" si="2"/>
        <v>1</v>
      </c>
      <c r="Y23" s="6" t="b">
        <f t="shared" si="0"/>
        <v>1</v>
      </c>
    </row>
    <row r="24" spans="1:25" x14ac:dyDescent="0.3">
      <c r="A24">
        <v>23</v>
      </c>
      <c r="B24" t="b">
        <v>1</v>
      </c>
      <c r="C24" t="s">
        <v>25</v>
      </c>
      <c r="D24" s="6" t="str">
        <f>INDEX(User!$D:$D,MATCH($C24,User!$A:$A,0))</f>
        <v>org_user3_3</v>
      </c>
      <c r="E24" s="19" t="b">
        <f t="shared" ca="1" si="1"/>
        <v>0</v>
      </c>
      <c r="F24" s="6" t="str">
        <f>INDEX(User!$G:$G,MATCH($C24,User!$A:$A,0))</f>
        <v>0195d18c-1c92-52b3-93e0-43dc1f2aa037</v>
      </c>
      <c r="G24" s="6" t="b">
        <f>INDEX(User!$M:$M,MATCH($C24,User!$A:$A,0))</f>
        <v>0</v>
      </c>
      <c r="H24" s="6" t="str">
        <f>IF(ISNA(MATCH($F24&amp;"|"&amp;$R24,OrganizationAccessCasePolicy!$V:$V,0)),"",MATCH($F24&amp;"|"&amp;$R24,OrganizationAccessCasePolicy!$V:$V,0))</f>
        <v/>
      </c>
      <c r="I24" s="6" t="b" cm="1">
        <f t="array" aca="1" ref="I24" ca="1">IF($H24="",FALSE,NOT(ISNA(MATCH(INDIRECT("OrganizationAccessCasePolicy!D"&amp;$H24)&amp;"|"&amp;$V24,CaseTypeSetMember!$H:$H,0))))</f>
        <v>0</v>
      </c>
      <c r="J24" s="6" t="b" cm="1">
        <f t="array" aca="1" ref="J24" ca="1">IF($H24="",FALSE,AND(INDIRECT("OrganizationAccessCasePolicy!H"&amp;$H24),NOT(ISNA(MATCH(INDIRECT("OrganizationAccessCasePolicy!D"&amp;$H24)&amp;"|"&amp;$V24,CaseTypeSetMember!$H:$H,0)))))</f>
        <v>0</v>
      </c>
      <c r="K24" s="6" t="b" cm="1">
        <f t="array" aca="1" ref="K24" ca="1">IF($H24="",FALSE,AND(INDIRECT("OrganizationAccessCasePolicy!I"&amp;$H24),NOT(ISNA(MATCH(INDIRECT("OrganizationAccessCasePolicy!D"&amp;$H24)&amp;"|"&amp;$V24,CaseTypeSetMember!$H:$H,0)))))</f>
        <v>0</v>
      </c>
      <c r="L24" s="6" t="str">
        <f>IF(ISNA(MATCH($C24&amp;"|"&amp;$R24,UserAccessCasePolicy!$W:$W,0)),"",MATCH($C24&amp;"|"&amp;$R24,UserAccessCasePolicy!$W:$W,0))</f>
        <v/>
      </c>
      <c r="M24" s="6" t="b" cm="1">
        <f t="array" aca="1" ref="M24" ca="1">IF($L24="",FALSE,NOT(ISNA(MATCH(INDIRECT("UserAccessCasePolicy!D"&amp;$L24)&amp;"|"&amp;$V24,CaseTypeSetMember!$H:$H,0))))</f>
        <v>0</v>
      </c>
      <c r="N24" s="6" t="b" cm="1">
        <f t="array" aca="1" ref="N24" ca="1">IF($L24="",FALSE,AND(INDIRECT("UserAccessCasePolicy!G"&amp;$L24),NOT(ISNA(MATCH(INDIRECT("UserAccessCasePolicy!D"&amp;$L24)&amp;"|"&amp;$V24,CaseTypeSetMember!$H:$H,0)))))</f>
        <v>0</v>
      </c>
      <c r="O24" s="6" t="b" cm="1">
        <f t="array" aca="1" ref="O24" ca="1">IF($L24="",FALSE,AND(INDIRECT("UserAccessCasePolicy!H"&amp;$L24),NOT(ISNA(MATCH(INDIRECT("UserAccessCasePolicy!D"&amp;$L24)&amp;"|"&amp;$V24,CaseTypeSetMember!$H:$H,0)))))</f>
        <v>0</v>
      </c>
      <c r="P24" t="s">
        <v>115</v>
      </c>
      <c r="Q24" s="6" t="str">
        <f>INDEX(CaseType!$B:$B,MATCH($P24,CaseType!$A:$A,0))</f>
        <v>case_type1</v>
      </c>
      <c r="R24" t="s">
        <v>11</v>
      </c>
      <c r="S24" s="6" t="str">
        <f>INDEX(DataCollection!$B:$B,MATCH($R24,DataCollection!$A:$A,0))</f>
        <v>data_collection1</v>
      </c>
      <c r="T24" t="b">
        <v>0</v>
      </c>
      <c r="U24" t="s">
        <v>667</v>
      </c>
      <c r="V24" s="6" t="str">
        <f>INDEX(_CaseData!$B:$B,MATCH($U24,_CaseData!$A:$A,0))</f>
        <v>0195d18c-1ca6-fd99-9d76-fcfa0c0cf400</v>
      </c>
      <c r="W24" t="s">
        <v>11</v>
      </c>
      <c r="X24" s="6" t="b">
        <f t="shared" si="2"/>
        <v>1</v>
      </c>
      <c r="Y24" s="6" t="b">
        <f t="shared" si="0"/>
        <v>1</v>
      </c>
    </row>
    <row r="25" spans="1:25" x14ac:dyDescent="0.3">
      <c r="A25">
        <v>24</v>
      </c>
      <c r="B25" t="b">
        <v>1</v>
      </c>
      <c r="C25" t="s">
        <v>26</v>
      </c>
      <c r="D25" s="6" t="str">
        <f>INDEX(User!$D:$D,MATCH($C25,User!$A:$A,0))</f>
        <v>org_user3_4</v>
      </c>
      <c r="E25" s="19" t="b">
        <f t="shared" ca="1" si="1"/>
        <v>0</v>
      </c>
      <c r="F25" s="6" t="str">
        <f>INDEX(User!$G:$G,MATCH($C25,User!$A:$A,0))</f>
        <v>0195d18c-1c92-52b3-93e0-43dc1f2aa037</v>
      </c>
      <c r="G25" s="6" t="b">
        <f>INDEX(User!$M:$M,MATCH($C25,User!$A:$A,0))</f>
        <v>0</v>
      </c>
      <c r="H25" s="6" t="str">
        <f>IF(ISNA(MATCH($F25&amp;"|"&amp;$R25,OrganizationAccessCasePolicy!$V:$V,0)),"",MATCH($F25&amp;"|"&amp;$R25,OrganizationAccessCasePolicy!$V:$V,0))</f>
        <v/>
      </c>
      <c r="I25" s="6" t="b" cm="1">
        <f t="array" aca="1" ref="I25" ca="1">IF($H25="",FALSE,NOT(ISNA(MATCH(INDIRECT("OrganizationAccessCasePolicy!D"&amp;$H25)&amp;"|"&amp;$V25,CaseTypeSetMember!$H:$H,0))))</f>
        <v>0</v>
      </c>
      <c r="J25" s="6" t="b" cm="1">
        <f t="array" aca="1" ref="J25" ca="1">IF($H25="",FALSE,AND(INDIRECT("OrganizationAccessCasePolicy!H"&amp;$H25),NOT(ISNA(MATCH(INDIRECT("OrganizationAccessCasePolicy!D"&amp;$H25)&amp;"|"&amp;$V25,CaseTypeSetMember!$H:$H,0)))))</f>
        <v>0</v>
      </c>
      <c r="K25" s="6" t="b" cm="1">
        <f t="array" aca="1" ref="K25" ca="1">IF($H25="",FALSE,AND(INDIRECT("OrganizationAccessCasePolicy!I"&amp;$H25),NOT(ISNA(MATCH(INDIRECT("OrganizationAccessCasePolicy!D"&amp;$H25)&amp;"|"&amp;$V25,CaseTypeSetMember!$H:$H,0)))))</f>
        <v>0</v>
      </c>
      <c r="L25" s="6" t="str">
        <f>IF(ISNA(MATCH($C25&amp;"|"&amp;$R25,UserAccessCasePolicy!$W:$W,0)),"",MATCH($C25&amp;"|"&amp;$R25,UserAccessCasePolicy!$W:$W,0))</f>
        <v/>
      </c>
      <c r="M25" s="6" t="b" cm="1">
        <f t="array" aca="1" ref="M25" ca="1">IF($L25="",FALSE,NOT(ISNA(MATCH(INDIRECT("UserAccessCasePolicy!D"&amp;$L25)&amp;"|"&amp;$V25,CaseTypeSetMember!$H:$H,0))))</f>
        <v>0</v>
      </c>
      <c r="N25" s="6" t="b" cm="1">
        <f t="array" aca="1" ref="N25" ca="1">IF($L25="",FALSE,AND(INDIRECT("UserAccessCasePolicy!G"&amp;$L25),NOT(ISNA(MATCH(INDIRECT("UserAccessCasePolicy!D"&amp;$L25)&amp;"|"&amp;$V25,CaseTypeSetMember!$H:$H,0)))))</f>
        <v>0</v>
      </c>
      <c r="O25" s="6" t="b" cm="1">
        <f t="array" aca="1" ref="O25" ca="1">IF($L25="",FALSE,AND(INDIRECT("UserAccessCasePolicy!H"&amp;$L25),NOT(ISNA(MATCH(INDIRECT("UserAccessCasePolicy!D"&amp;$L25)&amp;"|"&amp;$V25,CaseTypeSetMember!$H:$H,0)))))</f>
        <v>0</v>
      </c>
      <c r="P25" t="s">
        <v>115</v>
      </c>
      <c r="Q25" s="6" t="str">
        <f>INDEX(CaseType!$B:$B,MATCH($P25,CaseType!$A:$A,0))</f>
        <v>case_type1</v>
      </c>
      <c r="R25" t="s">
        <v>11</v>
      </c>
      <c r="S25" s="6" t="str">
        <f>INDEX(DataCollection!$B:$B,MATCH($R25,DataCollection!$A:$A,0))</f>
        <v>data_collection1</v>
      </c>
      <c r="T25" t="b">
        <v>0</v>
      </c>
      <c r="U25" t="s">
        <v>667</v>
      </c>
      <c r="V25" s="6" t="str">
        <f>INDEX(_CaseData!$B:$B,MATCH($U25,_CaseData!$A:$A,0))</f>
        <v>0195d18c-1ca6-fd99-9d76-fcfa0c0cf400</v>
      </c>
      <c r="W25" t="s">
        <v>11</v>
      </c>
      <c r="X25" s="6" t="b">
        <f t="shared" si="2"/>
        <v>1</v>
      </c>
      <c r="Y25" s="6" t="b">
        <f t="shared" si="0"/>
        <v>1</v>
      </c>
    </row>
    <row r="26" spans="1:25" x14ac:dyDescent="0.3">
      <c r="A26">
        <v>25</v>
      </c>
      <c r="B26" t="b">
        <v>1</v>
      </c>
      <c r="C26" t="s">
        <v>28</v>
      </c>
      <c r="D26" s="6" t="str">
        <f>INDEX(User!$D:$D,MATCH($C26,User!$A:$A,0))</f>
        <v>org_user4_1</v>
      </c>
      <c r="E26" s="19" t="b">
        <f t="shared" ca="1" si="1"/>
        <v>0</v>
      </c>
      <c r="F26" s="6" t="str">
        <f>INDEX(User!$G:$G,MATCH($C26,User!$A:$A,0))</f>
        <v>0195d18c-1c92-d419-4c71-a570f428499b</v>
      </c>
      <c r="G26" s="6" t="b">
        <f>INDEX(User!$M:$M,MATCH($C26,User!$A:$A,0))</f>
        <v>0</v>
      </c>
      <c r="H26" s="6" t="str">
        <f>IF(ISNA(MATCH($F26&amp;"|"&amp;$R26,OrganizationAccessCasePolicy!$V:$V,0)),"",MATCH($F26&amp;"|"&amp;$R26,OrganizationAccessCasePolicy!$V:$V,0))</f>
        <v/>
      </c>
      <c r="I26" s="6" t="b" cm="1">
        <f t="array" aca="1" ref="I26" ca="1">IF($H26="",FALSE,NOT(ISNA(MATCH(INDIRECT("OrganizationAccessCasePolicy!D"&amp;$H26)&amp;"|"&amp;$V26,CaseTypeSetMember!$H:$H,0))))</f>
        <v>0</v>
      </c>
      <c r="J26" s="6" t="b" cm="1">
        <f t="array" aca="1" ref="J26" ca="1">IF($H26="",FALSE,AND(INDIRECT("OrganizationAccessCasePolicy!H"&amp;$H26),NOT(ISNA(MATCH(INDIRECT("OrganizationAccessCasePolicy!D"&amp;$H26)&amp;"|"&amp;$V26,CaseTypeSetMember!$H:$H,0)))))</f>
        <v>0</v>
      </c>
      <c r="K26" s="6" t="b" cm="1">
        <f t="array" aca="1" ref="K26" ca="1">IF($H26="",FALSE,AND(INDIRECT("OrganizationAccessCasePolicy!I"&amp;$H26),NOT(ISNA(MATCH(INDIRECT("OrganizationAccessCasePolicy!D"&amp;$H26)&amp;"|"&amp;$V26,CaseTypeSetMember!$H:$H,0)))))</f>
        <v>0</v>
      </c>
      <c r="L26" s="6" t="str">
        <f>IF(ISNA(MATCH($C26&amp;"|"&amp;$R26,UserAccessCasePolicy!$W:$W,0)),"",MATCH($C26&amp;"|"&amp;$R26,UserAccessCasePolicy!$W:$W,0))</f>
        <v/>
      </c>
      <c r="M26" s="6" t="b" cm="1">
        <f t="array" aca="1" ref="M26" ca="1">IF($L26="",FALSE,NOT(ISNA(MATCH(INDIRECT("UserAccessCasePolicy!D"&amp;$L26)&amp;"|"&amp;$V26,CaseTypeSetMember!$H:$H,0))))</f>
        <v>0</v>
      </c>
      <c r="N26" s="6" t="b" cm="1">
        <f t="array" aca="1" ref="N26" ca="1">IF($L26="",FALSE,AND(INDIRECT("UserAccessCasePolicy!G"&amp;$L26),NOT(ISNA(MATCH(INDIRECT("UserAccessCasePolicy!D"&amp;$L26)&amp;"|"&amp;$V26,CaseTypeSetMember!$H:$H,0)))))</f>
        <v>0</v>
      </c>
      <c r="O26" s="6" t="b" cm="1">
        <f t="array" aca="1" ref="O26" ca="1">IF($L26="",FALSE,AND(INDIRECT("UserAccessCasePolicy!H"&amp;$L26),NOT(ISNA(MATCH(INDIRECT("UserAccessCasePolicy!D"&amp;$L26)&amp;"|"&amp;$V26,CaseTypeSetMember!$H:$H,0)))))</f>
        <v>0</v>
      </c>
      <c r="P26" t="s">
        <v>115</v>
      </c>
      <c r="Q26" s="6" t="str">
        <f>INDEX(CaseType!$B:$B,MATCH($P26,CaseType!$A:$A,0))</f>
        <v>case_type1</v>
      </c>
      <c r="R26" t="s">
        <v>11</v>
      </c>
      <c r="S26" s="6" t="str">
        <f>INDEX(DataCollection!$B:$B,MATCH($R26,DataCollection!$A:$A,0))</f>
        <v>data_collection1</v>
      </c>
      <c r="T26" t="b">
        <v>0</v>
      </c>
      <c r="U26" t="s">
        <v>667</v>
      </c>
      <c r="V26" s="6" t="str">
        <f>INDEX(_CaseData!$B:$B,MATCH($U26,_CaseData!$A:$A,0))</f>
        <v>0195d18c-1ca6-fd99-9d76-fcfa0c0cf400</v>
      </c>
      <c r="W26" t="s">
        <v>11</v>
      </c>
      <c r="X26" s="6" t="b">
        <f t="shared" si="2"/>
        <v>1</v>
      </c>
      <c r="Y26" s="6" t="b">
        <f t="shared" si="0"/>
        <v>1</v>
      </c>
    </row>
    <row r="27" spans="1:25" x14ac:dyDescent="0.3">
      <c r="A27">
        <v>26</v>
      </c>
      <c r="B27" t="b">
        <v>1</v>
      </c>
      <c r="C27" t="s">
        <v>30</v>
      </c>
      <c r="D27" s="6" t="str">
        <f>INDEX(User!$D:$D,MATCH($C27,User!$A:$A,0))</f>
        <v>org_user4_2</v>
      </c>
      <c r="E27" s="19" t="b">
        <f t="shared" ca="1" si="1"/>
        <v>0</v>
      </c>
      <c r="F27" s="6" t="str">
        <f>INDEX(User!$G:$G,MATCH($C27,User!$A:$A,0))</f>
        <v>0195d18c-1c92-d419-4c71-a570f428499b</v>
      </c>
      <c r="G27" s="6" t="b">
        <f>INDEX(User!$M:$M,MATCH($C27,User!$A:$A,0))</f>
        <v>0</v>
      </c>
      <c r="H27" s="6" t="str">
        <f>IF(ISNA(MATCH($F27&amp;"|"&amp;$R27,OrganizationAccessCasePolicy!$V:$V,0)),"",MATCH($F27&amp;"|"&amp;$R27,OrganizationAccessCasePolicy!$V:$V,0))</f>
        <v/>
      </c>
      <c r="I27" s="6" t="b" cm="1">
        <f t="array" aca="1" ref="I27" ca="1">IF($H27="",FALSE,NOT(ISNA(MATCH(INDIRECT("OrganizationAccessCasePolicy!D"&amp;$H27)&amp;"|"&amp;$V27,CaseTypeSetMember!$H:$H,0))))</f>
        <v>0</v>
      </c>
      <c r="J27" s="6" t="b" cm="1">
        <f t="array" aca="1" ref="J27" ca="1">IF($H27="",FALSE,AND(INDIRECT("OrganizationAccessCasePolicy!H"&amp;$H27),NOT(ISNA(MATCH(INDIRECT("OrganizationAccessCasePolicy!D"&amp;$H27)&amp;"|"&amp;$V27,CaseTypeSetMember!$H:$H,0)))))</f>
        <v>0</v>
      </c>
      <c r="K27" s="6" t="b" cm="1">
        <f t="array" aca="1" ref="K27" ca="1">IF($H27="",FALSE,AND(INDIRECT("OrganizationAccessCasePolicy!I"&amp;$H27),NOT(ISNA(MATCH(INDIRECT("OrganizationAccessCasePolicy!D"&amp;$H27)&amp;"|"&amp;$V27,CaseTypeSetMember!$H:$H,0)))))</f>
        <v>0</v>
      </c>
      <c r="L27" s="6" t="str">
        <f>IF(ISNA(MATCH($C27&amp;"|"&amp;$R27,UserAccessCasePolicy!$W:$W,0)),"",MATCH($C27&amp;"|"&amp;$R27,UserAccessCasePolicy!$W:$W,0))</f>
        <v/>
      </c>
      <c r="M27" s="6" t="b" cm="1">
        <f t="array" aca="1" ref="M27" ca="1">IF($L27="",FALSE,NOT(ISNA(MATCH(INDIRECT("UserAccessCasePolicy!D"&amp;$L27)&amp;"|"&amp;$V27,CaseTypeSetMember!$H:$H,0))))</f>
        <v>0</v>
      </c>
      <c r="N27" s="6" t="b" cm="1">
        <f t="array" aca="1" ref="N27" ca="1">IF($L27="",FALSE,AND(INDIRECT("UserAccessCasePolicy!G"&amp;$L27),NOT(ISNA(MATCH(INDIRECT("UserAccessCasePolicy!D"&amp;$L27)&amp;"|"&amp;$V27,CaseTypeSetMember!$H:$H,0)))))</f>
        <v>0</v>
      </c>
      <c r="O27" s="6" t="b" cm="1">
        <f t="array" aca="1" ref="O27" ca="1">IF($L27="",FALSE,AND(INDIRECT("UserAccessCasePolicy!H"&amp;$L27),NOT(ISNA(MATCH(INDIRECT("UserAccessCasePolicy!D"&amp;$L27)&amp;"|"&amp;$V27,CaseTypeSetMember!$H:$H,0)))))</f>
        <v>0</v>
      </c>
      <c r="P27" t="s">
        <v>115</v>
      </c>
      <c r="Q27" s="6" t="str">
        <f>INDEX(CaseType!$B:$B,MATCH($P27,CaseType!$A:$A,0))</f>
        <v>case_type1</v>
      </c>
      <c r="R27" t="s">
        <v>11</v>
      </c>
      <c r="S27" s="6" t="str">
        <f>INDEX(DataCollection!$B:$B,MATCH($R27,DataCollection!$A:$A,0))</f>
        <v>data_collection1</v>
      </c>
      <c r="T27" t="b">
        <v>0</v>
      </c>
      <c r="U27" t="s">
        <v>667</v>
      </c>
      <c r="V27" s="6" t="str">
        <f>INDEX(_CaseData!$B:$B,MATCH($U27,_CaseData!$A:$A,0))</f>
        <v>0195d18c-1ca6-fd99-9d76-fcfa0c0cf400</v>
      </c>
      <c r="W27" t="s">
        <v>11</v>
      </c>
      <c r="X27" s="6" t="b">
        <f t="shared" si="2"/>
        <v>1</v>
      </c>
      <c r="Y27" s="6" t="b">
        <f t="shared" si="0"/>
        <v>1</v>
      </c>
    </row>
    <row r="28" spans="1:25" x14ac:dyDescent="0.3">
      <c r="A28">
        <v>27</v>
      </c>
      <c r="B28" t="b">
        <v>1</v>
      </c>
      <c r="C28" t="s">
        <v>31</v>
      </c>
      <c r="D28" s="6" t="str">
        <f>INDEX(User!$D:$D,MATCH($C28,User!$A:$A,0))</f>
        <v>org_user4_3</v>
      </c>
      <c r="E28" s="19" t="b">
        <f t="shared" ca="1" si="1"/>
        <v>0</v>
      </c>
      <c r="F28" s="6" t="str">
        <f>INDEX(User!$G:$G,MATCH($C28,User!$A:$A,0))</f>
        <v>0195d18c-1c92-d419-4c71-a570f428499b</v>
      </c>
      <c r="G28" s="6" t="b">
        <f>INDEX(User!$M:$M,MATCH($C28,User!$A:$A,0))</f>
        <v>0</v>
      </c>
      <c r="H28" s="6" t="str">
        <f>IF(ISNA(MATCH($F28&amp;"|"&amp;$R28,OrganizationAccessCasePolicy!$V:$V,0)),"",MATCH($F28&amp;"|"&amp;$R28,OrganizationAccessCasePolicy!$V:$V,0))</f>
        <v/>
      </c>
      <c r="I28" s="6" t="b" cm="1">
        <f t="array" aca="1" ref="I28" ca="1">IF($H28="",FALSE,NOT(ISNA(MATCH(INDIRECT("OrganizationAccessCasePolicy!D"&amp;$H28)&amp;"|"&amp;$V28,CaseTypeSetMember!$H:$H,0))))</f>
        <v>0</v>
      </c>
      <c r="J28" s="6" t="b" cm="1">
        <f t="array" aca="1" ref="J28" ca="1">IF($H28="",FALSE,AND(INDIRECT("OrganizationAccessCasePolicy!H"&amp;$H28),NOT(ISNA(MATCH(INDIRECT("OrganizationAccessCasePolicy!D"&amp;$H28)&amp;"|"&amp;$V28,CaseTypeSetMember!$H:$H,0)))))</f>
        <v>0</v>
      </c>
      <c r="K28" s="6" t="b" cm="1">
        <f t="array" aca="1" ref="K28" ca="1">IF($H28="",FALSE,AND(INDIRECT("OrganizationAccessCasePolicy!I"&amp;$H28),NOT(ISNA(MATCH(INDIRECT("OrganizationAccessCasePolicy!D"&amp;$H28)&amp;"|"&amp;$V28,CaseTypeSetMember!$H:$H,0)))))</f>
        <v>0</v>
      </c>
      <c r="L28" s="6" t="str">
        <f>IF(ISNA(MATCH($C28&amp;"|"&amp;$R28,UserAccessCasePolicy!$W:$W,0)),"",MATCH($C28&amp;"|"&amp;$R28,UserAccessCasePolicy!$W:$W,0))</f>
        <v/>
      </c>
      <c r="M28" s="6" t="b" cm="1">
        <f t="array" aca="1" ref="M28" ca="1">IF($L28="",FALSE,NOT(ISNA(MATCH(INDIRECT("UserAccessCasePolicy!D"&amp;$L28)&amp;"|"&amp;$V28,CaseTypeSetMember!$H:$H,0))))</f>
        <v>0</v>
      </c>
      <c r="N28" s="6" t="b" cm="1">
        <f t="array" aca="1" ref="N28" ca="1">IF($L28="",FALSE,AND(INDIRECT("UserAccessCasePolicy!G"&amp;$L28),NOT(ISNA(MATCH(INDIRECT("UserAccessCasePolicy!D"&amp;$L28)&amp;"|"&amp;$V28,CaseTypeSetMember!$H:$H,0)))))</f>
        <v>0</v>
      </c>
      <c r="O28" s="6" t="b" cm="1">
        <f t="array" aca="1" ref="O28" ca="1">IF($L28="",FALSE,AND(INDIRECT("UserAccessCasePolicy!H"&amp;$L28),NOT(ISNA(MATCH(INDIRECT("UserAccessCasePolicy!D"&amp;$L28)&amp;"|"&amp;$V28,CaseTypeSetMember!$H:$H,0)))))</f>
        <v>0</v>
      </c>
      <c r="P28" t="s">
        <v>115</v>
      </c>
      <c r="Q28" s="6" t="str">
        <f>INDEX(CaseType!$B:$B,MATCH($P28,CaseType!$A:$A,0))</f>
        <v>case_type1</v>
      </c>
      <c r="R28" t="s">
        <v>11</v>
      </c>
      <c r="S28" s="6" t="str">
        <f>INDEX(DataCollection!$B:$B,MATCH($R28,DataCollection!$A:$A,0))</f>
        <v>data_collection1</v>
      </c>
      <c r="T28" t="b">
        <v>0</v>
      </c>
      <c r="U28" t="s">
        <v>667</v>
      </c>
      <c r="V28" s="6" t="str">
        <f>INDEX(_CaseData!$B:$B,MATCH($U28,_CaseData!$A:$A,0))</f>
        <v>0195d18c-1ca6-fd99-9d76-fcfa0c0cf400</v>
      </c>
      <c r="W28" t="s">
        <v>11</v>
      </c>
      <c r="X28" s="6" t="b">
        <f t="shared" si="2"/>
        <v>1</v>
      </c>
      <c r="Y28" s="6" t="b">
        <f t="shared" si="0"/>
        <v>1</v>
      </c>
    </row>
    <row r="29" spans="1:25" x14ac:dyDescent="0.3">
      <c r="A29">
        <v>28</v>
      </c>
      <c r="B29" t="b">
        <v>1</v>
      </c>
      <c r="C29" t="s">
        <v>32</v>
      </c>
      <c r="D29" s="6" t="str">
        <f>INDEX(User!$D:$D,MATCH($C29,User!$A:$A,0))</f>
        <v>org_user4_4</v>
      </c>
      <c r="E29" s="19" t="b">
        <f t="shared" ca="1" si="1"/>
        <v>0</v>
      </c>
      <c r="F29" s="6" t="str">
        <f>INDEX(User!$G:$G,MATCH($C29,User!$A:$A,0))</f>
        <v>0195d18c-1c92-d419-4c71-a570f428499b</v>
      </c>
      <c r="G29" s="6" t="b">
        <f>INDEX(User!$M:$M,MATCH($C29,User!$A:$A,0))</f>
        <v>0</v>
      </c>
      <c r="H29" s="6" t="str">
        <f>IF(ISNA(MATCH($F29&amp;"|"&amp;$R29,OrganizationAccessCasePolicy!$V:$V,0)),"",MATCH($F29&amp;"|"&amp;$R29,OrganizationAccessCasePolicy!$V:$V,0))</f>
        <v/>
      </c>
      <c r="I29" s="6" t="b" cm="1">
        <f t="array" aca="1" ref="I29" ca="1">IF($H29="",FALSE,NOT(ISNA(MATCH(INDIRECT("OrganizationAccessCasePolicy!D"&amp;$H29)&amp;"|"&amp;$V29,CaseTypeSetMember!$H:$H,0))))</f>
        <v>0</v>
      </c>
      <c r="J29" s="6" t="b" cm="1">
        <f t="array" aca="1" ref="J29" ca="1">IF($H29="",FALSE,AND(INDIRECT("OrganizationAccessCasePolicy!H"&amp;$H29),NOT(ISNA(MATCH(INDIRECT("OrganizationAccessCasePolicy!D"&amp;$H29)&amp;"|"&amp;$V29,CaseTypeSetMember!$H:$H,0)))))</f>
        <v>0</v>
      </c>
      <c r="K29" s="6" t="b" cm="1">
        <f t="array" aca="1" ref="K29" ca="1">IF($H29="",FALSE,AND(INDIRECT("OrganizationAccessCasePolicy!I"&amp;$H29),NOT(ISNA(MATCH(INDIRECT("OrganizationAccessCasePolicy!D"&amp;$H29)&amp;"|"&amp;$V29,CaseTypeSetMember!$H:$H,0)))))</f>
        <v>0</v>
      </c>
      <c r="L29" s="6" t="str">
        <f>IF(ISNA(MATCH($C29&amp;"|"&amp;$R29,UserAccessCasePolicy!$W:$W,0)),"",MATCH($C29&amp;"|"&amp;$R29,UserAccessCasePolicy!$W:$W,0))</f>
        <v/>
      </c>
      <c r="M29" s="6" t="b" cm="1">
        <f t="array" aca="1" ref="M29" ca="1">IF($L29="",FALSE,NOT(ISNA(MATCH(INDIRECT("UserAccessCasePolicy!D"&amp;$L29)&amp;"|"&amp;$V29,CaseTypeSetMember!$H:$H,0))))</f>
        <v>0</v>
      </c>
      <c r="N29" s="6" t="b" cm="1">
        <f t="array" aca="1" ref="N29" ca="1">IF($L29="",FALSE,AND(INDIRECT("UserAccessCasePolicy!G"&amp;$L29),NOT(ISNA(MATCH(INDIRECT("UserAccessCasePolicy!D"&amp;$L29)&amp;"|"&amp;$V29,CaseTypeSetMember!$H:$H,0)))))</f>
        <v>0</v>
      </c>
      <c r="O29" s="6" t="b" cm="1">
        <f t="array" aca="1" ref="O29" ca="1">IF($L29="",FALSE,AND(INDIRECT("UserAccessCasePolicy!H"&amp;$L29),NOT(ISNA(MATCH(INDIRECT("UserAccessCasePolicy!D"&amp;$L29)&amp;"|"&amp;$V29,CaseTypeSetMember!$H:$H,0)))))</f>
        <v>0</v>
      </c>
      <c r="P29" t="s">
        <v>115</v>
      </c>
      <c r="Q29" s="6" t="str">
        <f>INDEX(CaseType!$B:$B,MATCH($P29,CaseType!$A:$A,0))</f>
        <v>case_type1</v>
      </c>
      <c r="R29" t="s">
        <v>11</v>
      </c>
      <c r="S29" s="6" t="str">
        <f>INDEX(DataCollection!$B:$B,MATCH($R29,DataCollection!$A:$A,0))</f>
        <v>data_collection1</v>
      </c>
      <c r="T29" t="b">
        <v>0</v>
      </c>
      <c r="U29" t="s">
        <v>667</v>
      </c>
      <c r="V29" s="6" t="str">
        <f>INDEX(_CaseData!$B:$B,MATCH($U29,_CaseData!$A:$A,0))</f>
        <v>0195d18c-1ca6-fd99-9d76-fcfa0c0cf400</v>
      </c>
      <c r="W29" t="s">
        <v>11</v>
      </c>
      <c r="X29" s="6" t="b">
        <f t="shared" si="2"/>
        <v>1</v>
      </c>
      <c r="Y29" s="6" t="b">
        <f t="shared" si="0"/>
        <v>1</v>
      </c>
    </row>
    <row r="30" spans="1:25" x14ac:dyDescent="0.3">
      <c r="A30">
        <v>29</v>
      </c>
      <c r="B30" t="b">
        <v>1</v>
      </c>
      <c r="C30" t="s">
        <v>34</v>
      </c>
      <c r="D30" s="6" t="str">
        <f>INDEX(User!$D:$D,MATCH($C30,User!$A:$A,0))</f>
        <v>org_user5_1</v>
      </c>
      <c r="E30" s="19" t="b">
        <f t="shared" ca="1" si="1"/>
        <v>0</v>
      </c>
      <c r="F30" s="6" t="str">
        <f>INDEX(User!$G:$G,MATCH($C30,User!$A:$A,0))</f>
        <v>0195d18c-1c93-02a2-6920-7e4dbfb73ce0</v>
      </c>
      <c r="G30" s="6" t="b">
        <f>INDEX(User!$M:$M,MATCH($C30,User!$A:$A,0))</f>
        <v>0</v>
      </c>
      <c r="H30" s="6" t="str">
        <f>IF(ISNA(MATCH($F30&amp;"|"&amp;$R30,OrganizationAccessCasePolicy!$V:$V,0)),"",MATCH($F30&amp;"|"&amp;$R30,OrganizationAccessCasePolicy!$V:$V,0))</f>
        <v/>
      </c>
      <c r="I30" s="6" t="b" cm="1">
        <f t="array" aca="1" ref="I30" ca="1">IF($H30="",FALSE,NOT(ISNA(MATCH(INDIRECT("OrganizationAccessCasePolicy!D"&amp;$H30)&amp;"|"&amp;$V30,CaseTypeSetMember!$H:$H,0))))</f>
        <v>0</v>
      </c>
      <c r="J30" s="6" t="b" cm="1">
        <f t="array" aca="1" ref="J30" ca="1">IF($H30="",FALSE,AND(INDIRECT("OrganizationAccessCasePolicy!H"&amp;$H30),NOT(ISNA(MATCH(INDIRECT("OrganizationAccessCasePolicy!D"&amp;$H30)&amp;"|"&amp;$V30,CaseTypeSetMember!$H:$H,0)))))</f>
        <v>0</v>
      </c>
      <c r="K30" s="6" t="b" cm="1">
        <f t="array" aca="1" ref="K30" ca="1">IF($H30="",FALSE,AND(INDIRECT("OrganizationAccessCasePolicy!I"&amp;$H30),NOT(ISNA(MATCH(INDIRECT("OrganizationAccessCasePolicy!D"&amp;$H30)&amp;"|"&amp;$V30,CaseTypeSetMember!$H:$H,0)))))</f>
        <v>0</v>
      </c>
      <c r="L30" s="6" t="str">
        <f>IF(ISNA(MATCH($C30&amp;"|"&amp;$R30,UserAccessCasePolicy!$W:$W,0)),"",MATCH($C30&amp;"|"&amp;$R30,UserAccessCasePolicy!$W:$W,0))</f>
        <v/>
      </c>
      <c r="M30" s="6" t="b" cm="1">
        <f t="array" aca="1" ref="M30" ca="1">IF($L30="",FALSE,NOT(ISNA(MATCH(INDIRECT("UserAccessCasePolicy!D"&amp;$L30)&amp;"|"&amp;$V30,CaseTypeSetMember!$H:$H,0))))</f>
        <v>0</v>
      </c>
      <c r="N30" s="6" t="b" cm="1">
        <f t="array" aca="1" ref="N30" ca="1">IF($L30="",FALSE,AND(INDIRECT("UserAccessCasePolicy!G"&amp;$L30),NOT(ISNA(MATCH(INDIRECT("UserAccessCasePolicy!D"&amp;$L30)&amp;"|"&amp;$V30,CaseTypeSetMember!$H:$H,0)))))</f>
        <v>0</v>
      </c>
      <c r="O30" s="6" t="b" cm="1">
        <f t="array" aca="1" ref="O30" ca="1">IF($L30="",FALSE,AND(INDIRECT("UserAccessCasePolicy!H"&amp;$L30),NOT(ISNA(MATCH(INDIRECT("UserAccessCasePolicy!D"&amp;$L30)&amp;"|"&amp;$V30,CaseTypeSetMember!$H:$H,0)))))</f>
        <v>0</v>
      </c>
      <c r="P30" t="s">
        <v>115</v>
      </c>
      <c r="Q30" s="6" t="str">
        <f>INDEX(CaseType!$B:$B,MATCH($P30,CaseType!$A:$A,0))</f>
        <v>case_type1</v>
      </c>
      <c r="R30" t="s">
        <v>11</v>
      </c>
      <c r="S30" s="6" t="str">
        <f>INDEX(DataCollection!$B:$B,MATCH($R30,DataCollection!$A:$A,0))</f>
        <v>data_collection1</v>
      </c>
      <c r="T30" t="b">
        <v>0</v>
      </c>
      <c r="U30" t="s">
        <v>667</v>
      </c>
      <c r="V30" s="6" t="str">
        <f>INDEX(_CaseData!$B:$B,MATCH($U30,_CaseData!$A:$A,0))</f>
        <v>0195d18c-1ca6-fd99-9d76-fcfa0c0cf400</v>
      </c>
      <c r="W30" t="s">
        <v>11</v>
      </c>
      <c r="X30" s="6" t="b">
        <f t="shared" si="2"/>
        <v>1</v>
      </c>
      <c r="Y30" s="6" t="b">
        <f t="shared" si="0"/>
        <v>1</v>
      </c>
    </row>
    <row r="31" spans="1:25" x14ac:dyDescent="0.3">
      <c r="A31">
        <v>30</v>
      </c>
      <c r="B31" t="b">
        <v>1</v>
      </c>
      <c r="C31" t="s">
        <v>36</v>
      </c>
      <c r="D31" s="6" t="str">
        <f>INDEX(User!$D:$D,MATCH($C31,User!$A:$A,0))</f>
        <v>org_user5_2</v>
      </c>
      <c r="E31" s="19" t="b">
        <f t="shared" ca="1" si="1"/>
        <v>0</v>
      </c>
      <c r="F31" s="6" t="str">
        <f>INDEX(User!$G:$G,MATCH($C31,User!$A:$A,0))</f>
        <v>0195d18c-1c93-02a2-6920-7e4dbfb73ce0</v>
      </c>
      <c r="G31" s="6" t="b">
        <f>INDEX(User!$M:$M,MATCH($C31,User!$A:$A,0))</f>
        <v>0</v>
      </c>
      <c r="H31" s="6" t="str">
        <f>IF(ISNA(MATCH($F31&amp;"|"&amp;$R31,OrganizationAccessCasePolicy!$V:$V,0)),"",MATCH($F31&amp;"|"&amp;$R31,OrganizationAccessCasePolicy!$V:$V,0))</f>
        <v/>
      </c>
      <c r="I31" s="6" t="b" cm="1">
        <f t="array" aca="1" ref="I31" ca="1">IF($H31="",FALSE,NOT(ISNA(MATCH(INDIRECT("OrganizationAccessCasePolicy!D"&amp;$H31)&amp;"|"&amp;$V31,CaseTypeSetMember!$H:$H,0))))</f>
        <v>0</v>
      </c>
      <c r="J31" s="6" t="b" cm="1">
        <f t="array" aca="1" ref="J31" ca="1">IF($H31="",FALSE,AND(INDIRECT("OrganizationAccessCasePolicy!H"&amp;$H31),NOT(ISNA(MATCH(INDIRECT("OrganizationAccessCasePolicy!D"&amp;$H31)&amp;"|"&amp;$V31,CaseTypeSetMember!$H:$H,0)))))</f>
        <v>0</v>
      </c>
      <c r="K31" s="6" t="b" cm="1">
        <f t="array" aca="1" ref="K31" ca="1">IF($H31="",FALSE,AND(INDIRECT("OrganizationAccessCasePolicy!I"&amp;$H31),NOT(ISNA(MATCH(INDIRECT("OrganizationAccessCasePolicy!D"&amp;$H31)&amp;"|"&amp;$V31,CaseTypeSetMember!$H:$H,0)))))</f>
        <v>0</v>
      </c>
      <c r="L31" s="6" t="str">
        <f>IF(ISNA(MATCH($C31&amp;"|"&amp;$R31,UserAccessCasePolicy!$W:$W,0)),"",MATCH($C31&amp;"|"&amp;$R31,UserAccessCasePolicy!$W:$W,0))</f>
        <v/>
      </c>
      <c r="M31" s="6" t="b" cm="1">
        <f t="array" aca="1" ref="M31" ca="1">IF($L31="",FALSE,NOT(ISNA(MATCH(INDIRECT("UserAccessCasePolicy!D"&amp;$L31)&amp;"|"&amp;$V31,CaseTypeSetMember!$H:$H,0))))</f>
        <v>0</v>
      </c>
      <c r="N31" s="6" t="b" cm="1">
        <f t="array" aca="1" ref="N31" ca="1">IF($L31="",FALSE,AND(INDIRECT("UserAccessCasePolicy!G"&amp;$L31),NOT(ISNA(MATCH(INDIRECT("UserAccessCasePolicy!D"&amp;$L31)&amp;"|"&amp;$V31,CaseTypeSetMember!$H:$H,0)))))</f>
        <v>0</v>
      </c>
      <c r="O31" s="6" t="b" cm="1">
        <f t="array" aca="1" ref="O31" ca="1">IF($L31="",FALSE,AND(INDIRECT("UserAccessCasePolicy!H"&amp;$L31),NOT(ISNA(MATCH(INDIRECT("UserAccessCasePolicy!D"&amp;$L31)&amp;"|"&amp;$V31,CaseTypeSetMember!$H:$H,0)))))</f>
        <v>0</v>
      </c>
      <c r="P31" t="s">
        <v>115</v>
      </c>
      <c r="Q31" s="6" t="str">
        <f>INDEX(CaseType!$B:$B,MATCH($P31,CaseType!$A:$A,0))</f>
        <v>case_type1</v>
      </c>
      <c r="R31" t="s">
        <v>11</v>
      </c>
      <c r="S31" s="6" t="str">
        <f>INDEX(DataCollection!$B:$B,MATCH($R31,DataCollection!$A:$A,0))</f>
        <v>data_collection1</v>
      </c>
      <c r="T31" t="b">
        <v>0</v>
      </c>
      <c r="U31" t="s">
        <v>667</v>
      </c>
      <c r="V31" s="6" t="str">
        <f>INDEX(_CaseData!$B:$B,MATCH($U31,_CaseData!$A:$A,0))</f>
        <v>0195d18c-1ca6-fd99-9d76-fcfa0c0cf400</v>
      </c>
      <c r="W31" t="s">
        <v>11</v>
      </c>
      <c r="X31" s="6" t="b">
        <f t="shared" si="2"/>
        <v>1</v>
      </c>
      <c r="Y31" s="6" t="b">
        <f t="shared" si="0"/>
        <v>1</v>
      </c>
    </row>
    <row r="32" spans="1:25" x14ac:dyDescent="0.3">
      <c r="A32">
        <v>31</v>
      </c>
      <c r="B32" t="b">
        <v>1</v>
      </c>
      <c r="C32" t="s">
        <v>37</v>
      </c>
      <c r="D32" s="6" t="str">
        <f>INDEX(User!$D:$D,MATCH($C32,User!$A:$A,0))</f>
        <v>org_user5_3</v>
      </c>
      <c r="E32" s="19" t="b">
        <f t="shared" ca="1" si="1"/>
        <v>0</v>
      </c>
      <c r="F32" s="6" t="str">
        <f>INDEX(User!$G:$G,MATCH($C32,User!$A:$A,0))</f>
        <v>0195d18c-1c93-02a2-6920-7e4dbfb73ce0</v>
      </c>
      <c r="G32" s="6" t="b">
        <f>INDEX(User!$M:$M,MATCH($C32,User!$A:$A,0))</f>
        <v>0</v>
      </c>
      <c r="H32" s="6" t="str">
        <f>IF(ISNA(MATCH($F32&amp;"|"&amp;$R32,OrganizationAccessCasePolicy!$V:$V,0)),"",MATCH($F32&amp;"|"&amp;$R32,OrganizationAccessCasePolicy!$V:$V,0))</f>
        <v/>
      </c>
      <c r="I32" s="6" t="b" cm="1">
        <f t="array" aca="1" ref="I32" ca="1">IF($H32="",FALSE,NOT(ISNA(MATCH(INDIRECT("OrganizationAccessCasePolicy!D"&amp;$H32)&amp;"|"&amp;$V32,CaseTypeSetMember!$H:$H,0))))</f>
        <v>0</v>
      </c>
      <c r="J32" s="6" t="b" cm="1">
        <f t="array" aca="1" ref="J32" ca="1">IF($H32="",FALSE,AND(INDIRECT("OrganizationAccessCasePolicy!H"&amp;$H32),NOT(ISNA(MATCH(INDIRECT("OrganizationAccessCasePolicy!D"&amp;$H32)&amp;"|"&amp;$V32,CaseTypeSetMember!$H:$H,0)))))</f>
        <v>0</v>
      </c>
      <c r="K32" s="6" t="b" cm="1">
        <f t="array" aca="1" ref="K32" ca="1">IF($H32="",FALSE,AND(INDIRECT("OrganizationAccessCasePolicy!I"&amp;$H32),NOT(ISNA(MATCH(INDIRECT("OrganizationAccessCasePolicy!D"&amp;$H32)&amp;"|"&amp;$V32,CaseTypeSetMember!$H:$H,0)))))</f>
        <v>0</v>
      </c>
      <c r="L32" s="6" t="str">
        <f>IF(ISNA(MATCH($C32&amp;"|"&amp;$R32,UserAccessCasePolicy!$W:$W,0)),"",MATCH($C32&amp;"|"&amp;$R32,UserAccessCasePolicy!$W:$W,0))</f>
        <v/>
      </c>
      <c r="M32" s="6" t="b" cm="1">
        <f t="array" aca="1" ref="M32" ca="1">IF($L32="",FALSE,NOT(ISNA(MATCH(INDIRECT("UserAccessCasePolicy!D"&amp;$L32)&amp;"|"&amp;$V32,CaseTypeSetMember!$H:$H,0))))</f>
        <v>0</v>
      </c>
      <c r="N32" s="6" t="b" cm="1">
        <f t="array" aca="1" ref="N32" ca="1">IF($L32="",FALSE,AND(INDIRECT("UserAccessCasePolicy!G"&amp;$L32),NOT(ISNA(MATCH(INDIRECT("UserAccessCasePolicy!D"&amp;$L32)&amp;"|"&amp;$V32,CaseTypeSetMember!$H:$H,0)))))</f>
        <v>0</v>
      </c>
      <c r="O32" s="6" t="b" cm="1">
        <f t="array" aca="1" ref="O32" ca="1">IF($L32="",FALSE,AND(INDIRECT("UserAccessCasePolicy!H"&amp;$L32),NOT(ISNA(MATCH(INDIRECT("UserAccessCasePolicy!D"&amp;$L32)&amp;"|"&amp;$V32,CaseTypeSetMember!$H:$H,0)))))</f>
        <v>0</v>
      </c>
      <c r="P32" t="s">
        <v>115</v>
      </c>
      <c r="Q32" s="6" t="str">
        <f>INDEX(CaseType!$B:$B,MATCH($P32,CaseType!$A:$A,0))</f>
        <v>case_type1</v>
      </c>
      <c r="R32" t="s">
        <v>11</v>
      </c>
      <c r="S32" s="6" t="str">
        <f>INDEX(DataCollection!$B:$B,MATCH($R32,DataCollection!$A:$A,0))</f>
        <v>data_collection1</v>
      </c>
      <c r="T32" t="b">
        <v>0</v>
      </c>
      <c r="U32" t="s">
        <v>667</v>
      </c>
      <c r="V32" s="6" t="str">
        <f>INDEX(_CaseData!$B:$B,MATCH($U32,_CaseData!$A:$A,0))</f>
        <v>0195d18c-1ca6-fd99-9d76-fcfa0c0cf400</v>
      </c>
      <c r="W32" t="s">
        <v>11</v>
      </c>
      <c r="X32" s="6" t="b">
        <f t="shared" si="2"/>
        <v>1</v>
      </c>
      <c r="Y32" s="6" t="b">
        <f t="shared" si="0"/>
        <v>1</v>
      </c>
    </row>
    <row r="33" spans="1:25" x14ac:dyDescent="0.3">
      <c r="A33">
        <v>32</v>
      </c>
      <c r="B33" t="b">
        <v>1</v>
      </c>
      <c r="C33" t="s">
        <v>38</v>
      </c>
      <c r="D33" s="6" t="str">
        <f>INDEX(User!$D:$D,MATCH($C33,User!$A:$A,0))</f>
        <v>org_user5_4</v>
      </c>
      <c r="E33" s="19" t="b">
        <f t="shared" ca="1" si="1"/>
        <v>0</v>
      </c>
      <c r="F33" s="6" t="str">
        <f>INDEX(User!$G:$G,MATCH($C33,User!$A:$A,0))</f>
        <v>0195d18c-1c93-02a2-6920-7e4dbfb73ce0</v>
      </c>
      <c r="G33" s="6" t="b">
        <f>INDEX(User!$M:$M,MATCH($C33,User!$A:$A,0))</f>
        <v>0</v>
      </c>
      <c r="H33" s="6" t="str">
        <f>IF(ISNA(MATCH($F33&amp;"|"&amp;$R33,OrganizationAccessCasePolicy!$V:$V,0)),"",MATCH($F33&amp;"|"&amp;$R33,OrganizationAccessCasePolicy!$V:$V,0))</f>
        <v/>
      </c>
      <c r="I33" s="6" t="b" cm="1">
        <f t="array" aca="1" ref="I33" ca="1">IF($H33="",FALSE,NOT(ISNA(MATCH(INDIRECT("OrganizationAccessCasePolicy!D"&amp;$H33)&amp;"|"&amp;$V33,CaseTypeSetMember!$H:$H,0))))</f>
        <v>0</v>
      </c>
      <c r="J33" s="6" t="b" cm="1">
        <f t="array" aca="1" ref="J33" ca="1">IF($H33="",FALSE,AND(INDIRECT("OrganizationAccessCasePolicy!H"&amp;$H33),NOT(ISNA(MATCH(INDIRECT("OrganizationAccessCasePolicy!D"&amp;$H33)&amp;"|"&amp;$V33,CaseTypeSetMember!$H:$H,0)))))</f>
        <v>0</v>
      </c>
      <c r="K33" s="6" t="b" cm="1">
        <f t="array" aca="1" ref="K33" ca="1">IF($H33="",FALSE,AND(INDIRECT("OrganizationAccessCasePolicy!I"&amp;$H33),NOT(ISNA(MATCH(INDIRECT("OrganizationAccessCasePolicy!D"&amp;$H33)&amp;"|"&amp;$V33,CaseTypeSetMember!$H:$H,0)))))</f>
        <v>0</v>
      </c>
      <c r="L33" s="6" t="str">
        <f>IF(ISNA(MATCH($C33&amp;"|"&amp;$R33,UserAccessCasePolicy!$W:$W,0)),"",MATCH($C33&amp;"|"&amp;$R33,UserAccessCasePolicy!$W:$W,0))</f>
        <v/>
      </c>
      <c r="M33" s="6" t="b" cm="1">
        <f t="array" aca="1" ref="M33" ca="1">IF($L33="",FALSE,NOT(ISNA(MATCH(INDIRECT("UserAccessCasePolicy!D"&amp;$L33)&amp;"|"&amp;$V33,CaseTypeSetMember!$H:$H,0))))</f>
        <v>0</v>
      </c>
      <c r="N33" s="6" t="b" cm="1">
        <f t="array" aca="1" ref="N33" ca="1">IF($L33="",FALSE,AND(INDIRECT("UserAccessCasePolicy!G"&amp;$L33),NOT(ISNA(MATCH(INDIRECT("UserAccessCasePolicy!D"&amp;$L33)&amp;"|"&amp;$V33,CaseTypeSetMember!$H:$H,0)))))</f>
        <v>0</v>
      </c>
      <c r="O33" s="6" t="b" cm="1">
        <f t="array" aca="1" ref="O33" ca="1">IF($L33="",FALSE,AND(INDIRECT("UserAccessCasePolicy!H"&amp;$L33),NOT(ISNA(MATCH(INDIRECT("UserAccessCasePolicy!D"&amp;$L33)&amp;"|"&amp;$V33,CaseTypeSetMember!$H:$H,0)))))</f>
        <v>0</v>
      </c>
      <c r="P33" t="s">
        <v>115</v>
      </c>
      <c r="Q33" s="6" t="str">
        <f>INDEX(CaseType!$B:$B,MATCH($P33,CaseType!$A:$A,0))</f>
        <v>case_type1</v>
      </c>
      <c r="R33" t="s">
        <v>11</v>
      </c>
      <c r="S33" s="6" t="str">
        <f>INDEX(DataCollection!$B:$B,MATCH($R33,DataCollection!$A:$A,0))</f>
        <v>data_collection1</v>
      </c>
      <c r="T33" t="b">
        <v>0</v>
      </c>
      <c r="U33" t="s">
        <v>667</v>
      </c>
      <c r="V33" s="6" t="str">
        <f>INDEX(_CaseData!$B:$B,MATCH($U33,_CaseData!$A:$A,0))</f>
        <v>0195d18c-1ca6-fd99-9d76-fcfa0c0cf400</v>
      </c>
      <c r="W33" t="s">
        <v>11</v>
      </c>
      <c r="X33" s="6" t="b">
        <f t="shared" si="2"/>
        <v>1</v>
      </c>
      <c r="Y33" s="6" t="b">
        <f t="shared" si="0"/>
        <v>1</v>
      </c>
    </row>
  </sheetData>
  <autoFilter ref="A1:Y33" xr:uid="{8E0C7C33-6768-4AAE-A57E-F80585DED472}"/>
  <phoneticPr fontId="4" type="noConversion"/>
  <conditionalFormatting sqref="X2:Y33">
    <cfRule type="expression" dxfId="1" priority="1">
      <formula>X2=FALSE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EAAA-5902-4E61-A75A-FC64D2011332}">
  <dimension ref="A1:BD76"/>
  <sheetViews>
    <sheetView tabSelected="1" topLeftCell="W1" zoomScale="80" zoomScaleNormal="80" workbookViewId="0">
      <pane ySplit="1" topLeftCell="A2" activePane="bottomLeft" state="frozen"/>
      <selection pane="bottomLeft" activeCell="AB2" sqref="AB2"/>
    </sheetView>
  </sheetViews>
  <sheetFormatPr defaultColWidth="5.6640625" defaultRowHeight="15" customHeight="1" x14ac:dyDescent="0.3"/>
  <cols>
    <col min="1" max="1" width="7.44140625" bestFit="1" customWidth="1"/>
    <col min="2" max="2" width="14.5546875" bestFit="1" customWidth="1"/>
    <col min="3" max="3" width="36.109375" bestFit="1" customWidth="1"/>
    <col min="4" max="4" width="35.6640625" bestFit="1" customWidth="1"/>
    <col min="5" max="5" width="18" style="6" bestFit="1" customWidth="1"/>
    <col min="6" max="6" width="13.33203125" bestFit="1" customWidth="1"/>
    <col min="7" max="7" width="11.6640625" style="19" bestFit="1" customWidth="1"/>
    <col min="8" max="8" width="35.44140625" style="6" bestFit="1" customWidth="1"/>
    <col min="9" max="9" width="29.6640625" style="6" bestFit="1" customWidth="1"/>
    <col min="10" max="10" width="37.109375" style="6" bestFit="1" customWidth="1"/>
    <col min="11" max="11" width="62.6640625" style="6" bestFit="1" customWidth="1"/>
    <col min="12" max="12" width="41.6640625" style="6" bestFit="1" customWidth="1"/>
    <col min="13" max="13" width="45" style="6" bestFit="1" customWidth="1"/>
    <col min="14" max="14" width="30.44140625" style="6" bestFit="1" customWidth="1"/>
    <col min="15" max="15" width="56.109375" style="6" bestFit="1" customWidth="1"/>
    <col min="16" max="16" width="35" style="6" bestFit="1" customWidth="1"/>
    <col min="17" max="17" width="38.109375" style="6" bestFit="1" customWidth="1"/>
    <col min="18" max="18" width="36.109375" bestFit="1" customWidth="1"/>
    <col min="19" max="19" width="12.21875" style="6" bestFit="1" customWidth="1"/>
    <col min="20" max="20" width="33.44140625" bestFit="1" customWidth="1"/>
    <col min="21" max="21" width="23.33203125" style="6" bestFit="1" customWidth="1"/>
    <col min="22" max="22" width="28.6640625" style="6" bestFit="1" customWidth="1"/>
    <col min="23" max="23" width="15.6640625" bestFit="1" customWidth="1"/>
    <col min="24" max="24" width="34.44140625" bestFit="1" customWidth="1"/>
    <col min="25" max="25" width="38.33203125" style="6" bestFit="1" customWidth="1"/>
    <col min="26" max="26" width="33.33203125" bestFit="1" customWidth="1"/>
    <col min="27" max="27" width="38.33203125" style="6" customWidth="1"/>
    <col min="28" max="28" width="36" bestFit="1" customWidth="1"/>
    <col min="29" max="29" width="38.33203125" style="6" customWidth="1"/>
    <col min="30" max="30" width="36" bestFit="1" customWidth="1"/>
    <col min="31" max="31" width="38.33203125" style="6" customWidth="1"/>
    <col min="32" max="32" width="36" bestFit="1" customWidth="1"/>
    <col min="33" max="33" width="38.33203125" style="6" customWidth="1"/>
    <col min="34" max="34" width="12" bestFit="1" customWidth="1"/>
    <col min="35" max="35" width="15.44140625" bestFit="1" customWidth="1"/>
    <col min="36" max="36" width="34.6640625" bestFit="1" customWidth="1"/>
    <col min="37" max="37" width="32.44140625" bestFit="1" customWidth="1"/>
    <col min="38" max="38" width="35.33203125" style="6" bestFit="1" customWidth="1"/>
    <col min="39" max="39" width="66.109375" style="6" bestFit="1" customWidth="1"/>
    <col min="40" max="40" width="66.6640625" style="6" bestFit="1" customWidth="1"/>
    <col min="41" max="41" width="59.33203125" style="6" bestFit="1" customWidth="1"/>
    <col min="42" max="42" width="60" style="6" bestFit="1" customWidth="1"/>
    <col min="43" max="43" width="35.44140625" bestFit="1" customWidth="1"/>
    <col min="44" max="44" width="32.44140625" bestFit="1" customWidth="1"/>
    <col min="45" max="45" width="35.33203125" style="6" bestFit="1" customWidth="1"/>
    <col min="46" max="46" width="66.109375" style="6" bestFit="1" customWidth="1"/>
    <col min="47" max="47" width="66.6640625" style="6" bestFit="1" customWidth="1"/>
    <col min="48" max="48" width="59.33203125" style="6" bestFit="1" customWidth="1"/>
    <col min="49" max="49" width="60" style="6" bestFit="1" customWidth="1"/>
    <col min="50" max="50" width="29.6640625" bestFit="1" customWidth="1"/>
    <col min="51" max="51" width="32.44140625" bestFit="1" customWidth="1"/>
    <col min="52" max="52" width="35.33203125" style="6" bestFit="1" customWidth="1"/>
    <col min="53" max="53" width="66.109375" style="6" bestFit="1" customWidth="1"/>
    <col min="54" max="54" width="66.6640625" style="6" bestFit="1" customWidth="1"/>
    <col min="55" max="55" width="59.33203125" style="6" bestFit="1" customWidth="1"/>
    <col min="56" max="56" width="60" style="6" bestFit="1" customWidth="1"/>
  </cols>
  <sheetData>
    <row r="1" spans="1:56" ht="15" customHeight="1" x14ac:dyDescent="0.3">
      <c r="A1" t="s">
        <v>274</v>
      </c>
      <c r="B1" t="s">
        <v>826</v>
      </c>
      <c r="C1" t="s">
        <v>0</v>
      </c>
      <c r="D1" t="s">
        <v>275</v>
      </c>
      <c r="E1" s="6" t="s">
        <v>292</v>
      </c>
      <c r="F1" t="s">
        <v>928</v>
      </c>
      <c r="G1" s="19" t="s">
        <v>276</v>
      </c>
      <c r="H1" s="6" t="s">
        <v>929</v>
      </c>
      <c r="I1" s="6" t="s">
        <v>930</v>
      </c>
      <c r="J1" s="6" t="s">
        <v>931</v>
      </c>
      <c r="K1" s="6" t="s">
        <v>932</v>
      </c>
      <c r="L1" s="6" t="s">
        <v>933</v>
      </c>
      <c r="M1" s="6" t="s">
        <v>934</v>
      </c>
      <c r="N1" s="6" t="s">
        <v>935</v>
      </c>
      <c r="O1" s="6" t="s">
        <v>936</v>
      </c>
      <c r="P1" s="6" t="s">
        <v>937</v>
      </c>
      <c r="Q1" s="6" t="s">
        <v>938</v>
      </c>
      <c r="R1" t="s">
        <v>939</v>
      </c>
      <c r="S1" s="6" t="s">
        <v>1084</v>
      </c>
      <c r="T1" t="s">
        <v>940</v>
      </c>
      <c r="U1" s="6" t="s">
        <v>941</v>
      </c>
      <c r="V1" s="6" t="s">
        <v>942</v>
      </c>
      <c r="W1" t="s">
        <v>943</v>
      </c>
      <c r="X1" t="s">
        <v>944</v>
      </c>
      <c r="Y1" s="6" t="s">
        <v>945</v>
      </c>
      <c r="Z1" t="s">
        <v>1242</v>
      </c>
      <c r="AA1" s="6" t="s">
        <v>1244</v>
      </c>
      <c r="AB1" t="s">
        <v>1260</v>
      </c>
      <c r="AC1" t="s">
        <v>1261</v>
      </c>
      <c r="AD1" t="s">
        <v>1243</v>
      </c>
      <c r="AE1" t="s">
        <v>1245</v>
      </c>
      <c r="AF1" t="s">
        <v>1258</v>
      </c>
      <c r="AG1" t="s">
        <v>1259</v>
      </c>
      <c r="AH1" t="s">
        <v>946</v>
      </c>
      <c r="AI1" t="s">
        <v>947</v>
      </c>
      <c r="AJ1" t="s">
        <v>948</v>
      </c>
      <c r="AK1" t="s">
        <v>949</v>
      </c>
      <c r="AL1" s="6" t="s">
        <v>950</v>
      </c>
      <c r="AM1" s="6" t="s">
        <v>951</v>
      </c>
      <c r="AN1" s="6" t="s">
        <v>952</v>
      </c>
      <c r="AO1" s="6" t="s">
        <v>953</v>
      </c>
      <c r="AP1" s="6" t="s">
        <v>954</v>
      </c>
      <c r="AQ1" t="s">
        <v>955</v>
      </c>
      <c r="AR1" t="s">
        <v>956</v>
      </c>
      <c r="AS1" s="6" t="s">
        <v>957</v>
      </c>
      <c r="AT1" s="6" t="s">
        <v>958</v>
      </c>
      <c r="AU1" s="6" t="s">
        <v>959</v>
      </c>
      <c r="AV1" s="6" t="s">
        <v>960</v>
      </c>
      <c r="AW1" s="6" t="s">
        <v>961</v>
      </c>
      <c r="AX1" t="s">
        <v>962</v>
      </c>
      <c r="AY1" t="s">
        <v>963</v>
      </c>
      <c r="AZ1" s="6" t="s">
        <v>964</v>
      </c>
      <c r="BA1" s="6" t="s">
        <v>965</v>
      </c>
      <c r="BB1" s="6" t="s">
        <v>966</v>
      </c>
      <c r="BC1" s="6" t="s">
        <v>967</v>
      </c>
      <c r="BD1" s="6" t="s">
        <v>968</v>
      </c>
    </row>
    <row r="2" spans="1:56" ht="15" customHeight="1" x14ac:dyDescent="0.3">
      <c r="A2">
        <v>1</v>
      </c>
      <c r="B2" t="b">
        <v>0</v>
      </c>
      <c r="C2" t="s">
        <v>969</v>
      </c>
      <c r="D2" t="s">
        <v>839</v>
      </c>
      <c r="E2" s="6" t="str">
        <f>INDEX(User!$D:$D,MATCH($D2,User!$A:$A,0))</f>
        <v>root1_1</v>
      </c>
      <c r="F2" t="s">
        <v>970</v>
      </c>
      <c r="G2" s="19" t="b">
        <f>IF($F2="CREATE",$I2,IF($F2="CREATE_CASES",OR($I2,AND($K2,$L2,$O2,$P2,$AN2,AP2,$AU2,$AW2,$BB2,$BD2)),"TBD"))</f>
        <v>1</v>
      </c>
      <c r="H2" s="6" t="str">
        <f>INDEX(User!$G:$G,MATCH($D2,User!$A:$A,0))</f>
        <v>018d074d-ea0c-e942-07db-a3cc0ba1d653</v>
      </c>
      <c r="I2" s="6" t="b">
        <f>INDEX(User!$M:$M,MATCH($D2,User!$A:$A,0))</f>
        <v>1</v>
      </c>
      <c r="J2" s="6">
        <f>IF(ISNA(MATCH($H2&amp;"|"&amp;$X2,OrganizationAccessCasePolicy!$V:$V,0)),"",MATCH($H2&amp;"|"&amp;$X2,OrganizationAccessCasePolicy!$V:$V,0))</f>
        <v>2</v>
      </c>
      <c r="K2" s="6" t="b" cm="1">
        <f t="array" aca="1" ref="K2" ca="1">IF($J2="",FALSE,NOT(ISNA(MATCH(INDIRECT("OrganizationAccessCasePolicy!D"&amp;$J2)&amp;"|"&amp;$T2,CaseTypeSetMember!$H:$H,0))))</f>
        <v>1</v>
      </c>
      <c r="L2" s="6" t="b" cm="1">
        <f t="array" aca="1" ref="L2" ca="1">IF($J2="",FALSE,AND(INDIRECT("OrganizationAccessCasePolicy!H"&amp;$J2),NOT(ISNA(MATCH(INDIRECT("OrganizationAccessCasePolicy!D"&amp;$J2)&amp;"|"&amp;$T2,CaseTypeSetMember!$H:$H,0)))))</f>
        <v>1</v>
      </c>
      <c r="M2" s="6" t="b" cm="1">
        <f t="array" aca="1" ref="M2" ca="1">IF($J2="",FALSE,AND(INDIRECT("OrganizationAccessCasePolicy!I"&amp;$J2),NOT(ISNA(MATCH(INDIRECT("OrganizationAccessCasePolicy!D"&amp;$J2)&amp;"|"&amp;$T2,CaseTypeSetMember!$H:$H,0)))))</f>
        <v>1</v>
      </c>
      <c r="N2" s="6" t="str">
        <f>IF(ISNA(MATCH($D2&amp;"|"&amp;$X2,UserAccessCasePolicy!$W:$W,0)),"",MATCH($D2&amp;"|"&amp;$X2,UserAccessCasePolicy!$W:$W,0))</f>
        <v/>
      </c>
      <c r="O2" s="6" t="b" cm="1">
        <f t="array" aca="1" ref="O2" ca="1">IF($N2="",FALSE,NOT(ISNA(MATCH(INDIRECT("UserAccessCasePolicy!D"&amp;$N2)&amp;"|"&amp;$T2,CaseTypeSetMember!$H:$H,0))))</f>
        <v>0</v>
      </c>
      <c r="P2" s="6" t="b" cm="1">
        <f t="array" aca="1" ref="P2" ca="1">IF($N2="",FALSE,AND(INDIRECT("UserAccessCasePolicy!G"&amp;$N2),NOT(ISNA(MATCH(INDIRECT("UserAccessCasePolicy!D"&amp;$N2)&amp;"|"&amp;$T2,CaseTypeSetMember!$H:$H,0)))))</f>
        <v>0</v>
      </c>
      <c r="Q2" s="6" t="b" cm="1">
        <f t="array" aca="1" ref="Q2" ca="1">IF($N2="",FALSE,AND(INDIRECT("UserAccessCasePolicy!H"&amp;$N2),NOT(ISNA(MATCH(INDIRECT("UserAccessCasePolicy!D"&amp;$N2)&amp;"|"&amp;$T2,CaseTypeSetMember!$H:$H,0)))))</f>
        <v>0</v>
      </c>
      <c r="R2" t="s">
        <v>971</v>
      </c>
      <c r="S2" s="6" t="str">
        <f>"case"&amp;MATCH($R2,$R$1:$R2,0)-1</f>
        <v>case1</v>
      </c>
      <c r="T2" t="s">
        <v>115</v>
      </c>
      <c r="U2" s="6" t="str">
        <f>INDEX(CaseType!$B:$B,MATCH($T2,CaseType!$A:$A,0))</f>
        <v>case_type1</v>
      </c>
      <c r="V2" s="6" t="b">
        <f>AND(IF($AJ2="",TRUE,$T2=INDEX(CaseTypeCol!$B:$B,MATCH($AJ2,CaseTypeCol!$A:$A,0))),IF($AQ2="",TRUE,$T2=INDEX(CaseTypeCol!$B:$B,MATCH($AQ2,CaseTypeCol!$A:$A,0))),IF($AX2="",TRUE,$T2=INDEX(CaseTypeCol!$B:$B,MATCH($AX2,CaseTypeCol!$A:$A,0))))</f>
        <v>1</v>
      </c>
      <c r="X2" t="s">
        <v>11</v>
      </c>
      <c r="Y2" s="6" t="str">
        <f>INDEX(DataCollection!$B:$B,MATCH($X2,DataCollection!$A:$A,0))</f>
        <v>data_collection1</v>
      </c>
      <c r="AA2" s="6" t="str">
        <f>IF($Z2="","",INDEX(CaseTypeCol!$J:$J,MATCH($Z2,CaseTypeCol!$A:$A,0)))</f>
        <v/>
      </c>
      <c r="AC2" s="6" t="str">
        <f>IF($AB2="","",INDEX(IdentifierIssuer!$B:$B,MATCH($AB2,IdentifierIssuer!$A:$A,0)))</f>
        <v/>
      </c>
      <c r="AE2" s="6" t="str">
        <f>IF($AD2="","",INDEX(SequencingProtocol!$B:$B,MATCH($AD2,SequencingProtocol!$A:$A,0)))</f>
        <v/>
      </c>
      <c r="AG2" s="6" t="str">
        <f>IF($AF2="","",INDEX(AssemblyProtocol!$B:$B,MATCH($AF2,AssemblyProtocol!$A:$A,0)))</f>
        <v/>
      </c>
      <c r="AI2" s="14">
        <v>36526</v>
      </c>
      <c r="AJ2" t="s">
        <v>516</v>
      </c>
      <c r="AK2" t="s">
        <v>972</v>
      </c>
      <c r="AL2" s="6" t="str">
        <f>IF($AJ2="","",INDEX(CaseTypeCol!$J:$J,MATCH($AJ2,CaseTypeCol!$A:$A,0)))</f>
        <v>case_type_col1_7_0_1_TEXT</v>
      </c>
      <c r="AM2" s="6" t="b" cm="1">
        <f t="array" aca="1" ref="AM2" ca="1">IF($AJ2="",TRUE,IF($J2="",FALSE,IF(INDIRECT("OrganizationAccessCasePolicy!J"&amp;$J2)="",FALSE,NOT(ISNA(MATCH(INDIRECT("OrganizationAccessCasePolicy!J"&amp;$J2)&amp;"|"&amp;$AJ2,CaseTypeColSetMember!$H:$H,0))))))</f>
        <v>1</v>
      </c>
      <c r="AN2" s="6" t="b" cm="1">
        <f t="array" aca="1" ref="AN2" ca="1">IF($AJ2="",TRUE,IF($J2="",FALSE,IF(INDIRECT("OrganizationAccessCasePolicy!L"&amp;$J2)="",FALSE,NOT(ISNA(MATCH(INDIRECT("OrganizationAccessCasePolicy!L"&amp;$J2)&amp;"|"&amp;$AJ2,CaseTypeColSetMember!$H:$H,0))))))</f>
        <v>1</v>
      </c>
      <c r="AO2" s="6" t="b" cm="1">
        <f t="array" aca="1" ref="AO2" ca="1">IF($AJ2="",TRUE,IF($N2="",FALSE,IF(INDIRECT("UserAccessCasePolicy!I"&amp;$N2)="",FALSE,NOT(ISNA(MATCH(INDIRECT("UserAccessCasePolicy!I"&amp;$N2)&amp;"|"&amp;$AJ2,CaseTypeColSetMember!$H:$H,0))))))</f>
        <v>0</v>
      </c>
      <c r="AP2" s="6" t="b" cm="1">
        <f t="array" aca="1" ref="AP2" ca="1">IF($AJ2="",TRUE,IF($N2="",FALSE,IF(INDIRECT("UserAccessCasePolicy!K"&amp;$N2)="",FALSE,NOT(ISNA(MATCH(INDIRECT("UserAccessCasePolicy!K"&amp;$N2)&amp;"|"&amp;$AJ2,CaseTypeColSetMember!$H:$H,0))))))</f>
        <v>0</v>
      </c>
      <c r="AS2" s="6" t="str">
        <f>IF($AQ2="","",INDEX(CaseTypeCol!$J:$J,MATCH($AQ2,CaseTypeCol!$A:$A,0)))</f>
        <v/>
      </c>
      <c r="AT2" s="6" t="b" cm="1">
        <f t="array" aca="1" ref="AT2" ca="1">IF($AQ2="",TRUE,IF($J2="",FALSE,IF(INDIRECT("OrganizationAccessCasePolicy!J"&amp;$J2)="",FALSE,NOT(ISNA(MATCH(INDIRECT("OrganizationAccessCasePolicy!J"&amp;$J2)&amp;"|"&amp;$AQ2,CaseTypeColSetMember!$H:$H,0))))))</f>
        <v>1</v>
      </c>
      <c r="AU2" s="6" t="b" cm="1">
        <f t="array" aca="1" ref="AU2" ca="1">IF($AQ2="",TRUE,IF($J2="",FALSE,IF(INDIRECT("OrganizationAccessCasePolicy!L"&amp;$J2)="",FALSE,NOT(ISNA(MATCH(INDIRECT("OrganizationAccessCasePolicy!L"&amp;$J2)&amp;"|"&amp;$AQ2,CaseTypeColSetMember!$H:$H,0))))))</f>
        <v>1</v>
      </c>
      <c r="AV2" s="6" t="b" cm="1">
        <f t="array" aca="1" ref="AV2" ca="1">IF($AQ2="",TRUE,IF($N2="",FALSE,IF(INDIRECT("UserAccessCasePolicy!I"&amp;$N2)="",FALSE,NOT(ISNA(MATCH(INDIRECT("UserAccessCasePolicy!I"&amp;$N2)&amp;"|"&amp;$AQ2,CaseTypeColSetMember!$H:$H,0))))))</f>
        <v>1</v>
      </c>
      <c r="AW2" s="6" t="b" cm="1">
        <f t="array" aca="1" ref="AW2" ca="1">IF($AQ2="",TRUE,IF($N2="",FALSE,IF(INDIRECT("UserAccessCasePolicy!K"&amp;$N2)="",FALSE,NOT(ISNA(MATCH(INDIRECT("UserAccessCasePolicy!K"&amp;$N2)&amp;"|"&amp;$AQ2,CaseTypeColSetMember!$H:$H,0))))))</f>
        <v>1</v>
      </c>
      <c r="AZ2" s="6" t="str">
        <f>IF($AX2="","",INDEX(CaseTypeCol!$J:$J,MATCH($AX2,CaseTypeCol!$A:$A,0)))</f>
        <v/>
      </c>
      <c r="BA2" s="6" t="b" cm="1">
        <f t="array" aca="1" ref="BA2" ca="1">IF($AX2="",TRUE,IF($J2="",FALSE,IF(INDIRECT("OrganizationAccessCasePolicy!J"&amp;$J2)="",FALSE,NOT(ISNA(MATCH(INDIRECT("OrganizationAccessCasePolicy!J"&amp;$J2)&amp;"|"&amp;$AX2,CaseTypeColSetMember!$H:$H,0))))))</f>
        <v>1</v>
      </c>
      <c r="BB2" s="6" t="b" cm="1">
        <f t="array" aca="1" ref="BB2" ca="1">IF($AX2="",TRUE,IF($J2="",FALSE,IF(INDIRECT("OrganizationAccessCasePolicy!L"&amp;$J2)="",FALSE,NOT(ISNA(MATCH(INDIRECT("OrganizationAccessCasePolicy!L"&amp;$J2)&amp;"|"&amp;$AX2,CaseTypeColSetMember!$H:$H,0))))))</f>
        <v>1</v>
      </c>
      <c r="BC2" s="6" t="b" cm="1">
        <f t="array" aca="1" ref="BC2" ca="1">IF($AX2="",TRUE,IF($N2="",FALSE,IF(INDIRECT("UserAccessCasePolicy!I"&amp;$N2)="",FALSE,NOT(ISNA(MATCH(INDIRECT("UserAccessCasePolicy!I"&amp;$N2)&amp;"|"&amp;$AX2,CaseTypeColSetMember!$H:$H,0))))))</f>
        <v>1</v>
      </c>
      <c r="BD2" s="6" t="b" cm="1">
        <f t="array" aca="1" ref="BD2" ca="1">IF($AX2="",TRUE,IF($N2="",FALSE,IF(INDIRECT("UserAccessCasePolicy!K"&amp;$N2)="",FALSE,NOT(ISNA(MATCH(INDIRECT("UserAccessCasePolicy!K"&amp;$N2)&amp;"|"&amp;$AX2,CaseTypeColSetMember!$H:$H,0))))))</f>
        <v>1</v>
      </c>
    </row>
    <row r="3" spans="1:56" ht="15" customHeight="1" x14ac:dyDescent="0.3">
      <c r="A3">
        <v>2</v>
      </c>
      <c r="B3" t="b">
        <v>0</v>
      </c>
      <c r="C3" t="s">
        <v>973</v>
      </c>
      <c r="D3" t="s">
        <v>185</v>
      </c>
      <c r="E3" s="6" t="str">
        <f>INDEX(User!$D:$D,MATCH($D3,User!$A:$A,0))</f>
        <v>app_admin1_1</v>
      </c>
      <c r="F3" t="s">
        <v>970</v>
      </c>
      <c r="G3" s="19" t="b">
        <f>IF($F3="CREATE",$I3,IF($F3="CREATE_CASES",OR($I3,AND($K3,$L3,$O3,$P3,$AN3,AP3,$AU3,$AW3,$BB3,$BD3)),"TBD"))</f>
        <v>1</v>
      </c>
      <c r="H3" s="6" t="str">
        <f>INDEX(User!$G:$G,MATCH($D3,User!$A:$A,0))</f>
        <v>018d074d-ea0c-e942-07db-a3cc0ba1d653</v>
      </c>
      <c r="I3" s="6" t="b">
        <f>INDEX(User!$M:$M,MATCH($D3,User!$A:$A,0))</f>
        <v>1</v>
      </c>
      <c r="J3" s="6">
        <f>IF(ISNA(MATCH($H3&amp;"|"&amp;$X3,OrganizationAccessCasePolicy!$V:$V,0)),"",MATCH($H3&amp;"|"&amp;$X3,OrganizationAccessCasePolicy!$V:$V,0))</f>
        <v>2</v>
      </c>
      <c r="K3" s="6" t="b" cm="1">
        <f t="array" aca="1" ref="K3" ca="1">IF($J3="",FALSE,NOT(ISNA(MATCH(INDIRECT("OrganizationAccessCasePolicy!D"&amp;$J3)&amp;"|"&amp;$T3,CaseTypeSetMember!$H:$H,0))))</f>
        <v>1</v>
      </c>
      <c r="L3" s="6" t="b" cm="1">
        <f t="array" aca="1" ref="L3" ca="1">IF($J3="",FALSE,AND(INDIRECT("OrganizationAccessCasePolicy!H"&amp;$J3),NOT(ISNA(MATCH(INDIRECT("OrganizationAccessCasePolicy!D"&amp;$J3)&amp;"|"&amp;$T3,CaseTypeSetMember!$H:$H,0)))))</f>
        <v>1</v>
      </c>
      <c r="M3" s="6" t="b" cm="1">
        <f t="array" aca="1" ref="M3" ca="1">IF($J3="",FALSE,AND(INDIRECT("OrganizationAccessCasePolicy!I"&amp;$J3),NOT(ISNA(MATCH(INDIRECT("OrganizationAccessCasePolicy!D"&amp;$J3)&amp;"|"&amp;$T3,CaseTypeSetMember!$H:$H,0)))))</f>
        <v>1</v>
      </c>
      <c r="N3" s="6" t="str">
        <f>IF(ISNA(MATCH($D3&amp;"|"&amp;$X3,UserAccessCasePolicy!$W:$W,0)),"",MATCH($D3&amp;"|"&amp;$X3,UserAccessCasePolicy!$W:$W,0))</f>
        <v/>
      </c>
      <c r="O3" s="6" t="b" cm="1">
        <f t="array" aca="1" ref="O3" ca="1">IF($N3="",FALSE,NOT(ISNA(MATCH(INDIRECT("UserAccessCasePolicy!D"&amp;$N3)&amp;"|"&amp;$T3,CaseTypeSetMember!$H:$H,0))))</f>
        <v>0</v>
      </c>
      <c r="P3" s="6" t="b" cm="1">
        <f t="array" aca="1" ref="P3" ca="1">IF($N3="",FALSE,AND(INDIRECT("UserAccessCasePolicy!G"&amp;$N3),NOT(ISNA(MATCH(INDIRECT("UserAccessCasePolicy!D"&amp;$N3)&amp;"|"&amp;$T3,CaseTypeSetMember!$H:$H,0)))))</f>
        <v>0</v>
      </c>
      <c r="Q3" s="6" t="b" cm="1">
        <f t="array" aca="1" ref="Q3" ca="1">IF($N3="",FALSE,AND(INDIRECT("UserAccessCasePolicy!H"&amp;$N3),NOT(ISNA(MATCH(INDIRECT("UserAccessCasePolicy!D"&amp;$N3)&amp;"|"&amp;$T3,CaseTypeSetMember!$H:$H,0)))))</f>
        <v>0</v>
      </c>
      <c r="R3" t="s">
        <v>974</v>
      </c>
      <c r="S3" s="6" t="str">
        <f>"case"&amp;MATCH($R3,$R$1:$R3,0)-1</f>
        <v>case2</v>
      </c>
      <c r="T3" t="s">
        <v>115</v>
      </c>
      <c r="U3" s="6" t="str">
        <f>INDEX(CaseType!$B:$B,MATCH($T3,CaseType!$A:$A,0))</f>
        <v>case_type1</v>
      </c>
      <c r="V3" s="6" t="b">
        <f>AND(IF($AJ3="",TRUE,$T3=INDEX(CaseTypeCol!$B:$B,MATCH($AJ3,CaseTypeCol!$A:$A,0))),IF($AQ3="",TRUE,$T3=INDEX(CaseTypeCol!$B:$B,MATCH($AQ3,CaseTypeCol!$A:$A,0))),IF($AX3="",TRUE,$T3=INDEX(CaseTypeCol!$B:$B,MATCH($AX3,CaseTypeCol!$A:$A,0))))</f>
        <v>1</v>
      </c>
      <c r="X3" t="s">
        <v>11</v>
      </c>
      <c r="Y3" s="6" t="str">
        <f>INDEX(DataCollection!$B:$B,MATCH($X3,DataCollection!$A:$A,0))</f>
        <v>data_collection1</v>
      </c>
      <c r="AA3" s="6" t="str">
        <f>IF($Z3="","",INDEX(CaseTypeCol!$J:$J,MATCH($Z3,CaseTypeCol!$A:$A,0)))</f>
        <v/>
      </c>
      <c r="AC3" s="6" t="str">
        <f>IF($AB3="","",INDEX(IdentifierIssuer!$B:$B,MATCH($AB3,IdentifierIssuer!$A:$A,0)))</f>
        <v/>
      </c>
      <c r="AE3" s="6" t="str">
        <f>IF($AD3="","",INDEX(SequencingProtocol!$B:$B,MATCH($AD3,SequencingProtocol!$A:$A,0)))</f>
        <v/>
      </c>
      <c r="AG3" s="6" t="str">
        <f>IF($AF3="","",INDEX(AssemblyProtocol!$B:$B,MATCH($AF3,AssemblyProtocol!$A:$A,0)))</f>
        <v/>
      </c>
      <c r="AI3" s="14">
        <v>36526</v>
      </c>
      <c r="AJ3" t="s">
        <v>516</v>
      </c>
      <c r="AK3" t="s">
        <v>972</v>
      </c>
      <c r="AL3" s="6" t="str">
        <f>IF($AJ3="","",INDEX(CaseTypeCol!$J:$J,MATCH($AJ3,CaseTypeCol!$A:$A,0)))</f>
        <v>case_type_col1_7_0_1_TEXT</v>
      </c>
      <c r="AM3" s="6" t="b" cm="1">
        <f t="array" aca="1" ref="AM3" ca="1">IF($AJ3="",TRUE,IF($J3="",FALSE,IF(INDIRECT("OrganizationAccessCasePolicy!J"&amp;$J3)="",FALSE,NOT(ISNA(MATCH(INDIRECT("OrganizationAccessCasePolicy!J"&amp;$J3)&amp;"|"&amp;$AJ3,CaseTypeColSetMember!$H:$H,0))))))</f>
        <v>1</v>
      </c>
      <c r="AN3" s="6" t="b" cm="1">
        <f t="array" aca="1" ref="AN3" ca="1">IF($AJ3="",TRUE,IF($J3="",FALSE,IF(INDIRECT("OrganizationAccessCasePolicy!L"&amp;$J3)="",FALSE,NOT(ISNA(MATCH(INDIRECT("OrganizationAccessCasePolicy!L"&amp;$J3)&amp;"|"&amp;$AJ3,CaseTypeColSetMember!$H:$H,0))))))</f>
        <v>1</v>
      </c>
      <c r="AO3" s="6" t="b" cm="1">
        <f t="array" aca="1" ref="AO3" ca="1">IF($AJ3="",TRUE,IF($N3="",FALSE,IF(INDIRECT("UserAccessCasePolicy!I"&amp;$N3)="",FALSE,NOT(ISNA(MATCH(INDIRECT("UserAccessCasePolicy!I"&amp;$N3)&amp;"|"&amp;$AJ3,CaseTypeColSetMember!$H:$H,0))))))</f>
        <v>0</v>
      </c>
      <c r="AP3" s="6" t="b" cm="1">
        <f t="array" aca="1" ref="AP3" ca="1">IF($AJ3="",TRUE,IF($N3="",FALSE,IF(INDIRECT("UserAccessCasePolicy!K"&amp;$N3)="",FALSE,NOT(ISNA(MATCH(INDIRECT("UserAccessCasePolicy!K"&amp;$N3)&amp;"|"&amp;$AJ3,CaseTypeColSetMember!$H:$H,0))))))</f>
        <v>0</v>
      </c>
      <c r="AS3" s="6" t="str">
        <f>IF($AQ3="","",INDEX(CaseTypeCol!$J:$J,MATCH($AQ3,CaseTypeCol!$A:$A,0)))</f>
        <v/>
      </c>
      <c r="AT3" s="6" t="b" cm="1">
        <f t="array" aca="1" ref="AT3" ca="1">IF($AQ3="",TRUE,IF($J3="",FALSE,IF(INDIRECT("OrganizationAccessCasePolicy!J"&amp;$J3)="",FALSE,NOT(ISNA(MATCH(INDIRECT("OrganizationAccessCasePolicy!J"&amp;$J3)&amp;"|"&amp;$AQ3,CaseTypeColSetMember!$H:$H,0))))))</f>
        <v>1</v>
      </c>
      <c r="AU3" s="6" t="b" cm="1">
        <f t="array" aca="1" ref="AU3" ca="1">IF($AQ3="",TRUE,IF($J3="",FALSE,IF(INDIRECT("OrganizationAccessCasePolicy!L"&amp;$J3)="",FALSE,NOT(ISNA(MATCH(INDIRECT("OrganizationAccessCasePolicy!L"&amp;$J3)&amp;"|"&amp;$AQ3,CaseTypeColSetMember!$H:$H,0))))))</f>
        <v>1</v>
      </c>
      <c r="AV3" s="6" t="b" cm="1">
        <f t="array" aca="1" ref="AV3" ca="1">IF($AQ3="",TRUE,IF($N3="",FALSE,IF(INDIRECT("UserAccessCasePolicy!I"&amp;$N3)="",FALSE,NOT(ISNA(MATCH(INDIRECT("UserAccessCasePolicy!I"&amp;$N3)&amp;"|"&amp;$AQ3,CaseTypeColSetMember!$H:$H,0))))))</f>
        <v>1</v>
      </c>
      <c r="AW3" s="6" t="b" cm="1">
        <f t="array" aca="1" ref="AW3" ca="1">IF($AQ3="",TRUE,IF($N3="",FALSE,IF(INDIRECT("UserAccessCasePolicy!K"&amp;$N3)="",FALSE,NOT(ISNA(MATCH(INDIRECT("UserAccessCasePolicy!K"&amp;$N3)&amp;"|"&amp;$AQ3,CaseTypeColSetMember!$H:$H,0))))))</f>
        <v>1</v>
      </c>
      <c r="AZ3" s="6" t="str">
        <f>IF($AX3="","",INDEX(CaseTypeCol!$J:$J,MATCH($AX3,CaseTypeCol!$A:$A,0)))</f>
        <v/>
      </c>
      <c r="BA3" s="6" t="b" cm="1">
        <f t="array" aca="1" ref="BA3" ca="1">IF($AX3="",TRUE,IF($J3="",FALSE,IF(INDIRECT("OrganizationAccessCasePolicy!J"&amp;$J3)="",FALSE,NOT(ISNA(MATCH(INDIRECT("OrganizationAccessCasePolicy!J"&amp;$J3)&amp;"|"&amp;$AX3,CaseTypeColSetMember!$H:$H,0))))))</f>
        <v>1</v>
      </c>
      <c r="BB3" s="6" t="b" cm="1">
        <f t="array" aca="1" ref="BB3" ca="1">IF($AX3="",TRUE,IF($J3="",FALSE,IF(INDIRECT("OrganizationAccessCasePolicy!L"&amp;$J3)="",FALSE,NOT(ISNA(MATCH(INDIRECT("OrganizationAccessCasePolicy!L"&amp;$J3)&amp;"|"&amp;$AX3,CaseTypeColSetMember!$H:$H,0))))))</f>
        <v>1</v>
      </c>
      <c r="BC3" s="6" t="b" cm="1">
        <f t="array" aca="1" ref="BC3" ca="1">IF($AX3="",TRUE,IF($N3="",FALSE,IF(INDIRECT("UserAccessCasePolicy!I"&amp;$N3)="",FALSE,NOT(ISNA(MATCH(INDIRECT("UserAccessCasePolicy!I"&amp;$N3)&amp;"|"&amp;$AX3,CaseTypeColSetMember!$H:$H,0))))))</f>
        <v>1</v>
      </c>
      <c r="BD3" s="6" t="b" cm="1">
        <f t="array" aca="1" ref="BD3" ca="1">IF($AX3="",TRUE,IF($N3="",FALSE,IF(INDIRECT("UserAccessCasePolicy!K"&amp;$N3)="",FALSE,NOT(ISNA(MATCH(INDIRECT("UserAccessCasePolicy!K"&amp;$N3)&amp;"|"&amp;$AX3,CaseTypeColSetMember!$H:$H,0))))))</f>
        <v>1</v>
      </c>
    </row>
    <row r="4" spans="1:56" ht="15" customHeight="1" x14ac:dyDescent="0.3">
      <c r="A4">
        <v>3</v>
      </c>
      <c r="B4" t="b">
        <v>0</v>
      </c>
      <c r="C4" t="s">
        <v>975</v>
      </c>
      <c r="D4" t="s">
        <v>186</v>
      </c>
      <c r="E4" s="6" t="str">
        <f>INDEX(User!$D:$D,MATCH($D4,User!$A:$A,0))</f>
        <v>refdata_admin1_1</v>
      </c>
      <c r="F4" t="s">
        <v>970</v>
      </c>
      <c r="G4" s="19" t="b">
        <f>IF($F4="CREATE",$I4,IF($F4="CREATE_CASES",OR($I4,AND($K4,$L4,$O4,$P4,$AN4,AP4,$AU4,$AW4,$BB4,$BD4)),"TBD"))</f>
        <v>0</v>
      </c>
      <c r="H4" s="6" t="str">
        <f>INDEX(User!$G:$G,MATCH($D4,User!$A:$A,0))</f>
        <v>018d074d-ea0c-e942-07db-a3cc0ba1d653</v>
      </c>
      <c r="I4" s="6" t="b">
        <f>INDEX(User!$M:$M,MATCH($D4,User!$A:$A,0))</f>
        <v>0</v>
      </c>
      <c r="J4" s="6">
        <f>IF(ISNA(MATCH($H4&amp;"|"&amp;$X4,OrganizationAccessCasePolicy!$V:$V,0)),"",MATCH($H4&amp;"|"&amp;$X4,OrganizationAccessCasePolicy!$V:$V,0))</f>
        <v>2</v>
      </c>
      <c r="K4" s="6" t="b" cm="1">
        <f t="array" aca="1" ref="K4" ca="1">IF($J4="",FALSE,NOT(ISNA(MATCH(INDIRECT("OrganizationAccessCasePolicy!D"&amp;$J4)&amp;"|"&amp;$T4,CaseTypeSetMember!$H:$H,0))))</f>
        <v>1</v>
      </c>
      <c r="L4" s="6" t="b" cm="1">
        <f t="array" aca="1" ref="L4" ca="1">IF($J4="",FALSE,AND(INDIRECT("OrganizationAccessCasePolicy!H"&amp;$J4),NOT(ISNA(MATCH(INDIRECT("OrganizationAccessCasePolicy!D"&amp;$J4)&amp;"|"&amp;$T4,CaseTypeSetMember!$H:$H,0)))))</f>
        <v>1</v>
      </c>
      <c r="M4" s="6" t="b" cm="1">
        <f t="array" aca="1" ref="M4" ca="1">IF($J4="",FALSE,AND(INDIRECT("OrganizationAccessCasePolicy!I"&amp;$J4),NOT(ISNA(MATCH(INDIRECT("OrganizationAccessCasePolicy!D"&amp;$J4)&amp;"|"&amp;$T4,CaseTypeSetMember!$H:$H,0)))))</f>
        <v>1</v>
      </c>
      <c r="N4" s="6" t="str">
        <f>IF(ISNA(MATCH($D4&amp;"|"&amp;$X4,UserAccessCasePolicy!$W:$W,0)),"",MATCH($D4&amp;"|"&amp;$X4,UserAccessCasePolicy!$W:$W,0))</f>
        <v/>
      </c>
      <c r="O4" s="6" t="b" cm="1">
        <f t="array" aca="1" ref="O4" ca="1">IF($N4="",FALSE,NOT(ISNA(MATCH(INDIRECT("UserAccessCasePolicy!D"&amp;$N4)&amp;"|"&amp;$T4,CaseTypeSetMember!$H:$H,0))))</f>
        <v>0</v>
      </c>
      <c r="P4" s="6" t="b" cm="1">
        <f t="array" aca="1" ref="P4" ca="1">IF($N4="",FALSE,AND(INDIRECT("UserAccessCasePolicy!G"&amp;$N4),NOT(ISNA(MATCH(INDIRECT("UserAccessCasePolicy!D"&amp;$N4)&amp;"|"&amp;$T4,CaseTypeSetMember!$H:$H,0)))))</f>
        <v>0</v>
      </c>
      <c r="Q4" s="6" t="b" cm="1">
        <f t="array" aca="1" ref="Q4" ca="1">IF($N4="",FALSE,AND(INDIRECT("UserAccessCasePolicy!H"&amp;$N4),NOT(ISNA(MATCH(INDIRECT("UserAccessCasePolicy!D"&amp;$N4)&amp;"|"&amp;$T4,CaseTypeSetMember!$H:$H,0)))))</f>
        <v>0</v>
      </c>
      <c r="R4" t="s">
        <v>976</v>
      </c>
      <c r="S4" s="6" t="str">
        <f>"case"&amp;MATCH($R4,$R$1:$R4,0)-1</f>
        <v>case3</v>
      </c>
      <c r="T4" t="s">
        <v>115</v>
      </c>
      <c r="U4" s="6" t="str">
        <f>INDEX(CaseType!$B:$B,MATCH($T4,CaseType!$A:$A,0))</f>
        <v>case_type1</v>
      </c>
      <c r="V4" s="6" t="b">
        <f>AND(IF($AJ4="",TRUE,$T4=INDEX(CaseTypeCol!$B:$B,MATCH($AJ4,CaseTypeCol!$A:$A,0))),IF($AQ4="",TRUE,$T4=INDEX(CaseTypeCol!$B:$B,MATCH($AQ4,CaseTypeCol!$A:$A,0))),IF($AX4="",TRUE,$T4=INDEX(CaseTypeCol!$B:$B,MATCH($AX4,CaseTypeCol!$A:$A,0))))</f>
        <v>1</v>
      </c>
      <c r="X4" t="s">
        <v>11</v>
      </c>
      <c r="Y4" s="6" t="str">
        <f>INDEX(DataCollection!$B:$B,MATCH($X4,DataCollection!$A:$A,0))</f>
        <v>data_collection1</v>
      </c>
      <c r="AA4" s="6" t="str">
        <f>IF($Z4="","",INDEX(CaseTypeCol!$J:$J,MATCH($Z4,CaseTypeCol!$A:$A,0)))</f>
        <v/>
      </c>
      <c r="AC4" s="6" t="str">
        <f>IF($AB4="","",INDEX(IdentifierIssuer!$B:$B,MATCH($AB4,IdentifierIssuer!$A:$A,0)))</f>
        <v/>
      </c>
      <c r="AE4" s="6" t="str">
        <f>IF($AD4="","",INDEX(SequencingProtocol!$B:$B,MATCH($AD4,SequencingProtocol!$A:$A,0)))</f>
        <v/>
      </c>
      <c r="AG4" s="6" t="str">
        <f>IF($AF4="","",INDEX(AssemblyProtocol!$B:$B,MATCH($AF4,AssemblyProtocol!$A:$A,0)))</f>
        <v/>
      </c>
      <c r="AI4" s="14">
        <v>36526</v>
      </c>
      <c r="AJ4" t="s">
        <v>516</v>
      </c>
      <c r="AK4" t="s">
        <v>972</v>
      </c>
      <c r="AL4" s="6" t="str">
        <f>IF($AJ4="","",INDEX(CaseTypeCol!$J:$J,MATCH($AJ4,CaseTypeCol!$A:$A,0)))</f>
        <v>case_type_col1_7_0_1_TEXT</v>
      </c>
      <c r="AM4" s="6" t="b" cm="1">
        <f t="array" aca="1" ref="AM4" ca="1">IF($AJ4="",TRUE,IF($J4="",FALSE,IF(INDIRECT("OrganizationAccessCasePolicy!J"&amp;$J4)="",FALSE,NOT(ISNA(MATCH(INDIRECT("OrganizationAccessCasePolicy!J"&amp;$J4)&amp;"|"&amp;$AJ4,CaseTypeColSetMember!$H:$H,0))))))</f>
        <v>1</v>
      </c>
      <c r="AN4" s="6" t="b" cm="1">
        <f t="array" aca="1" ref="AN4" ca="1">IF($AJ4="",TRUE,IF($J4="",FALSE,IF(INDIRECT("OrganizationAccessCasePolicy!L"&amp;$J4)="",FALSE,NOT(ISNA(MATCH(INDIRECT("OrganizationAccessCasePolicy!L"&amp;$J4)&amp;"|"&amp;$AJ4,CaseTypeColSetMember!$H:$H,0))))))</f>
        <v>1</v>
      </c>
      <c r="AO4" s="6" t="b" cm="1">
        <f t="array" aca="1" ref="AO4" ca="1">IF($AJ4="",TRUE,IF($N4="",FALSE,IF(INDIRECT("UserAccessCasePolicy!I"&amp;$N4)="",FALSE,NOT(ISNA(MATCH(INDIRECT("UserAccessCasePolicy!I"&amp;$N4)&amp;"|"&amp;$AJ4,CaseTypeColSetMember!$H:$H,0))))))</f>
        <v>0</v>
      </c>
      <c r="AP4" s="6" t="b" cm="1">
        <f t="array" aca="1" ref="AP4" ca="1">IF($AJ4="",TRUE,IF($N4="",FALSE,IF(INDIRECT("UserAccessCasePolicy!K"&amp;$N4)="",FALSE,NOT(ISNA(MATCH(INDIRECT("UserAccessCasePolicy!K"&amp;$N4)&amp;"|"&amp;$AJ4,CaseTypeColSetMember!$H:$H,0))))))</f>
        <v>0</v>
      </c>
      <c r="AS4" s="6" t="str">
        <f>IF($AQ4="","",INDEX(CaseTypeCol!$J:$J,MATCH($AQ4,CaseTypeCol!$A:$A,0)))</f>
        <v/>
      </c>
      <c r="AT4" s="6" t="b" cm="1">
        <f t="array" aca="1" ref="AT4" ca="1">IF($AQ4="",TRUE,IF($J4="",FALSE,IF(INDIRECT("OrganizationAccessCasePolicy!J"&amp;$J4)="",FALSE,NOT(ISNA(MATCH(INDIRECT("OrganizationAccessCasePolicy!J"&amp;$J4)&amp;"|"&amp;$AQ4,CaseTypeColSetMember!$H:$H,0))))))</f>
        <v>1</v>
      </c>
      <c r="AU4" s="6" t="b" cm="1">
        <f t="array" aca="1" ref="AU4" ca="1">IF($AQ4="",TRUE,IF($J4="",FALSE,IF(INDIRECT("OrganizationAccessCasePolicy!L"&amp;$J4)="",FALSE,NOT(ISNA(MATCH(INDIRECT("OrganizationAccessCasePolicy!L"&amp;$J4)&amp;"|"&amp;$AQ4,CaseTypeColSetMember!$H:$H,0))))))</f>
        <v>1</v>
      </c>
      <c r="AV4" s="6" t="b" cm="1">
        <f t="array" aca="1" ref="AV4" ca="1">IF($AQ4="",TRUE,IF($N4="",FALSE,IF(INDIRECT("UserAccessCasePolicy!I"&amp;$N4)="",FALSE,NOT(ISNA(MATCH(INDIRECT("UserAccessCasePolicy!I"&amp;$N4)&amp;"|"&amp;$AQ4,CaseTypeColSetMember!$H:$H,0))))))</f>
        <v>1</v>
      </c>
      <c r="AW4" s="6" t="b" cm="1">
        <f t="array" aca="1" ref="AW4" ca="1">IF($AQ4="",TRUE,IF($N4="",FALSE,IF(INDIRECT("UserAccessCasePolicy!K"&amp;$N4)="",FALSE,NOT(ISNA(MATCH(INDIRECT("UserAccessCasePolicy!K"&amp;$N4)&amp;"|"&amp;$AQ4,CaseTypeColSetMember!$H:$H,0))))))</f>
        <v>1</v>
      </c>
      <c r="AZ4" s="6" t="str">
        <f>IF($AX4="","",INDEX(CaseTypeCol!$J:$J,MATCH($AX4,CaseTypeCol!$A:$A,0)))</f>
        <v/>
      </c>
      <c r="BA4" s="6" t="b" cm="1">
        <f t="array" aca="1" ref="BA4" ca="1">IF($AX4="",TRUE,IF($J4="",FALSE,IF(INDIRECT("OrganizationAccessCasePolicy!J"&amp;$J4)="",FALSE,NOT(ISNA(MATCH(INDIRECT("OrganizationAccessCasePolicy!J"&amp;$J4)&amp;"|"&amp;$AX4,CaseTypeColSetMember!$H:$H,0))))))</f>
        <v>1</v>
      </c>
      <c r="BB4" s="6" t="b" cm="1">
        <f t="array" aca="1" ref="BB4" ca="1">IF($AX4="",TRUE,IF($J4="",FALSE,IF(INDIRECT("OrganizationAccessCasePolicy!L"&amp;$J4)="",FALSE,NOT(ISNA(MATCH(INDIRECT("OrganizationAccessCasePolicy!L"&amp;$J4)&amp;"|"&amp;$AX4,CaseTypeColSetMember!$H:$H,0))))))</f>
        <v>1</v>
      </c>
      <c r="BC4" s="6" t="b" cm="1">
        <f t="array" aca="1" ref="BC4" ca="1">IF($AX4="",TRUE,IF($N4="",FALSE,IF(INDIRECT("UserAccessCasePolicy!I"&amp;$N4)="",FALSE,NOT(ISNA(MATCH(INDIRECT("UserAccessCasePolicy!I"&amp;$N4)&amp;"|"&amp;$AX4,CaseTypeColSetMember!$H:$H,0))))))</f>
        <v>1</v>
      </c>
      <c r="BD4" s="6" t="b" cm="1">
        <f t="array" aca="1" ref="BD4" ca="1">IF($AX4="",TRUE,IF($N4="",FALSE,IF(INDIRECT("UserAccessCasePolicy!K"&amp;$N4)="",FALSE,NOT(ISNA(MATCH(INDIRECT("UserAccessCasePolicy!K"&amp;$N4)&amp;"|"&amp;$AX4,CaseTypeColSetMember!$H:$H,0))))))</f>
        <v>1</v>
      </c>
    </row>
    <row r="5" spans="1:56" ht="15" customHeight="1" x14ac:dyDescent="0.3">
      <c r="A5">
        <v>4</v>
      </c>
      <c r="B5" t="b">
        <v>0</v>
      </c>
      <c r="C5" t="s">
        <v>977</v>
      </c>
      <c r="D5" t="s">
        <v>44</v>
      </c>
      <c r="E5" s="6" t="str">
        <f>INDEX(User!$D:$D,MATCH($D5,User!$A:$A,0))</f>
        <v>org_admin1_1</v>
      </c>
      <c r="F5" t="s">
        <v>970</v>
      </c>
      <c r="G5" s="19" t="b">
        <f>IF($F5="CREATE",$I5,IF($F5="CREATE_CASES",OR($I5,AND($K5,$L5,$O5,$P5,$AN5,AP5,$AU5,$AW5,$BB5,$BD5)),"TBD"))</f>
        <v>0</v>
      </c>
      <c r="H5" s="6" t="str">
        <f>INDEX(User!$G:$G,MATCH($D5,User!$A:$A,0))</f>
        <v>018d074d-ea0c-e942-07db-a3cc0ba1d653</v>
      </c>
      <c r="I5" s="6" t="b">
        <f>INDEX(User!$M:$M,MATCH($D5,User!$A:$A,0))</f>
        <v>0</v>
      </c>
      <c r="J5" s="6">
        <f>IF(ISNA(MATCH($H5&amp;"|"&amp;$X5,OrganizationAccessCasePolicy!$V:$V,0)),"",MATCH($H5&amp;"|"&amp;$X5,OrganizationAccessCasePolicy!$V:$V,0))</f>
        <v>2</v>
      </c>
      <c r="K5" s="6" t="b" cm="1">
        <f t="array" aca="1" ref="K5" ca="1">IF($J5="",FALSE,NOT(ISNA(MATCH(INDIRECT("OrganizationAccessCasePolicy!D"&amp;$J5)&amp;"|"&amp;$T5,CaseTypeSetMember!$H:$H,0))))</f>
        <v>1</v>
      </c>
      <c r="L5" s="6" t="b" cm="1">
        <f t="array" aca="1" ref="L5" ca="1">IF($J5="",FALSE,AND(INDIRECT("OrganizationAccessCasePolicy!H"&amp;$J5),NOT(ISNA(MATCH(INDIRECT("OrganizationAccessCasePolicy!D"&amp;$J5)&amp;"|"&amp;$T5,CaseTypeSetMember!$H:$H,0)))))</f>
        <v>1</v>
      </c>
      <c r="M5" s="6" t="b" cm="1">
        <f t="array" aca="1" ref="M5" ca="1">IF($J5="",FALSE,AND(INDIRECT("OrganizationAccessCasePolicy!I"&amp;$J5),NOT(ISNA(MATCH(INDIRECT("OrganizationAccessCasePolicy!D"&amp;$J5)&amp;"|"&amp;$T5,CaseTypeSetMember!$H:$H,0)))))</f>
        <v>1</v>
      </c>
      <c r="N5" s="6" t="str">
        <f>IF(ISNA(MATCH($D5&amp;"|"&amp;$X5,UserAccessCasePolicy!$W:$W,0)),"",MATCH($D5&amp;"|"&amp;$X5,UserAccessCasePolicy!$W:$W,0))</f>
        <v/>
      </c>
      <c r="O5" s="6" t="b" cm="1">
        <f t="array" aca="1" ref="O5" ca="1">IF($N5="",FALSE,NOT(ISNA(MATCH(INDIRECT("UserAccessCasePolicy!D"&amp;$N5)&amp;"|"&amp;$T5,CaseTypeSetMember!$H:$H,0))))</f>
        <v>0</v>
      </c>
      <c r="P5" s="6" t="b" cm="1">
        <f t="array" aca="1" ref="P5" ca="1">IF($N5="",FALSE,AND(INDIRECT("UserAccessCasePolicy!G"&amp;$N5),NOT(ISNA(MATCH(INDIRECT("UserAccessCasePolicy!D"&amp;$N5)&amp;"|"&amp;$T5,CaseTypeSetMember!$H:$H,0)))))</f>
        <v>0</v>
      </c>
      <c r="Q5" s="6" t="b" cm="1">
        <f t="array" aca="1" ref="Q5" ca="1">IF($N5="",FALSE,AND(INDIRECT("UserAccessCasePolicy!H"&amp;$N5),NOT(ISNA(MATCH(INDIRECT("UserAccessCasePolicy!D"&amp;$N5)&amp;"|"&amp;$T5,CaseTypeSetMember!$H:$H,0)))))</f>
        <v>0</v>
      </c>
      <c r="R5" t="s">
        <v>978</v>
      </c>
      <c r="S5" s="6" t="str">
        <f>"case"&amp;MATCH($R5,$R$1:$R5,0)-1</f>
        <v>case4</v>
      </c>
      <c r="T5" t="s">
        <v>115</v>
      </c>
      <c r="U5" s="6" t="str">
        <f>INDEX(CaseType!$B:$B,MATCH($T5,CaseType!$A:$A,0))</f>
        <v>case_type1</v>
      </c>
      <c r="V5" s="6" t="b">
        <f>AND(IF($AJ5="",TRUE,$T5=INDEX(CaseTypeCol!$B:$B,MATCH($AJ5,CaseTypeCol!$A:$A,0))),IF($AQ5="",TRUE,$T5=INDEX(CaseTypeCol!$B:$B,MATCH($AQ5,CaseTypeCol!$A:$A,0))),IF($AX5="",TRUE,$T5=INDEX(CaseTypeCol!$B:$B,MATCH($AX5,CaseTypeCol!$A:$A,0))))</f>
        <v>1</v>
      </c>
      <c r="X5" t="s">
        <v>11</v>
      </c>
      <c r="Y5" s="6" t="str">
        <f>INDEX(DataCollection!$B:$B,MATCH($X5,DataCollection!$A:$A,0))</f>
        <v>data_collection1</v>
      </c>
      <c r="AA5" s="6" t="str">
        <f>IF($Z5="","",INDEX(CaseTypeCol!$J:$J,MATCH($Z5,CaseTypeCol!$A:$A,0)))</f>
        <v/>
      </c>
      <c r="AC5" s="6" t="str">
        <f>IF($AB5="","",INDEX(IdentifierIssuer!$B:$B,MATCH($AB5,IdentifierIssuer!$A:$A,0)))</f>
        <v/>
      </c>
      <c r="AE5" s="6" t="str">
        <f>IF($AD5="","",INDEX(SequencingProtocol!$B:$B,MATCH($AD5,SequencingProtocol!$A:$A,0)))</f>
        <v/>
      </c>
      <c r="AG5" s="6" t="str">
        <f>IF($AF5="","",INDEX(AssemblyProtocol!$B:$B,MATCH($AF5,AssemblyProtocol!$A:$A,0)))</f>
        <v/>
      </c>
      <c r="AI5" s="14">
        <v>36526</v>
      </c>
      <c r="AJ5" t="s">
        <v>516</v>
      </c>
      <c r="AK5" t="s">
        <v>972</v>
      </c>
      <c r="AL5" s="6" t="str">
        <f>IF($AJ5="","",INDEX(CaseTypeCol!$J:$J,MATCH($AJ5,CaseTypeCol!$A:$A,0)))</f>
        <v>case_type_col1_7_0_1_TEXT</v>
      </c>
      <c r="AM5" s="6" t="b" cm="1">
        <f t="array" aca="1" ref="AM5" ca="1">IF($AJ5="",TRUE,IF($J5="",FALSE,IF(INDIRECT("OrganizationAccessCasePolicy!J"&amp;$J5)="",FALSE,NOT(ISNA(MATCH(INDIRECT("OrganizationAccessCasePolicy!J"&amp;$J5)&amp;"|"&amp;$AJ5,CaseTypeColSetMember!$H:$H,0))))))</f>
        <v>1</v>
      </c>
      <c r="AN5" s="6" t="b" cm="1">
        <f t="array" aca="1" ref="AN5" ca="1">IF($AJ5="",TRUE,IF($J5="",FALSE,IF(INDIRECT("OrganizationAccessCasePolicy!L"&amp;$J5)="",FALSE,NOT(ISNA(MATCH(INDIRECT("OrganizationAccessCasePolicy!L"&amp;$J5)&amp;"|"&amp;$AJ5,CaseTypeColSetMember!$H:$H,0))))))</f>
        <v>1</v>
      </c>
      <c r="AO5" s="6" t="b" cm="1">
        <f t="array" aca="1" ref="AO5" ca="1">IF($AJ5="",TRUE,IF($N5="",FALSE,IF(INDIRECT("UserAccessCasePolicy!I"&amp;$N5)="",FALSE,NOT(ISNA(MATCH(INDIRECT("UserAccessCasePolicy!I"&amp;$N5)&amp;"|"&amp;$AJ5,CaseTypeColSetMember!$H:$H,0))))))</f>
        <v>0</v>
      </c>
      <c r="AP5" s="6" t="b" cm="1">
        <f t="array" aca="1" ref="AP5" ca="1">IF($AJ5="",TRUE,IF($N5="",FALSE,IF(INDIRECT("UserAccessCasePolicy!K"&amp;$N5)="",FALSE,NOT(ISNA(MATCH(INDIRECT("UserAccessCasePolicy!K"&amp;$N5)&amp;"|"&amp;$AJ5,CaseTypeColSetMember!$H:$H,0))))))</f>
        <v>0</v>
      </c>
      <c r="AS5" s="6" t="str">
        <f>IF($AQ5="","",INDEX(CaseTypeCol!$J:$J,MATCH($AQ5,CaseTypeCol!$A:$A,0)))</f>
        <v/>
      </c>
      <c r="AT5" s="6" t="b" cm="1">
        <f t="array" aca="1" ref="AT5" ca="1">IF($AQ5="",TRUE,IF($J5="",FALSE,IF(INDIRECT("OrganizationAccessCasePolicy!J"&amp;$J5)="",FALSE,NOT(ISNA(MATCH(INDIRECT("OrganizationAccessCasePolicy!J"&amp;$J5)&amp;"|"&amp;$AQ5,CaseTypeColSetMember!$H:$H,0))))))</f>
        <v>1</v>
      </c>
      <c r="AU5" s="6" t="b" cm="1">
        <f t="array" aca="1" ref="AU5" ca="1">IF($AQ5="",TRUE,IF($J5="",FALSE,IF(INDIRECT("OrganizationAccessCasePolicy!L"&amp;$J5)="",FALSE,NOT(ISNA(MATCH(INDIRECT("OrganizationAccessCasePolicy!L"&amp;$J5)&amp;"|"&amp;$AQ5,CaseTypeColSetMember!$H:$H,0))))))</f>
        <v>1</v>
      </c>
      <c r="AV5" s="6" t="b" cm="1">
        <f t="array" aca="1" ref="AV5" ca="1">IF($AQ5="",TRUE,IF($N5="",FALSE,IF(INDIRECT("UserAccessCasePolicy!I"&amp;$N5)="",FALSE,NOT(ISNA(MATCH(INDIRECT("UserAccessCasePolicy!I"&amp;$N5)&amp;"|"&amp;$AQ5,CaseTypeColSetMember!$H:$H,0))))))</f>
        <v>1</v>
      </c>
      <c r="AW5" s="6" t="b" cm="1">
        <f t="array" aca="1" ref="AW5" ca="1">IF($AQ5="",TRUE,IF($N5="",FALSE,IF(INDIRECT("UserAccessCasePolicy!K"&amp;$N5)="",FALSE,NOT(ISNA(MATCH(INDIRECT("UserAccessCasePolicy!K"&amp;$N5)&amp;"|"&amp;$AQ5,CaseTypeColSetMember!$H:$H,0))))))</f>
        <v>1</v>
      </c>
      <c r="AZ5" s="6" t="str">
        <f>IF($AX5="","",INDEX(CaseTypeCol!$J:$J,MATCH($AX5,CaseTypeCol!$A:$A,0)))</f>
        <v/>
      </c>
      <c r="BA5" s="6" t="b" cm="1">
        <f t="array" aca="1" ref="BA5" ca="1">IF($AX5="",TRUE,IF($J5="",FALSE,IF(INDIRECT("OrganizationAccessCasePolicy!J"&amp;$J5)="",FALSE,NOT(ISNA(MATCH(INDIRECT("OrganizationAccessCasePolicy!J"&amp;$J5)&amp;"|"&amp;$AX5,CaseTypeColSetMember!$H:$H,0))))))</f>
        <v>1</v>
      </c>
      <c r="BB5" s="6" t="b" cm="1">
        <f t="array" aca="1" ref="BB5" ca="1">IF($AX5="",TRUE,IF($J5="",FALSE,IF(INDIRECT("OrganizationAccessCasePolicy!L"&amp;$J5)="",FALSE,NOT(ISNA(MATCH(INDIRECT("OrganizationAccessCasePolicy!L"&amp;$J5)&amp;"|"&amp;$AX5,CaseTypeColSetMember!$H:$H,0))))))</f>
        <v>1</v>
      </c>
      <c r="BC5" s="6" t="b" cm="1">
        <f t="array" aca="1" ref="BC5" ca="1">IF($AX5="",TRUE,IF($N5="",FALSE,IF(INDIRECT("UserAccessCasePolicy!I"&amp;$N5)="",FALSE,NOT(ISNA(MATCH(INDIRECT("UserAccessCasePolicy!I"&amp;$N5)&amp;"|"&amp;$AX5,CaseTypeColSetMember!$H:$H,0))))))</f>
        <v>1</v>
      </c>
      <c r="BD5" s="6" t="b" cm="1">
        <f t="array" aca="1" ref="BD5" ca="1">IF($AX5="",TRUE,IF($N5="",FALSE,IF(INDIRECT("UserAccessCasePolicy!K"&amp;$N5)="",FALSE,NOT(ISNA(MATCH(INDIRECT("UserAccessCasePolicy!K"&amp;$N5)&amp;"|"&amp;$AX5,CaseTypeColSetMember!$H:$H,0))))))</f>
        <v>1</v>
      </c>
    </row>
    <row r="6" spans="1:56" ht="15" customHeight="1" x14ac:dyDescent="0.3">
      <c r="A6">
        <v>5</v>
      </c>
      <c r="B6" t="b">
        <v>0</v>
      </c>
      <c r="C6" t="s">
        <v>979</v>
      </c>
      <c r="D6" t="s">
        <v>10</v>
      </c>
      <c r="E6" s="6" t="str">
        <f>INDEX(User!$D:$D,MATCH($D6,User!$A:$A,0))</f>
        <v>org_user1_1</v>
      </c>
      <c r="F6" t="s">
        <v>970</v>
      </c>
      <c r="G6" s="19" t="b">
        <f>IF($F6="CREATE",$I6,IF($F6="CREATE_CASES",OR($I6,AND($K6,$L6,$O6,$P6,$AN6,AP6,$AU6,$AW6,$BB6,$BD6)),"TBD"))</f>
        <v>0</v>
      </c>
      <c r="H6" s="6" t="str">
        <f>INDEX(User!$G:$G,MATCH($D6,User!$A:$A,0))</f>
        <v>018d074d-ea0c-e942-07db-a3cc0ba1d653</v>
      </c>
      <c r="I6" s="6" t="b">
        <f>INDEX(User!$M:$M,MATCH($D6,User!$A:$A,0))</f>
        <v>0</v>
      </c>
      <c r="J6" s="6">
        <f>IF(ISNA(MATCH($H6&amp;"|"&amp;$X6,OrganizationAccessCasePolicy!$V:$V,0)),"",MATCH($H6&amp;"|"&amp;$X6,OrganizationAccessCasePolicy!$V:$V,0))</f>
        <v>2</v>
      </c>
      <c r="K6" s="6" t="b" cm="1">
        <f t="array" aca="1" ref="K6" ca="1">IF($J6="",FALSE,NOT(ISNA(MATCH(INDIRECT("OrganizationAccessCasePolicy!D"&amp;$J6)&amp;"|"&amp;$T6,CaseTypeSetMember!$H:$H,0))))</f>
        <v>1</v>
      </c>
      <c r="L6" s="6" t="b" cm="1">
        <f t="array" aca="1" ref="L6" ca="1">IF($J6="",FALSE,AND(INDIRECT("OrganizationAccessCasePolicy!H"&amp;$J6),NOT(ISNA(MATCH(INDIRECT("OrganizationAccessCasePolicy!D"&amp;$J6)&amp;"|"&amp;$T6,CaseTypeSetMember!$H:$H,0)))))</f>
        <v>1</v>
      </c>
      <c r="M6" s="6" t="b" cm="1">
        <f t="array" aca="1" ref="M6" ca="1">IF($J6="",FALSE,AND(INDIRECT("OrganizationAccessCasePolicy!I"&amp;$J6),NOT(ISNA(MATCH(INDIRECT("OrganizationAccessCasePolicy!D"&amp;$J6)&amp;"|"&amp;$T6,CaseTypeSetMember!$H:$H,0)))))</f>
        <v>1</v>
      </c>
      <c r="N6" s="6">
        <f>IF(ISNA(MATCH($D6&amp;"|"&amp;$X6,UserAccessCasePolicy!$W:$W,0)),"",MATCH($D6&amp;"|"&amp;$X6,UserAccessCasePolicy!$W:$W,0))</f>
        <v>2</v>
      </c>
      <c r="O6" s="6" t="b" cm="1">
        <f t="array" aca="1" ref="O6" ca="1">IF($N6="",FALSE,NOT(ISNA(MATCH(INDIRECT("UserAccessCasePolicy!D"&amp;$N6)&amp;"|"&amp;$T6,CaseTypeSetMember!$H:$H,0))))</f>
        <v>1</v>
      </c>
      <c r="P6" s="6" t="b" cm="1">
        <f t="array" aca="1" ref="P6" ca="1">IF($N6="",FALSE,AND(INDIRECT("UserAccessCasePolicy!G"&amp;$N6),NOT(ISNA(MATCH(INDIRECT("UserAccessCasePolicy!D"&amp;$N6)&amp;"|"&amp;$T6,CaseTypeSetMember!$H:$H,0)))))</f>
        <v>1</v>
      </c>
      <c r="Q6" s="6" t="b" cm="1">
        <f t="array" aca="1" ref="Q6" ca="1">IF($N6="",FALSE,AND(INDIRECT("UserAccessCasePolicy!H"&amp;$N6),NOT(ISNA(MATCH(INDIRECT("UserAccessCasePolicy!D"&amp;$N6)&amp;"|"&amp;$T6,CaseTypeSetMember!$H:$H,0)))))</f>
        <v>1</v>
      </c>
      <c r="R6" t="s">
        <v>980</v>
      </c>
      <c r="S6" s="6" t="str">
        <f>"case"&amp;MATCH($R6,$R$1:$R6,0)-1</f>
        <v>case5</v>
      </c>
      <c r="T6" t="s">
        <v>115</v>
      </c>
      <c r="U6" s="6" t="str">
        <f>INDEX(CaseType!$B:$B,MATCH($T6,CaseType!$A:$A,0))</f>
        <v>case_type1</v>
      </c>
      <c r="V6" s="6" t="b">
        <f>AND(IF($AJ6="",TRUE,$T6=INDEX(CaseTypeCol!$B:$B,MATCH($AJ6,CaseTypeCol!$A:$A,0))),IF($AQ6="",TRUE,$T6=INDEX(CaseTypeCol!$B:$B,MATCH($AQ6,CaseTypeCol!$A:$A,0))),IF($AX6="",TRUE,$T6=INDEX(CaseTypeCol!$B:$B,MATCH($AX6,CaseTypeCol!$A:$A,0))))</f>
        <v>1</v>
      </c>
      <c r="X6" t="s">
        <v>11</v>
      </c>
      <c r="Y6" s="6" t="str">
        <f>INDEX(DataCollection!$B:$B,MATCH($X6,DataCollection!$A:$A,0))</f>
        <v>data_collection1</v>
      </c>
      <c r="AA6" s="6" t="str">
        <f>IF($Z6="","",INDEX(CaseTypeCol!$J:$J,MATCH($Z6,CaseTypeCol!$A:$A,0)))</f>
        <v/>
      </c>
      <c r="AC6" s="6" t="str">
        <f>IF($AB6="","",INDEX(IdentifierIssuer!$B:$B,MATCH($AB6,IdentifierIssuer!$A:$A,0)))</f>
        <v/>
      </c>
      <c r="AE6" s="6" t="str">
        <f>IF($AD6="","",INDEX(SequencingProtocol!$B:$B,MATCH($AD6,SequencingProtocol!$A:$A,0)))</f>
        <v/>
      </c>
      <c r="AG6" s="6" t="str">
        <f>IF($AF6="","",INDEX(AssemblyProtocol!$B:$B,MATCH($AF6,AssemblyProtocol!$A:$A,0)))</f>
        <v/>
      </c>
      <c r="AI6" s="14">
        <v>36526</v>
      </c>
      <c r="AJ6" t="s">
        <v>516</v>
      </c>
      <c r="AK6" t="s">
        <v>972</v>
      </c>
      <c r="AL6" s="6" t="str">
        <f>IF($AJ6="","",INDEX(CaseTypeCol!$J:$J,MATCH($AJ6,CaseTypeCol!$A:$A,0)))</f>
        <v>case_type_col1_7_0_1_TEXT</v>
      </c>
      <c r="AM6" s="6" t="b" cm="1">
        <f t="array" aca="1" ref="AM6" ca="1">IF($AJ6="",TRUE,IF($J6="",FALSE,IF(INDIRECT("OrganizationAccessCasePolicy!J"&amp;$J6)="",FALSE,NOT(ISNA(MATCH(INDIRECT("OrganizationAccessCasePolicy!J"&amp;$J6)&amp;"|"&amp;$AJ6,CaseTypeColSetMember!$H:$H,0))))))</f>
        <v>1</v>
      </c>
      <c r="AN6" s="6" t="b" cm="1">
        <f t="array" aca="1" ref="AN6" ca="1">IF($AJ6="",TRUE,IF($J6="",FALSE,IF(INDIRECT("OrganizationAccessCasePolicy!L"&amp;$J6)="",FALSE,NOT(ISNA(MATCH(INDIRECT("OrganizationAccessCasePolicy!L"&amp;$J6)&amp;"|"&amp;$AJ6,CaseTypeColSetMember!$H:$H,0))))))</f>
        <v>1</v>
      </c>
      <c r="AO6" s="6" t="b" cm="1">
        <f t="array" aca="1" ref="AO6" ca="1">IF($AJ6="",TRUE,IF($N6="",FALSE,IF(INDIRECT("UserAccessCasePolicy!I"&amp;$N6)="",FALSE,NOT(ISNA(MATCH(INDIRECT("UserAccessCasePolicy!I"&amp;$N6)&amp;"|"&amp;$AJ6,CaseTypeColSetMember!$H:$H,0))))))</f>
        <v>1</v>
      </c>
      <c r="AP6" s="6" t="b" cm="1">
        <f t="array" aca="1" ref="AP6" ca="1">IF($AJ6="",TRUE,IF($N6="",FALSE,IF(INDIRECT("UserAccessCasePolicy!K"&amp;$N6)="",FALSE,NOT(ISNA(MATCH(INDIRECT("UserAccessCasePolicy!K"&amp;$N6)&amp;"|"&amp;$AJ6,CaseTypeColSetMember!$H:$H,0))))))</f>
        <v>1</v>
      </c>
      <c r="AS6" s="6" t="str">
        <f>IF($AQ6="","",INDEX(CaseTypeCol!$J:$J,MATCH($AQ6,CaseTypeCol!$A:$A,0)))</f>
        <v/>
      </c>
      <c r="AT6" s="6" t="b" cm="1">
        <f t="array" aca="1" ref="AT6" ca="1">IF($AQ6="",TRUE,IF($J6="",FALSE,IF(INDIRECT("OrganizationAccessCasePolicy!J"&amp;$J6)="",FALSE,NOT(ISNA(MATCH(INDIRECT("OrganizationAccessCasePolicy!J"&amp;$J6)&amp;"|"&amp;$AQ6,CaseTypeColSetMember!$H:$H,0))))))</f>
        <v>1</v>
      </c>
      <c r="AU6" s="6" t="b" cm="1">
        <f t="array" aca="1" ref="AU6" ca="1">IF($AQ6="",TRUE,IF($J6="",FALSE,IF(INDIRECT("OrganizationAccessCasePolicy!L"&amp;$J6)="",FALSE,NOT(ISNA(MATCH(INDIRECT("OrganizationAccessCasePolicy!L"&amp;$J6)&amp;"|"&amp;$AQ6,CaseTypeColSetMember!$H:$H,0))))))</f>
        <v>1</v>
      </c>
      <c r="AV6" s="6" t="b" cm="1">
        <f t="array" aca="1" ref="AV6" ca="1">IF($AQ6="",TRUE,IF($N6="",FALSE,IF(INDIRECT("UserAccessCasePolicy!I"&amp;$N6)="",FALSE,NOT(ISNA(MATCH(INDIRECT("UserAccessCasePolicy!I"&amp;$N6)&amp;"|"&amp;$AQ6,CaseTypeColSetMember!$H:$H,0))))))</f>
        <v>1</v>
      </c>
      <c r="AW6" s="6" t="b" cm="1">
        <f t="array" aca="1" ref="AW6" ca="1">IF($AQ6="",TRUE,IF($N6="",FALSE,IF(INDIRECT("UserAccessCasePolicy!K"&amp;$N6)="",FALSE,NOT(ISNA(MATCH(INDIRECT("UserAccessCasePolicy!K"&amp;$N6)&amp;"|"&amp;$AQ6,CaseTypeColSetMember!$H:$H,0))))))</f>
        <v>1</v>
      </c>
      <c r="AZ6" s="6" t="str">
        <f>IF($AX6="","",INDEX(CaseTypeCol!$J:$J,MATCH($AX6,CaseTypeCol!$A:$A,0)))</f>
        <v/>
      </c>
      <c r="BA6" s="6" t="b" cm="1">
        <f t="array" aca="1" ref="BA6" ca="1">IF($AX6="",TRUE,IF($J6="",FALSE,IF(INDIRECT("OrganizationAccessCasePolicy!J"&amp;$J6)="",FALSE,NOT(ISNA(MATCH(INDIRECT("OrganizationAccessCasePolicy!J"&amp;$J6)&amp;"|"&amp;$AX6,CaseTypeColSetMember!$H:$H,0))))))</f>
        <v>1</v>
      </c>
      <c r="BB6" s="6" t="b" cm="1">
        <f t="array" aca="1" ref="BB6" ca="1">IF($AX6="",TRUE,IF($J6="",FALSE,IF(INDIRECT("OrganizationAccessCasePolicy!L"&amp;$J6)="",FALSE,NOT(ISNA(MATCH(INDIRECT("OrganizationAccessCasePolicy!L"&amp;$J6)&amp;"|"&amp;$AX6,CaseTypeColSetMember!$H:$H,0))))))</f>
        <v>1</v>
      </c>
      <c r="BC6" s="6" t="b" cm="1">
        <f t="array" aca="1" ref="BC6" ca="1">IF($AX6="",TRUE,IF($N6="",FALSE,IF(INDIRECT("UserAccessCasePolicy!I"&amp;$N6)="",FALSE,NOT(ISNA(MATCH(INDIRECT("UserAccessCasePolicy!I"&amp;$N6)&amp;"|"&amp;$AX6,CaseTypeColSetMember!$H:$H,0))))))</f>
        <v>1</v>
      </c>
      <c r="BD6" s="6" t="b" cm="1">
        <f t="array" aca="1" ref="BD6" ca="1">IF($AX6="",TRUE,IF($N6="",FALSE,IF(INDIRECT("UserAccessCasePolicy!K"&amp;$N6)="",FALSE,NOT(ISNA(MATCH(INDIRECT("UserAccessCasePolicy!K"&amp;$N6)&amp;"|"&amp;$AX6,CaseTypeColSetMember!$H:$H,0))))))</f>
        <v>1</v>
      </c>
    </row>
    <row r="7" spans="1:56" ht="15" customHeight="1" x14ac:dyDescent="0.3">
      <c r="A7">
        <v>6</v>
      </c>
      <c r="B7" t="b">
        <v>0</v>
      </c>
      <c r="C7" t="s">
        <v>981</v>
      </c>
      <c r="D7" t="s">
        <v>839</v>
      </c>
      <c r="E7" s="6" t="str">
        <f>INDEX(User!$D:$D,MATCH($D7,User!$A:$A,0))</f>
        <v>root1_1</v>
      </c>
      <c r="F7" t="s">
        <v>982</v>
      </c>
      <c r="G7" s="19" t="b">
        <f ca="1">IF($F7="CREATE",$I7,IF($F7="CREATE_CASES",OR($I7,AND($K7,$L7,$O7,$P7,$AN7,AP7,$AU7,$AW7,$BB7,$BD7)),"TBD"))</f>
        <v>1</v>
      </c>
      <c r="H7" s="6" t="str">
        <f>INDEX(User!$G:$G,MATCH($D7,User!$A:$A,0))</f>
        <v>018d074d-ea0c-e942-07db-a3cc0ba1d653</v>
      </c>
      <c r="I7" s="6" t="b">
        <f>INDEX(User!$M:$M,MATCH($D7,User!$A:$A,0))</f>
        <v>1</v>
      </c>
      <c r="J7" s="6">
        <f>IF(ISNA(MATCH($H7&amp;"|"&amp;$X7,OrganizationAccessCasePolicy!$V:$V,0)),"",MATCH($H7&amp;"|"&amp;$X7,OrganizationAccessCasePolicy!$V:$V,0))</f>
        <v>2</v>
      </c>
      <c r="K7" s="6" t="b" cm="1">
        <f t="array" aca="1" ref="K7" ca="1">IF($J7="",FALSE,NOT(ISNA(MATCH(INDIRECT("OrganizationAccessCasePolicy!D"&amp;$J7)&amp;"|"&amp;$T7,CaseTypeSetMember!$H:$H,0))))</f>
        <v>1</v>
      </c>
      <c r="L7" s="6" t="b" cm="1">
        <f t="array" aca="1" ref="L7" ca="1">IF($J7="",FALSE,AND(INDIRECT("OrganizationAccessCasePolicy!H"&amp;$J7),NOT(ISNA(MATCH(INDIRECT("OrganizationAccessCasePolicy!D"&amp;$J7)&amp;"|"&amp;$T7,CaseTypeSetMember!$H:$H,0)))))</f>
        <v>1</v>
      </c>
      <c r="M7" s="6" t="b" cm="1">
        <f t="array" aca="1" ref="M7" ca="1">IF($J7="",FALSE,AND(INDIRECT("OrganizationAccessCasePolicy!I"&amp;$J7),NOT(ISNA(MATCH(INDIRECT("OrganizationAccessCasePolicy!D"&amp;$J7)&amp;"|"&amp;$T7,CaseTypeSetMember!$H:$H,0)))))</f>
        <v>1</v>
      </c>
      <c r="N7" s="6" t="str">
        <f>IF(ISNA(MATCH($D7&amp;"|"&amp;$X7,UserAccessCasePolicy!$W:$W,0)),"",MATCH($D7&amp;"|"&amp;$X7,UserAccessCasePolicy!$W:$W,0))</f>
        <v/>
      </c>
      <c r="O7" s="6" t="b" cm="1">
        <f t="array" aca="1" ref="O7" ca="1">IF($N7="",FALSE,NOT(ISNA(MATCH(INDIRECT("UserAccessCasePolicy!D"&amp;$N7)&amp;"|"&amp;$T7,CaseTypeSetMember!$H:$H,0))))</f>
        <v>0</v>
      </c>
      <c r="P7" s="6" t="b" cm="1">
        <f t="array" aca="1" ref="P7" ca="1">IF($N7="",FALSE,AND(INDIRECT("UserAccessCasePolicy!G"&amp;$N7),NOT(ISNA(MATCH(INDIRECT("UserAccessCasePolicy!D"&amp;$N7)&amp;"|"&amp;$T7,CaseTypeSetMember!$H:$H,0)))))</f>
        <v>0</v>
      </c>
      <c r="Q7" s="6" t="b" cm="1">
        <f t="array" aca="1" ref="Q7" ca="1">IF($N7="",FALSE,AND(INDIRECT("UserAccessCasePolicy!H"&amp;$N7),NOT(ISNA(MATCH(INDIRECT("UserAccessCasePolicy!D"&amp;$N7)&amp;"|"&amp;$T7,CaseTypeSetMember!$H:$H,0)))))</f>
        <v>0</v>
      </c>
      <c r="R7" t="s">
        <v>983</v>
      </c>
      <c r="S7" s="6" t="str">
        <f>"case"&amp;MATCH($R7,$R$1:$R7,0)-1</f>
        <v>case6</v>
      </c>
      <c r="T7" t="s">
        <v>115</v>
      </c>
      <c r="U7" s="6" t="str">
        <f>INDEX(CaseType!$B:$B,MATCH($T7,CaseType!$A:$A,0))</f>
        <v>case_type1</v>
      </c>
      <c r="V7" s="6" t="b">
        <f>AND(IF($AJ7="",TRUE,$T7=INDEX(CaseTypeCol!$B:$B,MATCH($AJ7,CaseTypeCol!$A:$A,0))),IF($AQ7="",TRUE,$T7=INDEX(CaseTypeCol!$B:$B,MATCH($AQ7,CaseTypeCol!$A:$A,0))),IF($AX7="",TRUE,$T7=INDEX(CaseTypeCol!$B:$B,MATCH($AX7,CaseTypeCol!$A:$A,0))))</f>
        <v>1</v>
      </c>
      <c r="X7" t="s">
        <v>11</v>
      </c>
      <c r="Y7" s="6" t="str">
        <f>INDEX(DataCollection!$B:$B,MATCH($X7,DataCollection!$A:$A,0))</f>
        <v>data_collection1</v>
      </c>
      <c r="AA7" s="6" t="str">
        <f>IF($Z7="","",INDEX(CaseTypeCol!$J:$J,MATCH($Z7,CaseTypeCol!$A:$A,0)))</f>
        <v/>
      </c>
      <c r="AC7" s="6" t="str">
        <f>IF($AB7="","",INDEX(IdentifierIssuer!$B:$B,MATCH($AB7,IdentifierIssuer!$A:$A,0)))</f>
        <v/>
      </c>
      <c r="AE7" s="6" t="str">
        <f>IF($AD7="","",INDEX(SequencingProtocol!$B:$B,MATCH($AD7,SequencingProtocol!$A:$A,0)))</f>
        <v/>
      </c>
      <c r="AG7" s="6" t="str">
        <f>IF($AF7="","",INDEX(AssemblyProtocol!$B:$B,MATCH($AF7,AssemblyProtocol!$A:$A,0)))</f>
        <v/>
      </c>
      <c r="AI7" s="14">
        <v>36526</v>
      </c>
      <c r="AJ7" t="s">
        <v>516</v>
      </c>
      <c r="AK7" t="s">
        <v>972</v>
      </c>
      <c r="AL7" s="6" t="str">
        <f>IF($AJ7="","",INDEX(CaseTypeCol!$J:$J,MATCH($AJ7,CaseTypeCol!$A:$A,0)))</f>
        <v>case_type_col1_7_0_1_TEXT</v>
      </c>
      <c r="AM7" s="6" t="b" cm="1">
        <f t="array" aca="1" ref="AM7" ca="1">IF($AJ7="",TRUE,IF($J7="",FALSE,IF(INDIRECT("OrganizationAccessCasePolicy!J"&amp;$J7)="",FALSE,NOT(ISNA(MATCH(INDIRECT("OrganizationAccessCasePolicy!J"&amp;$J7)&amp;"|"&amp;$AJ7,CaseTypeColSetMember!$H:$H,0))))))</f>
        <v>1</v>
      </c>
      <c r="AN7" s="6" t="b" cm="1">
        <f t="array" aca="1" ref="AN7" ca="1">IF($AJ7="",TRUE,IF($J7="",FALSE,IF(INDIRECT("OrganizationAccessCasePolicy!L"&amp;$J7)="",FALSE,NOT(ISNA(MATCH(INDIRECT("OrganizationAccessCasePolicy!L"&amp;$J7)&amp;"|"&amp;$AJ7,CaseTypeColSetMember!$H:$H,0))))))</f>
        <v>1</v>
      </c>
      <c r="AO7" s="6" t="b" cm="1">
        <f t="array" aca="1" ref="AO7" ca="1">IF($AJ7="",TRUE,IF($N7="",FALSE,IF(INDIRECT("UserAccessCasePolicy!I"&amp;$N7)="",FALSE,NOT(ISNA(MATCH(INDIRECT("UserAccessCasePolicy!I"&amp;$N7)&amp;"|"&amp;$AJ7,CaseTypeColSetMember!$H:$H,0))))))</f>
        <v>0</v>
      </c>
      <c r="AP7" s="6" t="b" cm="1">
        <f t="array" aca="1" ref="AP7" ca="1">IF($AJ7="",TRUE,IF($N7="",FALSE,IF(INDIRECT("UserAccessCasePolicy!K"&amp;$N7)="",FALSE,NOT(ISNA(MATCH(INDIRECT("UserAccessCasePolicy!K"&amp;$N7)&amp;"|"&amp;$AJ7,CaseTypeColSetMember!$H:$H,0))))))</f>
        <v>0</v>
      </c>
      <c r="AS7" s="6" t="str">
        <f>IF($AQ7="","",INDEX(CaseTypeCol!$J:$J,MATCH($AQ7,CaseTypeCol!$A:$A,0)))</f>
        <v/>
      </c>
      <c r="AT7" s="6" t="b" cm="1">
        <f t="array" aca="1" ref="AT7" ca="1">IF($AQ7="",TRUE,IF($J7="",FALSE,IF(INDIRECT("OrganizationAccessCasePolicy!J"&amp;$J7)="",FALSE,NOT(ISNA(MATCH(INDIRECT("OrganizationAccessCasePolicy!J"&amp;$J7)&amp;"|"&amp;$AQ7,CaseTypeColSetMember!$H:$H,0))))))</f>
        <v>1</v>
      </c>
      <c r="AU7" s="6" t="b" cm="1">
        <f t="array" aca="1" ref="AU7" ca="1">IF($AQ7="",TRUE,IF($J7="",FALSE,IF(INDIRECT("OrganizationAccessCasePolicy!L"&amp;$J7)="",FALSE,NOT(ISNA(MATCH(INDIRECT("OrganizationAccessCasePolicy!L"&amp;$J7)&amp;"|"&amp;$AQ7,CaseTypeColSetMember!$H:$H,0))))))</f>
        <v>1</v>
      </c>
      <c r="AV7" s="6" t="b" cm="1">
        <f t="array" aca="1" ref="AV7" ca="1">IF($AQ7="",TRUE,IF($N7="",FALSE,IF(INDIRECT("UserAccessCasePolicy!I"&amp;$N7)="",FALSE,NOT(ISNA(MATCH(INDIRECT("UserAccessCasePolicy!I"&amp;$N7)&amp;"|"&amp;$AQ7,CaseTypeColSetMember!$H:$H,0))))))</f>
        <v>1</v>
      </c>
      <c r="AW7" s="6" t="b" cm="1">
        <f t="array" aca="1" ref="AW7" ca="1">IF($AQ7="",TRUE,IF($N7="",FALSE,IF(INDIRECT("UserAccessCasePolicy!K"&amp;$N7)="",FALSE,NOT(ISNA(MATCH(INDIRECT("UserAccessCasePolicy!K"&amp;$N7)&amp;"|"&amp;$AQ7,CaseTypeColSetMember!$H:$H,0))))))</f>
        <v>1</v>
      </c>
      <c r="AZ7" s="6" t="str">
        <f>IF($AX7="","",INDEX(CaseTypeCol!$J:$J,MATCH($AX7,CaseTypeCol!$A:$A,0)))</f>
        <v/>
      </c>
      <c r="BA7" s="6" t="b" cm="1">
        <f t="array" aca="1" ref="BA7" ca="1">IF($AX7="",TRUE,IF($J7="",FALSE,IF(INDIRECT("OrganizationAccessCasePolicy!J"&amp;$J7)="",FALSE,NOT(ISNA(MATCH(INDIRECT("OrganizationAccessCasePolicy!J"&amp;$J7)&amp;"|"&amp;$AX7,CaseTypeColSetMember!$H:$H,0))))))</f>
        <v>1</v>
      </c>
      <c r="BB7" s="6" t="b" cm="1">
        <f t="array" aca="1" ref="BB7" ca="1">IF($AX7="",TRUE,IF($J7="",FALSE,IF(INDIRECT("OrganizationAccessCasePolicy!L"&amp;$J7)="",FALSE,NOT(ISNA(MATCH(INDIRECT("OrganizationAccessCasePolicy!L"&amp;$J7)&amp;"|"&amp;$AX7,CaseTypeColSetMember!$H:$H,0))))))</f>
        <v>1</v>
      </c>
      <c r="BC7" s="6" t="b" cm="1">
        <f t="array" aca="1" ref="BC7" ca="1">IF($AX7="",TRUE,IF($N7="",FALSE,IF(INDIRECT("UserAccessCasePolicy!I"&amp;$N7)="",FALSE,NOT(ISNA(MATCH(INDIRECT("UserAccessCasePolicy!I"&amp;$N7)&amp;"|"&amp;$AX7,CaseTypeColSetMember!$H:$H,0))))))</f>
        <v>1</v>
      </c>
      <c r="BD7" s="6" t="b" cm="1">
        <f t="array" aca="1" ref="BD7" ca="1">IF($AX7="",TRUE,IF($N7="",FALSE,IF(INDIRECT("UserAccessCasePolicy!K"&amp;$N7)="",FALSE,NOT(ISNA(MATCH(INDIRECT("UserAccessCasePolicy!K"&amp;$N7)&amp;"|"&amp;$AX7,CaseTypeColSetMember!$H:$H,0))))))</f>
        <v>1</v>
      </c>
    </row>
    <row r="8" spans="1:56" ht="15" customHeight="1" x14ac:dyDescent="0.3">
      <c r="A8">
        <v>7</v>
      </c>
      <c r="B8" t="b">
        <v>1</v>
      </c>
      <c r="C8" t="s">
        <v>981</v>
      </c>
      <c r="D8" t="s">
        <v>839</v>
      </c>
      <c r="E8" s="6" t="str">
        <f>INDEX(User!$D:$D,MATCH($D8,User!$A:$A,0))</f>
        <v>root1_1</v>
      </c>
      <c r="F8" t="s">
        <v>982</v>
      </c>
      <c r="G8" s="19" t="b">
        <f ca="1">IF($F8="CREATE",$I8,IF($F8="CREATE_CASES",OR($I8,AND($K8,$L8,$O8,$P8,$AN8,AP8,$AU8,$AW8,$BB8,$BD8)),"TBD"))</f>
        <v>1</v>
      </c>
      <c r="H8" s="6" t="str">
        <f>INDEX(User!$G:$G,MATCH($D8,User!$A:$A,0))</f>
        <v>018d074d-ea0c-e942-07db-a3cc0ba1d653</v>
      </c>
      <c r="I8" s="6" t="b">
        <f>INDEX(User!$M:$M,MATCH($D8,User!$A:$A,0))</f>
        <v>1</v>
      </c>
      <c r="J8" s="6">
        <f>IF(ISNA(MATCH($H8&amp;"|"&amp;$X8,OrganizationAccessCasePolicy!$V:$V,0)),"",MATCH($H8&amp;"|"&amp;$X8,OrganizationAccessCasePolicy!$V:$V,0))</f>
        <v>2</v>
      </c>
      <c r="K8" s="6" t="b" cm="1">
        <f t="array" aca="1" ref="K8" ca="1">IF($J8="",FALSE,NOT(ISNA(MATCH(INDIRECT("OrganizationAccessCasePolicy!D"&amp;$J8)&amp;"|"&amp;$T8,CaseTypeSetMember!$H:$H,0))))</f>
        <v>1</v>
      </c>
      <c r="L8" s="6" t="b" cm="1">
        <f t="array" aca="1" ref="L8" ca="1">IF($J8="",FALSE,AND(INDIRECT("OrganizationAccessCasePolicy!H"&amp;$J8),NOT(ISNA(MATCH(INDIRECT("OrganizationAccessCasePolicy!D"&amp;$J8)&amp;"|"&amp;$T8,CaseTypeSetMember!$H:$H,0)))))</f>
        <v>1</v>
      </c>
      <c r="M8" s="6" t="b" cm="1">
        <f t="array" aca="1" ref="M8" ca="1">IF($J8="",FALSE,AND(INDIRECT("OrganizationAccessCasePolicy!I"&amp;$J8),NOT(ISNA(MATCH(INDIRECT("OrganizationAccessCasePolicy!D"&amp;$J8)&amp;"|"&amp;$T8,CaseTypeSetMember!$H:$H,0)))))</f>
        <v>1</v>
      </c>
      <c r="N8" s="6" t="str">
        <f>IF(ISNA(MATCH($D8&amp;"|"&amp;$X8,UserAccessCasePolicy!$W:$W,0)),"",MATCH($D8&amp;"|"&amp;$X8,UserAccessCasePolicy!$W:$W,0))</f>
        <v/>
      </c>
      <c r="O8" s="6" t="b" cm="1">
        <f t="array" aca="1" ref="O8" ca="1">IF($N8="",FALSE,NOT(ISNA(MATCH(INDIRECT("UserAccessCasePolicy!D"&amp;$N8)&amp;"|"&amp;$T8,CaseTypeSetMember!$H:$H,0))))</f>
        <v>0</v>
      </c>
      <c r="P8" s="6" t="b" cm="1">
        <f t="array" aca="1" ref="P8" ca="1">IF($N8="",FALSE,AND(INDIRECT("UserAccessCasePolicy!G"&amp;$N8),NOT(ISNA(MATCH(INDIRECT("UserAccessCasePolicy!D"&amp;$N8)&amp;"|"&amp;$T8,CaseTypeSetMember!$H:$H,0)))))</f>
        <v>0</v>
      </c>
      <c r="Q8" s="6" t="b" cm="1">
        <f t="array" aca="1" ref="Q8" ca="1">IF($N8="",FALSE,AND(INDIRECT("UserAccessCasePolicy!H"&amp;$N8),NOT(ISNA(MATCH(INDIRECT("UserAccessCasePolicy!D"&amp;$N8)&amp;"|"&amp;$T8,CaseTypeSetMember!$H:$H,0)))))</f>
        <v>0</v>
      </c>
      <c r="R8" t="s">
        <v>983</v>
      </c>
      <c r="S8" s="6" t="str">
        <f>"case"&amp;MATCH($R8,$R$1:$R8,0)-1</f>
        <v>case6</v>
      </c>
      <c r="T8" t="s">
        <v>115</v>
      </c>
      <c r="U8" s="6" t="str">
        <f>INDEX(CaseType!$B:$B,MATCH($T8,CaseType!$A:$A,0))</f>
        <v>case_type1</v>
      </c>
      <c r="V8" s="6" t="b">
        <f>AND(IF($AJ8="",TRUE,$T8=INDEX(CaseTypeCol!$B:$B,MATCH($AJ8,CaseTypeCol!$A:$A,0))),IF($AQ8="",TRUE,$T8=INDEX(CaseTypeCol!$B:$B,MATCH($AQ8,CaseTypeCol!$A:$A,0))),IF($AX8="",TRUE,$T8=INDEX(CaseTypeCol!$B:$B,MATCH($AX8,CaseTypeCol!$A:$A,0))))</f>
        <v>0</v>
      </c>
      <c r="X8" t="s">
        <v>11</v>
      </c>
      <c r="Y8" s="6" t="str">
        <f>INDEX(DataCollection!$B:$B,MATCH($X8,DataCollection!$A:$A,0))</f>
        <v>data_collection1</v>
      </c>
      <c r="Z8" t="s">
        <v>1230</v>
      </c>
      <c r="AA8" s="6" t="str">
        <f>IF($Z8="","",INDEX(CaseTypeCol!$J:$J,MATCH($Z8,CaseTypeCol!$A:$A,0)))</f>
        <v>case_type_col1_15_0_2_ID_SAMPLE</v>
      </c>
      <c r="AB8" t="s">
        <v>1214</v>
      </c>
      <c r="AC8" s="6" t="str">
        <f>IF($AB8="","",INDEX(IdentifierIssuer!$B:$B,MATCH($AB8,IdentifierIssuer!$A:$A,0)))</f>
        <v>identifier_issuer1</v>
      </c>
      <c r="AD8" t="s">
        <v>1252</v>
      </c>
      <c r="AE8" s="6" t="str">
        <f>IF($AD8="","",INDEX(SequencingProtocol!$B:$B,MATCH($AD8,SequencingProtocol!$A:$A,0)))</f>
        <v>ILLUMINA</v>
      </c>
      <c r="AF8" t="s">
        <v>1248</v>
      </c>
      <c r="AG8" s="6" t="str">
        <f>IF($AF8="","",INDEX(AssemblyProtocol!$B:$B,MATCH($AF8,AssemblyProtocol!$A:$A,0)))</f>
        <v>UNK</v>
      </c>
      <c r="AI8" s="14">
        <v>36526</v>
      </c>
      <c r="AJ8" t="s">
        <v>1230</v>
      </c>
      <c r="AK8" s="6" t="str">
        <f>"sample"&amp;MATCH($R8,$R$1:$R8,0)-1</f>
        <v>sample6</v>
      </c>
      <c r="AL8" s="6" t="str">
        <f>IF($AJ8="","",INDEX(CaseTypeCol!$J:$J,MATCH($AJ8,CaseTypeCol!$A:$A,0)))</f>
        <v>case_type_col1_15_0_2_ID_SAMPLE</v>
      </c>
      <c r="AM8" s="6" t="b" cm="1">
        <f t="array" aca="1" ref="AM8" ca="1">IF($AJ8="",TRUE,IF($J8="",FALSE,IF(INDIRECT("OrganizationAccessCasePolicy!J"&amp;$J8)="",FALSE,NOT(ISNA(MATCH(INDIRECT("OrganizationAccessCasePolicy!J"&amp;$J8)&amp;"|"&amp;$AJ8,CaseTypeColSetMember!$H:$H,0))))))</f>
        <v>0</v>
      </c>
      <c r="AN8" s="6" t="b" cm="1">
        <f t="array" aca="1" ref="AN8" ca="1">IF($AJ8="",TRUE,IF($J8="",FALSE,IF(INDIRECT("OrganizationAccessCasePolicy!L"&amp;$J8)="",FALSE,NOT(ISNA(MATCH(INDIRECT("OrganizationAccessCasePolicy!L"&amp;$J8)&amp;"|"&amp;$AJ8,CaseTypeColSetMember!$H:$H,0))))))</f>
        <v>0</v>
      </c>
      <c r="AO8" s="6" t="b" cm="1">
        <f t="array" aca="1" ref="AO8" ca="1">IF($AJ8="",TRUE,IF($N8="",FALSE,IF(INDIRECT("UserAccessCasePolicy!I"&amp;$N8)="",FALSE,NOT(ISNA(MATCH(INDIRECT("UserAccessCasePolicy!I"&amp;$N8)&amp;"|"&amp;$AJ8,CaseTypeColSetMember!$H:$H,0))))))</f>
        <v>0</v>
      </c>
      <c r="AP8" s="6" t="b" cm="1">
        <f t="array" aca="1" ref="AP8" ca="1">IF($AJ8="",TRUE,IF($N8="",FALSE,IF(INDIRECT("UserAccessCasePolicy!K"&amp;$N8)="",FALSE,NOT(ISNA(MATCH(INDIRECT("UserAccessCasePolicy!K"&amp;$N8)&amp;"|"&amp;$AJ8,CaseTypeColSetMember!$H:$H,0))))))</f>
        <v>0</v>
      </c>
      <c r="AQ8" t="s">
        <v>1181</v>
      </c>
      <c r="AR8" t="s">
        <v>1185</v>
      </c>
      <c r="AS8" s="6" t="str">
        <f>IF($AQ8="","",INDEX(CaseTypeCol!$J:$J,MATCH($AQ8,CaseTypeCol!$A:$A,0)))</f>
        <v>case_type_col2_19_0_1_GENETIC_READS</v>
      </c>
      <c r="AT8" s="6" t="b" cm="1">
        <f t="array" aca="1" ref="AT8" ca="1">IF($AQ8="",TRUE,IF($J8="",FALSE,IF(INDIRECT("OrganizationAccessCasePolicy!J"&amp;$J8)="",FALSE,NOT(ISNA(MATCH(INDIRECT("OrganizationAccessCasePolicy!J"&amp;$J8)&amp;"|"&amp;$AQ8,CaseTypeColSetMember!$H:$H,0))))))</f>
        <v>1</v>
      </c>
      <c r="AU8" s="6" t="b" cm="1">
        <f t="array" aca="1" ref="AU8" ca="1">IF($AQ8="",TRUE,IF($J8="",FALSE,IF(INDIRECT("OrganizationAccessCasePolicy!L"&amp;$J8)="",FALSE,NOT(ISNA(MATCH(INDIRECT("OrganizationAccessCasePolicy!L"&amp;$J8)&amp;"|"&amp;$AQ8,CaseTypeColSetMember!$H:$H,0))))))</f>
        <v>1</v>
      </c>
      <c r="AV8" s="6" t="b" cm="1">
        <f t="array" aca="1" ref="AV8" ca="1">IF($AQ8="",TRUE,IF($N8="",FALSE,IF(INDIRECT("UserAccessCasePolicy!I"&amp;$N8)="",FALSE,NOT(ISNA(MATCH(INDIRECT("UserAccessCasePolicy!I"&amp;$N8)&amp;"|"&amp;$AQ8,CaseTypeColSetMember!$H:$H,0))))))</f>
        <v>0</v>
      </c>
      <c r="AW8" s="6" t="b" cm="1">
        <f t="array" aca="1" ref="AW8" ca="1">IF($AQ8="",TRUE,IF($N8="",FALSE,IF(INDIRECT("UserAccessCasePolicy!K"&amp;$N8)="",FALSE,NOT(ISNA(MATCH(INDIRECT("UserAccessCasePolicy!K"&amp;$N8)&amp;"|"&amp;$AQ8,CaseTypeColSetMember!$H:$H,0))))))</f>
        <v>0</v>
      </c>
      <c r="AZ8" s="6" t="str">
        <f>IF($AX8="","",INDEX(CaseTypeCol!$J:$J,MATCH($AX8,CaseTypeCol!$A:$A,0)))</f>
        <v/>
      </c>
      <c r="BA8" s="6" t="b" cm="1">
        <f t="array" aca="1" ref="BA8" ca="1">IF($AX8="",TRUE,IF($J8="",FALSE,IF(INDIRECT("OrganizationAccessCasePolicy!J"&amp;$J8)="",FALSE,NOT(ISNA(MATCH(INDIRECT("OrganizationAccessCasePolicy!J"&amp;$J8)&amp;"|"&amp;$AX8,CaseTypeColSetMember!$H:$H,0))))))</f>
        <v>1</v>
      </c>
      <c r="BB8" s="6" t="b" cm="1">
        <f t="array" aca="1" ref="BB8" ca="1">IF($AX8="",TRUE,IF($J8="",FALSE,IF(INDIRECT("OrganizationAccessCasePolicy!L"&amp;$J8)="",FALSE,NOT(ISNA(MATCH(INDIRECT("OrganizationAccessCasePolicy!L"&amp;$J8)&amp;"|"&amp;$AX8,CaseTypeColSetMember!$H:$H,0))))))</f>
        <v>1</v>
      </c>
      <c r="BC8" s="6" t="b" cm="1">
        <f t="array" aca="1" ref="BC8" ca="1">IF($AX8="",TRUE,IF($N8="",FALSE,IF(INDIRECT("UserAccessCasePolicy!I"&amp;$N8)="",FALSE,NOT(ISNA(MATCH(INDIRECT("UserAccessCasePolicy!I"&amp;$N8)&amp;"|"&amp;$AX8,CaseTypeColSetMember!$H:$H,0))))))</f>
        <v>1</v>
      </c>
      <c r="BD8" s="6" t="b" cm="1">
        <f t="array" aca="1" ref="BD8" ca="1">IF($AX8="",TRUE,IF($N8="",FALSE,IF(INDIRECT("UserAccessCasePolicy!K"&amp;$N8)="",FALSE,NOT(ISNA(MATCH(INDIRECT("UserAccessCasePolicy!K"&amp;$N8)&amp;"|"&amp;$AX8,CaseTypeColSetMember!$H:$H,0))))))</f>
        <v>1</v>
      </c>
    </row>
    <row r="9" spans="1:56" ht="15" customHeight="1" x14ac:dyDescent="0.3">
      <c r="A9">
        <v>8</v>
      </c>
      <c r="B9" t="b">
        <v>0</v>
      </c>
      <c r="C9" t="s">
        <v>984</v>
      </c>
      <c r="D9" t="s">
        <v>185</v>
      </c>
      <c r="E9" s="6" t="str">
        <f>INDEX(User!$D:$D,MATCH($D9,User!$A:$A,0))</f>
        <v>app_admin1_1</v>
      </c>
      <c r="F9" t="s">
        <v>982</v>
      </c>
      <c r="G9" s="19" t="b">
        <f ca="1">IF($F9="CREATE",$I9,IF($F9="CREATE_CASES",OR($I9,AND($K9,$L9,$O9,$P9,$AN9,AP9,$AU9,$AW9,$BB9,$BD9)),"TBD"))</f>
        <v>1</v>
      </c>
      <c r="H9" s="6" t="str">
        <f>INDEX(User!$G:$G,MATCH($D9,User!$A:$A,0))</f>
        <v>018d074d-ea0c-e942-07db-a3cc0ba1d653</v>
      </c>
      <c r="I9" s="6" t="b">
        <f>INDEX(User!$M:$M,MATCH($D9,User!$A:$A,0))</f>
        <v>1</v>
      </c>
      <c r="J9" s="6">
        <f>IF(ISNA(MATCH($H9&amp;"|"&amp;$X9,OrganizationAccessCasePolicy!$V:$V,0)),"",MATCH($H9&amp;"|"&amp;$X9,OrganizationAccessCasePolicy!$V:$V,0))</f>
        <v>2</v>
      </c>
      <c r="K9" s="6" t="b" cm="1">
        <f t="array" aca="1" ref="K9" ca="1">IF($J9="",FALSE,NOT(ISNA(MATCH(INDIRECT("OrganizationAccessCasePolicy!D"&amp;$J9)&amp;"|"&amp;$T9,CaseTypeSetMember!$H:$H,0))))</f>
        <v>1</v>
      </c>
      <c r="L9" s="6" t="b" cm="1">
        <f t="array" aca="1" ref="L9" ca="1">IF($J9="",FALSE,AND(INDIRECT("OrganizationAccessCasePolicy!H"&amp;$J9),NOT(ISNA(MATCH(INDIRECT("OrganizationAccessCasePolicy!D"&amp;$J9)&amp;"|"&amp;$T9,CaseTypeSetMember!$H:$H,0)))))</f>
        <v>1</v>
      </c>
      <c r="M9" s="6" t="b" cm="1">
        <f t="array" aca="1" ref="M9" ca="1">IF($J9="",FALSE,AND(INDIRECT("OrganizationAccessCasePolicy!I"&amp;$J9),NOT(ISNA(MATCH(INDIRECT("OrganizationAccessCasePolicy!D"&amp;$J9)&amp;"|"&amp;$T9,CaseTypeSetMember!$H:$H,0)))))</f>
        <v>1</v>
      </c>
      <c r="N9" s="6" t="str">
        <f>IF(ISNA(MATCH($D9&amp;"|"&amp;$X9,UserAccessCasePolicy!$W:$W,0)),"",MATCH($D9&amp;"|"&amp;$X9,UserAccessCasePolicy!$W:$W,0))</f>
        <v/>
      </c>
      <c r="O9" s="6" t="b" cm="1">
        <f t="array" aca="1" ref="O9" ca="1">IF($N9="",FALSE,NOT(ISNA(MATCH(INDIRECT("UserAccessCasePolicy!D"&amp;$N9)&amp;"|"&amp;$T9,CaseTypeSetMember!$H:$H,0))))</f>
        <v>0</v>
      </c>
      <c r="P9" s="6" t="b" cm="1">
        <f t="array" aca="1" ref="P9" ca="1">IF($N9="",FALSE,AND(INDIRECT("UserAccessCasePolicy!G"&amp;$N9),NOT(ISNA(MATCH(INDIRECT("UserAccessCasePolicy!D"&amp;$N9)&amp;"|"&amp;$T9,CaseTypeSetMember!$H:$H,0)))))</f>
        <v>0</v>
      </c>
      <c r="Q9" s="6" t="b" cm="1">
        <f t="array" aca="1" ref="Q9" ca="1">IF($N9="",FALSE,AND(INDIRECT("UserAccessCasePolicy!H"&amp;$N9),NOT(ISNA(MATCH(INDIRECT("UserAccessCasePolicy!D"&amp;$N9)&amp;"|"&amp;$T9,CaseTypeSetMember!$H:$H,0)))))</f>
        <v>0</v>
      </c>
      <c r="R9" t="s">
        <v>985</v>
      </c>
      <c r="S9" s="6" t="str">
        <f>"case"&amp;MATCH($R9,$R$1:$R9,0)-1</f>
        <v>case8</v>
      </c>
      <c r="T9" t="s">
        <v>115</v>
      </c>
      <c r="U9" s="6" t="str">
        <f>INDEX(CaseType!$B:$B,MATCH($T9,CaseType!$A:$A,0))</f>
        <v>case_type1</v>
      </c>
      <c r="V9" s="6" t="b">
        <f>AND(IF($AJ9="",TRUE,$T9=INDEX(CaseTypeCol!$B:$B,MATCH($AJ9,CaseTypeCol!$A:$A,0))),IF($AQ9="",TRUE,$T9=INDEX(CaseTypeCol!$B:$B,MATCH($AQ9,CaseTypeCol!$A:$A,0))),IF($AX9="",TRUE,$T9=INDEX(CaseTypeCol!$B:$B,MATCH($AX9,CaseTypeCol!$A:$A,0))))</f>
        <v>1</v>
      </c>
      <c r="X9" t="s">
        <v>11</v>
      </c>
      <c r="Y9" s="6" t="str">
        <f>INDEX(DataCollection!$B:$B,MATCH($X9,DataCollection!$A:$A,0))</f>
        <v>data_collection1</v>
      </c>
      <c r="AA9" s="6" t="str">
        <f>IF($Z9="","",INDEX(CaseTypeCol!$J:$J,MATCH($Z9,CaseTypeCol!$A:$A,0)))</f>
        <v/>
      </c>
      <c r="AC9" s="6" t="str">
        <f>IF($AB9="","",INDEX(IdentifierIssuer!$B:$B,MATCH($AB9,IdentifierIssuer!$A:$A,0)))</f>
        <v/>
      </c>
      <c r="AE9" s="6" t="str">
        <f>IF($AD9="","",INDEX(SequencingProtocol!$B:$B,MATCH($AD9,SequencingProtocol!$A:$A,0)))</f>
        <v/>
      </c>
      <c r="AG9" s="6" t="str">
        <f>IF($AF9="","",INDEX(AssemblyProtocol!$B:$B,MATCH($AF9,AssemblyProtocol!$A:$A,0)))</f>
        <v/>
      </c>
      <c r="AI9" s="14">
        <v>36526</v>
      </c>
      <c r="AJ9" t="s">
        <v>516</v>
      </c>
      <c r="AK9" t="s">
        <v>972</v>
      </c>
      <c r="AL9" s="6" t="str">
        <f>IF($AJ9="","",INDEX(CaseTypeCol!$J:$J,MATCH($AJ9,CaseTypeCol!$A:$A,0)))</f>
        <v>case_type_col1_7_0_1_TEXT</v>
      </c>
      <c r="AM9" s="6" t="b" cm="1">
        <f t="array" aca="1" ref="AM9" ca="1">IF($AJ9="",TRUE,IF($J9="",FALSE,IF(INDIRECT("OrganizationAccessCasePolicy!J"&amp;$J9)="",FALSE,NOT(ISNA(MATCH(INDIRECT("OrganizationAccessCasePolicy!J"&amp;$J9)&amp;"|"&amp;$AJ9,CaseTypeColSetMember!$H:$H,0))))))</f>
        <v>1</v>
      </c>
      <c r="AN9" s="6" t="b" cm="1">
        <f t="array" aca="1" ref="AN9" ca="1">IF($AJ9="",TRUE,IF($J9="",FALSE,IF(INDIRECT("OrganizationAccessCasePolicy!L"&amp;$J9)="",FALSE,NOT(ISNA(MATCH(INDIRECT("OrganizationAccessCasePolicy!L"&amp;$J9)&amp;"|"&amp;$AJ9,CaseTypeColSetMember!$H:$H,0))))))</f>
        <v>1</v>
      </c>
      <c r="AO9" s="6" t="b" cm="1">
        <f t="array" aca="1" ref="AO9" ca="1">IF($AJ9="",TRUE,IF($N9="",FALSE,IF(INDIRECT("UserAccessCasePolicy!I"&amp;$N9)="",FALSE,NOT(ISNA(MATCH(INDIRECT("UserAccessCasePolicy!I"&amp;$N9)&amp;"|"&amp;$AJ9,CaseTypeColSetMember!$H:$H,0))))))</f>
        <v>0</v>
      </c>
      <c r="AP9" s="6" t="b" cm="1">
        <f t="array" aca="1" ref="AP9" ca="1">IF($AJ9="",TRUE,IF($N9="",FALSE,IF(INDIRECT("UserAccessCasePolicy!K"&amp;$N9)="",FALSE,NOT(ISNA(MATCH(INDIRECT("UserAccessCasePolicy!K"&amp;$N9)&amp;"|"&amp;$AJ9,CaseTypeColSetMember!$H:$H,0))))))</f>
        <v>0</v>
      </c>
      <c r="AS9" s="6" t="str">
        <f>IF($AQ9="","",INDEX(CaseTypeCol!$J:$J,MATCH($AQ9,CaseTypeCol!$A:$A,0)))</f>
        <v/>
      </c>
      <c r="AT9" s="6" t="b" cm="1">
        <f t="array" aca="1" ref="AT9" ca="1">IF($AQ9="",TRUE,IF($J9="",FALSE,IF(INDIRECT("OrganizationAccessCasePolicy!J"&amp;$J9)="",FALSE,NOT(ISNA(MATCH(INDIRECT("OrganizationAccessCasePolicy!J"&amp;$J9)&amp;"|"&amp;$AQ9,CaseTypeColSetMember!$H:$H,0))))))</f>
        <v>1</v>
      </c>
      <c r="AU9" s="6" t="b" cm="1">
        <f t="array" aca="1" ref="AU9" ca="1">IF($AQ9="",TRUE,IF($J9="",FALSE,IF(INDIRECT("OrganizationAccessCasePolicy!L"&amp;$J9)="",FALSE,NOT(ISNA(MATCH(INDIRECT("OrganizationAccessCasePolicy!L"&amp;$J9)&amp;"|"&amp;$AQ9,CaseTypeColSetMember!$H:$H,0))))))</f>
        <v>1</v>
      </c>
      <c r="AV9" s="6" t="b" cm="1">
        <f t="array" aca="1" ref="AV9" ca="1">IF($AQ9="",TRUE,IF($N9="",FALSE,IF(INDIRECT("UserAccessCasePolicy!I"&amp;$N9)="",FALSE,NOT(ISNA(MATCH(INDIRECT("UserAccessCasePolicy!I"&amp;$N9)&amp;"|"&amp;$AQ9,CaseTypeColSetMember!$H:$H,0))))))</f>
        <v>1</v>
      </c>
      <c r="AW9" s="6" t="b" cm="1">
        <f t="array" aca="1" ref="AW9" ca="1">IF($AQ9="",TRUE,IF($N9="",FALSE,IF(INDIRECT("UserAccessCasePolicy!K"&amp;$N9)="",FALSE,NOT(ISNA(MATCH(INDIRECT("UserAccessCasePolicy!K"&amp;$N9)&amp;"|"&amp;$AQ9,CaseTypeColSetMember!$H:$H,0))))))</f>
        <v>1</v>
      </c>
      <c r="AZ9" s="6" t="str">
        <f>IF($AX9="","",INDEX(CaseTypeCol!$J:$J,MATCH($AX9,CaseTypeCol!$A:$A,0)))</f>
        <v/>
      </c>
      <c r="BA9" s="6" t="b" cm="1">
        <f t="array" aca="1" ref="BA9" ca="1">IF($AX9="",TRUE,IF($J9="",FALSE,IF(INDIRECT("OrganizationAccessCasePolicy!J"&amp;$J9)="",FALSE,NOT(ISNA(MATCH(INDIRECT("OrganizationAccessCasePolicy!J"&amp;$J9)&amp;"|"&amp;$AX9,CaseTypeColSetMember!$H:$H,0))))))</f>
        <v>1</v>
      </c>
      <c r="BB9" s="6" t="b" cm="1">
        <f t="array" aca="1" ref="BB9" ca="1">IF($AX9="",TRUE,IF($J9="",FALSE,IF(INDIRECT("OrganizationAccessCasePolicy!L"&amp;$J9)="",FALSE,NOT(ISNA(MATCH(INDIRECT("OrganizationAccessCasePolicy!L"&amp;$J9)&amp;"|"&amp;$AX9,CaseTypeColSetMember!$H:$H,0))))))</f>
        <v>1</v>
      </c>
      <c r="BC9" s="6" t="b" cm="1">
        <f t="array" aca="1" ref="BC9" ca="1">IF($AX9="",TRUE,IF($N9="",FALSE,IF(INDIRECT("UserAccessCasePolicy!I"&amp;$N9)="",FALSE,NOT(ISNA(MATCH(INDIRECT("UserAccessCasePolicy!I"&amp;$N9)&amp;"|"&amp;$AX9,CaseTypeColSetMember!$H:$H,0))))))</f>
        <v>1</v>
      </c>
      <c r="BD9" s="6" t="b" cm="1">
        <f t="array" aca="1" ref="BD9" ca="1">IF($AX9="",TRUE,IF($N9="",FALSE,IF(INDIRECT("UserAccessCasePolicy!K"&amp;$N9)="",FALSE,NOT(ISNA(MATCH(INDIRECT("UserAccessCasePolicy!K"&amp;$N9)&amp;"|"&amp;$AX9,CaseTypeColSetMember!$H:$H,0))))))</f>
        <v>1</v>
      </c>
    </row>
    <row r="10" spans="1:56" ht="15" customHeight="1" x14ac:dyDescent="0.3">
      <c r="A10">
        <v>9</v>
      </c>
      <c r="B10" t="b">
        <v>0</v>
      </c>
      <c r="C10" t="s">
        <v>986</v>
      </c>
      <c r="D10" t="s">
        <v>44</v>
      </c>
      <c r="E10" s="6" t="str">
        <f>INDEX(User!$D:$D,MATCH($D10,User!$A:$A,0))</f>
        <v>org_admin1_1</v>
      </c>
      <c r="F10" t="s">
        <v>982</v>
      </c>
      <c r="G10" s="19" t="b">
        <f ca="1">IF($F10="CREATE",$I10,IF($F10="CREATE_CASES",OR($I10,AND($K10,$L10,$O10,$P10,$AN10,AP10,$AU10,$AW10,$BB10,$BD10)),"TBD"))</f>
        <v>0</v>
      </c>
      <c r="H10" s="6" t="str">
        <f>INDEX(User!$G:$G,MATCH($D10,User!$A:$A,0))</f>
        <v>018d074d-ea0c-e942-07db-a3cc0ba1d653</v>
      </c>
      <c r="I10" s="6" t="b">
        <f>INDEX(User!$M:$M,MATCH($D10,User!$A:$A,0))</f>
        <v>0</v>
      </c>
      <c r="J10" s="6">
        <f>IF(ISNA(MATCH($H10&amp;"|"&amp;$X10,OrganizationAccessCasePolicy!$V:$V,0)),"",MATCH($H10&amp;"|"&amp;$X10,OrganizationAccessCasePolicy!$V:$V,0))</f>
        <v>2</v>
      </c>
      <c r="K10" s="6" t="b" cm="1">
        <f t="array" aca="1" ref="K10" ca="1">IF($J10="",FALSE,NOT(ISNA(MATCH(INDIRECT("OrganizationAccessCasePolicy!D"&amp;$J10)&amp;"|"&amp;$T10,CaseTypeSetMember!$H:$H,0))))</f>
        <v>1</v>
      </c>
      <c r="L10" s="6" t="b" cm="1">
        <f t="array" aca="1" ref="L10" ca="1">IF($J10="",FALSE,AND(INDIRECT("OrganizationAccessCasePolicy!H"&amp;$J10),NOT(ISNA(MATCH(INDIRECT("OrganizationAccessCasePolicy!D"&amp;$J10)&amp;"|"&amp;$T10,CaseTypeSetMember!$H:$H,0)))))</f>
        <v>1</v>
      </c>
      <c r="M10" s="6" t="b" cm="1">
        <f t="array" aca="1" ref="M10" ca="1">IF($J10="",FALSE,AND(INDIRECT("OrganizationAccessCasePolicy!I"&amp;$J10),NOT(ISNA(MATCH(INDIRECT("OrganizationAccessCasePolicy!D"&amp;$J10)&amp;"|"&amp;$T10,CaseTypeSetMember!$H:$H,0)))))</f>
        <v>1</v>
      </c>
      <c r="N10" s="6" t="str">
        <f>IF(ISNA(MATCH($D10&amp;"|"&amp;$X10,UserAccessCasePolicy!$W:$W,0)),"",MATCH($D10&amp;"|"&amp;$X10,UserAccessCasePolicy!$W:$W,0))</f>
        <v/>
      </c>
      <c r="O10" s="6" t="b" cm="1">
        <f t="array" aca="1" ref="O10" ca="1">IF($N10="",FALSE,NOT(ISNA(MATCH(INDIRECT("UserAccessCasePolicy!D"&amp;$N10)&amp;"|"&amp;$T10,CaseTypeSetMember!$H:$H,0))))</f>
        <v>0</v>
      </c>
      <c r="P10" s="6" t="b" cm="1">
        <f t="array" aca="1" ref="P10" ca="1">IF($N10="",FALSE,AND(INDIRECT("UserAccessCasePolicy!G"&amp;$N10),NOT(ISNA(MATCH(INDIRECT("UserAccessCasePolicy!D"&amp;$N10)&amp;"|"&amp;$T10,CaseTypeSetMember!$H:$H,0)))))</f>
        <v>0</v>
      </c>
      <c r="Q10" s="6" t="b" cm="1">
        <f t="array" aca="1" ref="Q10" ca="1">IF($N10="",FALSE,AND(INDIRECT("UserAccessCasePolicy!H"&amp;$N10),NOT(ISNA(MATCH(INDIRECT("UserAccessCasePolicy!D"&amp;$N10)&amp;"|"&amp;$T10,CaseTypeSetMember!$H:$H,0)))))</f>
        <v>0</v>
      </c>
      <c r="R10" t="s">
        <v>987</v>
      </c>
      <c r="S10" s="6" t="str">
        <f>"case"&amp;MATCH($R10,$R$1:$R10,0)-1</f>
        <v>case9</v>
      </c>
      <c r="T10" t="s">
        <v>115</v>
      </c>
      <c r="U10" s="6" t="str">
        <f>INDEX(CaseType!$B:$B,MATCH($T10,CaseType!$A:$A,0))</f>
        <v>case_type1</v>
      </c>
      <c r="V10" s="6" t="b">
        <f>AND(IF($AJ10="",TRUE,$T10=INDEX(CaseTypeCol!$B:$B,MATCH($AJ10,CaseTypeCol!$A:$A,0))),IF($AQ10="",TRUE,$T10=INDEX(CaseTypeCol!$B:$B,MATCH($AQ10,CaseTypeCol!$A:$A,0))),IF($AX10="",TRUE,$T10=INDEX(CaseTypeCol!$B:$B,MATCH($AX10,CaseTypeCol!$A:$A,0))))</f>
        <v>1</v>
      </c>
      <c r="X10" t="s">
        <v>11</v>
      </c>
      <c r="Y10" s="6" t="str">
        <f>INDEX(DataCollection!$B:$B,MATCH($X10,DataCollection!$A:$A,0))</f>
        <v>data_collection1</v>
      </c>
      <c r="AA10" s="6" t="str">
        <f>IF($Z10="","",INDEX(CaseTypeCol!$J:$J,MATCH($Z10,CaseTypeCol!$A:$A,0)))</f>
        <v/>
      </c>
      <c r="AC10" s="6" t="str">
        <f>IF($AB10="","",INDEX(IdentifierIssuer!$B:$B,MATCH($AB10,IdentifierIssuer!$A:$A,0)))</f>
        <v/>
      </c>
      <c r="AE10" s="6" t="str">
        <f>IF($AD10="","",INDEX(SequencingProtocol!$B:$B,MATCH($AD10,SequencingProtocol!$A:$A,0)))</f>
        <v/>
      </c>
      <c r="AG10" s="6" t="str">
        <f>IF($AF10="","",INDEX(AssemblyProtocol!$B:$B,MATCH($AF10,AssemblyProtocol!$A:$A,0)))</f>
        <v/>
      </c>
      <c r="AI10" s="14">
        <v>36526</v>
      </c>
      <c r="AJ10" t="s">
        <v>516</v>
      </c>
      <c r="AK10" t="s">
        <v>972</v>
      </c>
      <c r="AL10" s="6" t="str">
        <f>IF($AJ10="","",INDEX(CaseTypeCol!$J:$J,MATCH($AJ10,CaseTypeCol!$A:$A,0)))</f>
        <v>case_type_col1_7_0_1_TEXT</v>
      </c>
      <c r="AM10" s="6" t="b" cm="1">
        <f t="array" aca="1" ref="AM10" ca="1">IF($AJ10="",TRUE,IF($J10="",FALSE,IF(INDIRECT("OrganizationAccessCasePolicy!J"&amp;$J10)="",FALSE,NOT(ISNA(MATCH(INDIRECT("OrganizationAccessCasePolicy!J"&amp;$J10)&amp;"|"&amp;$AJ10,CaseTypeColSetMember!$H:$H,0))))))</f>
        <v>1</v>
      </c>
      <c r="AN10" s="6" t="b" cm="1">
        <f t="array" aca="1" ref="AN10" ca="1">IF($AJ10="",TRUE,IF($J10="",FALSE,IF(INDIRECT("OrganizationAccessCasePolicy!L"&amp;$J10)="",FALSE,NOT(ISNA(MATCH(INDIRECT("OrganizationAccessCasePolicy!L"&amp;$J10)&amp;"|"&amp;$AJ10,CaseTypeColSetMember!$H:$H,0))))))</f>
        <v>1</v>
      </c>
      <c r="AO10" s="6" t="b" cm="1">
        <f t="array" aca="1" ref="AO10" ca="1">IF($AJ10="",TRUE,IF($N10="",FALSE,IF(INDIRECT("UserAccessCasePolicy!I"&amp;$N10)="",FALSE,NOT(ISNA(MATCH(INDIRECT("UserAccessCasePolicy!I"&amp;$N10)&amp;"|"&amp;$AJ10,CaseTypeColSetMember!$H:$H,0))))))</f>
        <v>0</v>
      </c>
      <c r="AP10" s="6" t="b" cm="1">
        <f t="array" aca="1" ref="AP10" ca="1">IF($AJ10="",TRUE,IF($N10="",FALSE,IF(INDIRECT("UserAccessCasePolicy!K"&amp;$N10)="",FALSE,NOT(ISNA(MATCH(INDIRECT("UserAccessCasePolicy!K"&amp;$N10)&amp;"|"&amp;$AJ10,CaseTypeColSetMember!$H:$H,0))))))</f>
        <v>0</v>
      </c>
      <c r="AS10" s="6" t="str">
        <f>IF($AQ10="","",INDEX(CaseTypeCol!$J:$J,MATCH($AQ10,CaseTypeCol!$A:$A,0)))</f>
        <v/>
      </c>
      <c r="AT10" s="6" t="b" cm="1">
        <f t="array" aca="1" ref="AT10" ca="1">IF($AQ10="",TRUE,IF($J10="",FALSE,IF(INDIRECT("OrganizationAccessCasePolicy!J"&amp;$J10)="",FALSE,NOT(ISNA(MATCH(INDIRECT("OrganizationAccessCasePolicy!J"&amp;$J10)&amp;"|"&amp;$AQ10,CaseTypeColSetMember!$H:$H,0))))))</f>
        <v>1</v>
      </c>
      <c r="AU10" s="6" t="b" cm="1">
        <f t="array" aca="1" ref="AU10" ca="1">IF($AQ10="",TRUE,IF($J10="",FALSE,IF(INDIRECT("OrganizationAccessCasePolicy!L"&amp;$J10)="",FALSE,NOT(ISNA(MATCH(INDIRECT("OrganizationAccessCasePolicy!L"&amp;$J10)&amp;"|"&amp;$AQ10,CaseTypeColSetMember!$H:$H,0))))))</f>
        <v>1</v>
      </c>
      <c r="AV10" s="6" t="b" cm="1">
        <f t="array" aca="1" ref="AV10" ca="1">IF($AQ10="",TRUE,IF($N10="",FALSE,IF(INDIRECT("UserAccessCasePolicy!I"&amp;$N10)="",FALSE,NOT(ISNA(MATCH(INDIRECT("UserAccessCasePolicy!I"&amp;$N10)&amp;"|"&amp;$AQ10,CaseTypeColSetMember!$H:$H,0))))))</f>
        <v>1</v>
      </c>
      <c r="AW10" s="6" t="b" cm="1">
        <f t="array" aca="1" ref="AW10" ca="1">IF($AQ10="",TRUE,IF($N10="",FALSE,IF(INDIRECT("UserAccessCasePolicy!K"&amp;$N10)="",FALSE,NOT(ISNA(MATCH(INDIRECT("UserAccessCasePolicy!K"&amp;$N10)&amp;"|"&amp;$AQ10,CaseTypeColSetMember!$H:$H,0))))))</f>
        <v>1</v>
      </c>
      <c r="AZ10" s="6" t="str">
        <f>IF($AX10="","",INDEX(CaseTypeCol!$J:$J,MATCH($AX10,CaseTypeCol!$A:$A,0)))</f>
        <v/>
      </c>
      <c r="BA10" s="6" t="b" cm="1">
        <f t="array" aca="1" ref="BA10" ca="1">IF($AX10="",TRUE,IF($J10="",FALSE,IF(INDIRECT("OrganizationAccessCasePolicy!J"&amp;$J10)="",FALSE,NOT(ISNA(MATCH(INDIRECT("OrganizationAccessCasePolicy!J"&amp;$J10)&amp;"|"&amp;$AX10,CaseTypeColSetMember!$H:$H,0))))))</f>
        <v>1</v>
      </c>
      <c r="BB10" s="6" t="b" cm="1">
        <f t="array" aca="1" ref="BB10" ca="1">IF($AX10="",TRUE,IF($J10="",FALSE,IF(INDIRECT("OrganizationAccessCasePolicy!L"&amp;$J10)="",FALSE,NOT(ISNA(MATCH(INDIRECT("OrganizationAccessCasePolicy!L"&amp;$J10)&amp;"|"&amp;$AX10,CaseTypeColSetMember!$H:$H,0))))))</f>
        <v>1</v>
      </c>
      <c r="BC10" s="6" t="b" cm="1">
        <f t="array" aca="1" ref="BC10" ca="1">IF($AX10="",TRUE,IF($N10="",FALSE,IF(INDIRECT("UserAccessCasePolicy!I"&amp;$N10)="",FALSE,NOT(ISNA(MATCH(INDIRECT("UserAccessCasePolicy!I"&amp;$N10)&amp;"|"&amp;$AX10,CaseTypeColSetMember!$H:$H,0))))))</f>
        <v>1</v>
      </c>
      <c r="BD10" s="6" t="b" cm="1">
        <f t="array" aca="1" ref="BD10" ca="1">IF($AX10="",TRUE,IF($N10="",FALSE,IF(INDIRECT("UserAccessCasePolicy!K"&amp;$N10)="",FALSE,NOT(ISNA(MATCH(INDIRECT("UserAccessCasePolicy!K"&amp;$N10)&amp;"|"&amp;$AX10,CaseTypeColSetMember!$H:$H,0))))))</f>
        <v>1</v>
      </c>
    </row>
    <row r="11" spans="1:56" ht="15" customHeight="1" x14ac:dyDescent="0.3">
      <c r="A11">
        <v>10</v>
      </c>
      <c r="B11" t="b">
        <v>0</v>
      </c>
      <c r="C11" t="s">
        <v>988</v>
      </c>
      <c r="D11" t="s">
        <v>47</v>
      </c>
      <c r="E11" s="6" t="str">
        <f>INDEX(User!$D:$D,MATCH($D11,User!$A:$A,0))</f>
        <v>org_admin2_1</v>
      </c>
      <c r="F11" t="s">
        <v>982</v>
      </c>
      <c r="G11" s="19" t="b">
        <f ca="1">IF($F11="CREATE",$I11,IF($F11="CREATE_CASES",OR($I11,AND($K11,$L11,$O11,$P11,$AN11,AP11,$AU11,$AW11,$BB11,$BD11)),"TBD"))</f>
        <v>0</v>
      </c>
      <c r="H11" s="6" t="str">
        <f>INDEX(User!$G:$G,MATCH($D11,User!$A:$A,0))</f>
        <v>0195d18c-1c92-0ed4-2e94-b4f66d82baf3</v>
      </c>
      <c r="I11" s="6" t="b">
        <f>INDEX(User!$M:$M,MATCH($D11,User!$A:$A,0))</f>
        <v>0</v>
      </c>
      <c r="J11" s="6" t="str">
        <f>IF(ISNA(MATCH($H11&amp;"|"&amp;$X11,OrganizationAccessCasePolicy!$V:$V,0)),"",MATCH($H11&amp;"|"&amp;$X11,OrganizationAccessCasePolicy!$V:$V,0))</f>
        <v/>
      </c>
      <c r="K11" s="6" t="b" cm="1">
        <f t="array" aca="1" ref="K11" ca="1">IF($J11="",FALSE,NOT(ISNA(MATCH(INDIRECT("OrganizationAccessCasePolicy!D"&amp;$J11)&amp;"|"&amp;$T11,CaseTypeSetMember!$H:$H,0))))</f>
        <v>0</v>
      </c>
      <c r="L11" s="6" t="b" cm="1">
        <f t="array" aca="1" ref="L11" ca="1">IF($J11="",FALSE,AND(INDIRECT("OrganizationAccessCasePolicy!H"&amp;$J11),NOT(ISNA(MATCH(INDIRECT("OrganizationAccessCasePolicy!D"&amp;$J11)&amp;"|"&amp;$T11,CaseTypeSetMember!$H:$H,0)))))</f>
        <v>0</v>
      </c>
      <c r="M11" s="6" t="b" cm="1">
        <f t="array" aca="1" ref="M11" ca="1">IF($J11="",FALSE,AND(INDIRECT("OrganizationAccessCasePolicy!I"&amp;$J11),NOT(ISNA(MATCH(INDIRECT("OrganizationAccessCasePolicy!D"&amp;$J11)&amp;"|"&amp;$T11,CaseTypeSetMember!$H:$H,0)))))</f>
        <v>0</v>
      </c>
      <c r="N11" s="6" t="str">
        <f>IF(ISNA(MATCH($D11&amp;"|"&amp;$X11,UserAccessCasePolicy!$W:$W,0)),"",MATCH($D11&amp;"|"&amp;$X11,UserAccessCasePolicy!$W:$W,0))</f>
        <v/>
      </c>
      <c r="O11" s="6" t="b" cm="1">
        <f t="array" aca="1" ref="O11" ca="1">IF($N11="",FALSE,NOT(ISNA(MATCH(INDIRECT("UserAccessCasePolicy!D"&amp;$N11)&amp;"|"&amp;$T11,CaseTypeSetMember!$H:$H,0))))</f>
        <v>0</v>
      </c>
      <c r="P11" s="6" t="b" cm="1">
        <f t="array" aca="1" ref="P11" ca="1">IF($N11="",FALSE,AND(INDIRECT("UserAccessCasePolicy!G"&amp;$N11),NOT(ISNA(MATCH(INDIRECT("UserAccessCasePolicy!D"&amp;$N11)&amp;"|"&amp;$T11,CaseTypeSetMember!$H:$H,0)))))</f>
        <v>0</v>
      </c>
      <c r="Q11" s="6" t="b" cm="1">
        <f t="array" aca="1" ref="Q11" ca="1">IF($N11="",FALSE,AND(INDIRECT("UserAccessCasePolicy!H"&amp;$N11),NOT(ISNA(MATCH(INDIRECT("UserAccessCasePolicy!D"&amp;$N11)&amp;"|"&amp;$T11,CaseTypeSetMember!$H:$H,0)))))</f>
        <v>0</v>
      </c>
      <c r="R11" t="s">
        <v>989</v>
      </c>
      <c r="S11" s="6" t="str">
        <f>"case"&amp;MATCH($R11,$R$1:$R11,0)-1</f>
        <v>case10</v>
      </c>
      <c r="T11" t="s">
        <v>115</v>
      </c>
      <c r="U11" s="6" t="str">
        <f>INDEX(CaseType!$B:$B,MATCH($T11,CaseType!$A:$A,0))</f>
        <v>case_type1</v>
      </c>
      <c r="V11" s="6" t="b">
        <f>AND(IF($AJ11="",TRUE,$T11=INDEX(CaseTypeCol!$B:$B,MATCH($AJ11,CaseTypeCol!$A:$A,0))),IF($AQ11="",TRUE,$T11=INDEX(CaseTypeCol!$B:$B,MATCH($AQ11,CaseTypeCol!$A:$A,0))),IF($AX11="",TRUE,$T11=INDEX(CaseTypeCol!$B:$B,MATCH($AX11,CaseTypeCol!$A:$A,0))))</f>
        <v>1</v>
      </c>
      <c r="X11" t="s">
        <v>11</v>
      </c>
      <c r="Y11" s="6" t="str">
        <f>INDEX(DataCollection!$B:$B,MATCH($X11,DataCollection!$A:$A,0))</f>
        <v>data_collection1</v>
      </c>
      <c r="AA11" s="6" t="str">
        <f>IF($Z11="","",INDEX(CaseTypeCol!$J:$J,MATCH($Z11,CaseTypeCol!$A:$A,0)))</f>
        <v/>
      </c>
      <c r="AC11" s="6" t="str">
        <f>IF($AB11="","",INDEX(IdentifierIssuer!$B:$B,MATCH($AB11,IdentifierIssuer!$A:$A,0)))</f>
        <v/>
      </c>
      <c r="AE11" s="6" t="str">
        <f>IF($AD11="","",INDEX(SequencingProtocol!$B:$B,MATCH($AD11,SequencingProtocol!$A:$A,0)))</f>
        <v/>
      </c>
      <c r="AG11" s="6" t="str">
        <f>IF($AF11="","",INDEX(AssemblyProtocol!$B:$B,MATCH($AF11,AssemblyProtocol!$A:$A,0)))</f>
        <v/>
      </c>
      <c r="AI11" s="14">
        <v>36526</v>
      </c>
      <c r="AJ11" t="s">
        <v>516</v>
      </c>
      <c r="AK11" t="s">
        <v>972</v>
      </c>
      <c r="AL11" s="6" t="str">
        <f>IF($AJ11="","",INDEX(CaseTypeCol!$J:$J,MATCH($AJ11,CaseTypeCol!$A:$A,0)))</f>
        <v>case_type_col1_7_0_1_TEXT</v>
      </c>
      <c r="AM11" s="6" t="b" cm="1">
        <f t="array" aca="1" ref="AM11" ca="1">IF($AJ11="",TRUE,IF($J11="",FALSE,IF(INDIRECT("OrganizationAccessCasePolicy!J"&amp;$J11)="",FALSE,NOT(ISNA(MATCH(INDIRECT("OrganizationAccessCasePolicy!J"&amp;$J11)&amp;"|"&amp;$AJ11,CaseTypeColSetMember!$H:$H,0))))))</f>
        <v>0</v>
      </c>
      <c r="AN11" s="6" t="b" cm="1">
        <f t="array" aca="1" ref="AN11" ca="1">IF($AJ11="",TRUE,IF($J11="",FALSE,IF(INDIRECT("OrganizationAccessCasePolicy!L"&amp;$J11)="",FALSE,NOT(ISNA(MATCH(INDIRECT("OrganizationAccessCasePolicy!L"&amp;$J11)&amp;"|"&amp;$AJ11,CaseTypeColSetMember!$H:$H,0))))))</f>
        <v>0</v>
      </c>
      <c r="AO11" s="6" t="b" cm="1">
        <f t="array" aca="1" ref="AO11" ca="1">IF($AJ11="",TRUE,IF($N11="",FALSE,IF(INDIRECT("UserAccessCasePolicy!I"&amp;$N11)="",FALSE,NOT(ISNA(MATCH(INDIRECT("UserAccessCasePolicy!I"&amp;$N11)&amp;"|"&amp;$AJ11,CaseTypeColSetMember!$H:$H,0))))))</f>
        <v>0</v>
      </c>
      <c r="AP11" s="6" t="b" cm="1">
        <f t="array" aca="1" ref="AP11" ca="1">IF($AJ11="",TRUE,IF($N11="",FALSE,IF(INDIRECT("UserAccessCasePolicy!K"&amp;$N11)="",FALSE,NOT(ISNA(MATCH(INDIRECT("UserAccessCasePolicy!K"&amp;$N11)&amp;"|"&amp;$AJ11,CaseTypeColSetMember!$H:$H,0))))))</f>
        <v>0</v>
      </c>
      <c r="AS11" s="6" t="str">
        <f>IF($AQ11="","",INDEX(CaseTypeCol!$J:$J,MATCH($AQ11,CaseTypeCol!$A:$A,0)))</f>
        <v/>
      </c>
      <c r="AT11" s="6" t="b" cm="1">
        <f t="array" aca="1" ref="AT11" ca="1">IF($AQ11="",TRUE,IF($J11="",FALSE,IF(INDIRECT("OrganizationAccessCasePolicy!J"&amp;$J11)="",FALSE,NOT(ISNA(MATCH(INDIRECT("OrganizationAccessCasePolicy!J"&amp;$J11)&amp;"|"&amp;$AQ11,CaseTypeColSetMember!$H:$H,0))))))</f>
        <v>1</v>
      </c>
      <c r="AU11" s="6" t="b" cm="1">
        <f t="array" aca="1" ref="AU11" ca="1">IF($AQ11="",TRUE,IF($J11="",FALSE,IF(INDIRECT("OrganizationAccessCasePolicy!L"&amp;$J11)="",FALSE,NOT(ISNA(MATCH(INDIRECT("OrganizationAccessCasePolicy!L"&amp;$J11)&amp;"|"&amp;$AQ11,CaseTypeColSetMember!$H:$H,0))))))</f>
        <v>1</v>
      </c>
      <c r="AV11" s="6" t="b" cm="1">
        <f t="array" aca="1" ref="AV11" ca="1">IF($AQ11="",TRUE,IF($N11="",FALSE,IF(INDIRECT("UserAccessCasePolicy!I"&amp;$N11)="",FALSE,NOT(ISNA(MATCH(INDIRECT("UserAccessCasePolicy!I"&amp;$N11)&amp;"|"&amp;$AQ11,CaseTypeColSetMember!$H:$H,0))))))</f>
        <v>1</v>
      </c>
      <c r="AW11" s="6" t="b" cm="1">
        <f t="array" aca="1" ref="AW11" ca="1">IF($AQ11="",TRUE,IF($N11="",FALSE,IF(INDIRECT("UserAccessCasePolicy!K"&amp;$N11)="",FALSE,NOT(ISNA(MATCH(INDIRECT("UserAccessCasePolicy!K"&amp;$N11)&amp;"|"&amp;$AQ11,CaseTypeColSetMember!$H:$H,0))))))</f>
        <v>1</v>
      </c>
      <c r="AZ11" s="6" t="str">
        <f>IF($AX11="","",INDEX(CaseTypeCol!$J:$J,MATCH($AX11,CaseTypeCol!$A:$A,0)))</f>
        <v/>
      </c>
      <c r="BA11" s="6" t="b" cm="1">
        <f t="array" aca="1" ref="BA11" ca="1">IF($AX11="",TRUE,IF($J11="",FALSE,IF(INDIRECT("OrganizationAccessCasePolicy!J"&amp;$J11)="",FALSE,NOT(ISNA(MATCH(INDIRECT("OrganizationAccessCasePolicy!J"&amp;$J11)&amp;"|"&amp;$AX11,CaseTypeColSetMember!$H:$H,0))))))</f>
        <v>1</v>
      </c>
      <c r="BB11" s="6" t="b" cm="1">
        <f t="array" aca="1" ref="BB11" ca="1">IF($AX11="",TRUE,IF($J11="",FALSE,IF(INDIRECT("OrganizationAccessCasePolicy!L"&amp;$J11)="",FALSE,NOT(ISNA(MATCH(INDIRECT("OrganizationAccessCasePolicy!L"&amp;$J11)&amp;"|"&amp;$AX11,CaseTypeColSetMember!$H:$H,0))))))</f>
        <v>1</v>
      </c>
      <c r="BC11" s="6" t="b" cm="1">
        <f t="array" aca="1" ref="BC11" ca="1">IF($AX11="",TRUE,IF($N11="",FALSE,IF(INDIRECT("UserAccessCasePolicy!I"&amp;$N11)="",FALSE,NOT(ISNA(MATCH(INDIRECT("UserAccessCasePolicy!I"&amp;$N11)&amp;"|"&amp;$AX11,CaseTypeColSetMember!$H:$H,0))))))</f>
        <v>1</v>
      </c>
      <c r="BD11" s="6" t="b" cm="1">
        <f t="array" aca="1" ref="BD11" ca="1">IF($AX11="",TRUE,IF($N11="",FALSE,IF(INDIRECT("UserAccessCasePolicy!K"&amp;$N11)="",FALSE,NOT(ISNA(MATCH(INDIRECT("UserAccessCasePolicy!K"&amp;$N11)&amp;"|"&amp;$AX11,CaseTypeColSetMember!$H:$H,0))))))</f>
        <v>1</v>
      </c>
    </row>
    <row r="12" spans="1:56" ht="15" customHeight="1" x14ac:dyDescent="0.3">
      <c r="A12">
        <v>11</v>
      </c>
      <c r="B12" t="b">
        <v>0</v>
      </c>
      <c r="C12" t="s">
        <v>990</v>
      </c>
      <c r="D12" t="s">
        <v>50</v>
      </c>
      <c r="E12" s="6" t="str">
        <f>INDEX(User!$D:$D,MATCH($D12,User!$A:$A,0))</f>
        <v>org_admin3_1</v>
      </c>
      <c r="F12" t="s">
        <v>982</v>
      </c>
      <c r="G12" s="19" t="b">
        <f ca="1">IF($F12="CREATE",$I12,IF($F12="CREATE_CASES",OR($I12,AND($K12,$L12,$O12,$P12,$AN12,AP12,$AU12,$AW12,$BB12,$BD12)),"TBD"))</f>
        <v>0</v>
      </c>
      <c r="H12" s="6" t="str">
        <f>INDEX(User!$G:$G,MATCH($D12,User!$A:$A,0))</f>
        <v>0195d18c-1c92-52b3-93e0-43dc1f2aa037</v>
      </c>
      <c r="I12" s="6" t="b">
        <f>INDEX(User!$M:$M,MATCH($D12,User!$A:$A,0))</f>
        <v>0</v>
      </c>
      <c r="J12" s="6" t="str">
        <f>IF(ISNA(MATCH($H12&amp;"|"&amp;$X12,OrganizationAccessCasePolicy!$V:$V,0)),"",MATCH($H12&amp;"|"&amp;$X12,OrganizationAccessCasePolicy!$V:$V,0))</f>
        <v/>
      </c>
      <c r="K12" s="6" t="b" cm="1">
        <f t="array" aca="1" ref="K12" ca="1">IF($J12="",FALSE,NOT(ISNA(MATCH(INDIRECT("OrganizationAccessCasePolicy!D"&amp;$J12)&amp;"|"&amp;$T12,CaseTypeSetMember!$H:$H,0))))</f>
        <v>0</v>
      </c>
      <c r="L12" s="6" t="b" cm="1">
        <f t="array" aca="1" ref="L12" ca="1">IF($J12="",FALSE,AND(INDIRECT("OrganizationAccessCasePolicy!H"&amp;$J12),NOT(ISNA(MATCH(INDIRECT("OrganizationAccessCasePolicy!D"&amp;$J12)&amp;"|"&amp;$T12,CaseTypeSetMember!$H:$H,0)))))</f>
        <v>0</v>
      </c>
      <c r="M12" s="6" t="b" cm="1">
        <f t="array" aca="1" ref="M12" ca="1">IF($J12="",FALSE,AND(INDIRECT("OrganizationAccessCasePolicy!I"&amp;$J12),NOT(ISNA(MATCH(INDIRECT("OrganizationAccessCasePolicy!D"&amp;$J12)&amp;"|"&amp;$T12,CaseTypeSetMember!$H:$H,0)))))</f>
        <v>0</v>
      </c>
      <c r="N12" s="6" t="str">
        <f>IF(ISNA(MATCH($D12&amp;"|"&amp;$X12,UserAccessCasePolicy!$W:$W,0)),"",MATCH($D12&amp;"|"&amp;$X12,UserAccessCasePolicy!$W:$W,0))</f>
        <v/>
      </c>
      <c r="O12" s="6" t="b" cm="1">
        <f t="array" aca="1" ref="O12" ca="1">IF($N12="",FALSE,NOT(ISNA(MATCH(INDIRECT("UserAccessCasePolicy!D"&amp;$N12)&amp;"|"&amp;$T12,CaseTypeSetMember!$H:$H,0))))</f>
        <v>0</v>
      </c>
      <c r="P12" s="6" t="b" cm="1">
        <f t="array" aca="1" ref="P12" ca="1">IF($N12="",FALSE,AND(INDIRECT("UserAccessCasePolicy!G"&amp;$N12),NOT(ISNA(MATCH(INDIRECT("UserAccessCasePolicy!D"&amp;$N12)&amp;"|"&amp;$T12,CaseTypeSetMember!$H:$H,0)))))</f>
        <v>0</v>
      </c>
      <c r="Q12" s="6" t="b" cm="1">
        <f t="array" aca="1" ref="Q12" ca="1">IF($N12="",FALSE,AND(INDIRECT("UserAccessCasePolicy!H"&amp;$N12),NOT(ISNA(MATCH(INDIRECT("UserAccessCasePolicy!D"&amp;$N12)&amp;"|"&amp;$T12,CaseTypeSetMember!$H:$H,0)))))</f>
        <v>0</v>
      </c>
      <c r="R12" t="s">
        <v>991</v>
      </c>
      <c r="S12" s="6" t="str">
        <f>"case"&amp;MATCH($R12,$R$1:$R12,0)-1</f>
        <v>case11</v>
      </c>
      <c r="T12" t="s">
        <v>115</v>
      </c>
      <c r="U12" s="6" t="str">
        <f>INDEX(CaseType!$B:$B,MATCH($T12,CaseType!$A:$A,0))</f>
        <v>case_type1</v>
      </c>
      <c r="V12" s="6" t="b">
        <f>AND(IF($AJ12="",TRUE,$T12=INDEX(CaseTypeCol!$B:$B,MATCH($AJ12,CaseTypeCol!$A:$A,0))),IF($AQ12="",TRUE,$T12=INDEX(CaseTypeCol!$B:$B,MATCH($AQ12,CaseTypeCol!$A:$A,0))),IF($AX12="",TRUE,$T12=INDEX(CaseTypeCol!$B:$B,MATCH($AX12,CaseTypeCol!$A:$A,0))))</f>
        <v>1</v>
      </c>
      <c r="X12" t="s">
        <v>11</v>
      </c>
      <c r="Y12" s="6" t="str">
        <f>INDEX(DataCollection!$B:$B,MATCH($X12,DataCollection!$A:$A,0))</f>
        <v>data_collection1</v>
      </c>
      <c r="AA12" s="6" t="str">
        <f>IF($Z12="","",INDEX(CaseTypeCol!$J:$J,MATCH($Z12,CaseTypeCol!$A:$A,0)))</f>
        <v/>
      </c>
      <c r="AC12" s="6" t="str">
        <f>IF($AB12="","",INDEX(IdentifierIssuer!$B:$B,MATCH($AB12,IdentifierIssuer!$A:$A,0)))</f>
        <v/>
      </c>
      <c r="AE12" s="6" t="str">
        <f>IF($AD12="","",INDEX(SequencingProtocol!$B:$B,MATCH($AD12,SequencingProtocol!$A:$A,0)))</f>
        <v/>
      </c>
      <c r="AG12" s="6" t="str">
        <f>IF($AF12="","",INDEX(AssemblyProtocol!$B:$B,MATCH($AF12,AssemblyProtocol!$A:$A,0)))</f>
        <v/>
      </c>
      <c r="AI12" s="14">
        <v>36526</v>
      </c>
      <c r="AJ12" t="s">
        <v>516</v>
      </c>
      <c r="AK12" t="s">
        <v>972</v>
      </c>
      <c r="AL12" s="6" t="str">
        <f>IF($AJ12="","",INDEX(CaseTypeCol!$J:$J,MATCH($AJ12,CaseTypeCol!$A:$A,0)))</f>
        <v>case_type_col1_7_0_1_TEXT</v>
      </c>
      <c r="AM12" s="6" t="b" cm="1">
        <f t="array" aca="1" ref="AM12" ca="1">IF($AJ12="",TRUE,IF($J12="",FALSE,IF(INDIRECT("OrganizationAccessCasePolicy!J"&amp;$J12)="",FALSE,NOT(ISNA(MATCH(INDIRECT("OrganizationAccessCasePolicy!J"&amp;$J12)&amp;"|"&amp;$AJ12,CaseTypeColSetMember!$H:$H,0))))))</f>
        <v>0</v>
      </c>
      <c r="AN12" s="6" t="b" cm="1">
        <f t="array" aca="1" ref="AN12" ca="1">IF($AJ12="",TRUE,IF($J12="",FALSE,IF(INDIRECT("OrganizationAccessCasePolicy!L"&amp;$J12)="",FALSE,NOT(ISNA(MATCH(INDIRECT("OrganizationAccessCasePolicy!L"&amp;$J12)&amp;"|"&amp;$AJ12,CaseTypeColSetMember!$H:$H,0))))))</f>
        <v>0</v>
      </c>
      <c r="AO12" s="6" t="b" cm="1">
        <f t="array" aca="1" ref="AO12" ca="1">IF($AJ12="",TRUE,IF($N12="",FALSE,IF(INDIRECT("UserAccessCasePolicy!I"&amp;$N12)="",FALSE,NOT(ISNA(MATCH(INDIRECT("UserAccessCasePolicy!I"&amp;$N12)&amp;"|"&amp;$AJ12,CaseTypeColSetMember!$H:$H,0))))))</f>
        <v>0</v>
      </c>
      <c r="AP12" s="6" t="b" cm="1">
        <f t="array" aca="1" ref="AP12" ca="1">IF($AJ12="",TRUE,IF($N12="",FALSE,IF(INDIRECT("UserAccessCasePolicy!K"&amp;$N12)="",FALSE,NOT(ISNA(MATCH(INDIRECT("UserAccessCasePolicy!K"&amp;$N12)&amp;"|"&amp;$AJ12,CaseTypeColSetMember!$H:$H,0))))))</f>
        <v>0</v>
      </c>
      <c r="AS12" s="6" t="str">
        <f>IF($AQ12="","",INDEX(CaseTypeCol!$J:$J,MATCH($AQ12,CaseTypeCol!$A:$A,0)))</f>
        <v/>
      </c>
      <c r="AT12" s="6" t="b" cm="1">
        <f t="array" aca="1" ref="AT12" ca="1">IF($AQ12="",TRUE,IF($J12="",FALSE,IF(INDIRECT("OrganizationAccessCasePolicy!J"&amp;$J12)="",FALSE,NOT(ISNA(MATCH(INDIRECT("OrganizationAccessCasePolicy!J"&amp;$J12)&amp;"|"&amp;$AQ12,CaseTypeColSetMember!$H:$H,0))))))</f>
        <v>1</v>
      </c>
      <c r="AU12" s="6" t="b" cm="1">
        <f t="array" aca="1" ref="AU12" ca="1">IF($AQ12="",TRUE,IF($J12="",FALSE,IF(INDIRECT("OrganizationAccessCasePolicy!L"&amp;$J12)="",FALSE,NOT(ISNA(MATCH(INDIRECT("OrganizationAccessCasePolicy!L"&amp;$J12)&amp;"|"&amp;$AQ12,CaseTypeColSetMember!$H:$H,0))))))</f>
        <v>1</v>
      </c>
      <c r="AV12" s="6" t="b" cm="1">
        <f t="array" aca="1" ref="AV12" ca="1">IF($AQ12="",TRUE,IF($N12="",FALSE,IF(INDIRECT("UserAccessCasePolicy!I"&amp;$N12)="",FALSE,NOT(ISNA(MATCH(INDIRECT("UserAccessCasePolicy!I"&amp;$N12)&amp;"|"&amp;$AQ12,CaseTypeColSetMember!$H:$H,0))))))</f>
        <v>1</v>
      </c>
      <c r="AW12" s="6" t="b" cm="1">
        <f t="array" aca="1" ref="AW12" ca="1">IF($AQ12="",TRUE,IF($N12="",FALSE,IF(INDIRECT("UserAccessCasePolicy!K"&amp;$N12)="",FALSE,NOT(ISNA(MATCH(INDIRECT("UserAccessCasePolicy!K"&amp;$N12)&amp;"|"&amp;$AQ12,CaseTypeColSetMember!$H:$H,0))))))</f>
        <v>1</v>
      </c>
      <c r="AZ12" s="6" t="str">
        <f>IF($AX12="","",INDEX(CaseTypeCol!$J:$J,MATCH($AX12,CaseTypeCol!$A:$A,0)))</f>
        <v/>
      </c>
      <c r="BA12" s="6" t="b" cm="1">
        <f t="array" aca="1" ref="BA12" ca="1">IF($AX12="",TRUE,IF($J12="",FALSE,IF(INDIRECT("OrganizationAccessCasePolicy!J"&amp;$J12)="",FALSE,NOT(ISNA(MATCH(INDIRECT("OrganizationAccessCasePolicy!J"&amp;$J12)&amp;"|"&amp;$AX12,CaseTypeColSetMember!$H:$H,0))))))</f>
        <v>1</v>
      </c>
      <c r="BB12" s="6" t="b" cm="1">
        <f t="array" aca="1" ref="BB12" ca="1">IF($AX12="",TRUE,IF($J12="",FALSE,IF(INDIRECT("OrganizationAccessCasePolicy!L"&amp;$J12)="",FALSE,NOT(ISNA(MATCH(INDIRECT("OrganizationAccessCasePolicy!L"&amp;$J12)&amp;"|"&amp;$AX12,CaseTypeColSetMember!$H:$H,0))))))</f>
        <v>1</v>
      </c>
      <c r="BC12" s="6" t="b" cm="1">
        <f t="array" aca="1" ref="BC12" ca="1">IF($AX12="",TRUE,IF($N12="",FALSE,IF(INDIRECT("UserAccessCasePolicy!I"&amp;$N12)="",FALSE,NOT(ISNA(MATCH(INDIRECT("UserAccessCasePolicy!I"&amp;$N12)&amp;"|"&amp;$AX12,CaseTypeColSetMember!$H:$H,0))))))</f>
        <v>1</v>
      </c>
      <c r="BD12" s="6" t="b" cm="1">
        <f t="array" aca="1" ref="BD12" ca="1">IF($AX12="",TRUE,IF($N12="",FALSE,IF(INDIRECT("UserAccessCasePolicy!K"&amp;$N12)="",FALSE,NOT(ISNA(MATCH(INDIRECT("UserAccessCasePolicy!K"&amp;$N12)&amp;"|"&amp;$AX12,CaseTypeColSetMember!$H:$H,0))))))</f>
        <v>1</v>
      </c>
    </row>
    <row r="13" spans="1:56" ht="15" customHeight="1" x14ac:dyDescent="0.3">
      <c r="A13">
        <v>12</v>
      </c>
      <c r="B13" t="b">
        <v>0</v>
      </c>
      <c r="C13" t="s">
        <v>992</v>
      </c>
      <c r="D13" t="s">
        <v>53</v>
      </c>
      <c r="E13" s="6" t="str">
        <f>INDEX(User!$D:$D,MATCH($D13,User!$A:$A,0))</f>
        <v>org_admin4_1</v>
      </c>
      <c r="F13" t="s">
        <v>982</v>
      </c>
      <c r="G13" s="19" t="b">
        <f ca="1">IF($F13="CREATE",$I13,IF($F13="CREATE_CASES",OR($I13,AND($K13,$L13,$O13,$P13,$AN13,AP13,$AU13,$AW13,$BB13,$BD13)),"TBD"))</f>
        <v>0</v>
      </c>
      <c r="H13" s="6" t="str">
        <f>INDEX(User!$G:$G,MATCH($D13,User!$A:$A,0))</f>
        <v>0195d18c-1c92-d419-4c71-a570f428499b</v>
      </c>
      <c r="I13" s="6" t="b">
        <f>INDEX(User!$M:$M,MATCH($D13,User!$A:$A,0))</f>
        <v>0</v>
      </c>
      <c r="J13" s="6" t="str">
        <f>IF(ISNA(MATCH($H13&amp;"|"&amp;$X13,OrganizationAccessCasePolicy!$V:$V,0)),"",MATCH($H13&amp;"|"&amp;$X13,OrganizationAccessCasePolicy!$V:$V,0))</f>
        <v/>
      </c>
      <c r="K13" s="6" t="b" cm="1">
        <f t="array" aca="1" ref="K13" ca="1">IF($J13="",FALSE,NOT(ISNA(MATCH(INDIRECT("OrganizationAccessCasePolicy!D"&amp;$J13)&amp;"|"&amp;$T13,CaseTypeSetMember!$H:$H,0))))</f>
        <v>0</v>
      </c>
      <c r="L13" s="6" t="b" cm="1">
        <f t="array" aca="1" ref="L13" ca="1">IF($J13="",FALSE,AND(INDIRECT("OrganizationAccessCasePolicy!H"&amp;$J13),NOT(ISNA(MATCH(INDIRECT("OrganizationAccessCasePolicy!D"&amp;$J13)&amp;"|"&amp;$T13,CaseTypeSetMember!$H:$H,0)))))</f>
        <v>0</v>
      </c>
      <c r="M13" s="6" t="b" cm="1">
        <f t="array" aca="1" ref="M13" ca="1">IF($J13="",FALSE,AND(INDIRECT("OrganizationAccessCasePolicy!I"&amp;$J13),NOT(ISNA(MATCH(INDIRECT("OrganizationAccessCasePolicy!D"&amp;$J13)&amp;"|"&amp;$T13,CaseTypeSetMember!$H:$H,0)))))</f>
        <v>0</v>
      </c>
      <c r="N13" s="6" t="str">
        <f>IF(ISNA(MATCH($D13&amp;"|"&amp;$X13,UserAccessCasePolicy!$W:$W,0)),"",MATCH($D13&amp;"|"&amp;$X13,UserAccessCasePolicy!$W:$W,0))</f>
        <v/>
      </c>
      <c r="O13" s="6" t="b" cm="1">
        <f t="array" aca="1" ref="O13" ca="1">IF($N13="",FALSE,NOT(ISNA(MATCH(INDIRECT("UserAccessCasePolicy!D"&amp;$N13)&amp;"|"&amp;$T13,CaseTypeSetMember!$H:$H,0))))</f>
        <v>0</v>
      </c>
      <c r="P13" s="6" t="b" cm="1">
        <f t="array" aca="1" ref="P13" ca="1">IF($N13="",FALSE,AND(INDIRECT("UserAccessCasePolicy!G"&amp;$N13),NOT(ISNA(MATCH(INDIRECT("UserAccessCasePolicy!D"&amp;$N13)&amp;"|"&amp;$T13,CaseTypeSetMember!$H:$H,0)))))</f>
        <v>0</v>
      </c>
      <c r="Q13" s="6" t="b" cm="1">
        <f t="array" aca="1" ref="Q13" ca="1">IF($N13="",FALSE,AND(INDIRECT("UserAccessCasePolicy!H"&amp;$N13),NOT(ISNA(MATCH(INDIRECT("UserAccessCasePolicy!D"&amp;$N13)&amp;"|"&amp;$T13,CaseTypeSetMember!$H:$H,0)))))</f>
        <v>0</v>
      </c>
      <c r="R13" t="s">
        <v>993</v>
      </c>
      <c r="S13" s="6" t="str">
        <f>"case"&amp;MATCH($R13,$R$1:$R13,0)-1</f>
        <v>case12</v>
      </c>
      <c r="T13" t="s">
        <v>115</v>
      </c>
      <c r="U13" s="6" t="str">
        <f>INDEX(CaseType!$B:$B,MATCH($T13,CaseType!$A:$A,0))</f>
        <v>case_type1</v>
      </c>
      <c r="V13" s="6" t="b">
        <f>AND(IF($AJ13="",TRUE,$T13=INDEX(CaseTypeCol!$B:$B,MATCH($AJ13,CaseTypeCol!$A:$A,0))),IF($AQ13="",TRUE,$T13=INDEX(CaseTypeCol!$B:$B,MATCH($AQ13,CaseTypeCol!$A:$A,0))),IF($AX13="",TRUE,$T13=INDEX(CaseTypeCol!$B:$B,MATCH($AX13,CaseTypeCol!$A:$A,0))))</f>
        <v>1</v>
      </c>
      <c r="X13" t="s">
        <v>11</v>
      </c>
      <c r="Y13" s="6" t="str">
        <f>INDEX(DataCollection!$B:$B,MATCH($X13,DataCollection!$A:$A,0))</f>
        <v>data_collection1</v>
      </c>
      <c r="AA13" s="6" t="str">
        <f>IF($Z13="","",INDEX(CaseTypeCol!$J:$J,MATCH($Z13,CaseTypeCol!$A:$A,0)))</f>
        <v/>
      </c>
      <c r="AC13" s="6" t="str">
        <f>IF($AB13="","",INDEX(IdentifierIssuer!$B:$B,MATCH($AB13,IdentifierIssuer!$A:$A,0)))</f>
        <v/>
      </c>
      <c r="AE13" s="6" t="str">
        <f>IF($AD13="","",INDEX(SequencingProtocol!$B:$B,MATCH($AD13,SequencingProtocol!$A:$A,0)))</f>
        <v/>
      </c>
      <c r="AG13" s="6" t="str">
        <f>IF($AF13="","",INDEX(AssemblyProtocol!$B:$B,MATCH($AF13,AssemblyProtocol!$A:$A,0)))</f>
        <v/>
      </c>
      <c r="AI13" s="14">
        <v>36526</v>
      </c>
      <c r="AJ13" t="s">
        <v>516</v>
      </c>
      <c r="AK13" t="s">
        <v>972</v>
      </c>
      <c r="AL13" s="6" t="str">
        <f>IF($AJ13="","",INDEX(CaseTypeCol!$J:$J,MATCH($AJ13,CaseTypeCol!$A:$A,0)))</f>
        <v>case_type_col1_7_0_1_TEXT</v>
      </c>
      <c r="AM13" s="6" t="b" cm="1">
        <f t="array" aca="1" ref="AM13" ca="1">IF($AJ13="",TRUE,IF($J13="",FALSE,IF(INDIRECT("OrganizationAccessCasePolicy!J"&amp;$J13)="",FALSE,NOT(ISNA(MATCH(INDIRECT("OrganizationAccessCasePolicy!J"&amp;$J13)&amp;"|"&amp;$AJ13,CaseTypeColSetMember!$H:$H,0))))))</f>
        <v>0</v>
      </c>
      <c r="AN13" s="6" t="b" cm="1">
        <f t="array" aca="1" ref="AN13" ca="1">IF($AJ13="",TRUE,IF($J13="",FALSE,IF(INDIRECT("OrganizationAccessCasePolicy!L"&amp;$J13)="",FALSE,NOT(ISNA(MATCH(INDIRECT("OrganizationAccessCasePolicy!L"&amp;$J13)&amp;"|"&amp;$AJ13,CaseTypeColSetMember!$H:$H,0))))))</f>
        <v>0</v>
      </c>
      <c r="AO13" s="6" t="b" cm="1">
        <f t="array" aca="1" ref="AO13" ca="1">IF($AJ13="",TRUE,IF($N13="",FALSE,IF(INDIRECT("UserAccessCasePolicy!I"&amp;$N13)="",FALSE,NOT(ISNA(MATCH(INDIRECT("UserAccessCasePolicy!I"&amp;$N13)&amp;"|"&amp;$AJ13,CaseTypeColSetMember!$H:$H,0))))))</f>
        <v>0</v>
      </c>
      <c r="AP13" s="6" t="b" cm="1">
        <f t="array" aca="1" ref="AP13" ca="1">IF($AJ13="",TRUE,IF($N13="",FALSE,IF(INDIRECT("UserAccessCasePolicy!K"&amp;$N13)="",FALSE,NOT(ISNA(MATCH(INDIRECT("UserAccessCasePolicy!K"&amp;$N13)&amp;"|"&amp;$AJ13,CaseTypeColSetMember!$H:$H,0))))))</f>
        <v>0</v>
      </c>
      <c r="AS13" s="6" t="str">
        <f>IF($AQ13="","",INDEX(CaseTypeCol!$J:$J,MATCH($AQ13,CaseTypeCol!$A:$A,0)))</f>
        <v/>
      </c>
      <c r="AT13" s="6" t="b" cm="1">
        <f t="array" aca="1" ref="AT13" ca="1">IF($AQ13="",TRUE,IF($J13="",FALSE,IF(INDIRECT("OrganizationAccessCasePolicy!J"&amp;$J13)="",FALSE,NOT(ISNA(MATCH(INDIRECT("OrganizationAccessCasePolicy!J"&amp;$J13)&amp;"|"&amp;$AQ13,CaseTypeColSetMember!$H:$H,0))))))</f>
        <v>1</v>
      </c>
      <c r="AU13" s="6" t="b" cm="1">
        <f t="array" aca="1" ref="AU13" ca="1">IF($AQ13="",TRUE,IF($J13="",FALSE,IF(INDIRECT("OrganizationAccessCasePolicy!L"&amp;$J13)="",FALSE,NOT(ISNA(MATCH(INDIRECT("OrganizationAccessCasePolicy!L"&amp;$J13)&amp;"|"&amp;$AQ13,CaseTypeColSetMember!$H:$H,0))))))</f>
        <v>1</v>
      </c>
      <c r="AV13" s="6" t="b" cm="1">
        <f t="array" aca="1" ref="AV13" ca="1">IF($AQ13="",TRUE,IF($N13="",FALSE,IF(INDIRECT("UserAccessCasePolicy!I"&amp;$N13)="",FALSE,NOT(ISNA(MATCH(INDIRECT("UserAccessCasePolicy!I"&amp;$N13)&amp;"|"&amp;$AQ13,CaseTypeColSetMember!$H:$H,0))))))</f>
        <v>1</v>
      </c>
      <c r="AW13" s="6" t="b" cm="1">
        <f t="array" aca="1" ref="AW13" ca="1">IF($AQ13="",TRUE,IF($N13="",FALSE,IF(INDIRECT("UserAccessCasePolicy!K"&amp;$N13)="",FALSE,NOT(ISNA(MATCH(INDIRECT("UserAccessCasePolicy!K"&amp;$N13)&amp;"|"&amp;$AQ13,CaseTypeColSetMember!$H:$H,0))))))</f>
        <v>1</v>
      </c>
      <c r="AZ13" s="6" t="str">
        <f>IF($AX13="","",INDEX(CaseTypeCol!$J:$J,MATCH($AX13,CaseTypeCol!$A:$A,0)))</f>
        <v/>
      </c>
      <c r="BA13" s="6" t="b" cm="1">
        <f t="array" aca="1" ref="BA13" ca="1">IF($AX13="",TRUE,IF($J13="",FALSE,IF(INDIRECT("OrganizationAccessCasePolicy!J"&amp;$J13)="",FALSE,NOT(ISNA(MATCH(INDIRECT("OrganizationAccessCasePolicy!J"&amp;$J13)&amp;"|"&amp;$AX13,CaseTypeColSetMember!$H:$H,0))))))</f>
        <v>1</v>
      </c>
      <c r="BB13" s="6" t="b" cm="1">
        <f t="array" aca="1" ref="BB13" ca="1">IF($AX13="",TRUE,IF($J13="",FALSE,IF(INDIRECT("OrganizationAccessCasePolicy!L"&amp;$J13)="",FALSE,NOT(ISNA(MATCH(INDIRECT("OrganizationAccessCasePolicy!L"&amp;$J13)&amp;"|"&amp;$AX13,CaseTypeColSetMember!$H:$H,0))))))</f>
        <v>1</v>
      </c>
      <c r="BC13" s="6" t="b" cm="1">
        <f t="array" aca="1" ref="BC13" ca="1">IF($AX13="",TRUE,IF($N13="",FALSE,IF(INDIRECT("UserAccessCasePolicy!I"&amp;$N13)="",FALSE,NOT(ISNA(MATCH(INDIRECT("UserAccessCasePolicy!I"&amp;$N13)&amp;"|"&amp;$AX13,CaseTypeColSetMember!$H:$H,0))))))</f>
        <v>1</v>
      </c>
      <c r="BD13" s="6" t="b" cm="1">
        <f t="array" aca="1" ref="BD13" ca="1">IF($AX13="",TRUE,IF($N13="",FALSE,IF(INDIRECT("UserAccessCasePolicy!K"&amp;$N13)="",FALSE,NOT(ISNA(MATCH(INDIRECT("UserAccessCasePolicy!K"&amp;$N13)&amp;"|"&amp;$AX13,CaseTypeColSetMember!$H:$H,0))))))</f>
        <v>1</v>
      </c>
    </row>
    <row r="14" spans="1:56" ht="15" customHeight="1" x14ac:dyDescent="0.3">
      <c r="A14">
        <v>13</v>
      </c>
      <c r="B14" t="b">
        <v>0</v>
      </c>
      <c r="C14" t="s">
        <v>994</v>
      </c>
      <c r="D14" t="s">
        <v>56</v>
      </c>
      <c r="E14" s="6" t="str">
        <f>INDEX(User!$D:$D,MATCH($D14,User!$A:$A,0))</f>
        <v>org_admin5_1</v>
      </c>
      <c r="F14" t="s">
        <v>982</v>
      </c>
      <c r="G14" s="19" t="b">
        <f ca="1">IF($F14="CREATE",$I14,IF($F14="CREATE_CASES",OR($I14,AND($K14,$L14,$O14,$P14,$AN14,AP14,$AU14,$AW14,$BB14,$BD14)),"TBD"))</f>
        <v>0</v>
      </c>
      <c r="H14" s="6" t="str">
        <f>INDEX(User!$G:$G,MATCH($D14,User!$A:$A,0))</f>
        <v>0195d18c-1c93-02a2-6920-7e4dbfb73ce0</v>
      </c>
      <c r="I14" s="6" t="b">
        <f>INDEX(User!$M:$M,MATCH($D14,User!$A:$A,0))</f>
        <v>0</v>
      </c>
      <c r="J14" s="6" t="str">
        <f>IF(ISNA(MATCH($H14&amp;"|"&amp;$X14,OrganizationAccessCasePolicy!$V:$V,0)),"",MATCH($H14&amp;"|"&amp;$X14,OrganizationAccessCasePolicy!$V:$V,0))</f>
        <v/>
      </c>
      <c r="K14" s="6" t="b" cm="1">
        <f t="array" aca="1" ref="K14" ca="1">IF($J14="",FALSE,NOT(ISNA(MATCH(INDIRECT("OrganizationAccessCasePolicy!D"&amp;$J14)&amp;"|"&amp;$T14,CaseTypeSetMember!$H:$H,0))))</f>
        <v>0</v>
      </c>
      <c r="L14" s="6" t="b" cm="1">
        <f t="array" aca="1" ref="L14" ca="1">IF($J14="",FALSE,AND(INDIRECT("OrganizationAccessCasePolicy!H"&amp;$J14),NOT(ISNA(MATCH(INDIRECT("OrganizationAccessCasePolicy!D"&amp;$J14)&amp;"|"&amp;$T14,CaseTypeSetMember!$H:$H,0)))))</f>
        <v>0</v>
      </c>
      <c r="M14" s="6" t="b" cm="1">
        <f t="array" aca="1" ref="M14" ca="1">IF($J14="",FALSE,AND(INDIRECT("OrganizationAccessCasePolicy!I"&amp;$J14),NOT(ISNA(MATCH(INDIRECT("OrganizationAccessCasePolicy!D"&amp;$J14)&amp;"|"&amp;$T14,CaseTypeSetMember!$H:$H,0)))))</f>
        <v>0</v>
      </c>
      <c r="N14" s="6" t="str">
        <f>IF(ISNA(MATCH($D14&amp;"|"&amp;$X14,UserAccessCasePolicy!$W:$W,0)),"",MATCH($D14&amp;"|"&amp;$X14,UserAccessCasePolicy!$W:$W,0))</f>
        <v/>
      </c>
      <c r="O14" s="6" t="b" cm="1">
        <f t="array" aca="1" ref="O14" ca="1">IF($N14="",FALSE,NOT(ISNA(MATCH(INDIRECT("UserAccessCasePolicy!D"&amp;$N14)&amp;"|"&amp;$T14,CaseTypeSetMember!$H:$H,0))))</f>
        <v>0</v>
      </c>
      <c r="P14" s="6" t="b" cm="1">
        <f t="array" aca="1" ref="P14" ca="1">IF($N14="",FALSE,AND(INDIRECT("UserAccessCasePolicy!G"&amp;$N14),NOT(ISNA(MATCH(INDIRECT("UserAccessCasePolicy!D"&amp;$N14)&amp;"|"&amp;$T14,CaseTypeSetMember!$H:$H,0)))))</f>
        <v>0</v>
      </c>
      <c r="Q14" s="6" t="b" cm="1">
        <f t="array" aca="1" ref="Q14" ca="1">IF($N14="",FALSE,AND(INDIRECT("UserAccessCasePolicy!H"&amp;$N14),NOT(ISNA(MATCH(INDIRECT("UserAccessCasePolicy!D"&amp;$N14)&amp;"|"&amp;$T14,CaseTypeSetMember!$H:$H,0)))))</f>
        <v>0</v>
      </c>
      <c r="R14" t="s">
        <v>995</v>
      </c>
      <c r="S14" s="6" t="str">
        <f>"case"&amp;MATCH($R14,$R$1:$R14,0)-1</f>
        <v>case13</v>
      </c>
      <c r="T14" t="s">
        <v>115</v>
      </c>
      <c r="U14" s="6" t="str">
        <f>INDEX(CaseType!$B:$B,MATCH($T14,CaseType!$A:$A,0))</f>
        <v>case_type1</v>
      </c>
      <c r="V14" s="6" t="b">
        <f>AND(IF($AJ14="",TRUE,$T14=INDEX(CaseTypeCol!$B:$B,MATCH($AJ14,CaseTypeCol!$A:$A,0))),IF($AQ14="",TRUE,$T14=INDEX(CaseTypeCol!$B:$B,MATCH($AQ14,CaseTypeCol!$A:$A,0))),IF($AX14="",TRUE,$T14=INDEX(CaseTypeCol!$B:$B,MATCH($AX14,CaseTypeCol!$A:$A,0))))</f>
        <v>1</v>
      </c>
      <c r="X14" t="s">
        <v>11</v>
      </c>
      <c r="Y14" s="6" t="str">
        <f>INDEX(DataCollection!$B:$B,MATCH($X14,DataCollection!$A:$A,0))</f>
        <v>data_collection1</v>
      </c>
      <c r="AA14" s="6" t="str">
        <f>IF($Z14="","",INDEX(CaseTypeCol!$J:$J,MATCH($Z14,CaseTypeCol!$A:$A,0)))</f>
        <v/>
      </c>
      <c r="AC14" s="6" t="str">
        <f>IF($AB14="","",INDEX(IdentifierIssuer!$B:$B,MATCH($AB14,IdentifierIssuer!$A:$A,0)))</f>
        <v/>
      </c>
      <c r="AE14" s="6" t="str">
        <f>IF($AD14="","",INDEX(SequencingProtocol!$B:$B,MATCH($AD14,SequencingProtocol!$A:$A,0)))</f>
        <v/>
      </c>
      <c r="AG14" s="6" t="str">
        <f>IF($AF14="","",INDEX(AssemblyProtocol!$B:$B,MATCH($AF14,AssemblyProtocol!$A:$A,0)))</f>
        <v/>
      </c>
      <c r="AI14" s="14">
        <v>36526</v>
      </c>
      <c r="AJ14" t="s">
        <v>516</v>
      </c>
      <c r="AK14" t="s">
        <v>972</v>
      </c>
      <c r="AL14" s="6" t="str">
        <f>IF($AJ14="","",INDEX(CaseTypeCol!$J:$J,MATCH($AJ14,CaseTypeCol!$A:$A,0)))</f>
        <v>case_type_col1_7_0_1_TEXT</v>
      </c>
      <c r="AM14" s="6" t="b" cm="1">
        <f t="array" aca="1" ref="AM14" ca="1">IF($AJ14="",TRUE,IF($J14="",FALSE,IF(INDIRECT("OrganizationAccessCasePolicy!J"&amp;$J14)="",FALSE,NOT(ISNA(MATCH(INDIRECT("OrganizationAccessCasePolicy!J"&amp;$J14)&amp;"|"&amp;$AJ14,CaseTypeColSetMember!$H:$H,0))))))</f>
        <v>0</v>
      </c>
      <c r="AN14" s="6" t="b" cm="1">
        <f t="array" aca="1" ref="AN14" ca="1">IF($AJ14="",TRUE,IF($J14="",FALSE,IF(INDIRECT("OrganizationAccessCasePolicy!L"&amp;$J14)="",FALSE,NOT(ISNA(MATCH(INDIRECT("OrganizationAccessCasePolicy!L"&amp;$J14)&amp;"|"&amp;$AJ14,CaseTypeColSetMember!$H:$H,0))))))</f>
        <v>0</v>
      </c>
      <c r="AO14" s="6" t="b" cm="1">
        <f t="array" aca="1" ref="AO14" ca="1">IF($AJ14="",TRUE,IF($N14="",FALSE,IF(INDIRECT("UserAccessCasePolicy!I"&amp;$N14)="",FALSE,NOT(ISNA(MATCH(INDIRECT("UserAccessCasePolicy!I"&amp;$N14)&amp;"|"&amp;$AJ14,CaseTypeColSetMember!$H:$H,0))))))</f>
        <v>0</v>
      </c>
      <c r="AP14" s="6" t="b" cm="1">
        <f t="array" aca="1" ref="AP14" ca="1">IF($AJ14="",TRUE,IF($N14="",FALSE,IF(INDIRECT("UserAccessCasePolicy!K"&amp;$N14)="",FALSE,NOT(ISNA(MATCH(INDIRECT("UserAccessCasePolicy!K"&amp;$N14)&amp;"|"&amp;$AJ14,CaseTypeColSetMember!$H:$H,0))))))</f>
        <v>0</v>
      </c>
      <c r="AS14" s="6" t="str">
        <f>IF($AQ14="","",INDEX(CaseTypeCol!$J:$J,MATCH($AQ14,CaseTypeCol!$A:$A,0)))</f>
        <v/>
      </c>
      <c r="AT14" s="6" t="b" cm="1">
        <f t="array" aca="1" ref="AT14" ca="1">IF($AQ14="",TRUE,IF($J14="",FALSE,IF(INDIRECT("OrganizationAccessCasePolicy!J"&amp;$J14)="",FALSE,NOT(ISNA(MATCH(INDIRECT("OrganizationAccessCasePolicy!J"&amp;$J14)&amp;"|"&amp;$AQ14,CaseTypeColSetMember!$H:$H,0))))))</f>
        <v>1</v>
      </c>
      <c r="AU14" s="6" t="b" cm="1">
        <f t="array" aca="1" ref="AU14" ca="1">IF($AQ14="",TRUE,IF($J14="",FALSE,IF(INDIRECT("OrganizationAccessCasePolicy!L"&amp;$J14)="",FALSE,NOT(ISNA(MATCH(INDIRECT("OrganizationAccessCasePolicy!L"&amp;$J14)&amp;"|"&amp;$AQ14,CaseTypeColSetMember!$H:$H,0))))))</f>
        <v>1</v>
      </c>
      <c r="AV14" s="6" t="b" cm="1">
        <f t="array" aca="1" ref="AV14" ca="1">IF($AQ14="",TRUE,IF($N14="",FALSE,IF(INDIRECT("UserAccessCasePolicy!I"&amp;$N14)="",FALSE,NOT(ISNA(MATCH(INDIRECT("UserAccessCasePolicy!I"&amp;$N14)&amp;"|"&amp;$AQ14,CaseTypeColSetMember!$H:$H,0))))))</f>
        <v>1</v>
      </c>
      <c r="AW14" s="6" t="b" cm="1">
        <f t="array" aca="1" ref="AW14" ca="1">IF($AQ14="",TRUE,IF($N14="",FALSE,IF(INDIRECT("UserAccessCasePolicy!K"&amp;$N14)="",FALSE,NOT(ISNA(MATCH(INDIRECT("UserAccessCasePolicy!K"&amp;$N14)&amp;"|"&amp;$AQ14,CaseTypeColSetMember!$H:$H,0))))))</f>
        <v>1</v>
      </c>
      <c r="AZ14" s="6" t="str">
        <f>IF($AX14="","",INDEX(CaseTypeCol!$J:$J,MATCH($AX14,CaseTypeCol!$A:$A,0)))</f>
        <v/>
      </c>
      <c r="BA14" s="6" t="b" cm="1">
        <f t="array" aca="1" ref="BA14" ca="1">IF($AX14="",TRUE,IF($J14="",FALSE,IF(INDIRECT("OrganizationAccessCasePolicy!J"&amp;$J14)="",FALSE,NOT(ISNA(MATCH(INDIRECT("OrganizationAccessCasePolicy!J"&amp;$J14)&amp;"|"&amp;$AX14,CaseTypeColSetMember!$H:$H,0))))))</f>
        <v>1</v>
      </c>
      <c r="BB14" s="6" t="b" cm="1">
        <f t="array" aca="1" ref="BB14" ca="1">IF($AX14="",TRUE,IF($J14="",FALSE,IF(INDIRECT("OrganizationAccessCasePolicy!L"&amp;$J14)="",FALSE,NOT(ISNA(MATCH(INDIRECT("OrganizationAccessCasePolicy!L"&amp;$J14)&amp;"|"&amp;$AX14,CaseTypeColSetMember!$H:$H,0))))))</f>
        <v>1</v>
      </c>
      <c r="BC14" s="6" t="b" cm="1">
        <f t="array" aca="1" ref="BC14" ca="1">IF($AX14="",TRUE,IF($N14="",FALSE,IF(INDIRECT("UserAccessCasePolicy!I"&amp;$N14)="",FALSE,NOT(ISNA(MATCH(INDIRECT("UserAccessCasePolicy!I"&amp;$N14)&amp;"|"&amp;$AX14,CaseTypeColSetMember!$H:$H,0))))))</f>
        <v>1</v>
      </c>
      <c r="BD14" s="6" t="b" cm="1">
        <f t="array" aca="1" ref="BD14" ca="1">IF($AX14="",TRUE,IF($N14="",FALSE,IF(INDIRECT("UserAccessCasePolicy!K"&amp;$N14)="",FALSE,NOT(ISNA(MATCH(INDIRECT("UserAccessCasePolicy!K"&amp;$N14)&amp;"|"&amp;$AX14,CaseTypeColSetMember!$H:$H,0))))))</f>
        <v>1</v>
      </c>
    </row>
    <row r="15" spans="1:56" ht="15" customHeight="1" x14ac:dyDescent="0.3">
      <c r="A15">
        <v>14</v>
      </c>
      <c r="B15" t="b">
        <v>0</v>
      </c>
      <c r="C15" t="s">
        <v>996</v>
      </c>
      <c r="D15" t="s">
        <v>10</v>
      </c>
      <c r="E15" s="6" t="str">
        <f>INDEX(User!$D:$D,MATCH($D15,User!$A:$A,0))</f>
        <v>org_user1_1</v>
      </c>
      <c r="F15" t="s">
        <v>982</v>
      </c>
      <c r="G15" s="19" t="b">
        <f ca="1">IF($F15="CREATE",$I15,IF($F15="CREATE_CASES",OR($I15,AND($K15,$L15,$O15,$P15,$AN15,AP15,$AU15,$AW15,$BB15,$BD15)),"TBD"))</f>
        <v>1</v>
      </c>
      <c r="H15" s="6" t="str">
        <f>INDEX(User!$G:$G,MATCH($D15,User!$A:$A,0))</f>
        <v>018d074d-ea0c-e942-07db-a3cc0ba1d653</v>
      </c>
      <c r="I15" s="6" t="b">
        <f>INDEX(User!$M:$M,MATCH($D15,User!$A:$A,0))</f>
        <v>0</v>
      </c>
      <c r="J15" s="6">
        <f>IF(ISNA(MATCH($H15&amp;"|"&amp;$X15,OrganizationAccessCasePolicy!$V:$V,0)),"",MATCH($H15&amp;"|"&amp;$X15,OrganizationAccessCasePolicy!$V:$V,0))</f>
        <v>2</v>
      </c>
      <c r="K15" s="6" t="b" cm="1">
        <f t="array" aca="1" ref="K15" ca="1">IF($J15="",FALSE,NOT(ISNA(MATCH(INDIRECT("OrganizationAccessCasePolicy!D"&amp;$J15)&amp;"|"&amp;$T15,CaseTypeSetMember!$H:$H,0))))</f>
        <v>1</v>
      </c>
      <c r="L15" s="6" t="b" cm="1">
        <f t="array" aca="1" ref="L15" ca="1">IF($J15="",FALSE,AND(INDIRECT("OrganizationAccessCasePolicy!H"&amp;$J15),NOT(ISNA(MATCH(INDIRECT("OrganizationAccessCasePolicy!D"&amp;$J15)&amp;"|"&amp;$T15,CaseTypeSetMember!$H:$H,0)))))</f>
        <v>1</v>
      </c>
      <c r="M15" s="6" t="b" cm="1">
        <f t="array" aca="1" ref="M15" ca="1">IF($J15="",FALSE,AND(INDIRECT("OrganizationAccessCasePolicy!I"&amp;$J15),NOT(ISNA(MATCH(INDIRECT("OrganizationAccessCasePolicy!D"&amp;$J15)&amp;"|"&amp;$T15,CaseTypeSetMember!$H:$H,0)))))</f>
        <v>1</v>
      </c>
      <c r="N15" s="6">
        <f>IF(ISNA(MATCH($D15&amp;"|"&amp;$X15,UserAccessCasePolicy!$W:$W,0)),"",MATCH($D15&amp;"|"&amp;$X15,UserAccessCasePolicy!$W:$W,0))</f>
        <v>2</v>
      </c>
      <c r="O15" s="6" t="b" cm="1">
        <f t="array" aca="1" ref="O15" ca="1">IF($N15="",FALSE,NOT(ISNA(MATCH(INDIRECT("UserAccessCasePolicy!D"&amp;$N15)&amp;"|"&amp;$T15,CaseTypeSetMember!$H:$H,0))))</f>
        <v>1</v>
      </c>
      <c r="P15" s="6" t="b" cm="1">
        <f t="array" aca="1" ref="P15" ca="1">IF($N15="",FALSE,AND(INDIRECT("UserAccessCasePolicy!G"&amp;$N15),NOT(ISNA(MATCH(INDIRECT("UserAccessCasePolicy!D"&amp;$N15)&amp;"|"&amp;$T15,CaseTypeSetMember!$H:$H,0)))))</f>
        <v>1</v>
      </c>
      <c r="Q15" s="6" t="b" cm="1">
        <f t="array" aca="1" ref="Q15" ca="1">IF($N15="",FALSE,AND(INDIRECT("UserAccessCasePolicy!H"&amp;$N15),NOT(ISNA(MATCH(INDIRECT("UserAccessCasePolicy!D"&amp;$N15)&amp;"|"&amp;$T15,CaseTypeSetMember!$H:$H,0)))))</f>
        <v>1</v>
      </c>
      <c r="R15" t="s">
        <v>997</v>
      </c>
      <c r="S15" s="6" t="str">
        <f>"case"&amp;MATCH($R15,$R$1:$R15,0)-1</f>
        <v>case14</v>
      </c>
      <c r="T15" t="s">
        <v>115</v>
      </c>
      <c r="U15" s="6" t="str">
        <f>INDEX(CaseType!$B:$B,MATCH($T15,CaseType!$A:$A,0))</f>
        <v>case_type1</v>
      </c>
      <c r="V15" s="6" t="b">
        <f>AND(IF($AJ15="",TRUE,$T15=INDEX(CaseTypeCol!$B:$B,MATCH($AJ15,CaseTypeCol!$A:$A,0))),IF($AQ15="",TRUE,$T15=INDEX(CaseTypeCol!$B:$B,MATCH($AQ15,CaseTypeCol!$A:$A,0))),IF($AX15="",TRUE,$T15=INDEX(CaseTypeCol!$B:$B,MATCH($AX15,CaseTypeCol!$A:$A,0))))</f>
        <v>1</v>
      </c>
      <c r="X15" t="s">
        <v>11</v>
      </c>
      <c r="Y15" s="6" t="str">
        <f>INDEX(DataCollection!$B:$B,MATCH($X15,DataCollection!$A:$A,0))</f>
        <v>data_collection1</v>
      </c>
      <c r="AA15" s="6" t="str">
        <f>IF($Z15="","",INDEX(CaseTypeCol!$J:$J,MATCH($Z15,CaseTypeCol!$A:$A,0)))</f>
        <v/>
      </c>
      <c r="AC15" s="6" t="str">
        <f>IF($AB15="","",INDEX(IdentifierIssuer!$B:$B,MATCH($AB15,IdentifierIssuer!$A:$A,0)))</f>
        <v/>
      </c>
      <c r="AE15" s="6" t="str">
        <f>IF($AD15="","",INDEX(SequencingProtocol!$B:$B,MATCH($AD15,SequencingProtocol!$A:$A,0)))</f>
        <v/>
      </c>
      <c r="AG15" s="6" t="str">
        <f>IF($AF15="","",INDEX(AssemblyProtocol!$B:$B,MATCH($AF15,AssemblyProtocol!$A:$A,0)))</f>
        <v/>
      </c>
      <c r="AI15" s="14">
        <v>36526</v>
      </c>
      <c r="AJ15" t="s">
        <v>516</v>
      </c>
      <c r="AK15" t="s">
        <v>972</v>
      </c>
      <c r="AL15" s="6" t="str">
        <f>IF($AJ15="","",INDEX(CaseTypeCol!$J:$J,MATCH($AJ15,CaseTypeCol!$A:$A,0)))</f>
        <v>case_type_col1_7_0_1_TEXT</v>
      </c>
      <c r="AM15" s="6" t="b" cm="1">
        <f t="array" aca="1" ref="AM15" ca="1">IF($AJ15="",TRUE,IF($J15="",FALSE,IF(INDIRECT("OrganizationAccessCasePolicy!J"&amp;$J15)="",FALSE,NOT(ISNA(MATCH(INDIRECT("OrganizationAccessCasePolicy!J"&amp;$J15)&amp;"|"&amp;$AJ15,CaseTypeColSetMember!$H:$H,0))))))</f>
        <v>1</v>
      </c>
      <c r="AN15" s="6" t="b" cm="1">
        <f t="array" aca="1" ref="AN15" ca="1">IF($AJ15="",TRUE,IF($J15="",FALSE,IF(INDIRECT("OrganizationAccessCasePolicy!L"&amp;$J15)="",FALSE,NOT(ISNA(MATCH(INDIRECT("OrganizationAccessCasePolicy!L"&amp;$J15)&amp;"|"&amp;$AJ15,CaseTypeColSetMember!$H:$H,0))))))</f>
        <v>1</v>
      </c>
      <c r="AO15" s="6" t="b" cm="1">
        <f t="array" aca="1" ref="AO15" ca="1">IF($AJ15="",TRUE,IF($N15="",FALSE,IF(INDIRECT("UserAccessCasePolicy!I"&amp;$N15)="",FALSE,NOT(ISNA(MATCH(INDIRECT("UserAccessCasePolicy!I"&amp;$N15)&amp;"|"&amp;$AJ15,CaseTypeColSetMember!$H:$H,0))))))</f>
        <v>1</v>
      </c>
      <c r="AP15" s="6" t="b" cm="1">
        <f t="array" aca="1" ref="AP15" ca="1">IF($AJ15="",TRUE,IF($N15="",FALSE,IF(INDIRECT("UserAccessCasePolicy!K"&amp;$N15)="",FALSE,NOT(ISNA(MATCH(INDIRECT("UserAccessCasePolicy!K"&amp;$N15)&amp;"|"&amp;$AJ15,CaseTypeColSetMember!$H:$H,0))))))</f>
        <v>1</v>
      </c>
      <c r="AS15" s="6" t="str">
        <f>IF($AQ15="","",INDEX(CaseTypeCol!$J:$J,MATCH($AQ15,CaseTypeCol!$A:$A,0)))</f>
        <v/>
      </c>
      <c r="AT15" s="6" t="b" cm="1">
        <f t="array" aca="1" ref="AT15" ca="1">IF($AQ15="",TRUE,IF($J15="",FALSE,IF(INDIRECT("OrganizationAccessCasePolicy!J"&amp;$J15)="",FALSE,NOT(ISNA(MATCH(INDIRECT("OrganizationAccessCasePolicy!J"&amp;$J15)&amp;"|"&amp;$AQ15,CaseTypeColSetMember!$H:$H,0))))))</f>
        <v>1</v>
      </c>
      <c r="AU15" s="6" t="b" cm="1">
        <f t="array" aca="1" ref="AU15" ca="1">IF($AQ15="",TRUE,IF($J15="",FALSE,IF(INDIRECT("OrganizationAccessCasePolicy!L"&amp;$J15)="",FALSE,NOT(ISNA(MATCH(INDIRECT("OrganizationAccessCasePolicy!L"&amp;$J15)&amp;"|"&amp;$AQ15,CaseTypeColSetMember!$H:$H,0))))))</f>
        <v>1</v>
      </c>
      <c r="AV15" s="6" t="b" cm="1">
        <f t="array" aca="1" ref="AV15" ca="1">IF($AQ15="",TRUE,IF($N15="",FALSE,IF(INDIRECT("UserAccessCasePolicy!I"&amp;$N15)="",FALSE,NOT(ISNA(MATCH(INDIRECT("UserAccessCasePolicy!I"&amp;$N15)&amp;"|"&amp;$AQ15,CaseTypeColSetMember!$H:$H,0))))))</f>
        <v>1</v>
      </c>
      <c r="AW15" s="6" t="b" cm="1">
        <f t="array" aca="1" ref="AW15" ca="1">IF($AQ15="",TRUE,IF($N15="",FALSE,IF(INDIRECT("UserAccessCasePolicy!K"&amp;$N15)="",FALSE,NOT(ISNA(MATCH(INDIRECT("UserAccessCasePolicy!K"&amp;$N15)&amp;"|"&amp;$AQ15,CaseTypeColSetMember!$H:$H,0))))))</f>
        <v>1</v>
      </c>
      <c r="AZ15" s="6" t="str">
        <f>IF($AX15="","",INDEX(CaseTypeCol!$J:$J,MATCH($AX15,CaseTypeCol!$A:$A,0)))</f>
        <v/>
      </c>
      <c r="BA15" s="6" t="b" cm="1">
        <f t="array" aca="1" ref="BA15" ca="1">IF($AX15="",TRUE,IF($J15="",FALSE,IF(INDIRECT("OrganizationAccessCasePolicy!J"&amp;$J15)="",FALSE,NOT(ISNA(MATCH(INDIRECT("OrganizationAccessCasePolicy!J"&amp;$J15)&amp;"|"&amp;$AX15,CaseTypeColSetMember!$H:$H,0))))))</f>
        <v>1</v>
      </c>
      <c r="BB15" s="6" t="b" cm="1">
        <f t="array" aca="1" ref="BB15" ca="1">IF($AX15="",TRUE,IF($J15="",FALSE,IF(INDIRECT("OrganizationAccessCasePolicy!L"&amp;$J15)="",FALSE,NOT(ISNA(MATCH(INDIRECT("OrganizationAccessCasePolicy!L"&amp;$J15)&amp;"|"&amp;$AX15,CaseTypeColSetMember!$H:$H,0))))))</f>
        <v>1</v>
      </c>
      <c r="BC15" s="6" t="b" cm="1">
        <f t="array" aca="1" ref="BC15" ca="1">IF($AX15="",TRUE,IF($N15="",FALSE,IF(INDIRECT("UserAccessCasePolicy!I"&amp;$N15)="",FALSE,NOT(ISNA(MATCH(INDIRECT("UserAccessCasePolicy!I"&amp;$N15)&amp;"|"&amp;$AX15,CaseTypeColSetMember!$H:$H,0))))))</f>
        <v>1</v>
      </c>
      <c r="BD15" s="6" t="b" cm="1">
        <f t="array" aca="1" ref="BD15" ca="1">IF($AX15="",TRUE,IF($N15="",FALSE,IF(INDIRECT("UserAccessCasePolicy!K"&amp;$N15)="",FALSE,NOT(ISNA(MATCH(INDIRECT("UserAccessCasePolicy!K"&amp;$N15)&amp;"|"&amp;$AX15,CaseTypeColSetMember!$H:$H,0))))))</f>
        <v>1</v>
      </c>
    </row>
    <row r="16" spans="1:56" ht="15" customHeight="1" x14ac:dyDescent="0.3">
      <c r="A16">
        <v>15</v>
      </c>
      <c r="B16" t="b">
        <v>0</v>
      </c>
      <c r="C16" t="s">
        <v>998</v>
      </c>
      <c r="D16" t="s">
        <v>12</v>
      </c>
      <c r="E16" s="6" t="str">
        <f>INDEX(User!$D:$D,MATCH($D16,User!$A:$A,0))</f>
        <v>org_user1_2</v>
      </c>
      <c r="F16" t="s">
        <v>982</v>
      </c>
      <c r="G16" s="19" t="b">
        <f ca="1">IF($F16="CREATE",$I16,IF($F16="CREATE_CASES",OR($I16,AND($K16,$L16,$O16,$P16,$AN16,AP16,$AU16,$AW16,$BB16,$BD16)),"TBD"))</f>
        <v>0</v>
      </c>
      <c r="H16" s="6" t="str">
        <f>INDEX(User!$G:$G,MATCH($D16,User!$A:$A,0))</f>
        <v>018d074d-ea0c-e942-07db-a3cc0ba1d653</v>
      </c>
      <c r="I16" s="6" t="b">
        <f>INDEX(User!$M:$M,MATCH($D16,User!$A:$A,0))</f>
        <v>0</v>
      </c>
      <c r="J16" s="6">
        <f>IF(ISNA(MATCH($H16&amp;"|"&amp;$X16,OrganizationAccessCasePolicy!$V:$V,0)),"",MATCH($H16&amp;"|"&amp;$X16,OrganizationAccessCasePolicy!$V:$V,0))</f>
        <v>2</v>
      </c>
      <c r="K16" s="6" t="b" cm="1">
        <f t="array" aca="1" ref="K16" ca="1">IF($J16="",FALSE,NOT(ISNA(MATCH(INDIRECT("OrganizationAccessCasePolicy!D"&amp;$J16)&amp;"|"&amp;$T16,CaseTypeSetMember!$H:$H,0))))</f>
        <v>1</v>
      </c>
      <c r="L16" s="6" t="b" cm="1">
        <f t="array" aca="1" ref="L16" ca="1">IF($J16="",FALSE,AND(INDIRECT("OrganizationAccessCasePolicy!H"&amp;$J16),NOT(ISNA(MATCH(INDIRECT("OrganizationAccessCasePolicy!D"&amp;$J16)&amp;"|"&amp;$T16,CaseTypeSetMember!$H:$H,0)))))</f>
        <v>1</v>
      </c>
      <c r="M16" s="6" t="b" cm="1">
        <f t="array" aca="1" ref="M16" ca="1">IF($J16="",FALSE,AND(INDIRECT("OrganizationAccessCasePolicy!I"&amp;$J16),NOT(ISNA(MATCH(INDIRECT("OrganizationAccessCasePolicy!D"&amp;$J16)&amp;"|"&amp;$T16,CaseTypeSetMember!$H:$H,0)))))</f>
        <v>1</v>
      </c>
      <c r="N16" s="6" t="str">
        <f>IF(ISNA(MATCH($D16&amp;"|"&amp;$X16,UserAccessCasePolicy!$W:$W,0)),"",MATCH($D16&amp;"|"&amp;$X16,UserAccessCasePolicy!$W:$W,0))</f>
        <v/>
      </c>
      <c r="O16" s="6" t="b" cm="1">
        <f t="array" aca="1" ref="O16" ca="1">IF($N16="",FALSE,NOT(ISNA(MATCH(INDIRECT("UserAccessCasePolicy!D"&amp;$N16)&amp;"|"&amp;$T16,CaseTypeSetMember!$H:$H,0))))</f>
        <v>0</v>
      </c>
      <c r="P16" s="6" t="b" cm="1">
        <f t="array" aca="1" ref="P16" ca="1">IF($N16="",FALSE,AND(INDIRECT("UserAccessCasePolicy!G"&amp;$N16),NOT(ISNA(MATCH(INDIRECT("UserAccessCasePolicy!D"&amp;$N16)&amp;"|"&amp;$T16,CaseTypeSetMember!$H:$H,0)))))</f>
        <v>0</v>
      </c>
      <c r="Q16" s="6" t="b" cm="1">
        <f t="array" aca="1" ref="Q16" ca="1">IF($N16="",FALSE,AND(INDIRECT("UserAccessCasePolicy!H"&amp;$N16),NOT(ISNA(MATCH(INDIRECT("UserAccessCasePolicy!D"&amp;$N16)&amp;"|"&amp;$T16,CaseTypeSetMember!$H:$H,0)))))</f>
        <v>0</v>
      </c>
      <c r="R16" t="s">
        <v>999</v>
      </c>
      <c r="S16" s="6" t="str">
        <f>"case"&amp;MATCH($R16,$R$1:$R16,0)-1</f>
        <v>case15</v>
      </c>
      <c r="T16" t="s">
        <v>115</v>
      </c>
      <c r="U16" s="6" t="str">
        <f>INDEX(CaseType!$B:$B,MATCH($T16,CaseType!$A:$A,0))</f>
        <v>case_type1</v>
      </c>
      <c r="V16" s="6" t="b">
        <f>AND(IF($AJ16="",TRUE,$T16=INDEX(CaseTypeCol!$B:$B,MATCH($AJ16,CaseTypeCol!$A:$A,0))),IF($AQ16="",TRUE,$T16=INDEX(CaseTypeCol!$B:$B,MATCH($AQ16,CaseTypeCol!$A:$A,0))),IF($AX16="",TRUE,$T16=INDEX(CaseTypeCol!$B:$B,MATCH($AX16,CaseTypeCol!$A:$A,0))))</f>
        <v>1</v>
      </c>
      <c r="X16" t="s">
        <v>11</v>
      </c>
      <c r="Y16" s="6" t="str">
        <f>INDEX(DataCollection!$B:$B,MATCH($X16,DataCollection!$A:$A,0))</f>
        <v>data_collection1</v>
      </c>
      <c r="AA16" s="6" t="str">
        <f>IF($Z16="","",INDEX(CaseTypeCol!$J:$J,MATCH($Z16,CaseTypeCol!$A:$A,0)))</f>
        <v/>
      </c>
      <c r="AC16" s="6" t="str">
        <f>IF($AB16="","",INDEX(IdentifierIssuer!$B:$B,MATCH($AB16,IdentifierIssuer!$A:$A,0)))</f>
        <v/>
      </c>
      <c r="AE16" s="6" t="str">
        <f>IF($AD16="","",INDEX(SequencingProtocol!$B:$B,MATCH($AD16,SequencingProtocol!$A:$A,0)))</f>
        <v/>
      </c>
      <c r="AG16" s="6" t="str">
        <f>IF($AF16="","",INDEX(AssemblyProtocol!$B:$B,MATCH($AF16,AssemblyProtocol!$A:$A,0)))</f>
        <v/>
      </c>
      <c r="AI16" s="14">
        <v>36526</v>
      </c>
      <c r="AJ16" t="s">
        <v>516</v>
      </c>
      <c r="AK16" t="s">
        <v>972</v>
      </c>
      <c r="AL16" s="6" t="str">
        <f>IF($AJ16="","",INDEX(CaseTypeCol!$J:$J,MATCH($AJ16,CaseTypeCol!$A:$A,0)))</f>
        <v>case_type_col1_7_0_1_TEXT</v>
      </c>
      <c r="AM16" s="6" t="b" cm="1">
        <f t="array" aca="1" ref="AM16" ca="1">IF($AJ16="",TRUE,IF($J16="",FALSE,IF(INDIRECT("OrganizationAccessCasePolicy!J"&amp;$J16)="",FALSE,NOT(ISNA(MATCH(INDIRECT("OrganizationAccessCasePolicy!J"&amp;$J16)&amp;"|"&amp;$AJ16,CaseTypeColSetMember!$H:$H,0))))))</f>
        <v>1</v>
      </c>
      <c r="AN16" s="6" t="b" cm="1">
        <f t="array" aca="1" ref="AN16" ca="1">IF($AJ16="",TRUE,IF($J16="",FALSE,IF(INDIRECT("OrganizationAccessCasePolicy!L"&amp;$J16)="",FALSE,NOT(ISNA(MATCH(INDIRECT("OrganizationAccessCasePolicy!L"&amp;$J16)&amp;"|"&amp;$AJ16,CaseTypeColSetMember!$H:$H,0))))))</f>
        <v>1</v>
      </c>
      <c r="AO16" s="6" t="b" cm="1">
        <f t="array" aca="1" ref="AO16" ca="1">IF($AJ16="",TRUE,IF($N16="",FALSE,IF(INDIRECT("UserAccessCasePolicy!I"&amp;$N16)="",FALSE,NOT(ISNA(MATCH(INDIRECT("UserAccessCasePolicy!I"&amp;$N16)&amp;"|"&amp;$AJ16,CaseTypeColSetMember!$H:$H,0))))))</f>
        <v>0</v>
      </c>
      <c r="AP16" s="6" t="b" cm="1">
        <f t="array" aca="1" ref="AP16" ca="1">IF($AJ16="",TRUE,IF($N16="",FALSE,IF(INDIRECT("UserAccessCasePolicy!K"&amp;$N16)="",FALSE,NOT(ISNA(MATCH(INDIRECT("UserAccessCasePolicy!K"&amp;$N16)&amp;"|"&amp;$AJ16,CaseTypeColSetMember!$H:$H,0))))))</f>
        <v>0</v>
      </c>
      <c r="AS16" s="6" t="str">
        <f>IF($AQ16="","",INDEX(CaseTypeCol!$J:$J,MATCH($AQ16,CaseTypeCol!$A:$A,0)))</f>
        <v/>
      </c>
      <c r="AT16" s="6" t="b" cm="1">
        <f t="array" aca="1" ref="AT16" ca="1">IF($AQ16="",TRUE,IF($J16="",FALSE,IF(INDIRECT("OrganizationAccessCasePolicy!J"&amp;$J16)="",FALSE,NOT(ISNA(MATCH(INDIRECT("OrganizationAccessCasePolicy!J"&amp;$J16)&amp;"|"&amp;$AQ16,CaseTypeColSetMember!$H:$H,0))))))</f>
        <v>1</v>
      </c>
      <c r="AU16" s="6" t="b" cm="1">
        <f t="array" aca="1" ref="AU16" ca="1">IF($AQ16="",TRUE,IF($J16="",FALSE,IF(INDIRECT("OrganizationAccessCasePolicy!L"&amp;$J16)="",FALSE,NOT(ISNA(MATCH(INDIRECT("OrganizationAccessCasePolicy!L"&amp;$J16)&amp;"|"&amp;$AQ16,CaseTypeColSetMember!$H:$H,0))))))</f>
        <v>1</v>
      </c>
      <c r="AV16" s="6" t="b" cm="1">
        <f t="array" aca="1" ref="AV16" ca="1">IF($AQ16="",TRUE,IF($N16="",FALSE,IF(INDIRECT("UserAccessCasePolicy!I"&amp;$N16)="",FALSE,NOT(ISNA(MATCH(INDIRECT("UserAccessCasePolicy!I"&amp;$N16)&amp;"|"&amp;$AQ16,CaseTypeColSetMember!$H:$H,0))))))</f>
        <v>1</v>
      </c>
      <c r="AW16" s="6" t="b" cm="1">
        <f t="array" aca="1" ref="AW16" ca="1">IF($AQ16="",TRUE,IF($N16="",FALSE,IF(INDIRECT("UserAccessCasePolicy!K"&amp;$N16)="",FALSE,NOT(ISNA(MATCH(INDIRECT("UserAccessCasePolicy!K"&amp;$N16)&amp;"|"&amp;$AQ16,CaseTypeColSetMember!$H:$H,0))))))</f>
        <v>1</v>
      </c>
      <c r="AZ16" s="6" t="str">
        <f>IF($AX16="","",INDEX(CaseTypeCol!$J:$J,MATCH($AX16,CaseTypeCol!$A:$A,0)))</f>
        <v/>
      </c>
      <c r="BA16" s="6" t="b" cm="1">
        <f t="array" aca="1" ref="BA16" ca="1">IF($AX16="",TRUE,IF($J16="",FALSE,IF(INDIRECT("OrganizationAccessCasePolicy!J"&amp;$J16)="",FALSE,NOT(ISNA(MATCH(INDIRECT("OrganizationAccessCasePolicy!J"&amp;$J16)&amp;"|"&amp;$AX16,CaseTypeColSetMember!$H:$H,0))))))</f>
        <v>1</v>
      </c>
      <c r="BB16" s="6" t="b" cm="1">
        <f t="array" aca="1" ref="BB16" ca="1">IF($AX16="",TRUE,IF($J16="",FALSE,IF(INDIRECT("OrganizationAccessCasePolicy!L"&amp;$J16)="",FALSE,NOT(ISNA(MATCH(INDIRECT("OrganizationAccessCasePolicy!L"&amp;$J16)&amp;"|"&amp;$AX16,CaseTypeColSetMember!$H:$H,0))))))</f>
        <v>1</v>
      </c>
      <c r="BC16" s="6" t="b" cm="1">
        <f t="array" aca="1" ref="BC16" ca="1">IF($AX16="",TRUE,IF($N16="",FALSE,IF(INDIRECT("UserAccessCasePolicy!I"&amp;$N16)="",FALSE,NOT(ISNA(MATCH(INDIRECT("UserAccessCasePolicy!I"&amp;$N16)&amp;"|"&amp;$AX16,CaseTypeColSetMember!$H:$H,0))))))</f>
        <v>1</v>
      </c>
      <c r="BD16" s="6" t="b" cm="1">
        <f t="array" aca="1" ref="BD16" ca="1">IF($AX16="",TRUE,IF($N16="",FALSE,IF(INDIRECT("UserAccessCasePolicy!K"&amp;$N16)="",FALSE,NOT(ISNA(MATCH(INDIRECT("UserAccessCasePolicy!K"&amp;$N16)&amp;"|"&amp;$AX16,CaseTypeColSetMember!$H:$H,0))))))</f>
        <v>1</v>
      </c>
    </row>
    <row r="17" spans="1:56" ht="15" customHeight="1" x14ac:dyDescent="0.3">
      <c r="A17">
        <v>16</v>
      </c>
      <c r="B17" t="b">
        <v>0</v>
      </c>
      <c r="C17" t="s">
        <v>1000</v>
      </c>
      <c r="D17" t="s">
        <v>13</v>
      </c>
      <c r="E17" s="6" t="str">
        <f>INDEX(User!$D:$D,MATCH($D17,User!$A:$A,0))</f>
        <v>org_user1_3</v>
      </c>
      <c r="F17" t="s">
        <v>982</v>
      </c>
      <c r="G17" s="19" t="b">
        <f ca="1">IF($F17="CREATE",$I17,IF($F17="CREATE_CASES",OR($I17,AND($K17,$L17,$O17,$P17,$AN17,AP17,$AU17,$AW17,$BB17,$BD17)),"TBD"))</f>
        <v>0</v>
      </c>
      <c r="H17" s="6" t="str">
        <f>INDEX(User!$G:$G,MATCH($D17,User!$A:$A,0))</f>
        <v>018d074d-ea0c-e942-07db-a3cc0ba1d653</v>
      </c>
      <c r="I17" s="6" t="b">
        <f>INDEX(User!$M:$M,MATCH($D17,User!$A:$A,0))</f>
        <v>0</v>
      </c>
      <c r="J17" s="6">
        <f>IF(ISNA(MATCH($H17&amp;"|"&amp;$X17,OrganizationAccessCasePolicy!$V:$V,0)),"",MATCH($H17&amp;"|"&amp;$X17,OrganizationAccessCasePolicy!$V:$V,0))</f>
        <v>2</v>
      </c>
      <c r="K17" s="6" t="b" cm="1">
        <f t="array" aca="1" ref="K17" ca="1">IF($J17="",FALSE,NOT(ISNA(MATCH(INDIRECT("OrganizationAccessCasePolicy!D"&amp;$J17)&amp;"|"&amp;$T17,CaseTypeSetMember!$H:$H,0))))</f>
        <v>1</v>
      </c>
      <c r="L17" s="6" t="b" cm="1">
        <f t="array" aca="1" ref="L17" ca="1">IF($J17="",FALSE,AND(INDIRECT("OrganizationAccessCasePolicy!H"&amp;$J17),NOT(ISNA(MATCH(INDIRECT("OrganizationAccessCasePolicy!D"&amp;$J17)&amp;"|"&amp;$T17,CaseTypeSetMember!$H:$H,0)))))</f>
        <v>1</v>
      </c>
      <c r="M17" s="6" t="b" cm="1">
        <f t="array" aca="1" ref="M17" ca="1">IF($J17="",FALSE,AND(INDIRECT("OrganizationAccessCasePolicy!I"&amp;$J17),NOT(ISNA(MATCH(INDIRECT("OrganizationAccessCasePolicy!D"&amp;$J17)&amp;"|"&amp;$T17,CaseTypeSetMember!$H:$H,0)))))</f>
        <v>1</v>
      </c>
      <c r="N17" s="6" t="str">
        <f>IF(ISNA(MATCH($D17&amp;"|"&amp;$X17,UserAccessCasePolicy!$W:$W,0)),"",MATCH($D17&amp;"|"&amp;$X17,UserAccessCasePolicy!$W:$W,0))</f>
        <v/>
      </c>
      <c r="O17" s="6" t="b" cm="1">
        <f t="array" aca="1" ref="O17" ca="1">IF($N17="",FALSE,NOT(ISNA(MATCH(INDIRECT("UserAccessCasePolicy!D"&amp;$N17)&amp;"|"&amp;$T17,CaseTypeSetMember!$H:$H,0))))</f>
        <v>0</v>
      </c>
      <c r="P17" s="6" t="b" cm="1">
        <f t="array" aca="1" ref="P17" ca="1">IF($N17="",FALSE,AND(INDIRECT("UserAccessCasePolicy!G"&amp;$N17),NOT(ISNA(MATCH(INDIRECT("UserAccessCasePolicy!D"&amp;$N17)&amp;"|"&amp;$T17,CaseTypeSetMember!$H:$H,0)))))</f>
        <v>0</v>
      </c>
      <c r="Q17" s="6" t="b" cm="1">
        <f t="array" aca="1" ref="Q17" ca="1">IF($N17="",FALSE,AND(INDIRECT("UserAccessCasePolicy!H"&amp;$N17),NOT(ISNA(MATCH(INDIRECT("UserAccessCasePolicy!D"&amp;$N17)&amp;"|"&amp;$T17,CaseTypeSetMember!$H:$H,0)))))</f>
        <v>0</v>
      </c>
      <c r="R17" t="s">
        <v>1001</v>
      </c>
      <c r="S17" s="6" t="str">
        <f>"case"&amp;MATCH($R17,$R$1:$R17,0)-1</f>
        <v>case16</v>
      </c>
      <c r="T17" t="s">
        <v>115</v>
      </c>
      <c r="U17" s="6" t="str">
        <f>INDEX(CaseType!$B:$B,MATCH($T17,CaseType!$A:$A,0))</f>
        <v>case_type1</v>
      </c>
      <c r="V17" s="6" t="b">
        <f>AND(IF($AJ17="",TRUE,$T17=INDEX(CaseTypeCol!$B:$B,MATCH($AJ17,CaseTypeCol!$A:$A,0))),IF($AQ17="",TRUE,$T17=INDEX(CaseTypeCol!$B:$B,MATCH($AQ17,CaseTypeCol!$A:$A,0))),IF($AX17="",TRUE,$T17=INDEX(CaseTypeCol!$B:$B,MATCH($AX17,CaseTypeCol!$A:$A,0))))</f>
        <v>1</v>
      </c>
      <c r="X17" t="s">
        <v>11</v>
      </c>
      <c r="Y17" s="6" t="str">
        <f>INDEX(DataCollection!$B:$B,MATCH($X17,DataCollection!$A:$A,0))</f>
        <v>data_collection1</v>
      </c>
      <c r="AA17" s="6" t="str">
        <f>IF($Z17="","",INDEX(CaseTypeCol!$J:$J,MATCH($Z17,CaseTypeCol!$A:$A,0)))</f>
        <v/>
      </c>
      <c r="AC17" s="6" t="str">
        <f>IF($AB17="","",INDEX(IdentifierIssuer!$B:$B,MATCH($AB17,IdentifierIssuer!$A:$A,0)))</f>
        <v/>
      </c>
      <c r="AE17" s="6" t="str">
        <f>IF($AD17="","",INDEX(SequencingProtocol!$B:$B,MATCH($AD17,SequencingProtocol!$A:$A,0)))</f>
        <v/>
      </c>
      <c r="AG17" s="6" t="str">
        <f>IF($AF17="","",INDEX(AssemblyProtocol!$B:$B,MATCH($AF17,AssemblyProtocol!$A:$A,0)))</f>
        <v/>
      </c>
      <c r="AI17" s="14">
        <v>36526</v>
      </c>
      <c r="AJ17" t="s">
        <v>516</v>
      </c>
      <c r="AK17" t="s">
        <v>972</v>
      </c>
      <c r="AL17" s="6" t="str">
        <f>IF($AJ17="","",INDEX(CaseTypeCol!$J:$J,MATCH($AJ17,CaseTypeCol!$A:$A,0)))</f>
        <v>case_type_col1_7_0_1_TEXT</v>
      </c>
      <c r="AM17" s="6" t="b" cm="1">
        <f t="array" aca="1" ref="AM17" ca="1">IF($AJ17="",TRUE,IF($J17="",FALSE,IF(INDIRECT("OrganizationAccessCasePolicy!J"&amp;$J17)="",FALSE,NOT(ISNA(MATCH(INDIRECT("OrganizationAccessCasePolicy!J"&amp;$J17)&amp;"|"&amp;$AJ17,CaseTypeColSetMember!$H:$H,0))))))</f>
        <v>1</v>
      </c>
      <c r="AN17" s="6" t="b" cm="1">
        <f t="array" aca="1" ref="AN17" ca="1">IF($AJ17="",TRUE,IF($J17="",FALSE,IF(INDIRECT("OrganizationAccessCasePolicy!L"&amp;$J17)="",FALSE,NOT(ISNA(MATCH(INDIRECT("OrganizationAccessCasePolicy!L"&amp;$J17)&amp;"|"&amp;$AJ17,CaseTypeColSetMember!$H:$H,0))))))</f>
        <v>1</v>
      </c>
      <c r="AO17" s="6" t="b" cm="1">
        <f t="array" aca="1" ref="AO17" ca="1">IF($AJ17="",TRUE,IF($N17="",FALSE,IF(INDIRECT("UserAccessCasePolicy!I"&amp;$N17)="",FALSE,NOT(ISNA(MATCH(INDIRECT("UserAccessCasePolicy!I"&amp;$N17)&amp;"|"&amp;$AJ17,CaseTypeColSetMember!$H:$H,0))))))</f>
        <v>0</v>
      </c>
      <c r="AP17" s="6" t="b" cm="1">
        <f t="array" aca="1" ref="AP17" ca="1">IF($AJ17="",TRUE,IF($N17="",FALSE,IF(INDIRECT("UserAccessCasePolicy!K"&amp;$N17)="",FALSE,NOT(ISNA(MATCH(INDIRECT("UserAccessCasePolicy!K"&amp;$N17)&amp;"|"&amp;$AJ17,CaseTypeColSetMember!$H:$H,0))))))</f>
        <v>0</v>
      </c>
      <c r="AS17" s="6" t="str">
        <f>IF($AQ17="","",INDEX(CaseTypeCol!$J:$J,MATCH($AQ17,CaseTypeCol!$A:$A,0)))</f>
        <v/>
      </c>
      <c r="AT17" s="6" t="b" cm="1">
        <f t="array" aca="1" ref="AT17" ca="1">IF($AQ17="",TRUE,IF($J17="",FALSE,IF(INDIRECT("OrganizationAccessCasePolicy!J"&amp;$J17)="",FALSE,NOT(ISNA(MATCH(INDIRECT("OrganizationAccessCasePolicy!J"&amp;$J17)&amp;"|"&amp;$AQ17,CaseTypeColSetMember!$H:$H,0))))))</f>
        <v>1</v>
      </c>
      <c r="AU17" s="6" t="b" cm="1">
        <f t="array" aca="1" ref="AU17" ca="1">IF($AQ17="",TRUE,IF($J17="",FALSE,IF(INDIRECT("OrganizationAccessCasePolicy!L"&amp;$J17)="",FALSE,NOT(ISNA(MATCH(INDIRECT("OrganizationAccessCasePolicy!L"&amp;$J17)&amp;"|"&amp;$AQ17,CaseTypeColSetMember!$H:$H,0))))))</f>
        <v>1</v>
      </c>
      <c r="AV17" s="6" t="b" cm="1">
        <f t="array" aca="1" ref="AV17" ca="1">IF($AQ17="",TRUE,IF($N17="",FALSE,IF(INDIRECT("UserAccessCasePolicy!I"&amp;$N17)="",FALSE,NOT(ISNA(MATCH(INDIRECT("UserAccessCasePolicy!I"&amp;$N17)&amp;"|"&amp;$AQ17,CaseTypeColSetMember!$H:$H,0))))))</f>
        <v>1</v>
      </c>
      <c r="AW17" s="6" t="b" cm="1">
        <f t="array" aca="1" ref="AW17" ca="1">IF($AQ17="",TRUE,IF($N17="",FALSE,IF(INDIRECT("UserAccessCasePolicy!K"&amp;$N17)="",FALSE,NOT(ISNA(MATCH(INDIRECT("UserAccessCasePolicy!K"&amp;$N17)&amp;"|"&amp;$AQ17,CaseTypeColSetMember!$H:$H,0))))))</f>
        <v>1</v>
      </c>
      <c r="AZ17" s="6" t="str">
        <f>IF($AX17="","",INDEX(CaseTypeCol!$J:$J,MATCH($AX17,CaseTypeCol!$A:$A,0)))</f>
        <v/>
      </c>
      <c r="BA17" s="6" t="b" cm="1">
        <f t="array" aca="1" ref="BA17" ca="1">IF($AX17="",TRUE,IF($J17="",FALSE,IF(INDIRECT("OrganizationAccessCasePolicy!J"&amp;$J17)="",FALSE,NOT(ISNA(MATCH(INDIRECT("OrganizationAccessCasePolicy!J"&amp;$J17)&amp;"|"&amp;$AX17,CaseTypeColSetMember!$H:$H,0))))))</f>
        <v>1</v>
      </c>
      <c r="BB17" s="6" t="b" cm="1">
        <f t="array" aca="1" ref="BB17" ca="1">IF($AX17="",TRUE,IF($J17="",FALSE,IF(INDIRECT("OrganizationAccessCasePolicy!L"&amp;$J17)="",FALSE,NOT(ISNA(MATCH(INDIRECT("OrganizationAccessCasePolicy!L"&amp;$J17)&amp;"|"&amp;$AX17,CaseTypeColSetMember!$H:$H,0))))))</f>
        <v>1</v>
      </c>
      <c r="BC17" s="6" t="b" cm="1">
        <f t="array" aca="1" ref="BC17" ca="1">IF($AX17="",TRUE,IF($N17="",FALSE,IF(INDIRECT("UserAccessCasePolicy!I"&amp;$N17)="",FALSE,NOT(ISNA(MATCH(INDIRECT("UserAccessCasePolicy!I"&amp;$N17)&amp;"|"&amp;$AX17,CaseTypeColSetMember!$H:$H,0))))))</f>
        <v>1</v>
      </c>
      <c r="BD17" s="6" t="b" cm="1">
        <f t="array" aca="1" ref="BD17" ca="1">IF($AX17="",TRUE,IF($N17="",FALSE,IF(INDIRECT("UserAccessCasePolicy!K"&amp;$N17)="",FALSE,NOT(ISNA(MATCH(INDIRECT("UserAccessCasePolicy!K"&amp;$N17)&amp;"|"&amp;$AX17,CaseTypeColSetMember!$H:$H,0))))))</f>
        <v>1</v>
      </c>
    </row>
    <row r="18" spans="1:56" ht="15" customHeight="1" x14ac:dyDescent="0.3">
      <c r="A18">
        <v>17</v>
      </c>
      <c r="B18" t="b">
        <v>0</v>
      </c>
      <c r="C18" t="s">
        <v>1002</v>
      </c>
      <c r="D18" t="s">
        <v>14</v>
      </c>
      <c r="E18" s="6" t="str">
        <f>INDEX(User!$D:$D,MATCH($D18,User!$A:$A,0))</f>
        <v>org_user1_4</v>
      </c>
      <c r="F18" t="s">
        <v>982</v>
      </c>
      <c r="G18" s="19" t="b">
        <f ca="1">IF($F18="CREATE",$I18,IF($F18="CREATE_CASES",OR($I18,AND($K18,$L18,$O18,$P18,$AN18,AP18,$AU18,$AW18,$BB18,$BD18)),"TBD"))</f>
        <v>0</v>
      </c>
      <c r="H18" s="6" t="str">
        <f>INDEX(User!$G:$G,MATCH($D18,User!$A:$A,0))</f>
        <v>018d074d-ea0c-e942-07db-a3cc0ba1d653</v>
      </c>
      <c r="I18" s="6" t="b">
        <f>INDEX(User!$M:$M,MATCH($D18,User!$A:$A,0))</f>
        <v>0</v>
      </c>
      <c r="J18" s="6">
        <f>IF(ISNA(MATCH($H18&amp;"|"&amp;$X18,OrganizationAccessCasePolicy!$V:$V,0)),"",MATCH($H18&amp;"|"&amp;$X18,OrganizationAccessCasePolicy!$V:$V,0))</f>
        <v>2</v>
      </c>
      <c r="K18" s="6" t="b" cm="1">
        <f t="array" aca="1" ref="K18" ca="1">IF($J18="",FALSE,NOT(ISNA(MATCH(INDIRECT("OrganizationAccessCasePolicy!D"&amp;$J18)&amp;"|"&amp;$T18,CaseTypeSetMember!$H:$H,0))))</f>
        <v>1</v>
      </c>
      <c r="L18" s="6" t="b" cm="1">
        <f t="array" aca="1" ref="L18" ca="1">IF($J18="",FALSE,AND(INDIRECT("OrganizationAccessCasePolicy!H"&amp;$J18),NOT(ISNA(MATCH(INDIRECT("OrganizationAccessCasePolicy!D"&amp;$J18)&amp;"|"&amp;$T18,CaseTypeSetMember!$H:$H,0)))))</f>
        <v>1</v>
      </c>
      <c r="M18" s="6" t="b" cm="1">
        <f t="array" aca="1" ref="M18" ca="1">IF($J18="",FALSE,AND(INDIRECT("OrganizationAccessCasePolicy!I"&amp;$J18),NOT(ISNA(MATCH(INDIRECT("OrganizationAccessCasePolicy!D"&amp;$J18)&amp;"|"&amp;$T18,CaseTypeSetMember!$H:$H,0)))))</f>
        <v>1</v>
      </c>
      <c r="N18" s="6" t="str">
        <f>IF(ISNA(MATCH($D18&amp;"|"&amp;$X18,UserAccessCasePolicy!$W:$W,0)),"",MATCH($D18&amp;"|"&amp;$X18,UserAccessCasePolicy!$W:$W,0))</f>
        <v/>
      </c>
      <c r="O18" s="6" t="b" cm="1">
        <f t="array" aca="1" ref="O18" ca="1">IF($N18="",FALSE,NOT(ISNA(MATCH(INDIRECT("UserAccessCasePolicy!D"&amp;$N18)&amp;"|"&amp;$T18,CaseTypeSetMember!$H:$H,0))))</f>
        <v>0</v>
      </c>
      <c r="P18" s="6" t="b" cm="1">
        <f t="array" aca="1" ref="P18" ca="1">IF($N18="",FALSE,AND(INDIRECT("UserAccessCasePolicy!G"&amp;$N18),NOT(ISNA(MATCH(INDIRECT("UserAccessCasePolicy!D"&amp;$N18)&amp;"|"&amp;$T18,CaseTypeSetMember!$H:$H,0)))))</f>
        <v>0</v>
      </c>
      <c r="Q18" s="6" t="b" cm="1">
        <f t="array" aca="1" ref="Q18" ca="1">IF($N18="",FALSE,AND(INDIRECT("UserAccessCasePolicy!H"&amp;$N18),NOT(ISNA(MATCH(INDIRECT("UserAccessCasePolicy!D"&amp;$N18)&amp;"|"&amp;$T18,CaseTypeSetMember!$H:$H,0)))))</f>
        <v>0</v>
      </c>
      <c r="R18" t="s">
        <v>1003</v>
      </c>
      <c r="S18" s="6" t="str">
        <f>"case"&amp;MATCH($R18,$R$1:$R18,0)-1</f>
        <v>case17</v>
      </c>
      <c r="T18" t="s">
        <v>115</v>
      </c>
      <c r="U18" s="6" t="str">
        <f>INDEX(CaseType!$B:$B,MATCH($T18,CaseType!$A:$A,0))</f>
        <v>case_type1</v>
      </c>
      <c r="V18" s="6" t="b">
        <f>AND(IF($AJ18="",TRUE,$T18=INDEX(CaseTypeCol!$B:$B,MATCH($AJ18,CaseTypeCol!$A:$A,0))),IF($AQ18="",TRUE,$T18=INDEX(CaseTypeCol!$B:$B,MATCH($AQ18,CaseTypeCol!$A:$A,0))),IF($AX18="",TRUE,$T18=INDEX(CaseTypeCol!$B:$B,MATCH($AX18,CaseTypeCol!$A:$A,0))))</f>
        <v>1</v>
      </c>
      <c r="X18" t="s">
        <v>11</v>
      </c>
      <c r="Y18" s="6" t="str">
        <f>INDEX(DataCollection!$B:$B,MATCH($X18,DataCollection!$A:$A,0))</f>
        <v>data_collection1</v>
      </c>
      <c r="AA18" s="6" t="str">
        <f>IF($Z18="","",INDEX(CaseTypeCol!$J:$J,MATCH($Z18,CaseTypeCol!$A:$A,0)))</f>
        <v/>
      </c>
      <c r="AC18" s="6" t="str">
        <f>IF($AB18="","",INDEX(IdentifierIssuer!$B:$B,MATCH($AB18,IdentifierIssuer!$A:$A,0)))</f>
        <v/>
      </c>
      <c r="AE18" s="6" t="str">
        <f>IF($AD18="","",INDEX(SequencingProtocol!$B:$B,MATCH($AD18,SequencingProtocol!$A:$A,0)))</f>
        <v/>
      </c>
      <c r="AG18" s="6" t="str">
        <f>IF($AF18="","",INDEX(AssemblyProtocol!$B:$B,MATCH($AF18,AssemblyProtocol!$A:$A,0)))</f>
        <v/>
      </c>
      <c r="AI18" s="14">
        <v>36526</v>
      </c>
      <c r="AJ18" t="s">
        <v>516</v>
      </c>
      <c r="AK18" t="s">
        <v>972</v>
      </c>
      <c r="AL18" s="6" t="str">
        <f>IF($AJ18="","",INDEX(CaseTypeCol!$J:$J,MATCH($AJ18,CaseTypeCol!$A:$A,0)))</f>
        <v>case_type_col1_7_0_1_TEXT</v>
      </c>
      <c r="AM18" s="6" t="b" cm="1">
        <f t="array" aca="1" ref="AM18" ca="1">IF($AJ18="",TRUE,IF($J18="",FALSE,IF(INDIRECT("OrganizationAccessCasePolicy!J"&amp;$J18)="",FALSE,NOT(ISNA(MATCH(INDIRECT("OrganizationAccessCasePolicy!J"&amp;$J18)&amp;"|"&amp;$AJ18,CaseTypeColSetMember!$H:$H,0))))))</f>
        <v>1</v>
      </c>
      <c r="AN18" s="6" t="b" cm="1">
        <f t="array" aca="1" ref="AN18" ca="1">IF($AJ18="",TRUE,IF($J18="",FALSE,IF(INDIRECT("OrganizationAccessCasePolicy!L"&amp;$J18)="",FALSE,NOT(ISNA(MATCH(INDIRECT("OrganizationAccessCasePolicy!L"&amp;$J18)&amp;"|"&amp;$AJ18,CaseTypeColSetMember!$H:$H,0))))))</f>
        <v>1</v>
      </c>
      <c r="AO18" s="6" t="b" cm="1">
        <f t="array" aca="1" ref="AO18" ca="1">IF($AJ18="",TRUE,IF($N18="",FALSE,IF(INDIRECT("UserAccessCasePolicy!I"&amp;$N18)="",FALSE,NOT(ISNA(MATCH(INDIRECT("UserAccessCasePolicy!I"&amp;$N18)&amp;"|"&amp;$AJ18,CaseTypeColSetMember!$H:$H,0))))))</f>
        <v>0</v>
      </c>
      <c r="AP18" s="6" t="b" cm="1">
        <f t="array" aca="1" ref="AP18" ca="1">IF($AJ18="",TRUE,IF($N18="",FALSE,IF(INDIRECT("UserAccessCasePolicy!K"&amp;$N18)="",FALSE,NOT(ISNA(MATCH(INDIRECT("UserAccessCasePolicy!K"&amp;$N18)&amp;"|"&amp;$AJ18,CaseTypeColSetMember!$H:$H,0))))))</f>
        <v>0</v>
      </c>
      <c r="AS18" s="6" t="str">
        <f>IF($AQ18="","",INDEX(CaseTypeCol!$J:$J,MATCH($AQ18,CaseTypeCol!$A:$A,0)))</f>
        <v/>
      </c>
      <c r="AT18" s="6" t="b" cm="1">
        <f t="array" aca="1" ref="AT18" ca="1">IF($AQ18="",TRUE,IF($J18="",FALSE,IF(INDIRECT("OrganizationAccessCasePolicy!J"&amp;$J18)="",FALSE,NOT(ISNA(MATCH(INDIRECT("OrganizationAccessCasePolicy!J"&amp;$J18)&amp;"|"&amp;$AQ18,CaseTypeColSetMember!$H:$H,0))))))</f>
        <v>1</v>
      </c>
      <c r="AU18" s="6" t="b" cm="1">
        <f t="array" aca="1" ref="AU18" ca="1">IF($AQ18="",TRUE,IF($J18="",FALSE,IF(INDIRECT("OrganizationAccessCasePolicy!L"&amp;$J18)="",FALSE,NOT(ISNA(MATCH(INDIRECT("OrganizationAccessCasePolicy!L"&amp;$J18)&amp;"|"&amp;$AQ18,CaseTypeColSetMember!$H:$H,0))))))</f>
        <v>1</v>
      </c>
      <c r="AV18" s="6" t="b" cm="1">
        <f t="array" aca="1" ref="AV18" ca="1">IF($AQ18="",TRUE,IF($N18="",FALSE,IF(INDIRECT("UserAccessCasePolicy!I"&amp;$N18)="",FALSE,NOT(ISNA(MATCH(INDIRECT("UserAccessCasePolicy!I"&amp;$N18)&amp;"|"&amp;$AQ18,CaseTypeColSetMember!$H:$H,0))))))</f>
        <v>1</v>
      </c>
      <c r="AW18" s="6" t="b" cm="1">
        <f t="array" aca="1" ref="AW18" ca="1">IF($AQ18="",TRUE,IF($N18="",FALSE,IF(INDIRECT("UserAccessCasePolicy!K"&amp;$N18)="",FALSE,NOT(ISNA(MATCH(INDIRECT("UserAccessCasePolicy!K"&amp;$N18)&amp;"|"&amp;$AQ18,CaseTypeColSetMember!$H:$H,0))))))</f>
        <v>1</v>
      </c>
      <c r="AZ18" s="6" t="str">
        <f>IF($AX18="","",INDEX(CaseTypeCol!$J:$J,MATCH($AX18,CaseTypeCol!$A:$A,0)))</f>
        <v/>
      </c>
      <c r="BA18" s="6" t="b" cm="1">
        <f t="array" aca="1" ref="BA18" ca="1">IF($AX18="",TRUE,IF($J18="",FALSE,IF(INDIRECT("OrganizationAccessCasePolicy!J"&amp;$J18)="",FALSE,NOT(ISNA(MATCH(INDIRECT("OrganizationAccessCasePolicy!J"&amp;$J18)&amp;"|"&amp;$AX18,CaseTypeColSetMember!$H:$H,0))))))</f>
        <v>1</v>
      </c>
      <c r="BB18" s="6" t="b" cm="1">
        <f t="array" aca="1" ref="BB18" ca="1">IF($AX18="",TRUE,IF($J18="",FALSE,IF(INDIRECT("OrganizationAccessCasePolicy!L"&amp;$J18)="",FALSE,NOT(ISNA(MATCH(INDIRECT("OrganizationAccessCasePolicy!L"&amp;$J18)&amp;"|"&amp;$AX18,CaseTypeColSetMember!$H:$H,0))))))</f>
        <v>1</v>
      </c>
      <c r="BC18" s="6" t="b" cm="1">
        <f t="array" aca="1" ref="BC18" ca="1">IF($AX18="",TRUE,IF($N18="",FALSE,IF(INDIRECT("UserAccessCasePolicy!I"&amp;$N18)="",FALSE,NOT(ISNA(MATCH(INDIRECT("UserAccessCasePolicy!I"&amp;$N18)&amp;"|"&amp;$AX18,CaseTypeColSetMember!$H:$H,0))))))</f>
        <v>1</v>
      </c>
      <c r="BD18" s="6" t="b" cm="1">
        <f t="array" aca="1" ref="BD18" ca="1">IF($AX18="",TRUE,IF($N18="",FALSE,IF(INDIRECT("UserAccessCasePolicy!K"&amp;$N18)="",FALSE,NOT(ISNA(MATCH(INDIRECT("UserAccessCasePolicy!K"&amp;$N18)&amp;"|"&amp;$AX18,CaseTypeColSetMember!$H:$H,0))))))</f>
        <v>1</v>
      </c>
    </row>
    <row r="19" spans="1:56" ht="15" customHeight="1" x14ac:dyDescent="0.3">
      <c r="A19">
        <v>18</v>
      </c>
      <c r="B19" t="b">
        <v>0</v>
      </c>
      <c r="C19" t="s">
        <v>1004</v>
      </c>
      <c r="D19" t="s">
        <v>16</v>
      </c>
      <c r="E19" s="6" t="str">
        <f>INDEX(User!$D:$D,MATCH($D19,User!$A:$A,0))</f>
        <v>org_user2_1</v>
      </c>
      <c r="F19" t="s">
        <v>982</v>
      </c>
      <c r="G19" s="19" t="b">
        <f ca="1">IF($F19="CREATE",$I19,IF($F19="CREATE_CASES",OR($I19,AND($K19,$L19,$O19,$P19,$AN19,AP19,$AU19,$AW19,$BB19,$BD19)),"TBD"))</f>
        <v>0</v>
      </c>
      <c r="H19" s="6" t="str">
        <f>INDEX(User!$G:$G,MATCH($D19,User!$A:$A,0))</f>
        <v>0195d18c-1c92-0ed4-2e94-b4f66d82baf3</v>
      </c>
      <c r="I19" s="6" t="b">
        <f>INDEX(User!$M:$M,MATCH($D19,User!$A:$A,0))</f>
        <v>0</v>
      </c>
      <c r="J19" s="6" t="str">
        <f>IF(ISNA(MATCH($H19&amp;"|"&amp;$X19,OrganizationAccessCasePolicy!$V:$V,0)),"",MATCH($H19&amp;"|"&amp;$X19,OrganizationAccessCasePolicy!$V:$V,0))</f>
        <v/>
      </c>
      <c r="K19" s="6" t="b" cm="1">
        <f t="array" aca="1" ref="K19" ca="1">IF($J19="",FALSE,NOT(ISNA(MATCH(INDIRECT("OrganizationAccessCasePolicy!D"&amp;$J19)&amp;"|"&amp;$T19,CaseTypeSetMember!$H:$H,0))))</f>
        <v>0</v>
      </c>
      <c r="L19" s="6" t="b" cm="1">
        <f t="array" aca="1" ref="L19" ca="1">IF($J19="",FALSE,AND(INDIRECT("OrganizationAccessCasePolicy!H"&amp;$J19),NOT(ISNA(MATCH(INDIRECT("OrganizationAccessCasePolicy!D"&amp;$J19)&amp;"|"&amp;$T19,CaseTypeSetMember!$H:$H,0)))))</f>
        <v>0</v>
      </c>
      <c r="M19" s="6" t="b" cm="1">
        <f t="array" aca="1" ref="M19" ca="1">IF($J19="",FALSE,AND(INDIRECT("OrganizationAccessCasePolicy!I"&amp;$J19),NOT(ISNA(MATCH(INDIRECT("OrganizationAccessCasePolicy!D"&amp;$J19)&amp;"|"&amp;$T19,CaseTypeSetMember!$H:$H,0)))))</f>
        <v>0</v>
      </c>
      <c r="N19" s="6" t="str">
        <f>IF(ISNA(MATCH($D19&amp;"|"&amp;$X19,UserAccessCasePolicy!$W:$W,0)),"",MATCH($D19&amp;"|"&amp;$X19,UserAccessCasePolicy!$W:$W,0))</f>
        <v/>
      </c>
      <c r="O19" s="6" t="b" cm="1">
        <f t="array" aca="1" ref="O19" ca="1">IF($N19="",FALSE,NOT(ISNA(MATCH(INDIRECT("UserAccessCasePolicy!D"&amp;$N19)&amp;"|"&amp;$T19,CaseTypeSetMember!$H:$H,0))))</f>
        <v>0</v>
      </c>
      <c r="P19" s="6" t="b" cm="1">
        <f t="array" aca="1" ref="P19" ca="1">IF($N19="",FALSE,AND(INDIRECT("UserAccessCasePolicy!G"&amp;$N19),NOT(ISNA(MATCH(INDIRECT("UserAccessCasePolicy!D"&amp;$N19)&amp;"|"&amp;$T19,CaseTypeSetMember!$H:$H,0)))))</f>
        <v>0</v>
      </c>
      <c r="Q19" s="6" t="b" cm="1">
        <f t="array" aca="1" ref="Q19" ca="1">IF($N19="",FALSE,AND(INDIRECT("UserAccessCasePolicy!H"&amp;$N19),NOT(ISNA(MATCH(INDIRECT("UserAccessCasePolicy!D"&amp;$N19)&amp;"|"&amp;$T19,CaseTypeSetMember!$H:$H,0)))))</f>
        <v>0</v>
      </c>
      <c r="R19" t="s">
        <v>1005</v>
      </c>
      <c r="S19" s="6" t="str">
        <f>"case"&amp;MATCH($R19,$R$1:$R19,0)-1</f>
        <v>case18</v>
      </c>
      <c r="T19" t="s">
        <v>115</v>
      </c>
      <c r="U19" s="6" t="str">
        <f>INDEX(CaseType!$B:$B,MATCH($T19,CaseType!$A:$A,0))</f>
        <v>case_type1</v>
      </c>
      <c r="V19" s="6" t="b">
        <f>AND(IF($AJ19="",TRUE,$T19=INDEX(CaseTypeCol!$B:$B,MATCH($AJ19,CaseTypeCol!$A:$A,0))),IF($AQ19="",TRUE,$T19=INDEX(CaseTypeCol!$B:$B,MATCH($AQ19,CaseTypeCol!$A:$A,0))),IF($AX19="",TRUE,$T19=INDEX(CaseTypeCol!$B:$B,MATCH($AX19,CaseTypeCol!$A:$A,0))))</f>
        <v>1</v>
      </c>
      <c r="X19" t="s">
        <v>11</v>
      </c>
      <c r="Y19" s="6" t="str">
        <f>INDEX(DataCollection!$B:$B,MATCH($X19,DataCollection!$A:$A,0))</f>
        <v>data_collection1</v>
      </c>
      <c r="AA19" s="6" t="str">
        <f>IF($Z19="","",INDEX(CaseTypeCol!$J:$J,MATCH($Z19,CaseTypeCol!$A:$A,0)))</f>
        <v/>
      </c>
      <c r="AC19" s="6" t="str">
        <f>IF($AB19="","",INDEX(IdentifierIssuer!$B:$B,MATCH($AB19,IdentifierIssuer!$A:$A,0)))</f>
        <v/>
      </c>
      <c r="AE19" s="6" t="str">
        <f>IF($AD19="","",INDEX(SequencingProtocol!$B:$B,MATCH($AD19,SequencingProtocol!$A:$A,0)))</f>
        <v/>
      </c>
      <c r="AG19" s="6" t="str">
        <f>IF($AF19="","",INDEX(AssemblyProtocol!$B:$B,MATCH($AF19,AssemblyProtocol!$A:$A,0)))</f>
        <v/>
      </c>
      <c r="AI19" s="14">
        <v>36526</v>
      </c>
      <c r="AJ19" t="s">
        <v>516</v>
      </c>
      <c r="AK19" t="s">
        <v>972</v>
      </c>
      <c r="AL19" s="6" t="str">
        <f>IF($AJ19="","",INDEX(CaseTypeCol!$J:$J,MATCH($AJ19,CaseTypeCol!$A:$A,0)))</f>
        <v>case_type_col1_7_0_1_TEXT</v>
      </c>
      <c r="AM19" s="6" t="b" cm="1">
        <f t="array" aca="1" ref="AM19" ca="1">IF($AJ19="",TRUE,IF($J19="",FALSE,IF(INDIRECT("OrganizationAccessCasePolicy!J"&amp;$J19)="",FALSE,NOT(ISNA(MATCH(INDIRECT("OrganizationAccessCasePolicy!J"&amp;$J19)&amp;"|"&amp;$AJ19,CaseTypeColSetMember!$H:$H,0))))))</f>
        <v>0</v>
      </c>
      <c r="AN19" s="6" t="b" cm="1">
        <f t="array" aca="1" ref="AN19" ca="1">IF($AJ19="",TRUE,IF($J19="",FALSE,IF(INDIRECT("OrganizationAccessCasePolicy!L"&amp;$J19)="",FALSE,NOT(ISNA(MATCH(INDIRECT("OrganizationAccessCasePolicy!L"&amp;$J19)&amp;"|"&amp;$AJ19,CaseTypeColSetMember!$H:$H,0))))))</f>
        <v>0</v>
      </c>
      <c r="AO19" s="6" t="b" cm="1">
        <f t="array" aca="1" ref="AO19" ca="1">IF($AJ19="",TRUE,IF($N19="",FALSE,IF(INDIRECT("UserAccessCasePolicy!I"&amp;$N19)="",FALSE,NOT(ISNA(MATCH(INDIRECT("UserAccessCasePolicy!I"&amp;$N19)&amp;"|"&amp;$AJ19,CaseTypeColSetMember!$H:$H,0))))))</f>
        <v>0</v>
      </c>
      <c r="AP19" s="6" t="b" cm="1">
        <f t="array" aca="1" ref="AP19" ca="1">IF($AJ19="",TRUE,IF($N19="",FALSE,IF(INDIRECT("UserAccessCasePolicy!K"&amp;$N19)="",FALSE,NOT(ISNA(MATCH(INDIRECT("UserAccessCasePolicy!K"&amp;$N19)&amp;"|"&amp;$AJ19,CaseTypeColSetMember!$H:$H,0))))))</f>
        <v>0</v>
      </c>
      <c r="AS19" s="6" t="str">
        <f>IF($AQ19="","",INDEX(CaseTypeCol!$J:$J,MATCH($AQ19,CaseTypeCol!$A:$A,0)))</f>
        <v/>
      </c>
      <c r="AT19" s="6" t="b" cm="1">
        <f t="array" aca="1" ref="AT19" ca="1">IF($AQ19="",TRUE,IF($J19="",FALSE,IF(INDIRECT("OrganizationAccessCasePolicy!J"&amp;$J19)="",FALSE,NOT(ISNA(MATCH(INDIRECT("OrganizationAccessCasePolicy!J"&amp;$J19)&amp;"|"&amp;$AQ19,CaseTypeColSetMember!$H:$H,0))))))</f>
        <v>1</v>
      </c>
      <c r="AU19" s="6" t="b" cm="1">
        <f t="array" aca="1" ref="AU19" ca="1">IF($AQ19="",TRUE,IF($J19="",FALSE,IF(INDIRECT("OrganizationAccessCasePolicy!L"&amp;$J19)="",FALSE,NOT(ISNA(MATCH(INDIRECT("OrganizationAccessCasePolicy!L"&amp;$J19)&amp;"|"&amp;$AQ19,CaseTypeColSetMember!$H:$H,0))))))</f>
        <v>1</v>
      </c>
      <c r="AV19" s="6" t="b" cm="1">
        <f t="array" aca="1" ref="AV19" ca="1">IF($AQ19="",TRUE,IF($N19="",FALSE,IF(INDIRECT("UserAccessCasePolicy!I"&amp;$N19)="",FALSE,NOT(ISNA(MATCH(INDIRECT("UserAccessCasePolicy!I"&amp;$N19)&amp;"|"&amp;$AQ19,CaseTypeColSetMember!$H:$H,0))))))</f>
        <v>1</v>
      </c>
      <c r="AW19" s="6" t="b" cm="1">
        <f t="array" aca="1" ref="AW19" ca="1">IF($AQ19="",TRUE,IF($N19="",FALSE,IF(INDIRECT("UserAccessCasePolicy!K"&amp;$N19)="",FALSE,NOT(ISNA(MATCH(INDIRECT("UserAccessCasePolicy!K"&amp;$N19)&amp;"|"&amp;$AQ19,CaseTypeColSetMember!$H:$H,0))))))</f>
        <v>1</v>
      </c>
      <c r="AZ19" s="6" t="str">
        <f>IF($AX19="","",INDEX(CaseTypeCol!$J:$J,MATCH($AX19,CaseTypeCol!$A:$A,0)))</f>
        <v/>
      </c>
      <c r="BA19" s="6" t="b" cm="1">
        <f t="array" aca="1" ref="BA19" ca="1">IF($AX19="",TRUE,IF($J19="",FALSE,IF(INDIRECT("OrganizationAccessCasePolicy!J"&amp;$J19)="",FALSE,NOT(ISNA(MATCH(INDIRECT("OrganizationAccessCasePolicy!J"&amp;$J19)&amp;"|"&amp;$AX19,CaseTypeColSetMember!$H:$H,0))))))</f>
        <v>1</v>
      </c>
      <c r="BB19" s="6" t="b" cm="1">
        <f t="array" aca="1" ref="BB19" ca="1">IF($AX19="",TRUE,IF($J19="",FALSE,IF(INDIRECT("OrganizationAccessCasePolicy!L"&amp;$J19)="",FALSE,NOT(ISNA(MATCH(INDIRECT("OrganizationAccessCasePolicy!L"&amp;$J19)&amp;"|"&amp;$AX19,CaseTypeColSetMember!$H:$H,0))))))</f>
        <v>1</v>
      </c>
      <c r="BC19" s="6" t="b" cm="1">
        <f t="array" aca="1" ref="BC19" ca="1">IF($AX19="",TRUE,IF($N19="",FALSE,IF(INDIRECT("UserAccessCasePolicy!I"&amp;$N19)="",FALSE,NOT(ISNA(MATCH(INDIRECT("UserAccessCasePolicy!I"&amp;$N19)&amp;"|"&amp;$AX19,CaseTypeColSetMember!$H:$H,0))))))</f>
        <v>1</v>
      </c>
      <c r="BD19" s="6" t="b" cm="1">
        <f t="array" aca="1" ref="BD19" ca="1">IF($AX19="",TRUE,IF($N19="",FALSE,IF(INDIRECT("UserAccessCasePolicy!K"&amp;$N19)="",FALSE,NOT(ISNA(MATCH(INDIRECT("UserAccessCasePolicy!K"&amp;$N19)&amp;"|"&amp;$AX19,CaseTypeColSetMember!$H:$H,0))))))</f>
        <v>1</v>
      </c>
    </row>
    <row r="20" spans="1:56" ht="15" customHeight="1" x14ac:dyDescent="0.3">
      <c r="A20">
        <v>19</v>
      </c>
      <c r="B20" t="b">
        <v>0</v>
      </c>
      <c r="C20" t="s">
        <v>1006</v>
      </c>
      <c r="D20" t="s">
        <v>18</v>
      </c>
      <c r="E20" s="6" t="str">
        <f>INDEX(User!$D:$D,MATCH($D20,User!$A:$A,0))</f>
        <v>org_user2_2</v>
      </c>
      <c r="F20" t="s">
        <v>982</v>
      </c>
      <c r="G20" s="19" t="b">
        <f ca="1">IF($F20="CREATE",$I20,IF($F20="CREATE_CASES",OR($I20,AND($K20,$L20,$O20,$P20,$AN20,AP20,$AU20,$AW20,$BB20,$BD20)),"TBD"))</f>
        <v>0</v>
      </c>
      <c r="H20" s="6" t="str">
        <f>INDEX(User!$G:$G,MATCH($D20,User!$A:$A,0))</f>
        <v>0195d18c-1c92-0ed4-2e94-b4f66d82baf3</v>
      </c>
      <c r="I20" s="6" t="b">
        <f>INDEX(User!$M:$M,MATCH($D20,User!$A:$A,0))</f>
        <v>0</v>
      </c>
      <c r="J20" s="6" t="str">
        <f>IF(ISNA(MATCH($H20&amp;"|"&amp;$X20,OrganizationAccessCasePolicy!$V:$V,0)),"",MATCH($H20&amp;"|"&amp;$X20,OrganizationAccessCasePolicy!$V:$V,0))</f>
        <v/>
      </c>
      <c r="K20" s="6" t="b" cm="1">
        <f t="array" aca="1" ref="K20" ca="1">IF($J20="",FALSE,NOT(ISNA(MATCH(INDIRECT("OrganizationAccessCasePolicy!D"&amp;$J20)&amp;"|"&amp;$T20,CaseTypeSetMember!$H:$H,0))))</f>
        <v>0</v>
      </c>
      <c r="L20" s="6" t="b" cm="1">
        <f t="array" aca="1" ref="L20" ca="1">IF($J20="",FALSE,AND(INDIRECT("OrganizationAccessCasePolicy!H"&amp;$J20),NOT(ISNA(MATCH(INDIRECT("OrganizationAccessCasePolicy!D"&amp;$J20)&amp;"|"&amp;$T20,CaseTypeSetMember!$H:$H,0)))))</f>
        <v>0</v>
      </c>
      <c r="M20" s="6" t="b" cm="1">
        <f t="array" aca="1" ref="M20" ca="1">IF($J20="",FALSE,AND(INDIRECT("OrganizationAccessCasePolicy!I"&amp;$J20),NOT(ISNA(MATCH(INDIRECT("OrganizationAccessCasePolicy!D"&amp;$J20)&amp;"|"&amp;$T20,CaseTypeSetMember!$H:$H,0)))))</f>
        <v>0</v>
      </c>
      <c r="N20" s="6" t="str">
        <f>IF(ISNA(MATCH($D20&amp;"|"&amp;$X20,UserAccessCasePolicy!$W:$W,0)),"",MATCH($D20&amp;"|"&amp;$X20,UserAccessCasePolicy!$W:$W,0))</f>
        <v/>
      </c>
      <c r="O20" s="6" t="b" cm="1">
        <f t="array" aca="1" ref="O20" ca="1">IF($N20="",FALSE,NOT(ISNA(MATCH(INDIRECT("UserAccessCasePolicy!D"&amp;$N20)&amp;"|"&amp;$T20,CaseTypeSetMember!$H:$H,0))))</f>
        <v>0</v>
      </c>
      <c r="P20" s="6" t="b" cm="1">
        <f t="array" aca="1" ref="P20" ca="1">IF($N20="",FALSE,AND(INDIRECT("UserAccessCasePolicy!G"&amp;$N20),NOT(ISNA(MATCH(INDIRECT("UserAccessCasePolicy!D"&amp;$N20)&amp;"|"&amp;$T20,CaseTypeSetMember!$H:$H,0)))))</f>
        <v>0</v>
      </c>
      <c r="Q20" s="6" t="b" cm="1">
        <f t="array" aca="1" ref="Q20" ca="1">IF($N20="",FALSE,AND(INDIRECT("UserAccessCasePolicy!H"&amp;$N20),NOT(ISNA(MATCH(INDIRECT("UserAccessCasePolicy!D"&amp;$N20)&amp;"|"&amp;$T20,CaseTypeSetMember!$H:$H,0)))))</f>
        <v>0</v>
      </c>
      <c r="R20" t="s">
        <v>1007</v>
      </c>
      <c r="S20" s="6" t="str">
        <f>"case"&amp;MATCH($R20,$R$1:$R20,0)-1</f>
        <v>case19</v>
      </c>
      <c r="T20" t="s">
        <v>115</v>
      </c>
      <c r="U20" s="6" t="str">
        <f>INDEX(CaseType!$B:$B,MATCH($T20,CaseType!$A:$A,0))</f>
        <v>case_type1</v>
      </c>
      <c r="V20" s="6" t="b">
        <f>AND(IF($AJ20="",TRUE,$T20=INDEX(CaseTypeCol!$B:$B,MATCH($AJ20,CaseTypeCol!$A:$A,0))),IF($AQ20="",TRUE,$T20=INDEX(CaseTypeCol!$B:$B,MATCH($AQ20,CaseTypeCol!$A:$A,0))),IF($AX20="",TRUE,$T20=INDEX(CaseTypeCol!$B:$B,MATCH($AX20,CaseTypeCol!$A:$A,0))))</f>
        <v>1</v>
      </c>
      <c r="X20" t="s">
        <v>11</v>
      </c>
      <c r="Y20" s="6" t="str">
        <f>INDEX(DataCollection!$B:$B,MATCH($X20,DataCollection!$A:$A,0))</f>
        <v>data_collection1</v>
      </c>
      <c r="AA20" s="6" t="str">
        <f>IF($Z20="","",INDEX(CaseTypeCol!$J:$J,MATCH($Z20,CaseTypeCol!$A:$A,0)))</f>
        <v/>
      </c>
      <c r="AC20" s="6" t="str">
        <f>IF($AB20="","",INDEX(IdentifierIssuer!$B:$B,MATCH($AB20,IdentifierIssuer!$A:$A,0)))</f>
        <v/>
      </c>
      <c r="AE20" s="6" t="str">
        <f>IF($AD20="","",INDEX(SequencingProtocol!$B:$B,MATCH($AD20,SequencingProtocol!$A:$A,0)))</f>
        <v/>
      </c>
      <c r="AG20" s="6" t="str">
        <f>IF($AF20="","",INDEX(AssemblyProtocol!$B:$B,MATCH($AF20,AssemblyProtocol!$A:$A,0)))</f>
        <v/>
      </c>
      <c r="AI20" s="14">
        <v>36526</v>
      </c>
      <c r="AJ20" t="s">
        <v>516</v>
      </c>
      <c r="AK20" t="s">
        <v>972</v>
      </c>
      <c r="AL20" s="6" t="str">
        <f>IF($AJ20="","",INDEX(CaseTypeCol!$J:$J,MATCH($AJ20,CaseTypeCol!$A:$A,0)))</f>
        <v>case_type_col1_7_0_1_TEXT</v>
      </c>
      <c r="AM20" s="6" t="b" cm="1">
        <f t="array" aca="1" ref="AM20" ca="1">IF($AJ20="",TRUE,IF($J20="",FALSE,IF(INDIRECT("OrganizationAccessCasePolicy!J"&amp;$J20)="",FALSE,NOT(ISNA(MATCH(INDIRECT("OrganizationAccessCasePolicy!J"&amp;$J20)&amp;"|"&amp;$AJ20,CaseTypeColSetMember!$H:$H,0))))))</f>
        <v>0</v>
      </c>
      <c r="AN20" s="6" t="b" cm="1">
        <f t="array" aca="1" ref="AN20" ca="1">IF($AJ20="",TRUE,IF($J20="",FALSE,IF(INDIRECT("OrganizationAccessCasePolicy!L"&amp;$J20)="",FALSE,NOT(ISNA(MATCH(INDIRECT("OrganizationAccessCasePolicy!L"&amp;$J20)&amp;"|"&amp;$AJ20,CaseTypeColSetMember!$H:$H,0))))))</f>
        <v>0</v>
      </c>
      <c r="AO20" s="6" t="b" cm="1">
        <f t="array" aca="1" ref="AO20" ca="1">IF($AJ20="",TRUE,IF($N20="",FALSE,IF(INDIRECT("UserAccessCasePolicy!I"&amp;$N20)="",FALSE,NOT(ISNA(MATCH(INDIRECT("UserAccessCasePolicy!I"&amp;$N20)&amp;"|"&amp;$AJ20,CaseTypeColSetMember!$H:$H,0))))))</f>
        <v>0</v>
      </c>
      <c r="AP20" s="6" t="b" cm="1">
        <f t="array" aca="1" ref="AP20" ca="1">IF($AJ20="",TRUE,IF($N20="",FALSE,IF(INDIRECT("UserAccessCasePolicy!K"&amp;$N20)="",FALSE,NOT(ISNA(MATCH(INDIRECT("UserAccessCasePolicy!K"&amp;$N20)&amp;"|"&amp;$AJ20,CaseTypeColSetMember!$H:$H,0))))))</f>
        <v>0</v>
      </c>
      <c r="AS20" s="6" t="str">
        <f>IF($AQ20="","",INDEX(CaseTypeCol!$J:$J,MATCH($AQ20,CaseTypeCol!$A:$A,0)))</f>
        <v/>
      </c>
      <c r="AT20" s="6" t="b" cm="1">
        <f t="array" aca="1" ref="AT20" ca="1">IF($AQ20="",TRUE,IF($J20="",FALSE,IF(INDIRECT("OrganizationAccessCasePolicy!J"&amp;$J20)="",FALSE,NOT(ISNA(MATCH(INDIRECT("OrganizationAccessCasePolicy!J"&amp;$J20)&amp;"|"&amp;$AQ20,CaseTypeColSetMember!$H:$H,0))))))</f>
        <v>1</v>
      </c>
      <c r="AU20" s="6" t="b" cm="1">
        <f t="array" aca="1" ref="AU20" ca="1">IF($AQ20="",TRUE,IF($J20="",FALSE,IF(INDIRECT("OrganizationAccessCasePolicy!L"&amp;$J20)="",FALSE,NOT(ISNA(MATCH(INDIRECT("OrganizationAccessCasePolicy!L"&amp;$J20)&amp;"|"&amp;$AQ20,CaseTypeColSetMember!$H:$H,0))))))</f>
        <v>1</v>
      </c>
      <c r="AV20" s="6" t="b" cm="1">
        <f t="array" aca="1" ref="AV20" ca="1">IF($AQ20="",TRUE,IF($N20="",FALSE,IF(INDIRECT("UserAccessCasePolicy!I"&amp;$N20)="",FALSE,NOT(ISNA(MATCH(INDIRECT("UserAccessCasePolicy!I"&amp;$N20)&amp;"|"&amp;$AQ20,CaseTypeColSetMember!$H:$H,0))))))</f>
        <v>1</v>
      </c>
      <c r="AW20" s="6" t="b" cm="1">
        <f t="array" aca="1" ref="AW20" ca="1">IF($AQ20="",TRUE,IF($N20="",FALSE,IF(INDIRECT("UserAccessCasePolicy!K"&amp;$N20)="",FALSE,NOT(ISNA(MATCH(INDIRECT("UserAccessCasePolicy!K"&amp;$N20)&amp;"|"&amp;$AQ20,CaseTypeColSetMember!$H:$H,0))))))</f>
        <v>1</v>
      </c>
      <c r="AZ20" s="6" t="str">
        <f>IF($AX20="","",INDEX(CaseTypeCol!$J:$J,MATCH($AX20,CaseTypeCol!$A:$A,0)))</f>
        <v/>
      </c>
      <c r="BA20" s="6" t="b" cm="1">
        <f t="array" aca="1" ref="BA20" ca="1">IF($AX20="",TRUE,IF($J20="",FALSE,IF(INDIRECT("OrganizationAccessCasePolicy!J"&amp;$J20)="",FALSE,NOT(ISNA(MATCH(INDIRECT("OrganizationAccessCasePolicy!J"&amp;$J20)&amp;"|"&amp;$AX20,CaseTypeColSetMember!$H:$H,0))))))</f>
        <v>1</v>
      </c>
      <c r="BB20" s="6" t="b" cm="1">
        <f t="array" aca="1" ref="BB20" ca="1">IF($AX20="",TRUE,IF($J20="",FALSE,IF(INDIRECT("OrganizationAccessCasePolicy!L"&amp;$J20)="",FALSE,NOT(ISNA(MATCH(INDIRECT("OrganizationAccessCasePolicy!L"&amp;$J20)&amp;"|"&amp;$AX20,CaseTypeColSetMember!$H:$H,0))))))</f>
        <v>1</v>
      </c>
      <c r="BC20" s="6" t="b" cm="1">
        <f t="array" aca="1" ref="BC20" ca="1">IF($AX20="",TRUE,IF($N20="",FALSE,IF(INDIRECT("UserAccessCasePolicy!I"&amp;$N20)="",FALSE,NOT(ISNA(MATCH(INDIRECT("UserAccessCasePolicy!I"&amp;$N20)&amp;"|"&amp;$AX20,CaseTypeColSetMember!$H:$H,0))))))</f>
        <v>1</v>
      </c>
      <c r="BD20" s="6" t="b" cm="1">
        <f t="array" aca="1" ref="BD20" ca="1">IF($AX20="",TRUE,IF($N20="",FALSE,IF(INDIRECT("UserAccessCasePolicy!K"&amp;$N20)="",FALSE,NOT(ISNA(MATCH(INDIRECT("UserAccessCasePolicy!K"&amp;$N20)&amp;"|"&amp;$AX20,CaseTypeColSetMember!$H:$H,0))))))</f>
        <v>1</v>
      </c>
    </row>
    <row r="21" spans="1:56" ht="15" customHeight="1" x14ac:dyDescent="0.3">
      <c r="A21">
        <v>20</v>
      </c>
      <c r="B21" t="b">
        <v>0</v>
      </c>
      <c r="C21" t="s">
        <v>1008</v>
      </c>
      <c r="D21" t="s">
        <v>19</v>
      </c>
      <c r="E21" s="6" t="str">
        <f>INDEX(User!$D:$D,MATCH($D21,User!$A:$A,0))</f>
        <v>org_user2_3</v>
      </c>
      <c r="F21" t="s">
        <v>982</v>
      </c>
      <c r="G21" s="19" t="b">
        <f ca="1">IF($F21="CREATE",$I21,IF($F21="CREATE_CASES",OR($I21,AND($K21,$L21,$O21,$P21,$AN21,AP21,$AU21,$AW21,$BB21,$BD21)),"TBD"))</f>
        <v>0</v>
      </c>
      <c r="H21" s="6" t="str">
        <f>INDEX(User!$G:$G,MATCH($D21,User!$A:$A,0))</f>
        <v>0195d18c-1c92-0ed4-2e94-b4f66d82baf3</v>
      </c>
      <c r="I21" s="6" t="b">
        <f>INDEX(User!$M:$M,MATCH($D21,User!$A:$A,0))</f>
        <v>0</v>
      </c>
      <c r="J21" s="6" t="str">
        <f>IF(ISNA(MATCH($H21&amp;"|"&amp;$X21,OrganizationAccessCasePolicy!$V:$V,0)),"",MATCH($H21&amp;"|"&amp;$X21,OrganizationAccessCasePolicy!$V:$V,0))</f>
        <v/>
      </c>
      <c r="K21" s="6" t="b" cm="1">
        <f t="array" aca="1" ref="K21" ca="1">IF($J21="",FALSE,NOT(ISNA(MATCH(INDIRECT("OrganizationAccessCasePolicy!D"&amp;$J21)&amp;"|"&amp;$T21,CaseTypeSetMember!$H:$H,0))))</f>
        <v>0</v>
      </c>
      <c r="L21" s="6" t="b" cm="1">
        <f t="array" aca="1" ref="L21" ca="1">IF($J21="",FALSE,AND(INDIRECT("OrganizationAccessCasePolicy!H"&amp;$J21),NOT(ISNA(MATCH(INDIRECT("OrganizationAccessCasePolicy!D"&amp;$J21)&amp;"|"&amp;$T21,CaseTypeSetMember!$H:$H,0)))))</f>
        <v>0</v>
      </c>
      <c r="M21" s="6" t="b" cm="1">
        <f t="array" aca="1" ref="M21" ca="1">IF($J21="",FALSE,AND(INDIRECT("OrganizationAccessCasePolicy!I"&amp;$J21),NOT(ISNA(MATCH(INDIRECT("OrganizationAccessCasePolicy!D"&amp;$J21)&amp;"|"&amp;$T21,CaseTypeSetMember!$H:$H,0)))))</f>
        <v>0</v>
      </c>
      <c r="N21" s="6" t="str">
        <f>IF(ISNA(MATCH($D21&amp;"|"&amp;$X21,UserAccessCasePolicy!$W:$W,0)),"",MATCH($D21&amp;"|"&amp;$X21,UserAccessCasePolicy!$W:$W,0))</f>
        <v/>
      </c>
      <c r="O21" s="6" t="b" cm="1">
        <f t="array" aca="1" ref="O21" ca="1">IF($N21="",FALSE,NOT(ISNA(MATCH(INDIRECT("UserAccessCasePolicy!D"&amp;$N21)&amp;"|"&amp;$T21,CaseTypeSetMember!$H:$H,0))))</f>
        <v>0</v>
      </c>
      <c r="P21" s="6" t="b" cm="1">
        <f t="array" aca="1" ref="P21" ca="1">IF($N21="",FALSE,AND(INDIRECT("UserAccessCasePolicy!G"&amp;$N21),NOT(ISNA(MATCH(INDIRECT("UserAccessCasePolicy!D"&amp;$N21)&amp;"|"&amp;$T21,CaseTypeSetMember!$H:$H,0)))))</f>
        <v>0</v>
      </c>
      <c r="Q21" s="6" t="b" cm="1">
        <f t="array" aca="1" ref="Q21" ca="1">IF($N21="",FALSE,AND(INDIRECT("UserAccessCasePolicy!H"&amp;$N21),NOT(ISNA(MATCH(INDIRECT("UserAccessCasePolicy!D"&amp;$N21)&amp;"|"&amp;$T21,CaseTypeSetMember!$H:$H,0)))))</f>
        <v>0</v>
      </c>
      <c r="R21" t="s">
        <v>1009</v>
      </c>
      <c r="S21" s="6" t="str">
        <f>"case"&amp;MATCH($R21,$R$1:$R21,0)-1</f>
        <v>case20</v>
      </c>
      <c r="T21" t="s">
        <v>115</v>
      </c>
      <c r="U21" s="6" t="str">
        <f>INDEX(CaseType!$B:$B,MATCH($T21,CaseType!$A:$A,0))</f>
        <v>case_type1</v>
      </c>
      <c r="V21" s="6" t="b">
        <f>AND(IF($AJ21="",TRUE,$T21=INDEX(CaseTypeCol!$B:$B,MATCH($AJ21,CaseTypeCol!$A:$A,0))),IF($AQ21="",TRUE,$T21=INDEX(CaseTypeCol!$B:$B,MATCH($AQ21,CaseTypeCol!$A:$A,0))),IF($AX21="",TRUE,$T21=INDEX(CaseTypeCol!$B:$B,MATCH($AX21,CaseTypeCol!$A:$A,0))))</f>
        <v>1</v>
      </c>
      <c r="X21" t="s">
        <v>11</v>
      </c>
      <c r="Y21" s="6" t="str">
        <f>INDEX(DataCollection!$B:$B,MATCH($X21,DataCollection!$A:$A,0))</f>
        <v>data_collection1</v>
      </c>
      <c r="AA21" s="6" t="str">
        <f>IF($Z21="","",INDEX(CaseTypeCol!$J:$J,MATCH($Z21,CaseTypeCol!$A:$A,0)))</f>
        <v/>
      </c>
      <c r="AC21" s="6" t="str">
        <f>IF($AB21="","",INDEX(IdentifierIssuer!$B:$B,MATCH($AB21,IdentifierIssuer!$A:$A,0)))</f>
        <v/>
      </c>
      <c r="AE21" s="6" t="str">
        <f>IF($AD21="","",INDEX(SequencingProtocol!$B:$B,MATCH($AD21,SequencingProtocol!$A:$A,0)))</f>
        <v/>
      </c>
      <c r="AG21" s="6" t="str">
        <f>IF($AF21="","",INDEX(AssemblyProtocol!$B:$B,MATCH($AF21,AssemblyProtocol!$A:$A,0)))</f>
        <v/>
      </c>
      <c r="AI21" s="14">
        <v>36526</v>
      </c>
      <c r="AJ21" t="s">
        <v>516</v>
      </c>
      <c r="AK21" t="s">
        <v>972</v>
      </c>
      <c r="AL21" s="6" t="str">
        <f>IF($AJ21="","",INDEX(CaseTypeCol!$J:$J,MATCH($AJ21,CaseTypeCol!$A:$A,0)))</f>
        <v>case_type_col1_7_0_1_TEXT</v>
      </c>
      <c r="AM21" s="6" t="b" cm="1">
        <f t="array" aca="1" ref="AM21" ca="1">IF($AJ21="",TRUE,IF($J21="",FALSE,IF(INDIRECT("OrganizationAccessCasePolicy!J"&amp;$J21)="",FALSE,NOT(ISNA(MATCH(INDIRECT("OrganizationAccessCasePolicy!J"&amp;$J21)&amp;"|"&amp;$AJ21,CaseTypeColSetMember!$H:$H,0))))))</f>
        <v>0</v>
      </c>
      <c r="AN21" s="6" t="b" cm="1">
        <f t="array" aca="1" ref="AN21" ca="1">IF($AJ21="",TRUE,IF($J21="",FALSE,IF(INDIRECT("OrganizationAccessCasePolicy!L"&amp;$J21)="",FALSE,NOT(ISNA(MATCH(INDIRECT("OrganizationAccessCasePolicy!L"&amp;$J21)&amp;"|"&amp;$AJ21,CaseTypeColSetMember!$H:$H,0))))))</f>
        <v>0</v>
      </c>
      <c r="AO21" s="6" t="b" cm="1">
        <f t="array" aca="1" ref="AO21" ca="1">IF($AJ21="",TRUE,IF($N21="",FALSE,IF(INDIRECT("UserAccessCasePolicy!I"&amp;$N21)="",FALSE,NOT(ISNA(MATCH(INDIRECT("UserAccessCasePolicy!I"&amp;$N21)&amp;"|"&amp;$AJ21,CaseTypeColSetMember!$H:$H,0))))))</f>
        <v>0</v>
      </c>
      <c r="AP21" s="6" t="b" cm="1">
        <f t="array" aca="1" ref="AP21" ca="1">IF($AJ21="",TRUE,IF($N21="",FALSE,IF(INDIRECT("UserAccessCasePolicy!K"&amp;$N21)="",FALSE,NOT(ISNA(MATCH(INDIRECT("UserAccessCasePolicy!K"&amp;$N21)&amp;"|"&amp;$AJ21,CaseTypeColSetMember!$H:$H,0))))))</f>
        <v>0</v>
      </c>
      <c r="AS21" s="6" t="str">
        <f>IF($AQ21="","",INDEX(CaseTypeCol!$J:$J,MATCH($AQ21,CaseTypeCol!$A:$A,0)))</f>
        <v/>
      </c>
      <c r="AT21" s="6" t="b" cm="1">
        <f t="array" aca="1" ref="AT21" ca="1">IF($AQ21="",TRUE,IF($J21="",FALSE,IF(INDIRECT("OrganizationAccessCasePolicy!J"&amp;$J21)="",FALSE,NOT(ISNA(MATCH(INDIRECT("OrganizationAccessCasePolicy!J"&amp;$J21)&amp;"|"&amp;$AQ21,CaseTypeColSetMember!$H:$H,0))))))</f>
        <v>1</v>
      </c>
      <c r="AU21" s="6" t="b" cm="1">
        <f t="array" aca="1" ref="AU21" ca="1">IF($AQ21="",TRUE,IF($J21="",FALSE,IF(INDIRECT("OrganizationAccessCasePolicy!L"&amp;$J21)="",FALSE,NOT(ISNA(MATCH(INDIRECT("OrganizationAccessCasePolicy!L"&amp;$J21)&amp;"|"&amp;$AQ21,CaseTypeColSetMember!$H:$H,0))))))</f>
        <v>1</v>
      </c>
      <c r="AV21" s="6" t="b" cm="1">
        <f t="array" aca="1" ref="AV21" ca="1">IF($AQ21="",TRUE,IF($N21="",FALSE,IF(INDIRECT("UserAccessCasePolicy!I"&amp;$N21)="",FALSE,NOT(ISNA(MATCH(INDIRECT("UserAccessCasePolicy!I"&amp;$N21)&amp;"|"&amp;$AQ21,CaseTypeColSetMember!$H:$H,0))))))</f>
        <v>1</v>
      </c>
      <c r="AW21" s="6" t="b" cm="1">
        <f t="array" aca="1" ref="AW21" ca="1">IF($AQ21="",TRUE,IF($N21="",FALSE,IF(INDIRECT("UserAccessCasePolicy!K"&amp;$N21)="",FALSE,NOT(ISNA(MATCH(INDIRECT("UserAccessCasePolicy!K"&amp;$N21)&amp;"|"&amp;$AQ21,CaseTypeColSetMember!$H:$H,0))))))</f>
        <v>1</v>
      </c>
      <c r="AZ21" s="6" t="str">
        <f>IF($AX21="","",INDEX(CaseTypeCol!$J:$J,MATCH($AX21,CaseTypeCol!$A:$A,0)))</f>
        <v/>
      </c>
      <c r="BA21" s="6" t="b" cm="1">
        <f t="array" aca="1" ref="BA21" ca="1">IF($AX21="",TRUE,IF($J21="",FALSE,IF(INDIRECT("OrganizationAccessCasePolicy!J"&amp;$J21)="",FALSE,NOT(ISNA(MATCH(INDIRECT("OrganizationAccessCasePolicy!J"&amp;$J21)&amp;"|"&amp;$AX21,CaseTypeColSetMember!$H:$H,0))))))</f>
        <v>1</v>
      </c>
      <c r="BB21" s="6" t="b" cm="1">
        <f t="array" aca="1" ref="BB21" ca="1">IF($AX21="",TRUE,IF($J21="",FALSE,IF(INDIRECT("OrganizationAccessCasePolicy!L"&amp;$J21)="",FALSE,NOT(ISNA(MATCH(INDIRECT("OrganizationAccessCasePolicy!L"&amp;$J21)&amp;"|"&amp;$AX21,CaseTypeColSetMember!$H:$H,0))))))</f>
        <v>1</v>
      </c>
      <c r="BC21" s="6" t="b" cm="1">
        <f t="array" aca="1" ref="BC21" ca="1">IF($AX21="",TRUE,IF($N21="",FALSE,IF(INDIRECT("UserAccessCasePolicy!I"&amp;$N21)="",FALSE,NOT(ISNA(MATCH(INDIRECT("UserAccessCasePolicy!I"&amp;$N21)&amp;"|"&amp;$AX21,CaseTypeColSetMember!$H:$H,0))))))</f>
        <v>1</v>
      </c>
      <c r="BD21" s="6" t="b" cm="1">
        <f t="array" aca="1" ref="BD21" ca="1">IF($AX21="",TRUE,IF($N21="",FALSE,IF(INDIRECT("UserAccessCasePolicy!K"&amp;$N21)="",FALSE,NOT(ISNA(MATCH(INDIRECT("UserAccessCasePolicy!K"&amp;$N21)&amp;"|"&amp;$AX21,CaseTypeColSetMember!$H:$H,0))))))</f>
        <v>1</v>
      </c>
    </row>
    <row r="22" spans="1:56" ht="15" customHeight="1" x14ac:dyDescent="0.3">
      <c r="A22">
        <v>21</v>
      </c>
      <c r="B22" t="b">
        <v>0</v>
      </c>
      <c r="C22" t="s">
        <v>1010</v>
      </c>
      <c r="D22" t="s">
        <v>20</v>
      </c>
      <c r="E22" s="6" t="str">
        <f>INDEX(User!$D:$D,MATCH($D22,User!$A:$A,0))</f>
        <v>org_user2_4</v>
      </c>
      <c r="F22" t="s">
        <v>982</v>
      </c>
      <c r="G22" s="19" t="b">
        <f ca="1">IF($F22="CREATE",$I22,IF($F22="CREATE_CASES",OR($I22,AND($K22,$L22,$O22,$P22,$AN22,AP22,$AU22,$AW22,$BB22,$BD22)),"TBD"))</f>
        <v>0</v>
      </c>
      <c r="H22" s="6" t="str">
        <f>INDEX(User!$G:$G,MATCH($D22,User!$A:$A,0))</f>
        <v>0195d18c-1c92-0ed4-2e94-b4f66d82baf3</v>
      </c>
      <c r="I22" s="6" t="b">
        <f>INDEX(User!$M:$M,MATCH($D22,User!$A:$A,0))</f>
        <v>0</v>
      </c>
      <c r="J22" s="6" t="str">
        <f>IF(ISNA(MATCH($H22&amp;"|"&amp;$X22,OrganizationAccessCasePolicy!$V:$V,0)),"",MATCH($H22&amp;"|"&amp;$X22,OrganizationAccessCasePolicy!$V:$V,0))</f>
        <v/>
      </c>
      <c r="K22" s="6" t="b" cm="1">
        <f t="array" aca="1" ref="K22" ca="1">IF($J22="",FALSE,NOT(ISNA(MATCH(INDIRECT("OrganizationAccessCasePolicy!D"&amp;$J22)&amp;"|"&amp;$T22,CaseTypeSetMember!$H:$H,0))))</f>
        <v>0</v>
      </c>
      <c r="L22" s="6" t="b" cm="1">
        <f t="array" aca="1" ref="L22" ca="1">IF($J22="",FALSE,AND(INDIRECT("OrganizationAccessCasePolicy!H"&amp;$J22),NOT(ISNA(MATCH(INDIRECT("OrganizationAccessCasePolicy!D"&amp;$J22)&amp;"|"&amp;$T22,CaseTypeSetMember!$H:$H,0)))))</f>
        <v>0</v>
      </c>
      <c r="M22" s="6" t="b" cm="1">
        <f t="array" aca="1" ref="M22" ca="1">IF($J22="",FALSE,AND(INDIRECT("OrganizationAccessCasePolicy!I"&amp;$J22),NOT(ISNA(MATCH(INDIRECT("OrganizationAccessCasePolicy!D"&amp;$J22)&amp;"|"&amp;$T22,CaseTypeSetMember!$H:$H,0)))))</f>
        <v>0</v>
      </c>
      <c r="N22" s="6" t="str">
        <f>IF(ISNA(MATCH($D22&amp;"|"&amp;$X22,UserAccessCasePolicy!$W:$W,0)),"",MATCH($D22&amp;"|"&amp;$X22,UserAccessCasePolicy!$W:$W,0))</f>
        <v/>
      </c>
      <c r="O22" s="6" t="b" cm="1">
        <f t="array" aca="1" ref="O22" ca="1">IF($N22="",FALSE,NOT(ISNA(MATCH(INDIRECT("UserAccessCasePolicy!D"&amp;$N22)&amp;"|"&amp;$T22,CaseTypeSetMember!$H:$H,0))))</f>
        <v>0</v>
      </c>
      <c r="P22" s="6" t="b" cm="1">
        <f t="array" aca="1" ref="P22" ca="1">IF($N22="",FALSE,AND(INDIRECT("UserAccessCasePolicy!G"&amp;$N22),NOT(ISNA(MATCH(INDIRECT("UserAccessCasePolicy!D"&amp;$N22)&amp;"|"&amp;$T22,CaseTypeSetMember!$H:$H,0)))))</f>
        <v>0</v>
      </c>
      <c r="Q22" s="6" t="b" cm="1">
        <f t="array" aca="1" ref="Q22" ca="1">IF($N22="",FALSE,AND(INDIRECT("UserAccessCasePolicy!H"&amp;$N22),NOT(ISNA(MATCH(INDIRECT("UserAccessCasePolicy!D"&amp;$N22)&amp;"|"&amp;$T22,CaseTypeSetMember!$H:$H,0)))))</f>
        <v>0</v>
      </c>
      <c r="R22" t="s">
        <v>1011</v>
      </c>
      <c r="S22" s="6" t="str">
        <f>"case"&amp;MATCH($R22,$R$1:$R22,0)-1</f>
        <v>case21</v>
      </c>
      <c r="T22" t="s">
        <v>115</v>
      </c>
      <c r="U22" s="6" t="str">
        <f>INDEX(CaseType!$B:$B,MATCH($T22,CaseType!$A:$A,0))</f>
        <v>case_type1</v>
      </c>
      <c r="V22" s="6" t="b">
        <f>AND(IF($AJ22="",TRUE,$T22=INDEX(CaseTypeCol!$B:$B,MATCH($AJ22,CaseTypeCol!$A:$A,0))),IF($AQ22="",TRUE,$T22=INDEX(CaseTypeCol!$B:$B,MATCH($AQ22,CaseTypeCol!$A:$A,0))),IF($AX22="",TRUE,$T22=INDEX(CaseTypeCol!$B:$B,MATCH($AX22,CaseTypeCol!$A:$A,0))))</f>
        <v>1</v>
      </c>
      <c r="X22" t="s">
        <v>11</v>
      </c>
      <c r="Y22" s="6" t="str">
        <f>INDEX(DataCollection!$B:$B,MATCH($X22,DataCollection!$A:$A,0))</f>
        <v>data_collection1</v>
      </c>
      <c r="AA22" s="6" t="str">
        <f>IF($Z22="","",INDEX(CaseTypeCol!$J:$J,MATCH($Z22,CaseTypeCol!$A:$A,0)))</f>
        <v/>
      </c>
      <c r="AC22" s="6" t="str">
        <f>IF($AB22="","",INDEX(IdentifierIssuer!$B:$B,MATCH($AB22,IdentifierIssuer!$A:$A,0)))</f>
        <v/>
      </c>
      <c r="AE22" s="6" t="str">
        <f>IF($AD22="","",INDEX(SequencingProtocol!$B:$B,MATCH($AD22,SequencingProtocol!$A:$A,0)))</f>
        <v/>
      </c>
      <c r="AG22" s="6" t="str">
        <f>IF($AF22="","",INDEX(AssemblyProtocol!$B:$B,MATCH($AF22,AssemblyProtocol!$A:$A,0)))</f>
        <v/>
      </c>
      <c r="AI22" s="14">
        <v>36526</v>
      </c>
      <c r="AJ22" t="s">
        <v>516</v>
      </c>
      <c r="AK22" t="s">
        <v>972</v>
      </c>
      <c r="AL22" s="6" t="str">
        <f>IF($AJ22="","",INDEX(CaseTypeCol!$J:$J,MATCH($AJ22,CaseTypeCol!$A:$A,0)))</f>
        <v>case_type_col1_7_0_1_TEXT</v>
      </c>
      <c r="AM22" s="6" t="b" cm="1">
        <f t="array" aca="1" ref="AM22" ca="1">IF($AJ22="",TRUE,IF($J22="",FALSE,IF(INDIRECT("OrganizationAccessCasePolicy!J"&amp;$J22)="",FALSE,NOT(ISNA(MATCH(INDIRECT("OrganizationAccessCasePolicy!J"&amp;$J22)&amp;"|"&amp;$AJ22,CaseTypeColSetMember!$H:$H,0))))))</f>
        <v>0</v>
      </c>
      <c r="AN22" s="6" t="b" cm="1">
        <f t="array" aca="1" ref="AN22" ca="1">IF($AJ22="",TRUE,IF($J22="",FALSE,IF(INDIRECT("OrganizationAccessCasePolicy!L"&amp;$J22)="",FALSE,NOT(ISNA(MATCH(INDIRECT("OrganizationAccessCasePolicy!L"&amp;$J22)&amp;"|"&amp;$AJ22,CaseTypeColSetMember!$H:$H,0))))))</f>
        <v>0</v>
      </c>
      <c r="AO22" s="6" t="b" cm="1">
        <f t="array" aca="1" ref="AO22" ca="1">IF($AJ22="",TRUE,IF($N22="",FALSE,IF(INDIRECT("UserAccessCasePolicy!I"&amp;$N22)="",FALSE,NOT(ISNA(MATCH(INDIRECT("UserAccessCasePolicy!I"&amp;$N22)&amp;"|"&amp;$AJ22,CaseTypeColSetMember!$H:$H,0))))))</f>
        <v>0</v>
      </c>
      <c r="AP22" s="6" t="b" cm="1">
        <f t="array" aca="1" ref="AP22" ca="1">IF($AJ22="",TRUE,IF($N22="",FALSE,IF(INDIRECT("UserAccessCasePolicy!K"&amp;$N22)="",FALSE,NOT(ISNA(MATCH(INDIRECT("UserAccessCasePolicy!K"&amp;$N22)&amp;"|"&amp;$AJ22,CaseTypeColSetMember!$H:$H,0))))))</f>
        <v>0</v>
      </c>
      <c r="AS22" s="6" t="str">
        <f>IF($AQ22="","",INDEX(CaseTypeCol!$J:$J,MATCH($AQ22,CaseTypeCol!$A:$A,0)))</f>
        <v/>
      </c>
      <c r="AT22" s="6" t="b" cm="1">
        <f t="array" aca="1" ref="AT22" ca="1">IF($AQ22="",TRUE,IF($J22="",FALSE,IF(INDIRECT("OrganizationAccessCasePolicy!J"&amp;$J22)="",FALSE,NOT(ISNA(MATCH(INDIRECT("OrganizationAccessCasePolicy!J"&amp;$J22)&amp;"|"&amp;$AQ22,CaseTypeColSetMember!$H:$H,0))))))</f>
        <v>1</v>
      </c>
      <c r="AU22" s="6" t="b" cm="1">
        <f t="array" aca="1" ref="AU22" ca="1">IF($AQ22="",TRUE,IF($J22="",FALSE,IF(INDIRECT("OrganizationAccessCasePolicy!L"&amp;$J22)="",FALSE,NOT(ISNA(MATCH(INDIRECT("OrganizationAccessCasePolicy!L"&amp;$J22)&amp;"|"&amp;$AQ22,CaseTypeColSetMember!$H:$H,0))))))</f>
        <v>1</v>
      </c>
      <c r="AV22" s="6" t="b" cm="1">
        <f t="array" aca="1" ref="AV22" ca="1">IF($AQ22="",TRUE,IF($N22="",FALSE,IF(INDIRECT("UserAccessCasePolicy!I"&amp;$N22)="",FALSE,NOT(ISNA(MATCH(INDIRECT("UserAccessCasePolicy!I"&amp;$N22)&amp;"|"&amp;$AQ22,CaseTypeColSetMember!$H:$H,0))))))</f>
        <v>1</v>
      </c>
      <c r="AW22" s="6" t="b" cm="1">
        <f t="array" aca="1" ref="AW22" ca="1">IF($AQ22="",TRUE,IF($N22="",FALSE,IF(INDIRECT("UserAccessCasePolicy!K"&amp;$N22)="",FALSE,NOT(ISNA(MATCH(INDIRECT("UserAccessCasePolicy!K"&amp;$N22)&amp;"|"&amp;$AQ22,CaseTypeColSetMember!$H:$H,0))))))</f>
        <v>1</v>
      </c>
      <c r="AZ22" s="6" t="str">
        <f>IF($AX22="","",INDEX(CaseTypeCol!$J:$J,MATCH($AX22,CaseTypeCol!$A:$A,0)))</f>
        <v/>
      </c>
      <c r="BA22" s="6" t="b" cm="1">
        <f t="array" aca="1" ref="BA22" ca="1">IF($AX22="",TRUE,IF($J22="",FALSE,IF(INDIRECT("OrganizationAccessCasePolicy!J"&amp;$J22)="",FALSE,NOT(ISNA(MATCH(INDIRECT("OrganizationAccessCasePolicy!J"&amp;$J22)&amp;"|"&amp;$AX22,CaseTypeColSetMember!$H:$H,0))))))</f>
        <v>1</v>
      </c>
      <c r="BB22" s="6" t="b" cm="1">
        <f t="array" aca="1" ref="BB22" ca="1">IF($AX22="",TRUE,IF($J22="",FALSE,IF(INDIRECT("OrganizationAccessCasePolicy!L"&amp;$J22)="",FALSE,NOT(ISNA(MATCH(INDIRECT("OrganizationAccessCasePolicy!L"&amp;$J22)&amp;"|"&amp;$AX22,CaseTypeColSetMember!$H:$H,0))))))</f>
        <v>1</v>
      </c>
      <c r="BC22" s="6" t="b" cm="1">
        <f t="array" aca="1" ref="BC22" ca="1">IF($AX22="",TRUE,IF($N22="",FALSE,IF(INDIRECT("UserAccessCasePolicy!I"&amp;$N22)="",FALSE,NOT(ISNA(MATCH(INDIRECT("UserAccessCasePolicy!I"&amp;$N22)&amp;"|"&amp;$AX22,CaseTypeColSetMember!$H:$H,0))))))</f>
        <v>1</v>
      </c>
      <c r="BD22" s="6" t="b" cm="1">
        <f t="array" aca="1" ref="BD22" ca="1">IF($AX22="",TRUE,IF($N22="",FALSE,IF(INDIRECT("UserAccessCasePolicy!K"&amp;$N22)="",FALSE,NOT(ISNA(MATCH(INDIRECT("UserAccessCasePolicy!K"&amp;$N22)&amp;"|"&amp;$AX22,CaseTypeColSetMember!$H:$H,0))))))</f>
        <v>1</v>
      </c>
    </row>
    <row r="23" spans="1:56" ht="15" customHeight="1" x14ac:dyDescent="0.3">
      <c r="A23">
        <v>22</v>
      </c>
      <c r="B23" t="b">
        <v>0</v>
      </c>
      <c r="C23" t="s">
        <v>1012</v>
      </c>
      <c r="D23" t="s">
        <v>22</v>
      </c>
      <c r="E23" s="6" t="str">
        <f>INDEX(User!$D:$D,MATCH($D23,User!$A:$A,0))</f>
        <v>org_user3_1</v>
      </c>
      <c r="F23" t="s">
        <v>982</v>
      </c>
      <c r="G23" s="19" t="b">
        <f ca="1">IF($F23="CREATE",$I23,IF($F23="CREATE_CASES",OR($I23,AND($K23,$L23,$O23,$P23,$AN23,AP23,$AU23,$AW23,$BB23,$BD23)),"TBD"))</f>
        <v>0</v>
      </c>
      <c r="H23" s="6" t="str">
        <f>INDEX(User!$G:$G,MATCH($D23,User!$A:$A,0))</f>
        <v>0195d18c-1c92-52b3-93e0-43dc1f2aa037</v>
      </c>
      <c r="I23" s="6" t="b">
        <f>INDEX(User!$M:$M,MATCH($D23,User!$A:$A,0))</f>
        <v>0</v>
      </c>
      <c r="J23" s="6" t="str">
        <f>IF(ISNA(MATCH($H23&amp;"|"&amp;$X23,OrganizationAccessCasePolicy!$V:$V,0)),"",MATCH($H23&amp;"|"&amp;$X23,OrganizationAccessCasePolicy!$V:$V,0))</f>
        <v/>
      </c>
      <c r="K23" s="6" t="b" cm="1">
        <f t="array" aca="1" ref="K23" ca="1">IF($J23="",FALSE,NOT(ISNA(MATCH(INDIRECT("OrganizationAccessCasePolicy!D"&amp;$J23)&amp;"|"&amp;$T23,CaseTypeSetMember!$H:$H,0))))</f>
        <v>0</v>
      </c>
      <c r="L23" s="6" t="b" cm="1">
        <f t="array" aca="1" ref="L23" ca="1">IF($J23="",FALSE,AND(INDIRECT("OrganizationAccessCasePolicy!H"&amp;$J23),NOT(ISNA(MATCH(INDIRECT("OrganizationAccessCasePolicy!D"&amp;$J23)&amp;"|"&amp;$T23,CaseTypeSetMember!$H:$H,0)))))</f>
        <v>0</v>
      </c>
      <c r="M23" s="6" t="b" cm="1">
        <f t="array" aca="1" ref="M23" ca="1">IF($J23="",FALSE,AND(INDIRECT("OrganizationAccessCasePolicy!I"&amp;$J23),NOT(ISNA(MATCH(INDIRECT("OrganizationAccessCasePolicy!D"&amp;$J23)&amp;"|"&amp;$T23,CaseTypeSetMember!$H:$H,0)))))</f>
        <v>0</v>
      </c>
      <c r="N23" s="6" t="str">
        <f>IF(ISNA(MATCH($D23&amp;"|"&amp;$X23,UserAccessCasePolicy!$W:$W,0)),"",MATCH($D23&amp;"|"&amp;$X23,UserAccessCasePolicy!$W:$W,0))</f>
        <v/>
      </c>
      <c r="O23" s="6" t="b" cm="1">
        <f t="array" aca="1" ref="O23" ca="1">IF($N23="",FALSE,NOT(ISNA(MATCH(INDIRECT("UserAccessCasePolicy!D"&amp;$N23)&amp;"|"&amp;$T23,CaseTypeSetMember!$H:$H,0))))</f>
        <v>0</v>
      </c>
      <c r="P23" s="6" t="b" cm="1">
        <f t="array" aca="1" ref="P23" ca="1">IF($N23="",FALSE,AND(INDIRECT("UserAccessCasePolicy!G"&amp;$N23),NOT(ISNA(MATCH(INDIRECT("UserAccessCasePolicy!D"&amp;$N23)&amp;"|"&amp;$T23,CaseTypeSetMember!$H:$H,0)))))</f>
        <v>0</v>
      </c>
      <c r="Q23" s="6" t="b" cm="1">
        <f t="array" aca="1" ref="Q23" ca="1">IF($N23="",FALSE,AND(INDIRECT("UserAccessCasePolicy!H"&amp;$N23),NOT(ISNA(MATCH(INDIRECT("UserAccessCasePolicy!D"&amp;$N23)&amp;"|"&amp;$T23,CaseTypeSetMember!$H:$H,0)))))</f>
        <v>0</v>
      </c>
      <c r="R23" t="s">
        <v>1013</v>
      </c>
      <c r="S23" s="6" t="str">
        <f>"case"&amp;MATCH($R23,$R$1:$R23,0)-1</f>
        <v>case22</v>
      </c>
      <c r="T23" t="s">
        <v>115</v>
      </c>
      <c r="U23" s="6" t="str">
        <f>INDEX(CaseType!$B:$B,MATCH($T23,CaseType!$A:$A,0))</f>
        <v>case_type1</v>
      </c>
      <c r="V23" s="6" t="b">
        <f>AND(IF($AJ23="",TRUE,$T23=INDEX(CaseTypeCol!$B:$B,MATCH($AJ23,CaseTypeCol!$A:$A,0))),IF($AQ23="",TRUE,$T23=INDEX(CaseTypeCol!$B:$B,MATCH($AQ23,CaseTypeCol!$A:$A,0))),IF($AX23="",TRUE,$T23=INDEX(CaseTypeCol!$B:$B,MATCH($AX23,CaseTypeCol!$A:$A,0))))</f>
        <v>1</v>
      </c>
      <c r="X23" t="s">
        <v>11</v>
      </c>
      <c r="Y23" s="6" t="str">
        <f>INDEX(DataCollection!$B:$B,MATCH($X23,DataCollection!$A:$A,0))</f>
        <v>data_collection1</v>
      </c>
      <c r="AA23" s="6" t="str">
        <f>IF($Z23="","",INDEX(CaseTypeCol!$J:$J,MATCH($Z23,CaseTypeCol!$A:$A,0)))</f>
        <v/>
      </c>
      <c r="AC23" s="6" t="str">
        <f>IF($AB23="","",INDEX(IdentifierIssuer!$B:$B,MATCH($AB23,IdentifierIssuer!$A:$A,0)))</f>
        <v/>
      </c>
      <c r="AE23" s="6" t="str">
        <f>IF($AD23="","",INDEX(SequencingProtocol!$B:$B,MATCH($AD23,SequencingProtocol!$A:$A,0)))</f>
        <v/>
      </c>
      <c r="AG23" s="6" t="str">
        <f>IF($AF23="","",INDEX(AssemblyProtocol!$B:$B,MATCH($AF23,AssemblyProtocol!$A:$A,0)))</f>
        <v/>
      </c>
      <c r="AI23" s="14">
        <v>36526</v>
      </c>
      <c r="AJ23" t="s">
        <v>516</v>
      </c>
      <c r="AK23" t="s">
        <v>972</v>
      </c>
      <c r="AL23" s="6" t="str">
        <f>IF($AJ23="","",INDEX(CaseTypeCol!$J:$J,MATCH($AJ23,CaseTypeCol!$A:$A,0)))</f>
        <v>case_type_col1_7_0_1_TEXT</v>
      </c>
      <c r="AM23" s="6" t="b" cm="1">
        <f t="array" aca="1" ref="AM23" ca="1">IF($AJ23="",TRUE,IF($J23="",FALSE,IF(INDIRECT("OrganizationAccessCasePolicy!J"&amp;$J23)="",FALSE,NOT(ISNA(MATCH(INDIRECT("OrganizationAccessCasePolicy!J"&amp;$J23)&amp;"|"&amp;$AJ23,CaseTypeColSetMember!$H:$H,0))))))</f>
        <v>0</v>
      </c>
      <c r="AN23" s="6" t="b" cm="1">
        <f t="array" aca="1" ref="AN23" ca="1">IF($AJ23="",TRUE,IF($J23="",FALSE,IF(INDIRECT("OrganizationAccessCasePolicy!L"&amp;$J23)="",FALSE,NOT(ISNA(MATCH(INDIRECT("OrganizationAccessCasePolicy!L"&amp;$J23)&amp;"|"&amp;$AJ23,CaseTypeColSetMember!$H:$H,0))))))</f>
        <v>0</v>
      </c>
      <c r="AO23" s="6" t="b" cm="1">
        <f t="array" aca="1" ref="AO23" ca="1">IF($AJ23="",TRUE,IF($N23="",FALSE,IF(INDIRECT("UserAccessCasePolicy!I"&amp;$N23)="",FALSE,NOT(ISNA(MATCH(INDIRECT("UserAccessCasePolicy!I"&amp;$N23)&amp;"|"&amp;$AJ23,CaseTypeColSetMember!$H:$H,0))))))</f>
        <v>0</v>
      </c>
      <c r="AP23" s="6" t="b" cm="1">
        <f t="array" aca="1" ref="AP23" ca="1">IF($AJ23="",TRUE,IF($N23="",FALSE,IF(INDIRECT("UserAccessCasePolicy!K"&amp;$N23)="",FALSE,NOT(ISNA(MATCH(INDIRECT("UserAccessCasePolicy!K"&amp;$N23)&amp;"|"&amp;$AJ23,CaseTypeColSetMember!$H:$H,0))))))</f>
        <v>0</v>
      </c>
      <c r="AS23" s="6" t="str">
        <f>IF($AQ23="","",INDEX(CaseTypeCol!$J:$J,MATCH($AQ23,CaseTypeCol!$A:$A,0)))</f>
        <v/>
      </c>
      <c r="AT23" s="6" t="b" cm="1">
        <f t="array" aca="1" ref="AT23" ca="1">IF($AQ23="",TRUE,IF($J23="",FALSE,IF(INDIRECT("OrganizationAccessCasePolicy!J"&amp;$J23)="",FALSE,NOT(ISNA(MATCH(INDIRECT("OrganizationAccessCasePolicy!J"&amp;$J23)&amp;"|"&amp;$AQ23,CaseTypeColSetMember!$H:$H,0))))))</f>
        <v>1</v>
      </c>
      <c r="AU23" s="6" t="b" cm="1">
        <f t="array" aca="1" ref="AU23" ca="1">IF($AQ23="",TRUE,IF($J23="",FALSE,IF(INDIRECT("OrganizationAccessCasePolicy!L"&amp;$J23)="",FALSE,NOT(ISNA(MATCH(INDIRECT("OrganizationAccessCasePolicy!L"&amp;$J23)&amp;"|"&amp;$AQ23,CaseTypeColSetMember!$H:$H,0))))))</f>
        <v>1</v>
      </c>
      <c r="AV23" s="6" t="b" cm="1">
        <f t="array" aca="1" ref="AV23" ca="1">IF($AQ23="",TRUE,IF($N23="",FALSE,IF(INDIRECT("UserAccessCasePolicy!I"&amp;$N23)="",FALSE,NOT(ISNA(MATCH(INDIRECT("UserAccessCasePolicy!I"&amp;$N23)&amp;"|"&amp;$AQ23,CaseTypeColSetMember!$H:$H,0))))))</f>
        <v>1</v>
      </c>
      <c r="AW23" s="6" t="b" cm="1">
        <f t="array" aca="1" ref="AW23" ca="1">IF($AQ23="",TRUE,IF($N23="",FALSE,IF(INDIRECT("UserAccessCasePolicy!K"&amp;$N23)="",FALSE,NOT(ISNA(MATCH(INDIRECT("UserAccessCasePolicy!K"&amp;$N23)&amp;"|"&amp;$AQ23,CaseTypeColSetMember!$H:$H,0))))))</f>
        <v>1</v>
      </c>
      <c r="AZ23" s="6" t="str">
        <f>IF($AX23="","",INDEX(CaseTypeCol!$J:$J,MATCH($AX23,CaseTypeCol!$A:$A,0)))</f>
        <v/>
      </c>
      <c r="BA23" s="6" t="b" cm="1">
        <f t="array" aca="1" ref="BA23" ca="1">IF($AX23="",TRUE,IF($J23="",FALSE,IF(INDIRECT("OrganizationAccessCasePolicy!J"&amp;$J23)="",FALSE,NOT(ISNA(MATCH(INDIRECT("OrganizationAccessCasePolicy!J"&amp;$J23)&amp;"|"&amp;$AX23,CaseTypeColSetMember!$H:$H,0))))))</f>
        <v>1</v>
      </c>
      <c r="BB23" s="6" t="b" cm="1">
        <f t="array" aca="1" ref="BB23" ca="1">IF($AX23="",TRUE,IF($J23="",FALSE,IF(INDIRECT("OrganizationAccessCasePolicy!L"&amp;$J23)="",FALSE,NOT(ISNA(MATCH(INDIRECT("OrganizationAccessCasePolicy!L"&amp;$J23)&amp;"|"&amp;$AX23,CaseTypeColSetMember!$H:$H,0))))))</f>
        <v>1</v>
      </c>
      <c r="BC23" s="6" t="b" cm="1">
        <f t="array" aca="1" ref="BC23" ca="1">IF($AX23="",TRUE,IF($N23="",FALSE,IF(INDIRECT("UserAccessCasePolicy!I"&amp;$N23)="",FALSE,NOT(ISNA(MATCH(INDIRECT("UserAccessCasePolicy!I"&amp;$N23)&amp;"|"&amp;$AX23,CaseTypeColSetMember!$H:$H,0))))))</f>
        <v>1</v>
      </c>
      <c r="BD23" s="6" t="b" cm="1">
        <f t="array" aca="1" ref="BD23" ca="1">IF($AX23="",TRUE,IF($N23="",FALSE,IF(INDIRECT("UserAccessCasePolicy!K"&amp;$N23)="",FALSE,NOT(ISNA(MATCH(INDIRECT("UserAccessCasePolicy!K"&amp;$N23)&amp;"|"&amp;$AX23,CaseTypeColSetMember!$H:$H,0))))))</f>
        <v>1</v>
      </c>
    </row>
    <row r="24" spans="1:56" ht="15" customHeight="1" x14ac:dyDescent="0.3">
      <c r="A24">
        <v>23</v>
      </c>
      <c r="B24" t="b">
        <v>0</v>
      </c>
      <c r="C24" t="s">
        <v>1014</v>
      </c>
      <c r="D24" t="s">
        <v>24</v>
      </c>
      <c r="E24" s="6" t="str">
        <f>INDEX(User!$D:$D,MATCH($D24,User!$A:$A,0))</f>
        <v>org_user3_2</v>
      </c>
      <c r="F24" t="s">
        <v>982</v>
      </c>
      <c r="G24" s="19" t="b">
        <f ca="1">IF($F24="CREATE",$I24,IF($F24="CREATE_CASES",OR($I24,AND($K24,$L24,$O24,$P24,$AN24,AP24,$AU24,$AW24,$BB24,$BD24)),"TBD"))</f>
        <v>0</v>
      </c>
      <c r="H24" s="6" t="str">
        <f>INDEX(User!$G:$G,MATCH($D24,User!$A:$A,0))</f>
        <v>0195d18c-1c92-52b3-93e0-43dc1f2aa037</v>
      </c>
      <c r="I24" s="6" t="b">
        <f>INDEX(User!$M:$M,MATCH($D24,User!$A:$A,0))</f>
        <v>0</v>
      </c>
      <c r="J24" s="6" t="str">
        <f>IF(ISNA(MATCH($H24&amp;"|"&amp;$X24,OrganizationAccessCasePolicy!$V:$V,0)),"",MATCH($H24&amp;"|"&amp;$X24,OrganizationAccessCasePolicy!$V:$V,0))</f>
        <v/>
      </c>
      <c r="K24" s="6" t="b" cm="1">
        <f t="array" aca="1" ref="K24" ca="1">IF($J24="",FALSE,NOT(ISNA(MATCH(INDIRECT("OrganizationAccessCasePolicy!D"&amp;$J24)&amp;"|"&amp;$T24,CaseTypeSetMember!$H:$H,0))))</f>
        <v>0</v>
      </c>
      <c r="L24" s="6" t="b" cm="1">
        <f t="array" aca="1" ref="L24" ca="1">IF($J24="",FALSE,AND(INDIRECT("OrganizationAccessCasePolicy!H"&amp;$J24),NOT(ISNA(MATCH(INDIRECT("OrganizationAccessCasePolicy!D"&amp;$J24)&amp;"|"&amp;$T24,CaseTypeSetMember!$H:$H,0)))))</f>
        <v>0</v>
      </c>
      <c r="M24" s="6" t="b" cm="1">
        <f t="array" aca="1" ref="M24" ca="1">IF($J24="",FALSE,AND(INDIRECT("OrganizationAccessCasePolicy!I"&amp;$J24),NOT(ISNA(MATCH(INDIRECT("OrganizationAccessCasePolicy!D"&amp;$J24)&amp;"|"&amp;$T24,CaseTypeSetMember!$H:$H,0)))))</f>
        <v>0</v>
      </c>
      <c r="N24" s="6" t="str">
        <f>IF(ISNA(MATCH($D24&amp;"|"&amp;$X24,UserAccessCasePolicy!$W:$W,0)),"",MATCH($D24&amp;"|"&amp;$X24,UserAccessCasePolicy!$W:$W,0))</f>
        <v/>
      </c>
      <c r="O24" s="6" t="b" cm="1">
        <f t="array" aca="1" ref="O24" ca="1">IF($N24="",FALSE,NOT(ISNA(MATCH(INDIRECT("UserAccessCasePolicy!D"&amp;$N24)&amp;"|"&amp;$T24,CaseTypeSetMember!$H:$H,0))))</f>
        <v>0</v>
      </c>
      <c r="P24" s="6" t="b" cm="1">
        <f t="array" aca="1" ref="P24" ca="1">IF($N24="",FALSE,AND(INDIRECT("UserAccessCasePolicy!G"&amp;$N24),NOT(ISNA(MATCH(INDIRECT("UserAccessCasePolicy!D"&amp;$N24)&amp;"|"&amp;$T24,CaseTypeSetMember!$H:$H,0)))))</f>
        <v>0</v>
      </c>
      <c r="Q24" s="6" t="b" cm="1">
        <f t="array" aca="1" ref="Q24" ca="1">IF($N24="",FALSE,AND(INDIRECT("UserAccessCasePolicy!H"&amp;$N24),NOT(ISNA(MATCH(INDIRECT("UserAccessCasePolicy!D"&amp;$N24)&amp;"|"&amp;$T24,CaseTypeSetMember!$H:$H,0)))))</f>
        <v>0</v>
      </c>
      <c r="R24" t="s">
        <v>1015</v>
      </c>
      <c r="S24" s="6" t="str">
        <f>"case"&amp;MATCH($R24,$R$1:$R24,0)-1</f>
        <v>case23</v>
      </c>
      <c r="T24" t="s">
        <v>115</v>
      </c>
      <c r="U24" s="6" t="str">
        <f>INDEX(CaseType!$B:$B,MATCH($T24,CaseType!$A:$A,0))</f>
        <v>case_type1</v>
      </c>
      <c r="V24" s="6" t="b">
        <f>AND(IF($AJ24="",TRUE,$T24=INDEX(CaseTypeCol!$B:$B,MATCH($AJ24,CaseTypeCol!$A:$A,0))),IF($AQ24="",TRUE,$T24=INDEX(CaseTypeCol!$B:$B,MATCH($AQ24,CaseTypeCol!$A:$A,0))),IF($AX24="",TRUE,$T24=INDEX(CaseTypeCol!$B:$B,MATCH($AX24,CaseTypeCol!$A:$A,0))))</f>
        <v>1</v>
      </c>
      <c r="X24" t="s">
        <v>11</v>
      </c>
      <c r="Y24" s="6" t="str">
        <f>INDEX(DataCollection!$B:$B,MATCH($X24,DataCollection!$A:$A,0))</f>
        <v>data_collection1</v>
      </c>
      <c r="AA24" s="6" t="str">
        <f>IF($Z24="","",INDEX(CaseTypeCol!$J:$J,MATCH($Z24,CaseTypeCol!$A:$A,0)))</f>
        <v/>
      </c>
      <c r="AC24" s="6" t="str">
        <f>IF($AB24="","",INDEX(IdentifierIssuer!$B:$B,MATCH($AB24,IdentifierIssuer!$A:$A,0)))</f>
        <v/>
      </c>
      <c r="AE24" s="6" t="str">
        <f>IF($AD24="","",INDEX(SequencingProtocol!$B:$B,MATCH($AD24,SequencingProtocol!$A:$A,0)))</f>
        <v/>
      </c>
      <c r="AG24" s="6" t="str">
        <f>IF($AF24="","",INDEX(AssemblyProtocol!$B:$B,MATCH($AF24,AssemblyProtocol!$A:$A,0)))</f>
        <v/>
      </c>
      <c r="AI24" s="14">
        <v>36526</v>
      </c>
      <c r="AJ24" t="s">
        <v>516</v>
      </c>
      <c r="AK24" t="s">
        <v>972</v>
      </c>
      <c r="AL24" s="6" t="str">
        <f>IF($AJ24="","",INDEX(CaseTypeCol!$J:$J,MATCH($AJ24,CaseTypeCol!$A:$A,0)))</f>
        <v>case_type_col1_7_0_1_TEXT</v>
      </c>
      <c r="AM24" s="6" t="b" cm="1">
        <f t="array" aca="1" ref="AM24" ca="1">IF($AJ24="",TRUE,IF($J24="",FALSE,IF(INDIRECT("OrganizationAccessCasePolicy!J"&amp;$J24)="",FALSE,NOT(ISNA(MATCH(INDIRECT("OrganizationAccessCasePolicy!J"&amp;$J24)&amp;"|"&amp;$AJ24,CaseTypeColSetMember!$H:$H,0))))))</f>
        <v>0</v>
      </c>
      <c r="AN24" s="6" t="b" cm="1">
        <f t="array" aca="1" ref="AN24" ca="1">IF($AJ24="",TRUE,IF($J24="",FALSE,IF(INDIRECT("OrganizationAccessCasePolicy!L"&amp;$J24)="",FALSE,NOT(ISNA(MATCH(INDIRECT("OrganizationAccessCasePolicy!L"&amp;$J24)&amp;"|"&amp;$AJ24,CaseTypeColSetMember!$H:$H,0))))))</f>
        <v>0</v>
      </c>
      <c r="AO24" s="6" t="b" cm="1">
        <f t="array" aca="1" ref="AO24" ca="1">IF($AJ24="",TRUE,IF($N24="",FALSE,IF(INDIRECT("UserAccessCasePolicy!I"&amp;$N24)="",FALSE,NOT(ISNA(MATCH(INDIRECT("UserAccessCasePolicy!I"&amp;$N24)&amp;"|"&amp;$AJ24,CaseTypeColSetMember!$H:$H,0))))))</f>
        <v>0</v>
      </c>
      <c r="AP24" s="6" t="b" cm="1">
        <f t="array" aca="1" ref="AP24" ca="1">IF($AJ24="",TRUE,IF($N24="",FALSE,IF(INDIRECT("UserAccessCasePolicy!K"&amp;$N24)="",FALSE,NOT(ISNA(MATCH(INDIRECT("UserAccessCasePolicy!K"&amp;$N24)&amp;"|"&amp;$AJ24,CaseTypeColSetMember!$H:$H,0))))))</f>
        <v>0</v>
      </c>
      <c r="AS24" s="6" t="str">
        <f>IF($AQ24="","",INDEX(CaseTypeCol!$J:$J,MATCH($AQ24,CaseTypeCol!$A:$A,0)))</f>
        <v/>
      </c>
      <c r="AT24" s="6" t="b" cm="1">
        <f t="array" aca="1" ref="AT24" ca="1">IF($AQ24="",TRUE,IF($J24="",FALSE,IF(INDIRECT("OrganizationAccessCasePolicy!J"&amp;$J24)="",FALSE,NOT(ISNA(MATCH(INDIRECT("OrganizationAccessCasePolicy!J"&amp;$J24)&amp;"|"&amp;$AQ24,CaseTypeColSetMember!$H:$H,0))))))</f>
        <v>1</v>
      </c>
      <c r="AU24" s="6" t="b" cm="1">
        <f t="array" aca="1" ref="AU24" ca="1">IF($AQ24="",TRUE,IF($J24="",FALSE,IF(INDIRECT("OrganizationAccessCasePolicy!L"&amp;$J24)="",FALSE,NOT(ISNA(MATCH(INDIRECT("OrganizationAccessCasePolicy!L"&amp;$J24)&amp;"|"&amp;$AQ24,CaseTypeColSetMember!$H:$H,0))))))</f>
        <v>1</v>
      </c>
      <c r="AV24" s="6" t="b" cm="1">
        <f t="array" aca="1" ref="AV24" ca="1">IF($AQ24="",TRUE,IF($N24="",FALSE,IF(INDIRECT("UserAccessCasePolicy!I"&amp;$N24)="",FALSE,NOT(ISNA(MATCH(INDIRECT("UserAccessCasePolicy!I"&amp;$N24)&amp;"|"&amp;$AQ24,CaseTypeColSetMember!$H:$H,0))))))</f>
        <v>1</v>
      </c>
      <c r="AW24" s="6" t="b" cm="1">
        <f t="array" aca="1" ref="AW24" ca="1">IF($AQ24="",TRUE,IF($N24="",FALSE,IF(INDIRECT("UserAccessCasePolicy!K"&amp;$N24)="",FALSE,NOT(ISNA(MATCH(INDIRECT("UserAccessCasePolicy!K"&amp;$N24)&amp;"|"&amp;$AQ24,CaseTypeColSetMember!$H:$H,0))))))</f>
        <v>1</v>
      </c>
      <c r="AZ24" s="6" t="str">
        <f>IF($AX24="","",INDEX(CaseTypeCol!$J:$J,MATCH($AX24,CaseTypeCol!$A:$A,0)))</f>
        <v/>
      </c>
      <c r="BA24" s="6" t="b" cm="1">
        <f t="array" aca="1" ref="BA24" ca="1">IF($AX24="",TRUE,IF($J24="",FALSE,IF(INDIRECT("OrganizationAccessCasePolicy!J"&amp;$J24)="",FALSE,NOT(ISNA(MATCH(INDIRECT("OrganizationAccessCasePolicy!J"&amp;$J24)&amp;"|"&amp;$AX24,CaseTypeColSetMember!$H:$H,0))))))</f>
        <v>1</v>
      </c>
      <c r="BB24" s="6" t="b" cm="1">
        <f t="array" aca="1" ref="BB24" ca="1">IF($AX24="",TRUE,IF($J24="",FALSE,IF(INDIRECT("OrganizationAccessCasePolicy!L"&amp;$J24)="",FALSE,NOT(ISNA(MATCH(INDIRECT("OrganizationAccessCasePolicy!L"&amp;$J24)&amp;"|"&amp;$AX24,CaseTypeColSetMember!$H:$H,0))))))</f>
        <v>1</v>
      </c>
      <c r="BC24" s="6" t="b" cm="1">
        <f t="array" aca="1" ref="BC24" ca="1">IF($AX24="",TRUE,IF($N24="",FALSE,IF(INDIRECT("UserAccessCasePolicy!I"&amp;$N24)="",FALSE,NOT(ISNA(MATCH(INDIRECT("UserAccessCasePolicy!I"&amp;$N24)&amp;"|"&amp;$AX24,CaseTypeColSetMember!$H:$H,0))))))</f>
        <v>1</v>
      </c>
      <c r="BD24" s="6" t="b" cm="1">
        <f t="array" aca="1" ref="BD24" ca="1">IF($AX24="",TRUE,IF($N24="",FALSE,IF(INDIRECT("UserAccessCasePolicy!K"&amp;$N24)="",FALSE,NOT(ISNA(MATCH(INDIRECT("UserAccessCasePolicy!K"&amp;$N24)&amp;"|"&amp;$AX24,CaseTypeColSetMember!$H:$H,0))))))</f>
        <v>1</v>
      </c>
    </row>
    <row r="25" spans="1:56" ht="15" customHeight="1" x14ac:dyDescent="0.3">
      <c r="A25">
        <v>24</v>
      </c>
      <c r="B25" t="b">
        <v>0</v>
      </c>
      <c r="C25" t="s">
        <v>1016</v>
      </c>
      <c r="D25" t="s">
        <v>25</v>
      </c>
      <c r="E25" s="6" t="str">
        <f>INDEX(User!$D:$D,MATCH($D25,User!$A:$A,0))</f>
        <v>org_user3_3</v>
      </c>
      <c r="F25" t="s">
        <v>982</v>
      </c>
      <c r="G25" s="19" t="b">
        <f ca="1">IF($F25="CREATE",$I25,IF($F25="CREATE_CASES",OR($I25,AND($K25,$L25,$O25,$P25,$AN25,AP25,$AU25,$AW25,$BB25,$BD25)),"TBD"))</f>
        <v>0</v>
      </c>
      <c r="H25" s="6" t="str">
        <f>INDEX(User!$G:$G,MATCH($D25,User!$A:$A,0))</f>
        <v>0195d18c-1c92-52b3-93e0-43dc1f2aa037</v>
      </c>
      <c r="I25" s="6" t="b">
        <f>INDEX(User!$M:$M,MATCH($D25,User!$A:$A,0))</f>
        <v>0</v>
      </c>
      <c r="J25" s="6" t="str">
        <f>IF(ISNA(MATCH($H25&amp;"|"&amp;$X25,OrganizationAccessCasePolicy!$V:$V,0)),"",MATCH($H25&amp;"|"&amp;$X25,OrganizationAccessCasePolicy!$V:$V,0))</f>
        <v/>
      </c>
      <c r="K25" s="6" t="b" cm="1">
        <f t="array" aca="1" ref="K25" ca="1">IF($J25="",FALSE,NOT(ISNA(MATCH(INDIRECT("OrganizationAccessCasePolicy!D"&amp;$J25)&amp;"|"&amp;$T25,CaseTypeSetMember!$H:$H,0))))</f>
        <v>0</v>
      </c>
      <c r="L25" s="6" t="b" cm="1">
        <f t="array" aca="1" ref="L25" ca="1">IF($J25="",FALSE,AND(INDIRECT("OrganizationAccessCasePolicy!H"&amp;$J25),NOT(ISNA(MATCH(INDIRECT("OrganizationAccessCasePolicy!D"&amp;$J25)&amp;"|"&amp;$T25,CaseTypeSetMember!$H:$H,0)))))</f>
        <v>0</v>
      </c>
      <c r="M25" s="6" t="b" cm="1">
        <f t="array" aca="1" ref="M25" ca="1">IF($J25="",FALSE,AND(INDIRECT("OrganizationAccessCasePolicy!I"&amp;$J25),NOT(ISNA(MATCH(INDIRECT("OrganizationAccessCasePolicy!D"&amp;$J25)&amp;"|"&amp;$T25,CaseTypeSetMember!$H:$H,0)))))</f>
        <v>0</v>
      </c>
      <c r="N25" s="6" t="str">
        <f>IF(ISNA(MATCH($D25&amp;"|"&amp;$X25,UserAccessCasePolicy!$W:$W,0)),"",MATCH($D25&amp;"|"&amp;$X25,UserAccessCasePolicy!$W:$W,0))</f>
        <v/>
      </c>
      <c r="O25" s="6" t="b" cm="1">
        <f t="array" aca="1" ref="O25" ca="1">IF($N25="",FALSE,NOT(ISNA(MATCH(INDIRECT("UserAccessCasePolicy!D"&amp;$N25)&amp;"|"&amp;$T25,CaseTypeSetMember!$H:$H,0))))</f>
        <v>0</v>
      </c>
      <c r="P25" s="6" t="b" cm="1">
        <f t="array" aca="1" ref="P25" ca="1">IF($N25="",FALSE,AND(INDIRECT("UserAccessCasePolicy!G"&amp;$N25),NOT(ISNA(MATCH(INDIRECT("UserAccessCasePolicy!D"&amp;$N25)&amp;"|"&amp;$T25,CaseTypeSetMember!$H:$H,0)))))</f>
        <v>0</v>
      </c>
      <c r="Q25" s="6" t="b" cm="1">
        <f t="array" aca="1" ref="Q25" ca="1">IF($N25="",FALSE,AND(INDIRECT("UserAccessCasePolicy!H"&amp;$N25),NOT(ISNA(MATCH(INDIRECT("UserAccessCasePolicy!D"&amp;$N25)&amp;"|"&amp;$T25,CaseTypeSetMember!$H:$H,0)))))</f>
        <v>0</v>
      </c>
      <c r="R25" t="s">
        <v>1017</v>
      </c>
      <c r="S25" s="6" t="str">
        <f>"case"&amp;MATCH($R25,$R$1:$R25,0)-1</f>
        <v>case24</v>
      </c>
      <c r="T25" t="s">
        <v>115</v>
      </c>
      <c r="U25" s="6" t="str">
        <f>INDEX(CaseType!$B:$B,MATCH($T25,CaseType!$A:$A,0))</f>
        <v>case_type1</v>
      </c>
      <c r="V25" s="6" t="b">
        <f>AND(IF($AJ25="",TRUE,$T25=INDEX(CaseTypeCol!$B:$B,MATCH($AJ25,CaseTypeCol!$A:$A,0))),IF($AQ25="",TRUE,$T25=INDEX(CaseTypeCol!$B:$B,MATCH($AQ25,CaseTypeCol!$A:$A,0))),IF($AX25="",TRUE,$T25=INDEX(CaseTypeCol!$B:$B,MATCH($AX25,CaseTypeCol!$A:$A,0))))</f>
        <v>1</v>
      </c>
      <c r="X25" t="s">
        <v>11</v>
      </c>
      <c r="Y25" s="6" t="str">
        <f>INDEX(DataCollection!$B:$B,MATCH($X25,DataCollection!$A:$A,0))</f>
        <v>data_collection1</v>
      </c>
      <c r="AA25" s="6" t="str">
        <f>IF($Z25="","",INDEX(CaseTypeCol!$J:$J,MATCH($Z25,CaseTypeCol!$A:$A,0)))</f>
        <v/>
      </c>
      <c r="AC25" s="6" t="str">
        <f>IF($AB25="","",INDEX(IdentifierIssuer!$B:$B,MATCH($AB25,IdentifierIssuer!$A:$A,0)))</f>
        <v/>
      </c>
      <c r="AE25" s="6" t="str">
        <f>IF($AD25="","",INDEX(SequencingProtocol!$B:$B,MATCH($AD25,SequencingProtocol!$A:$A,0)))</f>
        <v/>
      </c>
      <c r="AG25" s="6" t="str">
        <f>IF($AF25="","",INDEX(AssemblyProtocol!$B:$B,MATCH($AF25,AssemblyProtocol!$A:$A,0)))</f>
        <v/>
      </c>
      <c r="AI25" s="14">
        <v>36526</v>
      </c>
      <c r="AJ25" t="s">
        <v>516</v>
      </c>
      <c r="AK25" t="s">
        <v>972</v>
      </c>
      <c r="AL25" s="6" t="str">
        <f>IF($AJ25="","",INDEX(CaseTypeCol!$J:$J,MATCH($AJ25,CaseTypeCol!$A:$A,0)))</f>
        <v>case_type_col1_7_0_1_TEXT</v>
      </c>
      <c r="AM25" s="6" t="b" cm="1">
        <f t="array" aca="1" ref="AM25" ca="1">IF($AJ25="",TRUE,IF($J25="",FALSE,IF(INDIRECT("OrganizationAccessCasePolicy!J"&amp;$J25)="",FALSE,NOT(ISNA(MATCH(INDIRECT("OrganizationAccessCasePolicy!J"&amp;$J25)&amp;"|"&amp;$AJ25,CaseTypeColSetMember!$H:$H,0))))))</f>
        <v>0</v>
      </c>
      <c r="AN25" s="6" t="b" cm="1">
        <f t="array" aca="1" ref="AN25" ca="1">IF($AJ25="",TRUE,IF($J25="",FALSE,IF(INDIRECT("OrganizationAccessCasePolicy!L"&amp;$J25)="",FALSE,NOT(ISNA(MATCH(INDIRECT("OrganizationAccessCasePolicy!L"&amp;$J25)&amp;"|"&amp;$AJ25,CaseTypeColSetMember!$H:$H,0))))))</f>
        <v>0</v>
      </c>
      <c r="AO25" s="6" t="b" cm="1">
        <f t="array" aca="1" ref="AO25" ca="1">IF($AJ25="",TRUE,IF($N25="",FALSE,IF(INDIRECT("UserAccessCasePolicy!I"&amp;$N25)="",FALSE,NOT(ISNA(MATCH(INDIRECT("UserAccessCasePolicy!I"&amp;$N25)&amp;"|"&amp;$AJ25,CaseTypeColSetMember!$H:$H,0))))))</f>
        <v>0</v>
      </c>
      <c r="AP25" s="6" t="b" cm="1">
        <f t="array" aca="1" ref="AP25" ca="1">IF($AJ25="",TRUE,IF($N25="",FALSE,IF(INDIRECT("UserAccessCasePolicy!K"&amp;$N25)="",FALSE,NOT(ISNA(MATCH(INDIRECT("UserAccessCasePolicy!K"&amp;$N25)&amp;"|"&amp;$AJ25,CaseTypeColSetMember!$H:$H,0))))))</f>
        <v>0</v>
      </c>
      <c r="AS25" s="6" t="str">
        <f>IF($AQ25="","",INDEX(CaseTypeCol!$J:$J,MATCH($AQ25,CaseTypeCol!$A:$A,0)))</f>
        <v/>
      </c>
      <c r="AT25" s="6" t="b" cm="1">
        <f t="array" aca="1" ref="AT25" ca="1">IF($AQ25="",TRUE,IF($J25="",FALSE,IF(INDIRECT("OrganizationAccessCasePolicy!J"&amp;$J25)="",FALSE,NOT(ISNA(MATCH(INDIRECT("OrganizationAccessCasePolicy!J"&amp;$J25)&amp;"|"&amp;$AQ25,CaseTypeColSetMember!$H:$H,0))))))</f>
        <v>1</v>
      </c>
      <c r="AU25" s="6" t="b" cm="1">
        <f t="array" aca="1" ref="AU25" ca="1">IF($AQ25="",TRUE,IF($J25="",FALSE,IF(INDIRECT("OrganizationAccessCasePolicy!L"&amp;$J25)="",FALSE,NOT(ISNA(MATCH(INDIRECT("OrganizationAccessCasePolicy!L"&amp;$J25)&amp;"|"&amp;$AQ25,CaseTypeColSetMember!$H:$H,0))))))</f>
        <v>1</v>
      </c>
      <c r="AV25" s="6" t="b" cm="1">
        <f t="array" aca="1" ref="AV25" ca="1">IF($AQ25="",TRUE,IF($N25="",FALSE,IF(INDIRECT("UserAccessCasePolicy!I"&amp;$N25)="",FALSE,NOT(ISNA(MATCH(INDIRECT("UserAccessCasePolicy!I"&amp;$N25)&amp;"|"&amp;$AQ25,CaseTypeColSetMember!$H:$H,0))))))</f>
        <v>1</v>
      </c>
      <c r="AW25" s="6" t="b" cm="1">
        <f t="array" aca="1" ref="AW25" ca="1">IF($AQ25="",TRUE,IF($N25="",FALSE,IF(INDIRECT("UserAccessCasePolicy!K"&amp;$N25)="",FALSE,NOT(ISNA(MATCH(INDIRECT("UserAccessCasePolicy!K"&amp;$N25)&amp;"|"&amp;$AQ25,CaseTypeColSetMember!$H:$H,0))))))</f>
        <v>1</v>
      </c>
      <c r="AZ25" s="6" t="str">
        <f>IF($AX25="","",INDEX(CaseTypeCol!$J:$J,MATCH($AX25,CaseTypeCol!$A:$A,0)))</f>
        <v/>
      </c>
      <c r="BA25" s="6" t="b" cm="1">
        <f t="array" aca="1" ref="BA25" ca="1">IF($AX25="",TRUE,IF($J25="",FALSE,IF(INDIRECT("OrganizationAccessCasePolicy!J"&amp;$J25)="",FALSE,NOT(ISNA(MATCH(INDIRECT("OrganizationAccessCasePolicy!J"&amp;$J25)&amp;"|"&amp;$AX25,CaseTypeColSetMember!$H:$H,0))))))</f>
        <v>1</v>
      </c>
      <c r="BB25" s="6" t="b" cm="1">
        <f t="array" aca="1" ref="BB25" ca="1">IF($AX25="",TRUE,IF($J25="",FALSE,IF(INDIRECT("OrganizationAccessCasePolicy!L"&amp;$J25)="",FALSE,NOT(ISNA(MATCH(INDIRECT("OrganizationAccessCasePolicy!L"&amp;$J25)&amp;"|"&amp;$AX25,CaseTypeColSetMember!$H:$H,0))))))</f>
        <v>1</v>
      </c>
      <c r="BC25" s="6" t="b" cm="1">
        <f t="array" aca="1" ref="BC25" ca="1">IF($AX25="",TRUE,IF($N25="",FALSE,IF(INDIRECT("UserAccessCasePolicy!I"&amp;$N25)="",FALSE,NOT(ISNA(MATCH(INDIRECT("UserAccessCasePolicy!I"&amp;$N25)&amp;"|"&amp;$AX25,CaseTypeColSetMember!$H:$H,0))))))</f>
        <v>1</v>
      </c>
      <c r="BD25" s="6" t="b" cm="1">
        <f t="array" aca="1" ref="BD25" ca="1">IF($AX25="",TRUE,IF($N25="",FALSE,IF(INDIRECT("UserAccessCasePolicy!K"&amp;$N25)="",FALSE,NOT(ISNA(MATCH(INDIRECT("UserAccessCasePolicy!K"&amp;$N25)&amp;"|"&amp;$AX25,CaseTypeColSetMember!$H:$H,0))))))</f>
        <v>1</v>
      </c>
    </row>
    <row r="26" spans="1:56" ht="15" customHeight="1" x14ac:dyDescent="0.3">
      <c r="A26">
        <v>25</v>
      </c>
      <c r="B26" t="b">
        <v>0</v>
      </c>
      <c r="C26" t="s">
        <v>1018</v>
      </c>
      <c r="D26" t="s">
        <v>26</v>
      </c>
      <c r="E26" s="6" t="str">
        <f>INDEX(User!$D:$D,MATCH($D26,User!$A:$A,0))</f>
        <v>org_user3_4</v>
      </c>
      <c r="F26" t="s">
        <v>982</v>
      </c>
      <c r="G26" s="19" t="b">
        <f ca="1">IF($F26="CREATE",$I26,IF($F26="CREATE_CASES",OR($I26,AND($K26,$L26,$O26,$P26,$AN26,AP26,$AU26,$AW26,$BB26,$BD26)),"TBD"))</f>
        <v>0</v>
      </c>
      <c r="H26" s="6" t="str">
        <f>INDEX(User!$G:$G,MATCH($D26,User!$A:$A,0))</f>
        <v>0195d18c-1c92-52b3-93e0-43dc1f2aa037</v>
      </c>
      <c r="I26" s="6" t="b">
        <f>INDEX(User!$M:$M,MATCH($D26,User!$A:$A,0))</f>
        <v>0</v>
      </c>
      <c r="J26" s="6" t="str">
        <f>IF(ISNA(MATCH($H26&amp;"|"&amp;$X26,OrganizationAccessCasePolicy!$V:$V,0)),"",MATCH($H26&amp;"|"&amp;$X26,OrganizationAccessCasePolicy!$V:$V,0))</f>
        <v/>
      </c>
      <c r="K26" s="6" t="b" cm="1">
        <f t="array" aca="1" ref="K26" ca="1">IF($J26="",FALSE,NOT(ISNA(MATCH(INDIRECT("OrganizationAccessCasePolicy!D"&amp;$J26)&amp;"|"&amp;$T26,CaseTypeSetMember!$H:$H,0))))</f>
        <v>0</v>
      </c>
      <c r="L26" s="6" t="b" cm="1">
        <f t="array" aca="1" ref="L26" ca="1">IF($J26="",FALSE,AND(INDIRECT("OrganizationAccessCasePolicy!H"&amp;$J26),NOT(ISNA(MATCH(INDIRECT("OrganizationAccessCasePolicy!D"&amp;$J26)&amp;"|"&amp;$T26,CaseTypeSetMember!$H:$H,0)))))</f>
        <v>0</v>
      </c>
      <c r="M26" s="6" t="b" cm="1">
        <f t="array" aca="1" ref="M26" ca="1">IF($J26="",FALSE,AND(INDIRECT("OrganizationAccessCasePolicy!I"&amp;$J26),NOT(ISNA(MATCH(INDIRECT("OrganizationAccessCasePolicy!D"&amp;$J26)&amp;"|"&amp;$T26,CaseTypeSetMember!$H:$H,0)))))</f>
        <v>0</v>
      </c>
      <c r="N26" s="6" t="str">
        <f>IF(ISNA(MATCH($D26&amp;"|"&amp;$X26,UserAccessCasePolicy!$W:$W,0)),"",MATCH($D26&amp;"|"&amp;$X26,UserAccessCasePolicy!$W:$W,0))</f>
        <v/>
      </c>
      <c r="O26" s="6" t="b" cm="1">
        <f t="array" aca="1" ref="O26" ca="1">IF($N26="",FALSE,NOT(ISNA(MATCH(INDIRECT("UserAccessCasePolicy!D"&amp;$N26)&amp;"|"&amp;$T26,CaseTypeSetMember!$H:$H,0))))</f>
        <v>0</v>
      </c>
      <c r="P26" s="6" t="b" cm="1">
        <f t="array" aca="1" ref="P26" ca="1">IF($N26="",FALSE,AND(INDIRECT("UserAccessCasePolicy!G"&amp;$N26),NOT(ISNA(MATCH(INDIRECT("UserAccessCasePolicy!D"&amp;$N26)&amp;"|"&amp;$T26,CaseTypeSetMember!$H:$H,0)))))</f>
        <v>0</v>
      </c>
      <c r="Q26" s="6" t="b" cm="1">
        <f t="array" aca="1" ref="Q26" ca="1">IF($N26="",FALSE,AND(INDIRECT("UserAccessCasePolicy!H"&amp;$N26),NOT(ISNA(MATCH(INDIRECT("UserAccessCasePolicy!D"&amp;$N26)&amp;"|"&amp;$T26,CaseTypeSetMember!$H:$H,0)))))</f>
        <v>0</v>
      </c>
      <c r="R26" t="s">
        <v>1019</v>
      </c>
      <c r="S26" s="6" t="str">
        <f>"case"&amp;MATCH($R26,$R$1:$R26,0)-1</f>
        <v>case25</v>
      </c>
      <c r="T26" t="s">
        <v>115</v>
      </c>
      <c r="U26" s="6" t="str">
        <f>INDEX(CaseType!$B:$B,MATCH($T26,CaseType!$A:$A,0))</f>
        <v>case_type1</v>
      </c>
      <c r="V26" s="6" t="b">
        <f>AND(IF($AJ26="",TRUE,$T26=INDEX(CaseTypeCol!$B:$B,MATCH($AJ26,CaseTypeCol!$A:$A,0))),IF($AQ26="",TRUE,$T26=INDEX(CaseTypeCol!$B:$B,MATCH($AQ26,CaseTypeCol!$A:$A,0))),IF($AX26="",TRUE,$T26=INDEX(CaseTypeCol!$B:$B,MATCH($AX26,CaseTypeCol!$A:$A,0))))</f>
        <v>1</v>
      </c>
      <c r="X26" t="s">
        <v>11</v>
      </c>
      <c r="Y26" s="6" t="str">
        <f>INDEX(DataCollection!$B:$B,MATCH($X26,DataCollection!$A:$A,0))</f>
        <v>data_collection1</v>
      </c>
      <c r="AA26" s="6" t="str">
        <f>IF($Z26="","",INDEX(CaseTypeCol!$J:$J,MATCH($Z26,CaseTypeCol!$A:$A,0)))</f>
        <v/>
      </c>
      <c r="AC26" s="6" t="str">
        <f>IF($AB26="","",INDEX(IdentifierIssuer!$B:$B,MATCH($AB26,IdentifierIssuer!$A:$A,0)))</f>
        <v/>
      </c>
      <c r="AE26" s="6" t="str">
        <f>IF($AD26="","",INDEX(SequencingProtocol!$B:$B,MATCH($AD26,SequencingProtocol!$A:$A,0)))</f>
        <v/>
      </c>
      <c r="AG26" s="6" t="str">
        <f>IF($AF26="","",INDEX(AssemblyProtocol!$B:$B,MATCH($AF26,AssemblyProtocol!$A:$A,0)))</f>
        <v/>
      </c>
      <c r="AI26" s="14">
        <v>36526</v>
      </c>
      <c r="AJ26" t="s">
        <v>516</v>
      </c>
      <c r="AK26" t="s">
        <v>972</v>
      </c>
      <c r="AL26" s="6" t="str">
        <f>IF($AJ26="","",INDEX(CaseTypeCol!$J:$J,MATCH($AJ26,CaseTypeCol!$A:$A,0)))</f>
        <v>case_type_col1_7_0_1_TEXT</v>
      </c>
      <c r="AM26" s="6" t="b" cm="1">
        <f t="array" aca="1" ref="AM26" ca="1">IF($AJ26="",TRUE,IF($J26="",FALSE,IF(INDIRECT("OrganizationAccessCasePolicy!J"&amp;$J26)="",FALSE,NOT(ISNA(MATCH(INDIRECT("OrganizationAccessCasePolicy!J"&amp;$J26)&amp;"|"&amp;$AJ26,CaseTypeColSetMember!$H:$H,0))))))</f>
        <v>0</v>
      </c>
      <c r="AN26" s="6" t="b" cm="1">
        <f t="array" aca="1" ref="AN26" ca="1">IF($AJ26="",TRUE,IF($J26="",FALSE,IF(INDIRECT("OrganizationAccessCasePolicy!L"&amp;$J26)="",FALSE,NOT(ISNA(MATCH(INDIRECT("OrganizationAccessCasePolicy!L"&amp;$J26)&amp;"|"&amp;$AJ26,CaseTypeColSetMember!$H:$H,0))))))</f>
        <v>0</v>
      </c>
      <c r="AO26" s="6" t="b" cm="1">
        <f t="array" aca="1" ref="AO26" ca="1">IF($AJ26="",TRUE,IF($N26="",FALSE,IF(INDIRECT("UserAccessCasePolicy!I"&amp;$N26)="",FALSE,NOT(ISNA(MATCH(INDIRECT("UserAccessCasePolicy!I"&amp;$N26)&amp;"|"&amp;$AJ26,CaseTypeColSetMember!$H:$H,0))))))</f>
        <v>0</v>
      </c>
      <c r="AP26" s="6" t="b" cm="1">
        <f t="array" aca="1" ref="AP26" ca="1">IF($AJ26="",TRUE,IF($N26="",FALSE,IF(INDIRECT("UserAccessCasePolicy!K"&amp;$N26)="",FALSE,NOT(ISNA(MATCH(INDIRECT("UserAccessCasePolicy!K"&amp;$N26)&amp;"|"&amp;$AJ26,CaseTypeColSetMember!$H:$H,0))))))</f>
        <v>0</v>
      </c>
      <c r="AS26" s="6" t="str">
        <f>IF($AQ26="","",INDEX(CaseTypeCol!$J:$J,MATCH($AQ26,CaseTypeCol!$A:$A,0)))</f>
        <v/>
      </c>
      <c r="AT26" s="6" t="b" cm="1">
        <f t="array" aca="1" ref="AT26" ca="1">IF($AQ26="",TRUE,IF($J26="",FALSE,IF(INDIRECT("OrganizationAccessCasePolicy!J"&amp;$J26)="",FALSE,NOT(ISNA(MATCH(INDIRECT("OrganizationAccessCasePolicy!J"&amp;$J26)&amp;"|"&amp;$AQ26,CaseTypeColSetMember!$H:$H,0))))))</f>
        <v>1</v>
      </c>
      <c r="AU26" s="6" t="b" cm="1">
        <f t="array" aca="1" ref="AU26" ca="1">IF($AQ26="",TRUE,IF($J26="",FALSE,IF(INDIRECT("OrganizationAccessCasePolicy!L"&amp;$J26)="",FALSE,NOT(ISNA(MATCH(INDIRECT("OrganizationAccessCasePolicy!L"&amp;$J26)&amp;"|"&amp;$AQ26,CaseTypeColSetMember!$H:$H,0))))))</f>
        <v>1</v>
      </c>
      <c r="AV26" s="6" t="b" cm="1">
        <f t="array" aca="1" ref="AV26" ca="1">IF($AQ26="",TRUE,IF($N26="",FALSE,IF(INDIRECT("UserAccessCasePolicy!I"&amp;$N26)="",FALSE,NOT(ISNA(MATCH(INDIRECT("UserAccessCasePolicy!I"&amp;$N26)&amp;"|"&amp;$AQ26,CaseTypeColSetMember!$H:$H,0))))))</f>
        <v>1</v>
      </c>
      <c r="AW26" s="6" t="b" cm="1">
        <f t="array" aca="1" ref="AW26" ca="1">IF($AQ26="",TRUE,IF($N26="",FALSE,IF(INDIRECT("UserAccessCasePolicy!K"&amp;$N26)="",FALSE,NOT(ISNA(MATCH(INDIRECT("UserAccessCasePolicy!K"&amp;$N26)&amp;"|"&amp;$AQ26,CaseTypeColSetMember!$H:$H,0))))))</f>
        <v>1</v>
      </c>
      <c r="AZ26" s="6" t="str">
        <f>IF($AX26="","",INDEX(CaseTypeCol!$J:$J,MATCH($AX26,CaseTypeCol!$A:$A,0)))</f>
        <v/>
      </c>
      <c r="BA26" s="6" t="b" cm="1">
        <f t="array" aca="1" ref="BA26" ca="1">IF($AX26="",TRUE,IF($J26="",FALSE,IF(INDIRECT("OrganizationAccessCasePolicy!J"&amp;$J26)="",FALSE,NOT(ISNA(MATCH(INDIRECT("OrganizationAccessCasePolicy!J"&amp;$J26)&amp;"|"&amp;$AX26,CaseTypeColSetMember!$H:$H,0))))))</f>
        <v>1</v>
      </c>
      <c r="BB26" s="6" t="b" cm="1">
        <f t="array" aca="1" ref="BB26" ca="1">IF($AX26="",TRUE,IF($J26="",FALSE,IF(INDIRECT("OrganizationAccessCasePolicy!L"&amp;$J26)="",FALSE,NOT(ISNA(MATCH(INDIRECT("OrganizationAccessCasePolicy!L"&amp;$J26)&amp;"|"&amp;$AX26,CaseTypeColSetMember!$H:$H,0))))))</f>
        <v>1</v>
      </c>
      <c r="BC26" s="6" t="b" cm="1">
        <f t="array" aca="1" ref="BC26" ca="1">IF($AX26="",TRUE,IF($N26="",FALSE,IF(INDIRECT("UserAccessCasePolicy!I"&amp;$N26)="",FALSE,NOT(ISNA(MATCH(INDIRECT("UserAccessCasePolicy!I"&amp;$N26)&amp;"|"&amp;$AX26,CaseTypeColSetMember!$H:$H,0))))))</f>
        <v>1</v>
      </c>
      <c r="BD26" s="6" t="b" cm="1">
        <f t="array" aca="1" ref="BD26" ca="1">IF($AX26="",TRUE,IF($N26="",FALSE,IF(INDIRECT("UserAccessCasePolicy!K"&amp;$N26)="",FALSE,NOT(ISNA(MATCH(INDIRECT("UserAccessCasePolicy!K"&amp;$N26)&amp;"|"&amp;$AX26,CaseTypeColSetMember!$H:$H,0))))))</f>
        <v>1</v>
      </c>
    </row>
    <row r="27" spans="1:56" ht="15" customHeight="1" x14ac:dyDescent="0.3">
      <c r="A27">
        <v>26</v>
      </c>
      <c r="B27" t="b">
        <v>0</v>
      </c>
      <c r="C27" t="s">
        <v>1020</v>
      </c>
      <c r="D27" t="s">
        <v>28</v>
      </c>
      <c r="E27" s="6" t="str">
        <f>INDEX(User!$D:$D,MATCH($D27,User!$A:$A,0))</f>
        <v>org_user4_1</v>
      </c>
      <c r="F27" t="s">
        <v>982</v>
      </c>
      <c r="G27" s="19" t="b">
        <f ca="1">IF($F27="CREATE",$I27,IF($F27="CREATE_CASES",OR($I27,AND($K27,$L27,$O27,$P27,$AN27,AP27,$AU27,$AW27,$BB27,$BD27)),"TBD"))</f>
        <v>0</v>
      </c>
      <c r="H27" s="6" t="str">
        <f>INDEX(User!$G:$G,MATCH($D27,User!$A:$A,0))</f>
        <v>0195d18c-1c92-d419-4c71-a570f428499b</v>
      </c>
      <c r="I27" s="6" t="b">
        <f>INDEX(User!$M:$M,MATCH($D27,User!$A:$A,0))</f>
        <v>0</v>
      </c>
      <c r="J27" s="6" t="str">
        <f>IF(ISNA(MATCH($H27&amp;"|"&amp;$X27,OrganizationAccessCasePolicy!$V:$V,0)),"",MATCH($H27&amp;"|"&amp;$X27,OrganizationAccessCasePolicy!$V:$V,0))</f>
        <v/>
      </c>
      <c r="K27" s="6" t="b" cm="1">
        <f t="array" aca="1" ref="K27" ca="1">IF($J27="",FALSE,NOT(ISNA(MATCH(INDIRECT("OrganizationAccessCasePolicy!D"&amp;$J27)&amp;"|"&amp;$T27,CaseTypeSetMember!$H:$H,0))))</f>
        <v>0</v>
      </c>
      <c r="L27" s="6" t="b" cm="1">
        <f t="array" aca="1" ref="L27" ca="1">IF($J27="",FALSE,AND(INDIRECT("OrganizationAccessCasePolicy!H"&amp;$J27),NOT(ISNA(MATCH(INDIRECT("OrganizationAccessCasePolicy!D"&amp;$J27)&amp;"|"&amp;$T27,CaseTypeSetMember!$H:$H,0)))))</f>
        <v>0</v>
      </c>
      <c r="M27" s="6" t="b" cm="1">
        <f t="array" aca="1" ref="M27" ca="1">IF($J27="",FALSE,AND(INDIRECT("OrganizationAccessCasePolicy!I"&amp;$J27),NOT(ISNA(MATCH(INDIRECT("OrganizationAccessCasePolicy!D"&amp;$J27)&amp;"|"&amp;$T27,CaseTypeSetMember!$H:$H,0)))))</f>
        <v>0</v>
      </c>
      <c r="N27" s="6" t="str">
        <f>IF(ISNA(MATCH($D27&amp;"|"&amp;$X27,UserAccessCasePolicy!$W:$W,0)),"",MATCH($D27&amp;"|"&amp;$X27,UserAccessCasePolicy!$W:$W,0))</f>
        <v/>
      </c>
      <c r="O27" s="6" t="b" cm="1">
        <f t="array" aca="1" ref="O27" ca="1">IF($N27="",FALSE,NOT(ISNA(MATCH(INDIRECT("UserAccessCasePolicy!D"&amp;$N27)&amp;"|"&amp;$T27,CaseTypeSetMember!$H:$H,0))))</f>
        <v>0</v>
      </c>
      <c r="P27" s="6" t="b" cm="1">
        <f t="array" aca="1" ref="P27" ca="1">IF($N27="",FALSE,AND(INDIRECT("UserAccessCasePolicy!G"&amp;$N27),NOT(ISNA(MATCH(INDIRECT("UserAccessCasePolicy!D"&amp;$N27)&amp;"|"&amp;$T27,CaseTypeSetMember!$H:$H,0)))))</f>
        <v>0</v>
      </c>
      <c r="Q27" s="6" t="b" cm="1">
        <f t="array" aca="1" ref="Q27" ca="1">IF($N27="",FALSE,AND(INDIRECT("UserAccessCasePolicy!H"&amp;$N27),NOT(ISNA(MATCH(INDIRECT("UserAccessCasePolicy!D"&amp;$N27)&amp;"|"&amp;$T27,CaseTypeSetMember!$H:$H,0)))))</f>
        <v>0</v>
      </c>
      <c r="R27" t="s">
        <v>1021</v>
      </c>
      <c r="S27" s="6" t="str">
        <f>"case"&amp;MATCH($R27,$R$1:$R27,0)-1</f>
        <v>case26</v>
      </c>
      <c r="T27" t="s">
        <v>115</v>
      </c>
      <c r="U27" s="6" t="str">
        <f>INDEX(CaseType!$B:$B,MATCH($T27,CaseType!$A:$A,0))</f>
        <v>case_type1</v>
      </c>
      <c r="V27" s="6" t="b">
        <f>AND(IF($AJ27="",TRUE,$T27=INDEX(CaseTypeCol!$B:$B,MATCH($AJ27,CaseTypeCol!$A:$A,0))),IF($AQ27="",TRUE,$T27=INDEX(CaseTypeCol!$B:$B,MATCH($AQ27,CaseTypeCol!$A:$A,0))),IF($AX27="",TRUE,$T27=INDEX(CaseTypeCol!$B:$B,MATCH($AX27,CaseTypeCol!$A:$A,0))))</f>
        <v>1</v>
      </c>
      <c r="X27" t="s">
        <v>11</v>
      </c>
      <c r="Y27" s="6" t="str">
        <f>INDEX(DataCollection!$B:$B,MATCH($X27,DataCollection!$A:$A,0))</f>
        <v>data_collection1</v>
      </c>
      <c r="AA27" s="6" t="str">
        <f>IF($Z27="","",INDEX(CaseTypeCol!$J:$J,MATCH($Z27,CaseTypeCol!$A:$A,0)))</f>
        <v/>
      </c>
      <c r="AC27" s="6" t="str">
        <f>IF($AB27="","",INDEX(IdentifierIssuer!$B:$B,MATCH($AB27,IdentifierIssuer!$A:$A,0)))</f>
        <v/>
      </c>
      <c r="AE27" s="6" t="str">
        <f>IF($AD27="","",INDEX(SequencingProtocol!$B:$B,MATCH($AD27,SequencingProtocol!$A:$A,0)))</f>
        <v/>
      </c>
      <c r="AG27" s="6" t="str">
        <f>IF($AF27="","",INDEX(AssemblyProtocol!$B:$B,MATCH($AF27,AssemblyProtocol!$A:$A,0)))</f>
        <v/>
      </c>
      <c r="AI27" s="14">
        <v>36526</v>
      </c>
      <c r="AJ27" t="s">
        <v>516</v>
      </c>
      <c r="AK27" t="s">
        <v>972</v>
      </c>
      <c r="AL27" s="6" t="str">
        <f>IF($AJ27="","",INDEX(CaseTypeCol!$J:$J,MATCH($AJ27,CaseTypeCol!$A:$A,0)))</f>
        <v>case_type_col1_7_0_1_TEXT</v>
      </c>
      <c r="AM27" s="6" t="b" cm="1">
        <f t="array" aca="1" ref="AM27" ca="1">IF($AJ27="",TRUE,IF($J27="",FALSE,IF(INDIRECT("OrganizationAccessCasePolicy!J"&amp;$J27)="",FALSE,NOT(ISNA(MATCH(INDIRECT("OrganizationAccessCasePolicy!J"&amp;$J27)&amp;"|"&amp;$AJ27,CaseTypeColSetMember!$H:$H,0))))))</f>
        <v>0</v>
      </c>
      <c r="AN27" s="6" t="b" cm="1">
        <f t="array" aca="1" ref="AN27" ca="1">IF($AJ27="",TRUE,IF($J27="",FALSE,IF(INDIRECT("OrganizationAccessCasePolicy!L"&amp;$J27)="",FALSE,NOT(ISNA(MATCH(INDIRECT("OrganizationAccessCasePolicy!L"&amp;$J27)&amp;"|"&amp;$AJ27,CaseTypeColSetMember!$H:$H,0))))))</f>
        <v>0</v>
      </c>
      <c r="AO27" s="6" t="b" cm="1">
        <f t="array" aca="1" ref="AO27" ca="1">IF($AJ27="",TRUE,IF($N27="",FALSE,IF(INDIRECT("UserAccessCasePolicy!I"&amp;$N27)="",FALSE,NOT(ISNA(MATCH(INDIRECT("UserAccessCasePolicy!I"&amp;$N27)&amp;"|"&amp;$AJ27,CaseTypeColSetMember!$H:$H,0))))))</f>
        <v>0</v>
      </c>
      <c r="AP27" s="6" t="b" cm="1">
        <f t="array" aca="1" ref="AP27" ca="1">IF($AJ27="",TRUE,IF($N27="",FALSE,IF(INDIRECT("UserAccessCasePolicy!K"&amp;$N27)="",FALSE,NOT(ISNA(MATCH(INDIRECT("UserAccessCasePolicy!K"&amp;$N27)&amp;"|"&amp;$AJ27,CaseTypeColSetMember!$H:$H,0))))))</f>
        <v>0</v>
      </c>
      <c r="AS27" s="6" t="str">
        <f>IF($AQ27="","",INDEX(CaseTypeCol!$J:$J,MATCH($AQ27,CaseTypeCol!$A:$A,0)))</f>
        <v/>
      </c>
      <c r="AT27" s="6" t="b" cm="1">
        <f t="array" aca="1" ref="AT27" ca="1">IF($AQ27="",TRUE,IF($J27="",FALSE,IF(INDIRECT("OrganizationAccessCasePolicy!J"&amp;$J27)="",FALSE,NOT(ISNA(MATCH(INDIRECT("OrganizationAccessCasePolicy!J"&amp;$J27)&amp;"|"&amp;$AQ27,CaseTypeColSetMember!$H:$H,0))))))</f>
        <v>1</v>
      </c>
      <c r="AU27" s="6" t="b" cm="1">
        <f t="array" aca="1" ref="AU27" ca="1">IF($AQ27="",TRUE,IF($J27="",FALSE,IF(INDIRECT("OrganizationAccessCasePolicy!L"&amp;$J27)="",FALSE,NOT(ISNA(MATCH(INDIRECT("OrganizationAccessCasePolicy!L"&amp;$J27)&amp;"|"&amp;$AQ27,CaseTypeColSetMember!$H:$H,0))))))</f>
        <v>1</v>
      </c>
      <c r="AV27" s="6" t="b" cm="1">
        <f t="array" aca="1" ref="AV27" ca="1">IF($AQ27="",TRUE,IF($N27="",FALSE,IF(INDIRECT("UserAccessCasePolicy!I"&amp;$N27)="",FALSE,NOT(ISNA(MATCH(INDIRECT("UserAccessCasePolicy!I"&amp;$N27)&amp;"|"&amp;$AQ27,CaseTypeColSetMember!$H:$H,0))))))</f>
        <v>1</v>
      </c>
      <c r="AW27" s="6" t="b" cm="1">
        <f t="array" aca="1" ref="AW27" ca="1">IF($AQ27="",TRUE,IF($N27="",FALSE,IF(INDIRECT("UserAccessCasePolicy!K"&amp;$N27)="",FALSE,NOT(ISNA(MATCH(INDIRECT("UserAccessCasePolicy!K"&amp;$N27)&amp;"|"&amp;$AQ27,CaseTypeColSetMember!$H:$H,0))))))</f>
        <v>1</v>
      </c>
      <c r="AZ27" s="6" t="str">
        <f>IF($AX27="","",INDEX(CaseTypeCol!$J:$J,MATCH($AX27,CaseTypeCol!$A:$A,0)))</f>
        <v/>
      </c>
      <c r="BA27" s="6" t="b" cm="1">
        <f t="array" aca="1" ref="BA27" ca="1">IF($AX27="",TRUE,IF($J27="",FALSE,IF(INDIRECT("OrganizationAccessCasePolicy!J"&amp;$J27)="",FALSE,NOT(ISNA(MATCH(INDIRECT("OrganizationAccessCasePolicy!J"&amp;$J27)&amp;"|"&amp;$AX27,CaseTypeColSetMember!$H:$H,0))))))</f>
        <v>1</v>
      </c>
      <c r="BB27" s="6" t="b" cm="1">
        <f t="array" aca="1" ref="BB27" ca="1">IF($AX27="",TRUE,IF($J27="",FALSE,IF(INDIRECT("OrganizationAccessCasePolicy!L"&amp;$J27)="",FALSE,NOT(ISNA(MATCH(INDIRECT("OrganizationAccessCasePolicy!L"&amp;$J27)&amp;"|"&amp;$AX27,CaseTypeColSetMember!$H:$H,0))))))</f>
        <v>1</v>
      </c>
      <c r="BC27" s="6" t="b" cm="1">
        <f t="array" aca="1" ref="BC27" ca="1">IF($AX27="",TRUE,IF($N27="",FALSE,IF(INDIRECT("UserAccessCasePolicy!I"&amp;$N27)="",FALSE,NOT(ISNA(MATCH(INDIRECT("UserAccessCasePolicy!I"&amp;$N27)&amp;"|"&amp;$AX27,CaseTypeColSetMember!$H:$H,0))))))</f>
        <v>1</v>
      </c>
      <c r="BD27" s="6" t="b" cm="1">
        <f t="array" aca="1" ref="BD27" ca="1">IF($AX27="",TRUE,IF($N27="",FALSE,IF(INDIRECT("UserAccessCasePolicy!K"&amp;$N27)="",FALSE,NOT(ISNA(MATCH(INDIRECT("UserAccessCasePolicy!K"&amp;$N27)&amp;"|"&amp;$AX27,CaseTypeColSetMember!$H:$H,0))))))</f>
        <v>1</v>
      </c>
    </row>
    <row r="28" spans="1:56" ht="15" customHeight="1" x14ac:dyDescent="0.3">
      <c r="A28">
        <v>27</v>
      </c>
      <c r="B28" t="b">
        <v>0</v>
      </c>
      <c r="C28" t="s">
        <v>1022</v>
      </c>
      <c r="D28" t="s">
        <v>30</v>
      </c>
      <c r="E28" s="6" t="str">
        <f>INDEX(User!$D:$D,MATCH($D28,User!$A:$A,0))</f>
        <v>org_user4_2</v>
      </c>
      <c r="F28" t="s">
        <v>982</v>
      </c>
      <c r="G28" s="19" t="b">
        <f ca="1">IF($F28="CREATE",$I28,IF($F28="CREATE_CASES",OR($I28,AND($K28,$L28,$O28,$P28,$AN28,AP28,$AU28,$AW28,$BB28,$BD28)),"TBD"))</f>
        <v>0</v>
      </c>
      <c r="H28" s="6" t="str">
        <f>INDEX(User!$G:$G,MATCH($D28,User!$A:$A,0))</f>
        <v>0195d18c-1c92-d419-4c71-a570f428499b</v>
      </c>
      <c r="I28" s="6" t="b">
        <f>INDEX(User!$M:$M,MATCH($D28,User!$A:$A,0))</f>
        <v>0</v>
      </c>
      <c r="J28" s="6" t="str">
        <f>IF(ISNA(MATCH($H28&amp;"|"&amp;$X28,OrganizationAccessCasePolicy!$V:$V,0)),"",MATCH($H28&amp;"|"&amp;$X28,OrganizationAccessCasePolicy!$V:$V,0))</f>
        <v/>
      </c>
      <c r="K28" s="6" t="b" cm="1">
        <f t="array" aca="1" ref="K28" ca="1">IF($J28="",FALSE,NOT(ISNA(MATCH(INDIRECT("OrganizationAccessCasePolicy!D"&amp;$J28)&amp;"|"&amp;$T28,CaseTypeSetMember!$H:$H,0))))</f>
        <v>0</v>
      </c>
      <c r="L28" s="6" t="b" cm="1">
        <f t="array" aca="1" ref="L28" ca="1">IF($J28="",FALSE,AND(INDIRECT("OrganizationAccessCasePolicy!H"&amp;$J28),NOT(ISNA(MATCH(INDIRECT("OrganizationAccessCasePolicy!D"&amp;$J28)&amp;"|"&amp;$T28,CaseTypeSetMember!$H:$H,0)))))</f>
        <v>0</v>
      </c>
      <c r="M28" s="6" t="b" cm="1">
        <f t="array" aca="1" ref="M28" ca="1">IF($J28="",FALSE,AND(INDIRECT("OrganizationAccessCasePolicy!I"&amp;$J28),NOT(ISNA(MATCH(INDIRECT("OrganizationAccessCasePolicy!D"&amp;$J28)&amp;"|"&amp;$T28,CaseTypeSetMember!$H:$H,0)))))</f>
        <v>0</v>
      </c>
      <c r="N28" s="6" t="str">
        <f>IF(ISNA(MATCH($D28&amp;"|"&amp;$X28,UserAccessCasePolicy!$W:$W,0)),"",MATCH($D28&amp;"|"&amp;$X28,UserAccessCasePolicy!$W:$W,0))</f>
        <v/>
      </c>
      <c r="O28" s="6" t="b" cm="1">
        <f t="array" aca="1" ref="O28" ca="1">IF($N28="",FALSE,NOT(ISNA(MATCH(INDIRECT("UserAccessCasePolicy!D"&amp;$N28)&amp;"|"&amp;$T28,CaseTypeSetMember!$H:$H,0))))</f>
        <v>0</v>
      </c>
      <c r="P28" s="6" t="b" cm="1">
        <f t="array" aca="1" ref="P28" ca="1">IF($N28="",FALSE,AND(INDIRECT("UserAccessCasePolicy!G"&amp;$N28),NOT(ISNA(MATCH(INDIRECT("UserAccessCasePolicy!D"&amp;$N28)&amp;"|"&amp;$T28,CaseTypeSetMember!$H:$H,0)))))</f>
        <v>0</v>
      </c>
      <c r="Q28" s="6" t="b" cm="1">
        <f t="array" aca="1" ref="Q28" ca="1">IF($N28="",FALSE,AND(INDIRECT("UserAccessCasePolicy!H"&amp;$N28),NOT(ISNA(MATCH(INDIRECT("UserAccessCasePolicy!D"&amp;$N28)&amp;"|"&amp;$T28,CaseTypeSetMember!$H:$H,0)))))</f>
        <v>0</v>
      </c>
      <c r="R28" t="s">
        <v>1023</v>
      </c>
      <c r="S28" s="6" t="str">
        <f>"case"&amp;MATCH($R28,$R$1:$R28,0)-1</f>
        <v>case27</v>
      </c>
      <c r="T28" t="s">
        <v>115</v>
      </c>
      <c r="U28" s="6" t="str">
        <f>INDEX(CaseType!$B:$B,MATCH($T28,CaseType!$A:$A,0))</f>
        <v>case_type1</v>
      </c>
      <c r="V28" s="6" t="b">
        <f>AND(IF($AJ28="",TRUE,$T28=INDEX(CaseTypeCol!$B:$B,MATCH($AJ28,CaseTypeCol!$A:$A,0))),IF($AQ28="",TRUE,$T28=INDEX(CaseTypeCol!$B:$B,MATCH($AQ28,CaseTypeCol!$A:$A,0))),IF($AX28="",TRUE,$T28=INDEX(CaseTypeCol!$B:$B,MATCH($AX28,CaseTypeCol!$A:$A,0))))</f>
        <v>1</v>
      </c>
      <c r="X28" t="s">
        <v>11</v>
      </c>
      <c r="Y28" s="6" t="str">
        <f>INDEX(DataCollection!$B:$B,MATCH($X28,DataCollection!$A:$A,0))</f>
        <v>data_collection1</v>
      </c>
      <c r="AA28" s="6" t="str">
        <f>IF($Z28="","",INDEX(CaseTypeCol!$J:$J,MATCH($Z28,CaseTypeCol!$A:$A,0)))</f>
        <v/>
      </c>
      <c r="AC28" s="6" t="str">
        <f>IF($AB28="","",INDEX(IdentifierIssuer!$B:$B,MATCH($AB28,IdentifierIssuer!$A:$A,0)))</f>
        <v/>
      </c>
      <c r="AE28" s="6" t="str">
        <f>IF($AD28="","",INDEX(SequencingProtocol!$B:$B,MATCH($AD28,SequencingProtocol!$A:$A,0)))</f>
        <v/>
      </c>
      <c r="AG28" s="6" t="str">
        <f>IF($AF28="","",INDEX(AssemblyProtocol!$B:$B,MATCH($AF28,AssemblyProtocol!$A:$A,0)))</f>
        <v/>
      </c>
      <c r="AI28" s="14">
        <v>36526</v>
      </c>
      <c r="AJ28" t="s">
        <v>516</v>
      </c>
      <c r="AK28" t="s">
        <v>972</v>
      </c>
      <c r="AL28" s="6" t="str">
        <f>IF($AJ28="","",INDEX(CaseTypeCol!$J:$J,MATCH($AJ28,CaseTypeCol!$A:$A,0)))</f>
        <v>case_type_col1_7_0_1_TEXT</v>
      </c>
      <c r="AM28" s="6" t="b" cm="1">
        <f t="array" aca="1" ref="AM28" ca="1">IF($AJ28="",TRUE,IF($J28="",FALSE,IF(INDIRECT("OrganizationAccessCasePolicy!J"&amp;$J28)="",FALSE,NOT(ISNA(MATCH(INDIRECT("OrganizationAccessCasePolicy!J"&amp;$J28)&amp;"|"&amp;$AJ28,CaseTypeColSetMember!$H:$H,0))))))</f>
        <v>0</v>
      </c>
      <c r="AN28" s="6" t="b" cm="1">
        <f t="array" aca="1" ref="AN28" ca="1">IF($AJ28="",TRUE,IF($J28="",FALSE,IF(INDIRECT("OrganizationAccessCasePolicy!L"&amp;$J28)="",FALSE,NOT(ISNA(MATCH(INDIRECT("OrganizationAccessCasePolicy!L"&amp;$J28)&amp;"|"&amp;$AJ28,CaseTypeColSetMember!$H:$H,0))))))</f>
        <v>0</v>
      </c>
      <c r="AO28" s="6" t="b" cm="1">
        <f t="array" aca="1" ref="AO28" ca="1">IF($AJ28="",TRUE,IF($N28="",FALSE,IF(INDIRECT("UserAccessCasePolicy!I"&amp;$N28)="",FALSE,NOT(ISNA(MATCH(INDIRECT("UserAccessCasePolicy!I"&amp;$N28)&amp;"|"&amp;$AJ28,CaseTypeColSetMember!$H:$H,0))))))</f>
        <v>0</v>
      </c>
      <c r="AP28" s="6" t="b" cm="1">
        <f t="array" aca="1" ref="AP28" ca="1">IF($AJ28="",TRUE,IF($N28="",FALSE,IF(INDIRECT("UserAccessCasePolicy!K"&amp;$N28)="",FALSE,NOT(ISNA(MATCH(INDIRECT("UserAccessCasePolicy!K"&amp;$N28)&amp;"|"&amp;$AJ28,CaseTypeColSetMember!$H:$H,0))))))</f>
        <v>0</v>
      </c>
      <c r="AS28" s="6" t="str">
        <f>IF($AQ28="","",INDEX(CaseTypeCol!$J:$J,MATCH($AQ28,CaseTypeCol!$A:$A,0)))</f>
        <v/>
      </c>
      <c r="AT28" s="6" t="b" cm="1">
        <f t="array" aca="1" ref="AT28" ca="1">IF($AQ28="",TRUE,IF($J28="",FALSE,IF(INDIRECT("OrganizationAccessCasePolicy!J"&amp;$J28)="",FALSE,NOT(ISNA(MATCH(INDIRECT("OrganizationAccessCasePolicy!J"&amp;$J28)&amp;"|"&amp;$AQ28,CaseTypeColSetMember!$H:$H,0))))))</f>
        <v>1</v>
      </c>
      <c r="AU28" s="6" t="b" cm="1">
        <f t="array" aca="1" ref="AU28" ca="1">IF($AQ28="",TRUE,IF($J28="",FALSE,IF(INDIRECT("OrganizationAccessCasePolicy!L"&amp;$J28)="",FALSE,NOT(ISNA(MATCH(INDIRECT("OrganizationAccessCasePolicy!L"&amp;$J28)&amp;"|"&amp;$AQ28,CaseTypeColSetMember!$H:$H,0))))))</f>
        <v>1</v>
      </c>
      <c r="AV28" s="6" t="b" cm="1">
        <f t="array" aca="1" ref="AV28" ca="1">IF($AQ28="",TRUE,IF($N28="",FALSE,IF(INDIRECT("UserAccessCasePolicy!I"&amp;$N28)="",FALSE,NOT(ISNA(MATCH(INDIRECT("UserAccessCasePolicy!I"&amp;$N28)&amp;"|"&amp;$AQ28,CaseTypeColSetMember!$H:$H,0))))))</f>
        <v>1</v>
      </c>
      <c r="AW28" s="6" t="b" cm="1">
        <f t="array" aca="1" ref="AW28" ca="1">IF($AQ28="",TRUE,IF($N28="",FALSE,IF(INDIRECT("UserAccessCasePolicy!K"&amp;$N28)="",FALSE,NOT(ISNA(MATCH(INDIRECT("UserAccessCasePolicy!K"&amp;$N28)&amp;"|"&amp;$AQ28,CaseTypeColSetMember!$H:$H,0))))))</f>
        <v>1</v>
      </c>
      <c r="AZ28" s="6" t="str">
        <f>IF($AX28="","",INDEX(CaseTypeCol!$J:$J,MATCH($AX28,CaseTypeCol!$A:$A,0)))</f>
        <v/>
      </c>
      <c r="BA28" s="6" t="b" cm="1">
        <f t="array" aca="1" ref="BA28" ca="1">IF($AX28="",TRUE,IF($J28="",FALSE,IF(INDIRECT("OrganizationAccessCasePolicy!J"&amp;$J28)="",FALSE,NOT(ISNA(MATCH(INDIRECT("OrganizationAccessCasePolicy!J"&amp;$J28)&amp;"|"&amp;$AX28,CaseTypeColSetMember!$H:$H,0))))))</f>
        <v>1</v>
      </c>
      <c r="BB28" s="6" t="b" cm="1">
        <f t="array" aca="1" ref="BB28" ca="1">IF($AX28="",TRUE,IF($J28="",FALSE,IF(INDIRECT("OrganizationAccessCasePolicy!L"&amp;$J28)="",FALSE,NOT(ISNA(MATCH(INDIRECT("OrganizationAccessCasePolicy!L"&amp;$J28)&amp;"|"&amp;$AX28,CaseTypeColSetMember!$H:$H,0))))))</f>
        <v>1</v>
      </c>
      <c r="BC28" s="6" t="b" cm="1">
        <f t="array" aca="1" ref="BC28" ca="1">IF($AX28="",TRUE,IF($N28="",FALSE,IF(INDIRECT("UserAccessCasePolicy!I"&amp;$N28)="",FALSE,NOT(ISNA(MATCH(INDIRECT("UserAccessCasePolicy!I"&amp;$N28)&amp;"|"&amp;$AX28,CaseTypeColSetMember!$H:$H,0))))))</f>
        <v>1</v>
      </c>
      <c r="BD28" s="6" t="b" cm="1">
        <f t="array" aca="1" ref="BD28" ca="1">IF($AX28="",TRUE,IF($N28="",FALSE,IF(INDIRECT("UserAccessCasePolicy!K"&amp;$N28)="",FALSE,NOT(ISNA(MATCH(INDIRECT("UserAccessCasePolicy!K"&amp;$N28)&amp;"|"&amp;$AX28,CaseTypeColSetMember!$H:$H,0))))))</f>
        <v>1</v>
      </c>
    </row>
    <row r="29" spans="1:56" ht="15" customHeight="1" x14ac:dyDescent="0.3">
      <c r="A29">
        <v>28</v>
      </c>
      <c r="B29" t="b">
        <v>0</v>
      </c>
      <c r="C29" t="s">
        <v>1024</v>
      </c>
      <c r="D29" t="s">
        <v>31</v>
      </c>
      <c r="E29" s="6" t="str">
        <f>INDEX(User!$D:$D,MATCH($D29,User!$A:$A,0))</f>
        <v>org_user4_3</v>
      </c>
      <c r="F29" t="s">
        <v>982</v>
      </c>
      <c r="G29" s="19" t="b">
        <f ca="1">IF($F29="CREATE",$I29,IF($F29="CREATE_CASES",OR($I29,AND($K29,$L29,$O29,$P29,$AN29,AP29,$AU29,$AW29,$BB29,$BD29)),"TBD"))</f>
        <v>0</v>
      </c>
      <c r="H29" s="6" t="str">
        <f>INDEX(User!$G:$G,MATCH($D29,User!$A:$A,0))</f>
        <v>0195d18c-1c92-d419-4c71-a570f428499b</v>
      </c>
      <c r="I29" s="6" t="b">
        <f>INDEX(User!$M:$M,MATCH($D29,User!$A:$A,0))</f>
        <v>0</v>
      </c>
      <c r="J29" s="6" t="str">
        <f>IF(ISNA(MATCH($H29&amp;"|"&amp;$X29,OrganizationAccessCasePolicy!$V:$V,0)),"",MATCH($H29&amp;"|"&amp;$X29,OrganizationAccessCasePolicy!$V:$V,0))</f>
        <v/>
      </c>
      <c r="K29" s="6" t="b" cm="1">
        <f t="array" aca="1" ref="K29" ca="1">IF($J29="",FALSE,NOT(ISNA(MATCH(INDIRECT("OrganizationAccessCasePolicy!D"&amp;$J29)&amp;"|"&amp;$T29,CaseTypeSetMember!$H:$H,0))))</f>
        <v>0</v>
      </c>
      <c r="L29" s="6" t="b" cm="1">
        <f t="array" aca="1" ref="L29" ca="1">IF($J29="",FALSE,AND(INDIRECT("OrganizationAccessCasePolicy!H"&amp;$J29),NOT(ISNA(MATCH(INDIRECT("OrganizationAccessCasePolicy!D"&amp;$J29)&amp;"|"&amp;$T29,CaseTypeSetMember!$H:$H,0)))))</f>
        <v>0</v>
      </c>
      <c r="M29" s="6" t="b" cm="1">
        <f t="array" aca="1" ref="M29" ca="1">IF($J29="",FALSE,AND(INDIRECT("OrganizationAccessCasePolicy!I"&amp;$J29),NOT(ISNA(MATCH(INDIRECT("OrganizationAccessCasePolicy!D"&amp;$J29)&amp;"|"&amp;$T29,CaseTypeSetMember!$H:$H,0)))))</f>
        <v>0</v>
      </c>
      <c r="N29" s="6" t="str">
        <f>IF(ISNA(MATCH($D29&amp;"|"&amp;$X29,UserAccessCasePolicy!$W:$W,0)),"",MATCH($D29&amp;"|"&amp;$X29,UserAccessCasePolicy!$W:$W,0))</f>
        <v/>
      </c>
      <c r="O29" s="6" t="b" cm="1">
        <f t="array" aca="1" ref="O29" ca="1">IF($N29="",FALSE,NOT(ISNA(MATCH(INDIRECT("UserAccessCasePolicy!D"&amp;$N29)&amp;"|"&amp;$T29,CaseTypeSetMember!$H:$H,0))))</f>
        <v>0</v>
      </c>
      <c r="P29" s="6" t="b" cm="1">
        <f t="array" aca="1" ref="P29" ca="1">IF($N29="",FALSE,AND(INDIRECT("UserAccessCasePolicy!G"&amp;$N29),NOT(ISNA(MATCH(INDIRECT("UserAccessCasePolicy!D"&amp;$N29)&amp;"|"&amp;$T29,CaseTypeSetMember!$H:$H,0)))))</f>
        <v>0</v>
      </c>
      <c r="Q29" s="6" t="b" cm="1">
        <f t="array" aca="1" ref="Q29" ca="1">IF($N29="",FALSE,AND(INDIRECT("UserAccessCasePolicy!H"&amp;$N29),NOT(ISNA(MATCH(INDIRECT("UserAccessCasePolicy!D"&amp;$N29)&amp;"|"&amp;$T29,CaseTypeSetMember!$H:$H,0)))))</f>
        <v>0</v>
      </c>
      <c r="R29" t="s">
        <v>1025</v>
      </c>
      <c r="S29" s="6" t="str">
        <f>"case"&amp;MATCH($R29,$R$1:$R29,0)-1</f>
        <v>case28</v>
      </c>
      <c r="T29" t="s">
        <v>115</v>
      </c>
      <c r="U29" s="6" t="str">
        <f>INDEX(CaseType!$B:$B,MATCH($T29,CaseType!$A:$A,0))</f>
        <v>case_type1</v>
      </c>
      <c r="V29" s="6" t="b">
        <f>AND(IF($AJ29="",TRUE,$T29=INDEX(CaseTypeCol!$B:$B,MATCH($AJ29,CaseTypeCol!$A:$A,0))),IF($AQ29="",TRUE,$T29=INDEX(CaseTypeCol!$B:$B,MATCH($AQ29,CaseTypeCol!$A:$A,0))),IF($AX29="",TRUE,$T29=INDEX(CaseTypeCol!$B:$B,MATCH($AX29,CaseTypeCol!$A:$A,0))))</f>
        <v>1</v>
      </c>
      <c r="X29" t="s">
        <v>11</v>
      </c>
      <c r="Y29" s="6" t="str">
        <f>INDEX(DataCollection!$B:$B,MATCH($X29,DataCollection!$A:$A,0))</f>
        <v>data_collection1</v>
      </c>
      <c r="AA29" s="6" t="str">
        <f>IF($Z29="","",INDEX(CaseTypeCol!$J:$J,MATCH($Z29,CaseTypeCol!$A:$A,0)))</f>
        <v/>
      </c>
      <c r="AC29" s="6" t="str">
        <f>IF($AB29="","",INDEX(IdentifierIssuer!$B:$B,MATCH($AB29,IdentifierIssuer!$A:$A,0)))</f>
        <v/>
      </c>
      <c r="AE29" s="6" t="str">
        <f>IF($AD29="","",INDEX(SequencingProtocol!$B:$B,MATCH($AD29,SequencingProtocol!$A:$A,0)))</f>
        <v/>
      </c>
      <c r="AG29" s="6" t="str">
        <f>IF($AF29="","",INDEX(AssemblyProtocol!$B:$B,MATCH($AF29,AssemblyProtocol!$A:$A,0)))</f>
        <v/>
      </c>
      <c r="AI29" s="14">
        <v>36526</v>
      </c>
      <c r="AJ29" t="s">
        <v>516</v>
      </c>
      <c r="AK29" t="s">
        <v>972</v>
      </c>
      <c r="AL29" s="6" t="str">
        <f>IF($AJ29="","",INDEX(CaseTypeCol!$J:$J,MATCH($AJ29,CaseTypeCol!$A:$A,0)))</f>
        <v>case_type_col1_7_0_1_TEXT</v>
      </c>
      <c r="AM29" s="6" t="b" cm="1">
        <f t="array" aca="1" ref="AM29" ca="1">IF($AJ29="",TRUE,IF($J29="",FALSE,IF(INDIRECT("OrganizationAccessCasePolicy!J"&amp;$J29)="",FALSE,NOT(ISNA(MATCH(INDIRECT("OrganizationAccessCasePolicy!J"&amp;$J29)&amp;"|"&amp;$AJ29,CaseTypeColSetMember!$H:$H,0))))))</f>
        <v>0</v>
      </c>
      <c r="AN29" s="6" t="b" cm="1">
        <f t="array" aca="1" ref="AN29" ca="1">IF($AJ29="",TRUE,IF($J29="",FALSE,IF(INDIRECT("OrganizationAccessCasePolicy!L"&amp;$J29)="",FALSE,NOT(ISNA(MATCH(INDIRECT("OrganizationAccessCasePolicy!L"&amp;$J29)&amp;"|"&amp;$AJ29,CaseTypeColSetMember!$H:$H,0))))))</f>
        <v>0</v>
      </c>
      <c r="AO29" s="6" t="b" cm="1">
        <f t="array" aca="1" ref="AO29" ca="1">IF($AJ29="",TRUE,IF($N29="",FALSE,IF(INDIRECT("UserAccessCasePolicy!I"&amp;$N29)="",FALSE,NOT(ISNA(MATCH(INDIRECT("UserAccessCasePolicy!I"&amp;$N29)&amp;"|"&amp;$AJ29,CaseTypeColSetMember!$H:$H,0))))))</f>
        <v>0</v>
      </c>
      <c r="AP29" s="6" t="b" cm="1">
        <f t="array" aca="1" ref="AP29" ca="1">IF($AJ29="",TRUE,IF($N29="",FALSE,IF(INDIRECT("UserAccessCasePolicy!K"&amp;$N29)="",FALSE,NOT(ISNA(MATCH(INDIRECT("UserAccessCasePolicy!K"&amp;$N29)&amp;"|"&amp;$AJ29,CaseTypeColSetMember!$H:$H,0))))))</f>
        <v>0</v>
      </c>
      <c r="AS29" s="6" t="str">
        <f>IF($AQ29="","",INDEX(CaseTypeCol!$J:$J,MATCH($AQ29,CaseTypeCol!$A:$A,0)))</f>
        <v/>
      </c>
      <c r="AT29" s="6" t="b" cm="1">
        <f t="array" aca="1" ref="AT29" ca="1">IF($AQ29="",TRUE,IF($J29="",FALSE,IF(INDIRECT("OrganizationAccessCasePolicy!J"&amp;$J29)="",FALSE,NOT(ISNA(MATCH(INDIRECT("OrganizationAccessCasePolicy!J"&amp;$J29)&amp;"|"&amp;$AQ29,CaseTypeColSetMember!$H:$H,0))))))</f>
        <v>1</v>
      </c>
      <c r="AU29" s="6" t="b" cm="1">
        <f t="array" aca="1" ref="AU29" ca="1">IF($AQ29="",TRUE,IF($J29="",FALSE,IF(INDIRECT("OrganizationAccessCasePolicy!L"&amp;$J29)="",FALSE,NOT(ISNA(MATCH(INDIRECT("OrganizationAccessCasePolicy!L"&amp;$J29)&amp;"|"&amp;$AQ29,CaseTypeColSetMember!$H:$H,0))))))</f>
        <v>1</v>
      </c>
      <c r="AV29" s="6" t="b" cm="1">
        <f t="array" aca="1" ref="AV29" ca="1">IF($AQ29="",TRUE,IF($N29="",FALSE,IF(INDIRECT("UserAccessCasePolicy!I"&amp;$N29)="",FALSE,NOT(ISNA(MATCH(INDIRECT("UserAccessCasePolicy!I"&amp;$N29)&amp;"|"&amp;$AQ29,CaseTypeColSetMember!$H:$H,0))))))</f>
        <v>1</v>
      </c>
      <c r="AW29" s="6" t="b" cm="1">
        <f t="array" aca="1" ref="AW29" ca="1">IF($AQ29="",TRUE,IF($N29="",FALSE,IF(INDIRECT("UserAccessCasePolicy!K"&amp;$N29)="",FALSE,NOT(ISNA(MATCH(INDIRECT("UserAccessCasePolicy!K"&amp;$N29)&amp;"|"&amp;$AQ29,CaseTypeColSetMember!$H:$H,0))))))</f>
        <v>1</v>
      </c>
      <c r="AZ29" s="6" t="str">
        <f>IF($AX29="","",INDEX(CaseTypeCol!$J:$J,MATCH($AX29,CaseTypeCol!$A:$A,0)))</f>
        <v/>
      </c>
      <c r="BA29" s="6" t="b" cm="1">
        <f t="array" aca="1" ref="BA29" ca="1">IF($AX29="",TRUE,IF($J29="",FALSE,IF(INDIRECT("OrganizationAccessCasePolicy!J"&amp;$J29)="",FALSE,NOT(ISNA(MATCH(INDIRECT("OrganizationAccessCasePolicy!J"&amp;$J29)&amp;"|"&amp;$AX29,CaseTypeColSetMember!$H:$H,0))))))</f>
        <v>1</v>
      </c>
      <c r="BB29" s="6" t="b" cm="1">
        <f t="array" aca="1" ref="BB29" ca="1">IF($AX29="",TRUE,IF($J29="",FALSE,IF(INDIRECT("OrganizationAccessCasePolicy!L"&amp;$J29)="",FALSE,NOT(ISNA(MATCH(INDIRECT("OrganizationAccessCasePolicy!L"&amp;$J29)&amp;"|"&amp;$AX29,CaseTypeColSetMember!$H:$H,0))))))</f>
        <v>1</v>
      </c>
      <c r="BC29" s="6" t="b" cm="1">
        <f t="array" aca="1" ref="BC29" ca="1">IF($AX29="",TRUE,IF($N29="",FALSE,IF(INDIRECT("UserAccessCasePolicy!I"&amp;$N29)="",FALSE,NOT(ISNA(MATCH(INDIRECT("UserAccessCasePolicy!I"&amp;$N29)&amp;"|"&amp;$AX29,CaseTypeColSetMember!$H:$H,0))))))</f>
        <v>1</v>
      </c>
      <c r="BD29" s="6" t="b" cm="1">
        <f t="array" aca="1" ref="BD29" ca="1">IF($AX29="",TRUE,IF($N29="",FALSE,IF(INDIRECT("UserAccessCasePolicy!K"&amp;$N29)="",FALSE,NOT(ISNA(MATCH(INDIRECT("UserAccessCasePolicy!K"&amp;$N29)&amp;"|"&amp;$AX29,CaseTypeColSetMember!$H:$H,0))))))</f>
        <v>1</v>
      </c>
    </row>
    <row r="30" spans="1:56" ht="15" customHeight="1" x14ac:dyDescent="0.3">
      <c r="A30">
        <v>29</v>
      </c>
      <c r="B30" t="b">
        <v>0</v>
      </c>
      <c r="C30" t="s">
        <v>1026</v>
      </c>
      <c r="D30" t="s">
        <v>32</v>
      </c>
      <c r="E30" s="6" t="str">
        <f>INDEX(User!$D:$D,MATCH($D30,User!$A:$A,0))</f>
        <v>org_user4_4</v>
      </c>
      <c r="F30" t="s">
        <v>982</v>
      </c>
      <c r="G30" s="19" t="b">
        <f ca="1">IF($F30="CREATE",$I30,IF($F30="CREATE_CASES",OR($I30,AND($K30,$L30,$O30,$P30,$AN30,AP30,$AU30,$AW30,$BB30,$BD30)),"TBD"))</f>
        <v>0</v>
      </c>
      <c r="H30" s="6" t="str">
        <f>INDEX(User!$G:$G,MATCH($D30,User!$A:$A,0))</f>
        <v>0195d18c-1c92-d419-4c71-a570f428499b</v>
      </c>
      <c r="I30" s="6" t="b">
        <f>INDEX(User!$M:$M,MATCH($D30,User!$A:$A,0))</f>
        <v>0</v>
      </c>
      <c r="J30" s="6" t="str">
        <f>IF(ISNA(MATCH($H30&amp;"|"&amp;$X30,OrganizationAccessCasePolicy!$V:$V,0)),"",MATCH($H30&amp;"|"&amp;$X30,OrganizationAccessCasePolicy!$V:$V,0))</f>
        <v/>
      </c>
      <c r="K30" s="6" t="b" cm="1">
        <f t="array" aca="1" ref="K30" ca="1">IF($J30="",FALSE,NOT(ISNA(MATCH(INDIRECT("OrganizationAccessCasePolicy!D"&amp;$J30)&amp;"|"&amp;$T30,CaseTypeSetMember!$H:$H,0))))</f>
        <v>0</v>
      </c>
      <c r="L30" s="6" t="b" cm="1">
        <f t="array" aca="1" ref="L30" ca="1">IF($J30="",FALSE,AND(INDIRECT("OrganizationAccessCasePolicy!H"&amp;$J30),NOT(ISNA(MATCH(INDIRECT("OrganizationAccessCasePolicy!D"&amp;$J30)&amp;"|"&amp;$T30,CaseTypeSetMember!$H:$H,0)))))</f>
        <v>0</v>
      </c>
      <c r="M30" s="6" t="b" cm="1">
        <f t="array" aca="1" ref="M30" ca="1">IF($J30="",FALSE,AND(INDIRECT("OrganizationAccessCasePolicy!I"&amp;$J30),NOT(ISNA(MATCH(INDIRECT("OrganizationAccessCasePolicy!D"&amp;$J30)&amp;"|"&amp;$T30,CaseTypeSetMember!$H:$H,0)))))</f>
        <v>0</v>
      </c>
      <c r="N30" s="6" t="str">
        <f>IF(ISNA(MATCH($D30&amp;"|"&amp;$X30,UserAccessCasePolicy!$W:$W,0)),"",MATCH($D30&amp;"|"&amp;$X30,UserAccessCasePolicy!$W:$W,0))</f>
        <v/>
      </c>
      <c r="O30" s="6" t="b" cm="1">
        <f t="array" aca="1" ref="O30" ca="1">IF($N30="",FALSE,NOT(ISNA(MATCH(INDIRECT("UserAccessCasePolicy!D"&amp;$N30)&amp;"|"&amp;$T30,CaseTypeSetMember!$H:$H,0))))</f>
        <v>0</v>
      </c>
      <c r="P30" s="6" t="b" cm="1">
        <f t="array" aca="1" ref="P30" ca="1">IF($N30="",FALSE,AND(INDIRECT("UserAccessCasePolicy!G"&amp;$N30),NOT(ISNA(MATCH(INDIRECT("UserAccessCasePolicy!D"&amp;$N30)&amp;"|"&amp;$T30,CaseTypeSetMember!$H:$H,0)))))</f>
        <v>0</v>
      </c>
      <c r="Q30" s="6" t="b" cm="1">
        <f t="array" aca="1" ref="Q30" ca="1">IF($N30="",FALSE,AND(INDIRECT("UserAccessCasePolicy!H"&amp;$N30),NOT(ISNA(MATCH(INDIRECT("UserAccessCasePolicy!D"&amp;$N30)&amp;"|"&amp;$T30,CaseTypeSetMember!$H:$H,0)))))</f>
        <v>0</v>
      </c>
      <c r="R30" t="s">
        <v>1027</v>
      </c>
      <c r="S30" s="6" t="str">
        <f>"case"&amp;MATCH($R30,$R$1:$R30,0)-1</f>
        <v>case29</v>
      </c>
      <c r="T30" t="s">
        <v>115</v>
      </c>
      <c r="U30" s="6" t="str">
        <f>INDEX(CaseType!$B:$B,MATCH($T30,CaseType!$A:$A,0))</f>
        <v>case_type1</v>
      </c>
      <c r="V30" s="6" t="b">
        <f>AND(IF($AJ30="",TRUE,$T30=INDEX(CaseTypeCol!$B:$B,MATCH($AJ30,CaseTypeCol!$A:$A,0))),IF($AQ30="",TRUE,$T30=INDEX(CaseTypeCol!$B:$B,MATCH($AQ30,CaseTypeCol!$A:$A,0))),IF($AX30="",TRUE,$T30=INDEX(CaseTypeCol!$B:$B,MATCH($AX30,CaseTypeCol!$A:$A,0))))</f>
        <v>1</v>
      </c>
      <c r="X30" t="s">
        <v>11</v>
      </c>
      <c r="Y30" s="6" t="str">
        <f>INDEX(DataCollection!$B:$B,MATCH($X30,DataCollection!$A:$A,0))</f>
        <v>data_collection1</v>
      </c>
      <c r="AA30" s="6" t="str">
        <f>IF($Z30="","",INDEX(CaseTypeCol!$J:$J,MATCH($Z30,CaseTypeCol!$A:$A,0)))</f>
        <v/>
      </c>
      <c r="AC30" s="6" t="str">
        <f>IF($AB30="","",INDEX(IdentifierIssuer!$B:$B,MATCH($AB30,IdentifierIssuer!$A:$A,0)))</f>
        <v/>
      </c>
      <c r="AE30" s="6" t="str">
        <f>IF($AD30="","",INDEX(SequencingProtocol!$B:$B,MATCH($AD30,SequencingProtocol!$A:$A,0)))</f>
        <v/>
      </c>
      <c r="AG30" s="6" t="str">
        <f>IF($AF30="","",INDEX(AssemblyProtocol!$B:$B,MATCH($AF30,AssemblyProtocol!$A:$A,0)))</f>
        <v/>
      </c>
      <c r="AI30" s="14">
        <v>36526</v>
      </c>
      <c r="AJ30" t="s">
        <v>516</v>
      </c>
      <c r="AK30" t="s">
        <v>972</v>
      </c>
      <c r="AL30" s="6" t="str">
        <f>IF($AJ30="","",INDEX(CaseTypeCol!$J:$J,MATCH($AJ30,CaseTypeCol!$A:$A,0)))</f>
        <v>case_type_col1_7_0_1_TEXT</v>
      </c>
      <c r="AM30" s="6" t="b" cm="1">
        <f t="array" aca="1" ref="AM30" ca="1">IF($AJ30="",TRUE,IF($J30="",FALSE,IF(INDIRECT("OrganizationAccessCasePolicy!J"&amp;$J30)="",FALSE,NOT(ISNA(MATCH(INDIRECT("OrganizationAccessCasePolicy!J"&amp;$J30)&amp;"|"&amp;$AJ30,CaseTypeColSetMember!$H:$H,0))))))</f>
        <v>0</v>
      </c>
      <c r="AN30" s="6" t="b" cm="1">
        <f t="array" aca="1" ref="AN30" ca="1">IF($AJ30="",TRUE,IF($J30="",FALSE,IF(INDIRECT("OrganizationAccessCasePolicy!L"&amp;$J30)="",FALSE,NOT(ISNA(MATCH(INDIRECT("OrganizationAccessCasePolicy!L"&amp;$J30)&amp;"|"&amp;$AJ30,CaseTypeColSetMember!$H:$H,0))))))</f>
        <v>0</v>
      </c>
      <c r="AO30" s="6" t="b" cm="1">
        <f t="array" aca="1" ref="AO30" ca="1">IF($AJ30="",TRUE,IF($N30="",FALSE,IF(INDIRECT("UserAccessCasePolicy!I"&amp;$N30)="",FALSE,NOT(ISNA(MATCH(INDIRECT("UserAccessCasePolicy!I"&amp;$N30)&amp;"|"&amp;$AJ30,CaseTypeColSetMember!$H:$H,0))))))</f>
        <v>0</v>
      </c>
      <c r="AP30" s="6" t="b" cm="1">
        <f t="array" aca="1" ref="AP30" ca="1">IF($AJ30="",TRUE,IF($N30="",FALSE,IF(INDIRECT("UserAccessCasePolicy!K"&amp;$N30)="",FALSE,NOT(ISNA(MATCH(INDIRECT("UserAccessCasePolicy!K"&amp;$N30)&amp;"|"&amp;$AJ30,CaseTypeColSetMember!$H:$H,0))))))</f>
        <v>0</v>
      </c>
      <c r="AS30" s="6" t="str">
        <f>IF($AQ30="","",INDEX(CaseTypeCol!$J:$J,MATCH($AQ30,CaseTypeCol!$A:$A,0)))</f>
        <v/>
      </c>
      <c r="AT30" s="6" t="b" cm="1">
        <f t="array" aca="1" ref="AT30" ca="1">IF($AQ30="",TRUE,IF($J30="",FALSE,IF(INDIRECT("OrganizationAccessCasePolicy!J"&amp;$J30)="",FALSE,NOT(ISNA(MATCH(INDIRECT("OrganizationAccessCasePolicy!J"&amp;$J30)&amp;"|"&amp;$AQ30,CaseTypeColSetMember!$H:$H,0))))))</f>
        <v>1</v>
      </c>
      <c r="AU30" s="6" t="b" cm="1">
        <f t="array" aca="1" ref="AU30" ca="1">IF($AQ30="",TRUE,IF($J30="",FALSE,IF(INDIRECT("OrganizationAccessCasePolicy!L"&amp;$J30)="",FALSE,NOT(ISNA(MATCH(INDIRECT("OrganizationAccessCasePolicy!L"&amp;$J30)&amp;"|"&amp;$AQ30,CaseTypeColSetMember!$H:$H,0))))))</f>
        <v>1</v>
      </c>
      <c r="AV30" s="6" t="b" cm="1">
        <f t="array" aca="1" ref="AV30" ca="1">IF($AQ30="",TRUE,IF($N30="",FALSE,IF(INDIRECT("UserAccessCasePolicy!I"&amp;$N30)="",FALSE,NOT(ISNA(MATCH(INDIRECT("UserAccessCasePolicy!I"&amp;$N30)&amp;"|"&amp;$AQ30,CaseTypeColSetMember!$H:$H,0))))))</f>
        <v>1</v>
      </c>
      <c r="AW30" s="6" t="b" cm="1">
        <f t="array" aca="1" ref="AW30" ca="1">IF($AQ30="",TRUE,IF($N30="",FALSE,IF(INDIRECT("UserAccessCasePolicy!K"&amp;$N30)="",FALSE,NOT(ISNA(MATCH(INDIRECT("UserAccessCasePolicy!K"&amp;$N30)&amp;"|"&amp;$AQ30,CaseTypeColSetMember!$H:$H,0))))))</f>
        <v>1</v>
      </c>
      <c r="AZ30" s="6" t="str">
        <f>IF($AX30="","",INDEX(CaseTypeCol!$J:$J,MATCH($AX30,CaseTypeCol!$A:$A,0)))</f>
        <v/>
      </c>
      <c r="BA30" s="6" t="b" cm="1">
        <f t="array" aca="1" ref="BA30" ca="1">IF($AX30="",TRUE,IF($J30="",FALSE,IF(INDIRECT("OrganizationAccessCasePolicy!J"&amp;$J30)="",FALSE,NOT(ISNA(MATCH(INDIRECT("OrganizationAccessCasePolicy!J"&amp;$J30)&amp;"|"&amp;$AX30,CaseTypeColSetMember!$H:$H,0))))))</f>
        <v>1</v>
      </c>
      <c r="BB30" s="6" t="b" cm="1">
        <f t="array" aca="1" ref="BB30" ca="1">IF($AX30="",TRUE,IF($J30="",FALSE,IF(INDIRECT("OrganizationAccessCasePolicy!L"&amp;$J30)="",FALSE,NOT(ISNA(MATCH(INDIRECT("OrganizationAccessCasePolicy!L"&amp;$J30)&amp;"|"&amp;$AX30,CaseTypeColSetMember!$H:$H,0))))))</f>
        <v>1</v>
      </c>
      <c r="BC30" s="6" t="b" cm="1">
        <f t="array" aca="1" ref="BC30" ca="1">IF($AX30="",TRUE,IF($N30="",FALSE,IF(INDIRECT("UserAccessCasePolicy!I"&amp;$N30)="",FALSE,NOT(ISNA(MATCH(INDIRECT("UserAccessCasePolicy!I"&amp;$N30)&amp;"|"&amp;$AX30,CaseTypeColSetMember!$H:$H,0))))))</f>
        <v>1</v>
      </c>
      <c r="BD30" s="6" t="b" cm="1">
        <f t="array" aca="1" ref="BD30" ca="1">IF($AX30="",TRUE,IF($N30="",FALSE,IF(INDIRECT("UserAccessCasePolicy!K"&amp;$N30)="",FALSE,NOT(ISNA(MATCH(INDIRECT("UserAccessCasePolicy!K"&amp;$N30)&amp;"|"&amp;$AX30,CaseTypeColSetMember!$H:$H,0))))))</f>
        <v>1</v>
      </c>
    </row>
    <row r="31" spans="1:56" ht="15" customHeight="1" x14ac:dyDescent="0.3">
      <c r="A31">
        <v>30</v>
      </c>
      <c r="B31" t="b">
        <v>0</v>
      </c>
      <c r="C31" t="s">
        <v>1028</v>
      </c>
      <c r="D31" t="s">
        <v>34</v>
      </c>
      <c r="E31" s="6" t="str">
        <f>INDEX(User!$D:$D,MATCH($D31,User!$A:$A,0))</f>
        <v>org_user5_1</v>
      </c>
      <c r="F31" t="s">
        <v>982</v>
      </c>
      <c r="G31" s="19" t="b">
        <f ca="1">IF($F31="CREATE",$I31,IF($F31="CREATE_CASES",OR($I31,AND($K31,$L31,$O31,$P31,$AN31,AP31,$AU31,$AW31,$BB31,$BD31)),"TBD"))</f>
        <v>0</v>
      </c>
      <c r="H31" s="6" t="str">
        <f>INDEX(User!$G:$G,MATCH($D31,User!$A:$A,0))</f>
        <v>0195d18c-1c93-02a2-6920-7e4dbfb73ce0</v>
      </c>
      <c r="I31" s="6" t="b">
        <f>INDEX(User!$M:$M,MATCH($D31,User!$A:$A,0))</f>
        <v>0</v>
      </c>
      <c r="J31" s="6" t="str">
        <f>IF(ISNA(MATCH($H31&amp;"|"&amp;$X31,OrganizationAccessCasePolicy!$V:$V,0)),"",MATCH($H31&amp;"|"&amp;$X31,OrganizationAccessCasePolicy!$V:$V,0))</f>
        <v/>
      </c>
      <c r="K31" s="6" t="b" cm="1">
        <f t="array" aca="1" ref="K31" ca="1">IF($J31="",FALSE,NOT(ISNA(MATCH(INDIRECT("OrganizationAccessCasePolicy!D"&amp;$J31)&amp;"|"&amp;$T31,CaseTypeSetMember!$H:$H,0))))</f>
        <v>0</v>
      </c>
      <c r="L31" s="6" t="b" cm="1">
        <f t="array" aca="1" ref="L31" ca="1">IF($J31="",FALSE,AND(INDIRECT("OrganizationAccessCasePolicy!H"&amp;$J31),NOT(ISNA(MATCH(INDIRECT("OrganizationAccessCasePolicy!D"&amp;$J31)&amp;"|"&amp;$T31,CaseTypeSetMember!$H:$H,0)))))</f>
        <v>0</v>
      </c>
      <c r="M31" s="6" t="b" cm="1">
        <f t="array" aca="1" ref="M31" ca="1">IF($J31="",FALSE,AND(INDIRECT("OrganizationAccessCasePolicy!I"&amp;$J31),NOT(ISNA(MATCH(INDIRECT("OrganizationAccessCasePolicy!D"&amp;$J31)&amp;"|"&amp;$T31,CaseTypeSetMember!$H:$H,0)))))</f>
        <v>0</v>
      </c>
      <c r="N31" s="6" t="str">
        <f>IF(ISNA(MATCH($D31&amp;"|"&amp;$X31,UserAccessCasePolicy!$W:$W,0)),"",MATCH($D31&amp;"|"&amp;$X31,UserAccessCasePolicy!$W:$W,0))</f>
        <v/>
      </c>
      <c r="O31" s="6" t="b" cm="1">
        <f t="array" aca="1" ref="O31" ca="1">IF($N31="",FALSE,NOT(ISNA(MATCH(INDIRECT("UserAccessCasePolicy!D"&amp;$N31)&amp;"|"&amp;$T31,CaseTypeSetMember!$H:$H,0))))</f>
        <v>0</v>
      </c>
      <c r="P31" s="6" t="b" cm="1">
        <f t="array" aca="1" ref="P31" ca="1">IF($N31="",FALSE,AND(INDIRECT("UserAccessCasePolicy!G"&amp;$N31),NOT(ISNA(MATCH(INDIRECT("UserAccessCasePolicy!D"&amp;$N31)&amp;"|"&amp;$T31,CaseTypeSetMember!$H:$H,0)))))</f>
        <v>0</v>
      </c>
      <c r="Q31" s="6" t="b" cm="1">
        <f t="array" aca="1" ref="Q31" ca="1">IF($N31="",FALSE,AND(INDIRECT("UserAccessCasePolicy!H"&amp;$N31),NOT(ISNA(MATCH(INDIRECT("UserAccessCasePolicy!D"&amp;$N31)&amp;"|"&amp;$T31,CaseTypeSetMember!$H:$H,0)))))</f>
        <v>0</v>
      </c>
      <c r="R31" t="s">
        <v>1029</v>
      </c>
      <c r="S31" s="6" t="str">
        <f>"case"&amp;MATCH($R31,$R$1:$R31,0)-1</f>
        <v>case30</v>
      </c>
      <c r="T31" t="s">
        <v>115</v>
      </c>
      <c r="U31" s="6" t="str">
        <f>INDEX(CaseType!$B:$B,MATCH($T31,CaseType!$A:$A,0))</f>
        <v>case_type1</v>
      </c>
      <c r="V31" s="6" t="b">
        <f>AND(IF($AJ31="",TRUE,$T31=INDEX(CaseTypeCol!$B:$B,MATCH($AJ31,CaseTypeCol!$A:$A,0))),IF($AQ31="",TRUE,$T31=INDEX(CaseTypeCol!$B:$B,MATCH($AQ31,CaseTypeCol!$A:$A,0))),IF($AX31="",TRUE,$T31=INDEX(CaseTypeCol!$B:$B,MATCH($AX31,CaseTypeCol!$A:$A,0))))</f>
        <v>1</v>
      </c>
      <c r="X31" t="s">
        <v>11</v>
      </c>
      <c r="Y31" s="6" t="str">
        <f>INDEX(DataCollection!$B:$B,MATCH($X31,DataCollection!$A:$A,0))</f>
        <v>data_collection1</v>
      </c>
      <c r="AA31" s="6" t="str">
        <f>IF($Z31="","",INDEX(CaseTypeCol!$J:$J,MATCH($Z31,CaseTypeCol!$A:$A,0)))</f>
        <v/>
      </c>
      <c r="AC31" s="6" t="str">
        <f>IF($AB31="","",INDEX(IdentifierIssuer!$B:$B,MATCH($AB31,IdentifierIssuer!$A:$A,0)))</f>
        <v/>
      </c>
      <c r="AE31" s="6" t="str">
        <f>IF($AD31="","",INDEX(SequencingProtocol!$B:$B,MATCH($AD31,SequencingProtocol!$A:$A,0)))</f>
        <v/>
      </c>
      <c r="AG31" s="6" t="str">
        <f>IF($AF31="","",INDEX(AssemblyProtocol!$B:$B,MATCH($AF31,AssemblyProtocol!$A:$A,0)))</f>
        <v/>
      </c>
      <c r="AI31" s="14">
        <v>36526</v>
      </c>
      <c r="AJ31" t="s">
        <v>516</v>
      </c>
      <c r="AK31" t="s">
        <v>972</v>
      </c>
      <c r="AL31" s="6" t="str">
        <f>IF($AJ31="","",INDEX(CaseTypeCol!$J:$J,MATCH($AJ31,CaseTypeCol!$A:$A,0)))</f>
        <v>case_type_col1_7_0_1_TEXT</v>
      </c>
      <c r="AM31" s="6" t="b" cm="1">
        <f t="array" aca="1" ref="AM31" ca="1">IF($AJ31="",TRUE,IF($J31="",FALSE,IF(INDIRECT("OrganizationAccessCasePolicy!J"&amp;$J31)="",FALSE,NOT(ISNA(MATCH(INDIRECT("OrganizationAccessCasePolicy!J"&amp;$J31)&amp;"|"&amp;$AJ31,CaseTypeColSetMember!$H:$H,0))))))</f>
        <v>0</v>
      </c>
      <c r="AN31" s="6" t="b" cm="1">
        <f t="array" aca="1" ref="AN31" ca="1">IF($AJ31="",TRUE,IF($J31="",FALSE,IF(INDIRECT("OrganizationAccessCasePolicy!L"&amp;$J31)="",FALSE,NOT(ISNA(MATCH(INDIRECT("OrganizationAccessCasePolicy!L"&amp;$J31)&amp;"|"&amp;$AJ31,CaseTypeColSetMember!$H:$H,0))))))</f>
        <v>0</v>
      </c>
      <c r="AO31" s="6" t="b" cm="1">
        <f t="array" aca="1" ref="AO31" ca="1">IF($AJ31="",TRUE,IF($N31="",FALSE,IF(INDIRECT("UserAccessCasePolicy!I"&amp;$N31)="",FALSE,NOT(ISNA(MATCH(INDIRECT("UserAccessCasePolicy!I"&amp;$N31)&amp;"|"&amp;$AJ31,CaseTypeColSetMember!$H:$H,0))))))</f>
        <v>0</v>
      </c>
      <c r="AP31" s="6" t="b" cm="1">
        <f t="array" aca="1" ref="AP31" ca="1">IF($AJ31="",TRUE,IF($N31="",FALSE,IF(INDIRECT("UserAccessCasePolicy!K"&amp;$N31)="",FALSE,NOT(ISNA(MATCH(INDIRECT("UserAccessCasePolicy!K"&amp;$N31)&amp;"|"&amp;$AJ31,CaseTypeColSetMember!$H:$H,0))))))</f>
        <v>0</v>
      </c>
      <c r="AS31" s="6" t="str">
        <f>IF($AQ31="","",INDEX(CaseTypeCol!$J:$J,MATCH($AQ31,CaseTypeCol!$A:$A,0)))</f>
        <v/>
      </c>
      <c r="AT31" s="6" t="b" cm="1">
        <f t="array" aca="1" ref="AT31" ca="1">IF($AQ31="",TRUE,IF($J31="",FALSE,IF(INDIRECT("OrganizationAccessCasePolicy!J"&amp;$J31)="",FALSE,NOT(ISNA(MATCH(INDIRECT("OrganizationAccessCasePolicy!J"&amp;$J31)&amp;"|"&amp;$AQ31,CaseTypeColSetMember!$H:$H,0))))))</f>
        <v>1</v>
      </c>
      <c r="AU31" s="6" t="b" cm="1">
        <f t="array" aca="1" ref="AU31" ca="1">IF($AQ31="",TRUE,IF($J31="",FALSE,IF(INDIRECT("OrganizationAccessCasePolicy!L"&amp;$J31)="",FALSE,NOT(ISNA(MATCH(INDIRECT("OrganizationAccessCasePolicy!L"&amp;$J31)&amp;"|"&amp;$AQ31,CaseTypeColSetMember!$H:$H,0))))))</f>
        <v>1</v>
      </c>
      <c r="AV31" s="6" t="b" cm="1">
        <f t="array" aca="1" ref="AV31" ca="1">IF($AQ31="",TRUE,IF($N31="",FALSE,IF(INDIRECT("UserAccessCasePolicy!I"&amp;$N31)="",FALSE,NOT(ISNA(MATCH(INDIRECT("UserAccessCasePolicy!I"&amp;$N31)&amp;"|"&amp;$AQ31,CaseTypeColSetMember!$H:$H,0))))))</f>
        <v>1</v>
      </c>
      <c r="AW31" s="6" t="b" cm="1">
        <f t="array" aca="1" ref="AW31" ca="1">IF($AQ31="",TRUE,IF($N31="",FALSE,IF(INDIRECT("UserAccessCasePolicy!K"&amp;$N31)="",FALSE,NOT(ISNA(MATCH(INDIRECT("UserAccessCasePolicy!K"&amp;$N31)&amp;"|"&amp;$AQ31,CaseTypeColSetMember!$H:$H,0))))))</f>
        <v>1</v>
      </c>
      <c r="AZ31" s="6" t="str">
        <f>IF($AX31="","",INDEX(CaseTypeCol!$J:$J,MATCH($AX31,CaseTypeCol!$A:$A,0)))</f>
        <v/>
      </c>
      <c r="BA31" s="6" t="b" cm="1">
        <f t="array" aca="1" ref="BA31" ca="1">IF($AX31="",TRUE,IF($J31="",FALSE,IF(INDIRECT("OrganizationAccessCasePolicy!J"&amp;$J31)="",FALSE,NOT(ISNA(MATCH(INDIRECT("OrganizationAccessCasePolicy!J"&amp;$J31)&amp;"|"&amp;$AX31,CaseTypeColSetMember!$H:$H,0))))))</f>
        <v>1</v>
      </c>
      <c r="BB31" s="6" t="b" cm="1">
        <f t="array" aca="1" ref="BB31" ca="1">IF($AX31="",TRUE,IF($J31="",FALSE,IF(INDIRECT("OrganizationAccessCasePolicy!L"&amp;$J31)="",FALSE,NOT(ISNA(MATCH(INDIRECT("OrganizationAccessCasePolicy!L"&amp;$J31)&amp;"|"&amp;$AX31,CaseTypeColSetMember!$H:$H,0))))))</f>
        <v>1</v>
      </c>
      <c r="BC31" s="6" t="b" cm="1">
        <f t="array" aca="1" ref="BC31" ca="1">IF($AX31="",TRUE,IF($N31="",FALSE,IF(INDIRECT("UserAccessCasePolicy!I"&amp;$N31)="",FALSE,NOT(ISNA(MATCH(INDIRECT("UserAccessCasePolicy!I"&amp;$N31)&amp;"|"&amp;$AX31,CaseTypeColSetMember!$H:$H,0))))))</f>
        <v>1</v>
      </c>
      <c r="BD31" s="6" t="b" cm="1">
        <f t="array" aca="1" ref="BD31" ca="1">IF($AX31="",TRUE,IF($N31="",FALSE,IF(INDIRECT("UserAccessCasePolicy!K"&amp;$N31)="",FALSE,NOT(ISNA(MATCH(INDIRECT("UserAccessCasePolicy!K"&amp;$N31)&amp;"|"&amp;$AX31,CaseTypeColSetMember!$H:$H,0))))))</f>
        <v>1</v>
      </c>
    </row>
    <row r="32" spans="1:56" ht="15" customHeight="1" x14ac:dyDescent="0.3">
      <c r="A32">
        <v>31</v>
      </c>
      <c r="B32" t="b">
        <v>0</v>
      </c>
      <c r="C32" t="s">
        <v>1030</v>
      </c>
      <c r="D32" t="s">
        <v>36</v>
      </c>
      <c r="E32" s="6" t="str">
        <f>INDEX(User!$D:$D,MATCH($D32,User!$A:$A,0))</f>
        <v>org_user5_2</v>
      </c>
      <c r="F32" t="s">
        <v>982</v>
      </c>
      <c r="G32" s="19" t="b">
        <f ca="1">IF($F32="CREATE",$I32,IF($F32="CREATE_CASES",OR($I32,AND($K32,$L32,$O32,$P32,$AN32,AP32,$AU32,$AW32,$BB32,$BD32)),"TBD"))</f>
        <v>0</v>
      </c>
      <c r="H32" s="6" t="str">
        <f>INDEX(User!$G:$G,MATCH($D32,User!$A:$A,0))</f>
        <v>0195d18c-1c93-02a2-6920-7e4dbfb73ce0</v>
      </c>
      <c r="I32" s="6" t="b">
        <f>INDEX(User!$M:$M,MATCH($D32,User!$A:$A,0))</f>
        <v>0</v>
      </c>
      <c r="J32" s="6" t="str">
        <f>IF(ISNA(MATCH($H32&amp;"|"&amp;$X32,OrganizationAccessCasePolicy!$V:$V,0)),"",MATCH($H32&amp;"|"&amp;$X32,OrganizationAccessCasePolicy!$V:$V,0))</f>
        <v/>
      </c>
      <c r="K32" s="6" t="b" cm="1">
        <f t="array" aca="1" ref="K32" ca="1">IF($J32="",FALSE,NOT(ISNA(MATCH(INDIRECT("OrganizationAccessCasePolicy!D"&amp;$J32)&amp;"|"&amp;$T32,CaseTypeSetMember!$H:$H,0))))</f>
        <v>0</v>
      </c>
      <c r="L32" s="6" t="b" cm="1">
        <f t="array" aca="1" ref="L32" ca="1">IF($J32="",FALSE,AND(INDIRECT("OrganizationAccessCasePolicy!H"&amp;$J32),NOT(ISNA(MATCH(INDIRECT("OrganizationAccessCasePolicy!D"&amp;$J32)&amp;"|"&amp;$T32,CaseTypeSetMember!$H:$H,0)))))</f>
        <v>0</v>
      </c>
      <c r="M32" s="6" t="b" cm="1">
        <f t="array" aca="1" ref="M32" ca="1">IF($J32="",FALSE,AND(INDIRECT("OrganizationAccessCasePolicy!I"&amp;$J32),NOT(ISNA(MATCH(INDIRECT("OrganizationAccessCasePolicy!D"&amp;$J32)&amp;"|"&amp;$T32,CaseTypeSetMember!$H:$H,0)))))</f>
        <v>0</v>
      </c>
      <c r="N32" s="6" t="str">
        <f>IF(ISNA(MATCH($D32&amp;"|"&amp;$X32,UserAccessCasePolicy!$W:$W,0)),"",MATCH($D32&amp;"|"&amp;$X32,UserAccessCasePolicy!$W:$W,0))</f>
        <v/>
      </c>
      <c r="O32" s="6" t="b" cm="1">
        <f t="array" aca="1" ref="O32" ca="1">IF($N32="",FALSE,NOT(ISNA(MATCH(INDIRECT("UserAccessCasePolicy!D"&amp;$N32)&amp;"|"&amp;$T32,CaseTypeSetMember!$H:$H,0))))</f>
        <v>0</v>
      </c>
      <c r="P32" s="6" t="b" cm="1">
        <f t="array" aca="1" ref="P32" ca="1">IF($N32="",FALSE,AND(INDIRECT("UserAccessCasePolicy!G"&amp;$N32),NOT(ISNA(MATCH(INDIRECT("UserAccessCasePolicy!D"&amp;$N32)&amp;"|"&amp;$T32,CaseTypeSetMember!$H:$H,0)))))</f>
        <v>0</v>
      </c>
      <c r="Q32" s="6" t="b" cm="1">
        <f t="array" aca="1" ref="Q32" ca="1">IF($N32="",FALSE,AND(INDIRECT("UserAccessCasePolicy!H"&amp;$N32),NOT(ISNA(MATCH(INDIRECT("UserAccessCasePolicy!D"&amp;$N32)&amp;"|"&amp;$T32,CaseTypeSetMember!$H:$H,0)))))</f>
        <v>0</v>
      </c>
      <c r="R32" t="s">
        <v>1031</v>
      </c>
      <c r="S32" s="6" t="str">
        <f>"case"&amp;MATCH($R32,$R$1:$R32,0)-1</f>
        <v>case31</v>
      </c>
      <c r="T32" t="s">
        <v>115</v>
      </c>
      <c r="U32" s="6" t="str">
        <f>INDEX(CaseType!$B:$B,MATCH($T32,CaseType!$A:$A,0))</f>
        <v>case_type1</v>
      </c>
      <c r="V32" s="6" t="b">
        <f>AND(IF($AJ32="",TRUE,$T32=INDEX(CaseTypeCol!$B:$B,MATCH($AJ32,CaseTypeCol!$A:$A,0))),IF($AQ32="",TRUE,$T32=INDEX(CaseTypeCol!$B:$B,MATCH($AQ32,CaseTypeCol!$A:$A,0))),IF($AX32="",TRUE,$T32=INDEX(CaseTypeCol!$B:$B,MATCH($AX32,CaseTypeCol!$A:$A,0))))</f>
        <v>1</v>
      </c>
      <c r="X32" t="s">
        <v>11</v>
      </c>
      <c r="Y32" s="6" t="str">
        <f>INDEX(DataCollection!$B:$B,MATCH($X32,DataCollection!$A:$A,0))</f>
        <v>data_collection1</v>
      </c>
      <c r="AA32" s="6" t="str">
        <f>IF($Z32="","",INDEX(CaseTypeCol!$J:$J,MATCH($Z32,CaseTypeCol!$A:$A,0)))</f>
        <v/>
      </c>
      <c r="AC32" s="6" t="str">
        <f>IF($AB32="","",INDEX(IdentifierIssuer!$B:$B,MATCH($AB32,IdentifierIssuer!$A:$A,0)))</f>
        <v/>
      </c>
      <c r="AE32" s="6" t="str">
        <f>IF($AD32="","",INDEX(SequencingProtocol!$B:$B,MATCH($AD32,SequencingProtocol!$A:$A,0)))</f>
        <v/>
      </c>
      <c r="AG32" s="6" t="str">
        <f>IF($AF32="","",INDEX(AssemblyProtocol!$B:$B,MATCH($AF32,AssemblyProtocol!$A:$A,0)))</f>
        <v/>
      </c>
      <c r="AI32" s="14">
        <v>36526</v>
      </c>
      <c r="AJ32" t="s">
        <v>516</v>
      </c>
      <c r="AK32" t="s">
        <v>972</v>
      </c>
      <c r="AL32" s="6" t="str">
        <f>IF($AJ32="","",INDEX(CaseTypeCol!$J:$J,MATCH($AJ32,CaseTypeCol!$A:$A,0)))</f>
        <v>case_type_col1_7_0_1_TEXT</v>
      </c>
      <c r="AM32" s="6" t="b" cm="1">
        <f t="array" aca="1" ref="AM32" ca="1">IF($AJ32="",TRUE,IF($J32="",FALSE,IF(INDIRECT("OrganizationAccessCasePolicy!J"&amp;$J32)="",FALSE,NOT(ISNA(MATCH(INDIRECT("OrganizationAccessCasePolicy!J"&amp;$J32)&amp;"|"&amp;$AJ32,CaseTypeColSetMember!$H:$H,0))))))</f>
        <v>0</v>
      </c>
      <c r="AN32" s="6" t="b" cm="1">
        <f t="array" aca="1" ref="AN32" ca="1">IF($AJ32="",TRUE,IF($J32="",FALSE,IF(INDIRECT("OrganizationAccessCasePolicy!L"&amp;$J32)="",FALSE,NOT(ISNA(MATCH(INDIRECT("OrganizationAccessCasePolicy!L"&amp;$J32)&amp;"|"&amp;$AJ32,CaseTypeColSetMember!$H:$H,0))))))</f>
        <v>0</v>
      </c>
      <c r="AO32" s="6" t="b" cm="1">
        <f t="array" aca="1" ref="AO32" ca="1">IF($AJ32="",TRUE,IF($N32="",FALSE,IF(INDIRECT("UserAccessCasePolicy!I"&amp;$N32)="",FALSE,NOT(ISNA(MATCH(INDIRECT("UserAccessCasePolicy!I"&amp;$N32)&amp;"|"&amp;$AJ32,CaseTypeColSetMember!$H:$H,0))))))</f>
        <v>0</v>
      </c>
      <c r="AP32" s="6" t="b" cm="1">
        <f t="array" aca="1" ref="AP32" ca="1">IF($AJ32="",TRUE,IF($N32="",FALSE,IF(INDIRECT("UserAccessCasePolicy!K"&amp;$N32)="",FALSE,NOT(ISNA(MATCH(INDIRECT("UserAccessCasePolicy!K"&amp;$N32)&amp;"|"&amp;$AJ32,CaseTypeColSetMember!$H:$H,0))))))</f>
        <v>0</v>
      </c>
      <c r="AS32" s="6" t="str">
        <f>IF($AQ32="","",INDEX(CaseTypeCol!$J:$J,MATCH($AQ32,CaseTypeCol!$A:$A,0)))</f>
        <v/>
      </c>
      <c r="AT32" s="6" t="b" cm="1">
        <f t="array" aca="1" ref="AT32" ca="1">IF($AQ32="",TRUE,IF($J32="",FALSE,IF(INDIRECT("OrganizationAccessCasePolicy!J"&amp;$J32)="",FALSE,NOT(ISNA(MATCH(INDIRECT("OrganizationAccessCasePolicy!J"&amp;$J32)&amp;"|"&amp;$AQ32,CaseTypeColSetMember!$H:$H,0))))))</f>
        <v>1</v>
      </c>
      <c r="AU32" s="6" t="b" cm="1">
        <f t="array" aca="1" ref="AU32" ca="1">IF($AQ32="",TRUE,IF($J32="",FALSE,IF(INDIRECT("OrganizationAccessCasePolicy!L"&amp;$J32)="",FALSE,NOT(ISNA(MATCH(INDIRECT("OrganizationAccessCasePolicy!L"&amp;$J32)&amp;"|"&amp;$AQ32,CaseTypeColSetMember!$H:$H,0))))))</f>
        <v>1</v>
      </c>
      <c r="AV32" s="6" t="b" cm="1">
        <f t="array" aca="1" ref="AV32" ca="1">IF($AQ32="",TRUE,IF($N32="",FALSE,IF(INDIRECT("UserAccessCasePolicy!I"&amp;$N32)="",FALSE,NOT(ISNA(MATCH(INDIRECT("UserAccessCasePolicy!I"&amp;$N32)&amp;"|"&amp;$AQ32,CaseTypeColSetMember!$H:$H,0))))))</f>
        <v>1</v>
      </c>
      <c r="AW32" s="6" t="b" cm="1">
        <f t="array" aca="1" ref="AW32" ca="1">IF($AQ32="",TRUE,IF($N32="",FALSE,IF(INDIRECT("UserAccessCasePolicy!K"&amp;$N32)="",FALSE,NOT(ISNA(MATCH(INDIRECT("UserAccessCasePolicy!K"&amp;$N32)&amp;"|"&amp;$AQ32,CaseTypeColSetMember!$H:$H,0))))))</f>
        <v>1</v>
      </c>
      <c r="AZ32" s="6" t="str">
        <f>IF($AX32="","",INDEX(CaseTypeCol!$J:$J,MATCH($AX32,CaseTypeCol!$A:$A,0)))</f>
        <v/>
      </c>
      <c r="BA32" s="6" t="b" cm="1">
        <f t="array" aca="1" ref="BA32" ca="1">IF($AX32="",TRUE,IF($J32="",FALSE,IF(INDIRECT("OrganizationAccessCasePolicy!J"&amp;$J32)="",FALSE,NOT(ISNA(MATCH(INDIRECT("OrganizationAccessCasePolicy!J"&amp;$J32)&amp;"|"&amp;$AX32,CaseTypeColSetMember!$H:$H,0))))))</f>
        <v>1</v>
      </c>
      <c r="BB32" s="6" t="b" cm="1">
        <f t="array" aca="1" ref="BB32" ca="1">IF($AX32="",TRUE,IF($J32="",FALSE,IF(INDIRECT("OrganizationAccessCasePolicy!L"&amp;$J32)="",FALSE,NOT(ISNA(MATCH(INDIRECT("OrganizationAccessCasePolicy!L"&amp;$J32)&amp;"|"&amp;$AX32,CaseTypeColSetMember!$H:$H,0))))))</f>
        <v>1</v>
      </c>
      <c r="BC32" s="6" t="b" cm="1">
        <f t="array" aca="1" ref="BC32" ca="1">IF($AX32="",TRUE,IF($N32="",FALSE,IF(INDIRECT("UserAccessCasePolicy!I"&amp;$N32)="",FALSE,NOT(ISNA(MATCH(INDIRECT("UserAccessCasePolicy!I"&amp;$N32)&amp;"|"&amp;$AX32,CaseTypeColSetMember!$H:$H,0))))))</f>
        <v>1</v>
      </c>
      <c r="BD32" s="6" t="b" cm="1">
        <f t="array" aca="1" ref="BD32" ca="1">IF($AX32="",TRUE,IF($N32="",FALSE,IF(INDIRECT("UserAccessCasePolicy!K"&amp;$N32)="",FALSE,NOT(ISNA(MATCH(INDIRECT("UserAccessCasePolicy!K"&amp;$N32)&amp;"|"&amp;$AX32,CaseTypeColSetMember!$H:$H,0))))))</f>
        <v>1</v>
      </c>
    </row>
    <row r="33" spans="1:56" ht="15" customHeight="1" x14ac:dyDescent="0.3">
      <c r="A33">
        <v>32</v>
      </c>
      <c r="B33" t="b">
        <v>0</v>
      </c>
      <c r="C33" t="s">
        <v>1032</v>
      </c>
      <c r="D33" t="s">
        <v>37</v>
      </c>
      <c r="E33" s="6" t="str">
        <f>INDEX(User!$D:$D,MATCH($D33,User!$A:$A,0))</f>
        <v>org_user5_3</v>
      </c>
      <c r="F33" t="s">
        <v>982</v>
      </c>
      <c r="G33" s="19" t="b">
        <f ca="1">IF($F33="CREATE",$I33,IF($F33="CREATE_CASES",OR($I33,AND($K33,$L33,$O33,$P33,$AN33,AP33,$AU33,$AW33,$BB33,$BD33)),"TBD"))</f>
        <v>0</v>
      </c>
      <c r="H33" s="6" t="str">
        <f>INDEX(User!$G:$G,MATCH($D33,User!$A:$A,0))</f>
        <v>0195d18c-1c93-02a2-6920-7e4dbfb73ce0</v>
      </c>
      <c r="I33" s="6" t="b">
        <f>INDEX(User!$M:$M,MATCH($D33,User!$A:$A,0))</f>
        <v>0</v>
      </c>
      <c r="J33" s="6" t="str">
        <f>IF(ISNA(MATCH($H33&amp;"|"&amp;$X33,OrganizationAccessCasePolicy!$V:$V,0)),"",MATCH($H33&amp;"|"&amp;$X33,OrganizationAccessCasePolicy!$V:$V,0))</f>
        <v/>
      </c>
      <c r="K33" s="6" t="b" cm="1">
        <f t="array" aca="1" ref="K33" ca="1">IF($J33="",FALSE,NOT(ISNA(MATCH(INDIRECT("OrganizationAccessCasePolicy!D"&amp;$J33)&amp;"|"&amp;$T33,CaseTypeSetMember!$H:$H,0))))</f>
        <v>0</v>
      </c>
      <c r="L33" s="6" t="b" cm="1">
        <f t="array" aca="1" ref="L33" ca="1">IF($J33="",FALSE,AND(INDIRECT("OrganizationAccessCasePolicy!H"&amp;$J33),NOT(ISNA(MATCH(INDIRECT("OrganizationAccessCasePolicy!D"&amp;$J33)&amp;"|"&amp;$T33,CaseTypeSetMember!$H:$H,0)))))</f>
        <v>0</v>
      </c>
      <c r="M33" s="6" t="b" cm="1">
        <f t="array" aca="1" ref="M33" ca="1">IF($J33="",FALSE,AND(INDIRECT("OrganizationAccessCasePolicy!I"&amp;$J33),NOT(ISNA(MATCH(INDIRECT("OrganizationAccessCasePolicy!D"&amp;$J33)&amp;"|"&amp;$T33,CaseTypeSetMember!$H:$H,0)))))</f>
        <v>0</v>
      </c>
      <c r="N33" s="6" t="str">
        <f>IF(ISNA(MATCH($D33&amp;"|"&amp;$X33,UserAccessCasePolicy!$W:$W,0)),"",MATCH($D33&amp;"|"&amp;$X33,UserAccessCasePolicy!$W:$W,0))</f>
        <v/>
      </c>
      <c r="O33" s="6" t="b" cm="1">
        <f t="array" aca="1" ref="O33" ca="1">IF($N33="",FALSE,NOT(ISNA(MATCH(INDIRECT("UserAccessCasePolicy!D"&amp;$N33)&amp;"|"&amp;$T33,CaseTypeSetMember!$H:$H,0))))</f>
        <v>0</v>
      </c>
      <c r="P33" s="6" t="b" cm="1">
        <f t="array" aca="1" ref="P33" ca="1">IF($N33="",FALSE,AND(INDIRECT("UserAccessCasePolicy!G"&amp;$N33),NOT(ISNA(MATCH(INDIRECT("UserAccessCasePolicy!D"&amp;$N33)&amp;"|"&amp;$T33,CaseTypeSetMember!$H:$H,0)))))</f>
        <v>0</v>
      </c>
      <c r="Q33" s="6" t="b" cm="1">
        <f t="array" aca="1" ref="Q33" ca="1">IF($N33="",FALSE,AND(INDIRECT("UserAccessCasePolicy!H"&amp;$N33),NOT(ISNA(MATCH(INDIRECT("UserAccessCasePolicy!D"&amp;$N33)&amp;"|"&amp;$T33,CaseTypeSetMember!$H:$H,0)))))</f>
        <v>0</v>
      </c>
      <c r="R33" t="s">
        <v>1033</v>
      </c>
      <c r="S33" s="6" t="str">
        <f>"case"&amp;MATCH($R33,$R$1:$R33,0)-1</f>
        <v>case32</v>
      </c>
      <c r="T33" t="s">
        <v>115</v>
      </c>
      <c r="U33" s="6" t="str">
        <f>INDEX(CaseType!$B:$B,MATCH($T33,CaseType!$A:$A,0))</f>
        <v>case_type1</v>
      </c>
      <c r="V33" s="6" t="b">
        <f>AND(IF($AJ33="",TRUE,$T33=INDEX(CaseTypeCol!$B:$B,MATCH($AJ33,CaseTypeCol!$A:$A,0))),IF($AQ33="",TRUE,$T33=INDEX(CaseTypeCol!$B:$B,MATCH($AQ33,CaseTypeCol!$A:$A,0))),IF($AX33="",TRUE,$T33=INDEX(CaseTypeCol!$B:$B,MATCH($AX33,CaseTypeCol!$A:$A,0))))</f>
        <v>1</v>
      </c>
      <c r="X33" t="s">
        <v>11</v>
      </c>
      <c r="Y33" s="6" t="str">
        <f>INDEX(DataCollection!$B:$B,MATCH($X33,DataCollection!$A:$A,0))</f>
        <v>data_collection1</v>
      </c>
      <c r="AA33" s="6" t="str">
        <f>IF($Z33="","",INDEX(CaseTypeCol!$J:$J,MATCH($Z33,CaseTypeCol!$A:$A,0)))</f>
        <v/>
      </c>
      <c r="AC33" s="6" t="str">
        <f>IF($AB33="","",INDEX(IdentifierIssuer!$B:$B,MATCH($AB33,IdentifierIssuer!$A:$A,0)))</f>
        <v/>
      </c>
      <c r="AE33" s="6" t="str">
        <f>IF($AD33="","",INDEX(SequencingProtocol!$B:$B,MATCH($AD33,SequencingProtocol!$A:$A,0)))</f>
        <v/>
      </c>
      <c r="AG33" s="6" t="str">
        <f>IF($AF33="","",INDEX(AssemblyProtocol!$B:$B,MATCH($AF33,AssemblyProtocol!$A:$A,0)))</f>
        <v/>
      </c>
      <c r="AI33" s="14">
        <v>36526</v>
      </c>
      <c r="AJ33" t="s">
        <v>516</v>
      </c>
      <c r="AK33" t="s">
        <v>972</v>
      </c>
      <c r="AL33" s="6" t="str">
        <f>IF($AJ33="","",INDEX(CaseTypeCol!$J:$J,MATCH($AJ33,CaseTypeCol!$A:$A,0)))</f>
        <v>case_type_col1_7_0_1_TEXT</v>
      </c>
      <c r="AM33" s="6" t="b" cm="1">
        <f t="array" aca="1" ref="AM33" ca="1">IF($AJ33="",TRUE,IF($J33="",FALSE,IF(INDIRECT("OrganizationAccessCasePolicy!J"&amp;$J33)="",FALSE,NOT(ISNA(MATCH(INDIRECT("OrganizationAccessCasePolicy!J"&amp;$J33)&amp;"|"&amp;$AJ33,CaseTypeColSetMember!$H:$H,0))))))</f>
        <v>0</v>
      </c>
      <c r="AN33" s="6" t="b" cm="1">
        <f t="array" aca="1" ref="AN33" ca="1">IF($AJ33="",TRUE,IF($J33="",FALSE,IF(INDIRECT("OrganizationAccessCasePolicy!L"&amp;$J33)="",FALSE,NOT(ISNA(MATCH(INDIRECT("OrganizationAccessCasePolicy!L"&amp;$J33)&amp;"|"&amp;$AJ33,CaseTypeColSetMember!$H:$H,0))))))</f>
        <v>0</v>
      </c>
      <c r="AO33" s="6" t="b" cm="1">
        <f t="array" aca="1" ref="AO33" ca="1">IF($AJ33="",TRUE,IF($N33="",FALSE,IF(INDIRECT("UserAccessCasePolicy!I"&amp;$N33)="",FALSE,NOT(ISNA(MATCH(INDIRECT("UserAccessCasePolicy!I"&amp;$N33)&amp;"|"&amp;$AJ33,CaseTypeColSetMember!$H:$H,0))))))</f>
        <v>0</v>
      </c>
      <c r="AP33" s="6" t="b" cm="1">
        <f t="array" aca="1" ref="AP33" ca="1">IF($AJ33="",TRUE,IF($N33="",FALSE,IF(INDIRECT("UserAccessCasePolicy!K"&amp;$N33)="",FALSE,NOT(ISNA(MATCH(INDIRECT("UserAccessCasePolicy!K"&amp;$N33)&amp;"|"&amp;$AJ33,CaseTypeColSetMember!$H:$H,0))))))</f>
        <v>0</v>
      </c>
      <c r="AS33" s="6" t="str">
        <f>IF($AQ33="","",INDEX(CaseTypeCol!$J:$J,MATCH($AQ33,CaseTypeCol!$A:$A,0)))</f>
        <v/>
      </c>
      <c r="AT33" s="6" t="b" cm="1">
        <f t="array" aca="1" ref="AT33" ca="1">IF($AQ33="",TRUE,IF($J33="",FALSE,IF(INDIRECT("OrganizationAccessCasePolicy!J"&amp;$J33)="",FALSE,NOT(ISNA(MATCH(INDIRECT("OrganizationAccessCasePolicy!J"&amp;$J33)&amp;"|"&amp;$AQ33,CaseTypeColSetMember!$H:$H,0))))))</f>
        <v>1</v>
      </c>
      <c r="AU33" s="6" t="b" cm="1">
        <f t="array" aca="1" ref="AU33" ca="1">IF($AQ33="",TRUE,IF($J33="",FALSE,IF(INDIRECT("OrganizationAccessCasePolicy!L"&amp;$J33)="",FALSE,NOT(ISNA(MATCH(INDIRECT("OrganizationAccessCasePolicy!L"&amp;$J33)&amp;"|"&amp;$AQ33,CaseTypeColSetMember!$H:$H,0))))))</f>
        <v>1</v>
      </c>
      <c r="AV33" s="6" t="b" cm="1">
        <f t="array" aca="1" ref="AV33" ca="1">IF($AQ33="",TRUE,IF($N33="",FALSE,IF(INDIRECT("UserAccessCasePolicy!I"&amp;$N33)="",FALSE,NOT(ISNA(MATCH(INDIRECT("UserAccessCasePolicy!I"&amp;$N33)&amp;"|"&amp;$AQ33,CaseTypeColSetMember!$H:$H,0))))))</f>
        <v>1</v>
      </c>
      <c r="AW33" s="6" t="b" cm="1">
        <f t="array" aca="1" ref="AW33" ca="1">IF($AQ33="",TRUE,IF($N33="",FALSE,IF(INDIRECT("UserAccessCasePolicy!K"&amp;$N33)="",FALSE,NOT(ISNA(MATCH(INDIRECT("UserAccessCasePolicy!K"&amp;$N33)&amp;"|"&amp;$AQ33,CaseTypeColSetMember!$H:$H,0))))))</f>
        <v>1</v>
      </c>
      <c r="AZ33" s="6" t="str">
        <f>IF($AX33="","",INDEX(CaseTypeCol!$J:$J,MATCH($AX33,CaseTypeCol!$A:$A,0)))</f>
        <v/>
      </c>
      <c r="BA33" s="6" t="b" cm="1">
        <f t="array" aca="1" ref="BA33" ca="1">IF($AX33="",TRUE,IF($J33="",FALSE,IF(INDIRECT("OrganizationAccessCasePolicy!J"&amp;$J33)="",FALSE,NOT(ISNA(MATCH(INDIRECT("OrganizationAccessCasePolicy!J"&amp;$J33)&amp;"|"&amp;$AX33,CaseTypeColSetMember!$H:$H,0))))))</f>
        <v>1</v>
      </c>
      <c r="BB33" s="6" t="b" cm="1">
        <f t="array" aca="1" ref="BB33" ca="1">IF($AX33="",TRUE,IF($J33="",FALSE,IF(INDIRECT("OrganizationAccessCasePolicy!L"&amp;$J33)="",FALSE,NOT(ISNA(MATCH(INDIRECT("OrganizationAccessCasePolicy!L"&amp;$J33)&amp;"|"&amp;$AX33,CaseTypeColSetMember!$H:$H,0))))))</f>
        <v>1</v>
      </c>
      <c r="BC33" s="6" t="b" cm="1">
        <f t="array" aca="1" ref="BC33" ca="1">IF($AX33="",TRUE,IF($N33="",FALSE,IF(INDIRECT("UserAccessCasePolicy!I"&amp;$N33)="",FALSE,NOT(ISNA(MATCH(INDIRECT("UserAccessCasePolicy!I"&amp;$N33)&amp;"|"&amp;$AX33,CaseTypeColSetMember!$H:$H,0))))))</f>
        <v>1</v>
      </c>
      <c r="BD33" s="6" t="b" cm="1">
        <f t="array" aca="1" ref="BD33" ca="1">IF($AX33="",TRUE,IF($N33="",FALSE,IF(INDIRECT("UserAccessCasePolicy!K"&amp;$N33)="",FALSE,NOT(ISNA(MATCH(INDIRECT("UserAccessCasePolicy!K"&amp;$N33)&amp;"|"&amp;$AX33,CaseTypeColSetMember!$H:$H,0))))))</f>
        <v>1</v>
      </c>
    </row>
    <row r="34" spans="1:56" ht="15" customHeight="1" x14ac:dyDescent="0.3">
      <c r="A34">
        <v>33</v>
      </c>
      <c r="B34" t="b">
        <v>0</v>
      </c>
      <c r="C34" t="s">
        <v>1034</v>
      </c>
      <c r="D34" t="s">
        <v>38</v>
      </c>
      <c r="E34" s="6" t="str">
        <f>INDEX(User!$D:$D,MATCH($D34,User!$A:$A,0))</f>
        <v>org_user5_4</v>
      </c>
      <c r="F34" t="s">
        <v>982</v>
      </c>
      <c r="G34" s="19" t="b">
        <f ca="1">IF($F34="CREATE",$I34,IF($F34="CREATE_CASES",OR($I34,AND($K34,$L34,$O34,$P34,$AN34,AP34,$AU34,$AW34,$BB34,$BD34)),"TBD"))</f>
        <v>0</v>
      </c>
      <c r="H34" s="6" t="str">
        <f>INDEX(User!$G:$G,MATCH($D34,User!$A:$A,0))</f>
        <v>0195d18c-1c93-02a2-6920-7e4dbfb73ce0</v>
      </c>
      <c r="I34" s="6" t="b">
        <f>INDEX(User!$M:$M,MATCH($D34,User!$A:$A,0))</f>
        <v>0</v>
      </c>
      <c r="J34" s="6" t="str">
        <f>IF(ISNA(MATCH($H34&amp;"|"&amp;$X34,OrganizationAccessCasePolicy!$V:$V,0)),"",MATCH($H34&amp;"|"&amp;$X34,OrganizationAccessCasePolicy!$V:$V,0))</f>
        <v/>
      </c>
      <c r="K34" s="6" t="b" cm="1">
        <f t="array" aca="1" ref="K34" ca="1">IF($J34="",FALSE,NOT(ISNA(MATCH(INDIRECT("OrganizationAccessCasePolicy!D"&amp;$J34)&amp;"|"&amp;$T34,CaseTypeSetMember!$H:$H,0))))</f>
        <v>0</v>
      </c>
      <c r="L34" s="6" t="b" cm="1">
        <f t="array" aca="1" ref="L34" ca="1">IF($J34="",FALSE,AND(INDIRECT("OrganizationAccessCasePolicy!H"&amp;$J34),NOT(ISNA(MATCH(INDIRECT("OrganizationAccessCasePolicy!D"&amp;$J34)&amp;"|"&amp;$T34,CaseTypeSetMember!$H:$H,0)))))</f>
        <v>0</v>
      </c>
      <c r="M34" s="6" t="b" cm="1">
        <f t="array" aca="1" ref="M34" ca="1">IF($J34="",FALSE,AND(INDIRECT("OrganizationAccessCasePolicy!I"&amp;$J34),NOT(ISNA(MATCH(INDIRECT("OrganizationAccessCasePolicy!D"&amp;$J34)&amp;"|"&amp;$T34,CaseTypeSetMember!$H:$H,0)))))</f>
        <v>0</v>
      </c>
      <c r="N34" s="6" t="str">
        <f>IF(ISNA(MATCH($D34&amp;"|"&amp;$X34,UserAccessCasePolicy!$W:$W,0)),"",MATCH($D34&amp;"|"&amp;$X34,UserAccessCasePolicy!$W:$W,0))</f>
        <v/>
      </c>
      <c r="O34" s="6" t="b" cm="1">
        <f t="array" aca="1" ref="O34" ca="1">IF($N34="",FALSE,NOT(ISNA(MATCH(INDIRECT("UserAccessCasePolicy!D"&amp;$N34)&amp;"|"&amp;$T34,CaseTypeSetMember!$H:$H,0))))</f>
        <v>0</v>
      </c>
      <c r="P34" s="6" t="b" cm="1">
        <f t="array" aca="1" ref="P34" ca="1">IF($N34="",FALSE,AND(INDIRECT("UserAccessCasePolicy!G"&amp;$N34),NOT(ISNA(MATCH(INDIRECT("UserAccessCasePolicy!D"&amp;$N34)&amp;"|"&amp;$T34,CaseTypeSetMember!$H:$H,0)))))</f>
        <v>0</v>
      </c>
      <c r="Q34" s="6" t="b" cm="1">
        <f t="array" aca="1" ref="Q34" ca="1">IF($N34="",FALSE,AND(INDIRECT("UserAccessCasePolicy!H"&amp;$N34),NOT(ISNA(MATCH(INDIRECT("UserAccessCasePolicy!D"&amp;$N34)&amp;"|"&amp;$T34,CaseTypeSetMember!$H:$H,0)))))</f>
        <v>0</v>
      </c>
      <c r="R34" t="s">
        <v>1035</v>
      </c>
      <c r="S34" s="6" t="str">
        <f>"case"&amp;MATCH($R34,$R$1:$R34,0)-1</f>
        <v>case33</v>
      </c>
      <c r="T34" t="s">
        <v>115</v>
      </c>
      <c r="U34" s="6" t="str">
        <f>INDEX(CaseType!$B:$B,MATCH($T34,CaseType!$A:$A,0))</f>
        <v>case_type1</v>
      </c>
      <c r="V34" s="6" t="b">
        <f>AND(IF($AJ34="",TRUE,$T34=INDEX(CaseTypeCol!$B:$B,MATCH($AJ34,CaseTypeCol!$A:$A,0))),IF($AQ34="",TRUE,$T34=INDEX(CaseTypeCol!$B:$B,MATCH($AQ34,CaseTypeCol!$A:$A,0))),IF($AX34="",TRUE,$T34=INDEX(CaseTypeCol!$B:$B,MATCH($AX34,CaseTypeCol!$A:$A,0))))</f>
        <v>1</v>
      </c>
      <c r="X34" t="s">
        <v>11</v>
      </c>
      <c r="Y34" s="6" t="str">
        <f>INDEX(DataCollection!$B:$B,MATCH($X34,DataCollection!$A:$A,0))</f>
        <v>data_collection1</v>
      </c>
      <c r="AA34" s="6" t="str">
        <f>IF($Z34="","",INDEX(CaseTypeCol!$J:$J,MATCH($Z34,CaseTypeCol!$A:$A,0)))</f>
        <v/>
      </c>
      <c r="AC34" s="6" t="str">
        <f>IF($AB34="","",INDEX(IdentifierIssuer!$B:$B,MATCH($AB34,IdentifierIssuer!$A:$A,0)))</f>
        <v/>
      </c>
      <c r="AE34" s="6" t="str">
        <f>IF($AD34="","",INDEX(SequencingProtocol!$B:$B,MATCH($AD34,SequencingProtocol!$A:$A,0)))</f>
        <v/>
      </c>
      <c r="AG34" s="6" t="str">
        <f>IF($AF34="","",INDEX(AssemblyProtocol!$B:$B,MATCH($AF34,AssemblyProtocol!$A:$A,0)))</f>
        <v/>
      </c>
      <c r="AI34" s="14">
        <v>36526</v>
      </c>
      <c r="AJ34" t="s">
        <v>516</v>
      </c>
      <c r="AK34" t="s">
        <v>972</v>
      </c>
      <c r="AL34" s="6" t="str">
        <f>IF($AJ34="","",INDEX(CaseTypeCol!$J:$J,MATCH($AJ34,CaseTypeCol!$A:$A,0)))</f>
        <v>case_type_col1_7_0_1_TEXT</v>
      </c>
      <c r="AM34" s="6" t="b" cm="1">
        <f t="array" aca="1" ref="AM34" ca="1">IF($AJ34="",TRUE,IF($J34="",FALSE,IF(INDIRECT("OrganizationAccessCasePolicy!J"&amp;$J34)="",FALSE,NOT(ISNA(MATCH(INDIRECT("OrganizationAccessCasePolicy!J"&amp;$J34)&amp;"|"&amp;$AJ34,CaseTypeColSetMember!$H:$H,0))))))</f>
        <v>0</v>
      </c>
      <c r="AN34" s="6" t="b" cm="1">
        <f t="array" aca="1" ref="AN34" ca="1">IF($AJ34="",TRUE,IF($J34="",FALSE,IF(INDIRECT("OrganizationAccessCasePolicy!L"&amp;$J34)="",FALSE,NOT(ISNA(MATCH(INDIRECT("OrganizationAccessCasePolicy!L"&amp;$J34)&amp;"|"&amp;$AJ34,CaseTypeColSetMember!$H:$H,0))))))</f>
        <v>0</v>
      </c>
      <c r="AO34" s="6" t="b" cm="1">
        <f t="array" aca="1" ref="AO34" ca="1">IF($AJ34="",TRUE,IF($N34="",FALSE,IF(INDIRECT("UserAccessCasePolicy!I"&amp;$N34)="",FALSE,NOT(ISNA(MATCH(INDIRECT("UserAccessCasePolicy!I"&amp;$N34)&amp;"|"&amp;$AJ34,CaseTypeColSetMember!$H:$H,0))))))</f>
        <v>0</v>
      </c>
      <c r="AP34" s="6" t="b" cm="1">
        <f t="array" aca="1" ref="AP34" ca="1">IF($AJ34="",TRUE,IF($N34="",FALSE,IF(INDIRECT("UserAccessCasePolicy!K"&amp;$N34)="",FALSE,NOT(ISNA(MATCH(INDIRECT("UserAccessCasePolicy!K"&amp;$N34)&amp;"|"&amp;$AJ34,CaseTypeColSetMember!$H:$H,0))))))</f>
        <v>0</v>
      </c>
      <c r="AS34" s="6" t="str">
        <f>IF($AQ34="","",INDEX(CaseTypeCol!$J:$J,MATCH($AQ34,CaseTypeCol!$A:$A,0)))</f>
        <v/>
      </c>
      <c r="AT34" s="6" t="b" cm="1">
        <f t="array" aca="1" ref="AT34" ca="1">IF($AQ34="",TRUE,IF($J34="",FALSE,IF(INDIRECT("OrganizationAccessCasePolicy!J"&amp;$J34)="",FALSE,NOT(ISNA(MATCH(INDIRECT("OrganizationAccessCasePolicy!J"&amp;$J34)&amp;"|"&amp;$AQ34,CaseTypeColSetMember!$H:$H,0))))))</f>
        <v>1</v>
      </c>
      <c r="AU34" s="6" t="b" cm="1">
        <f t="array" aca="1" ref="AU34" ca="1">IF($AQ34="",TRUE,IF($J34="",FALSE,IF(INDIRECT("OrganizationAccessCasePolicy!L"&amp;$J34)="",FALSE,NOT(ISNA(MATCH(INDIRECT("OrganizationAccessCasePolicy!L"&amp;$J34)&amp;"|"&amp;$AQ34,CaseTypeColSetMember!$H:$H,0))))))</f>
        <v>1</v>
      </c>
      <c r="AV34" s="6" t="b" cm="1">
        <f t="array" aca="1" ref="AV34" ca="1">IF($AQ34="",TRUE,IF($N34="",FALSE,IF(INDIRECT("UserAccessCasePolicy!I"&amp;$N34)="",FALSE,NOT(ISNA(MATCH(INDIRECT("UserAccessCasePolicy!I"&amp;$N34)&amp;"|"&amp;$AQ34,CaseTypeColSetMember!$H:$H,0))))))</f>
        <v>1</v>
      </c>
      <c r="AW34" s="6" t="b" cm="1">
        <f t="array" aca="1" ref="AW34" ca="1">IF($AQ34="",TRUE,IF($N34="",FALSE,IF(INDIRECT("UserAccessCasePolicy!K"&amp;$N34)="",FALSE,NOT(ISNA(MATCH(INDIRECT("UserAccessCasePolicy!K"&amp;$N34)&amp;"|"&amp;$AQ34,CaseTypeColSetMember!$H:$H,0))))))</f>
        <v>1</v>
      </c>
      <c r="AZ34" s="6" t="str">
        <f>IF($AX34="","",INDEX(CaseTypeCol!$J:$J,MATCH($AX34,CaseTypeCol!$A:$A,0)))</f>
        <v/>
      </c>
      <c r="BA34" s="6" t="b" cm="1">
        <f t="array" aca="1" ref="BA34" ca="1">IF($AX34="",TRUE,IF($J34="",FALSE,IF(INDIRECT("OrganizationAccessCasePolicy!J"&amp;$J34)="",FALSE,NOT(ISNA(MATCH(INDIRECT("OrganizationAccessCasePolicy!J"&amp;$J34)&amp;"|"&amp;$AX34,CaseTypeColSetMember!$H:$H,0))))))</f>
        <v>1</v>
      </c>
      <c r="BB34" s="6" t="b" cm="1">
        <f t="array" aca="1" ref="BB34" ca="1">IF($AX34="",TRUE,IF($J34="",FALSE,IF(INDIRECT("OrganizationAccessCasePolicy!L"&amp;$J34)="",FALSE,NOT(ISNA(MATCH(INDIRECT("OrganizationAccessCasePolicy!L"&amp;$J34)&amp;"|"&amp;$AX34,CaseTypeColSetMember!$H:$H,0))))))</f>
        <v>1</v>
      </c>
      <c r="BC34" s="6" t="b" cm="1">
        <f t="array" aca="1" ref="BC34" ca="1">IF($AX34="",TRUE,IF($N34="",FALSE,IF(INDIRECT("UserAccessCasePolicy!I"&amp;$N34)="",FALSE,NOT(ISNA(MATCH(INDIRECT("UserAccessCasePolicy!I"&amp;$N34)&amp;"|"&amp;$AX34,CaseTypeColSetMember!$H:$H,0))))))</f>
        <v>1</v>
      </c>
      <c r="BD34" s="6" t="b" cm="1">
        <f t="array" aca="1" ref="BD34" ca="1">IF($AX34="",TRUE,IF($N34="",FALSE,IF(INDIRECT("UserAccessCasePolicy!K"&amp;$N34)="",FALSE,NOT(ISNA(MATCH(INDIRECT("UserAccessCasePolicy!K"&amp;$N34)&amp;"|"&amp;$AX34,CaseTypeColSetMember!$H:$H,0))))))</f>
        <v>1</v>
      </c>
    </row>
    <row r="35" spans="1:56" ht="15" customHeight="1" x14ac:dyDescent="0.3">
      <c r="A35">
        <v>34</v>
      </c>
      <c r="B35" t="b">
        <v>0</v>
      </c>
      <c r="C35" t="s">
        <v>1036</v>
      </c>
      <c r="D35" t="s">
        <v>10</v>
      </c>
      <c r="E35" s="6" t="str">
        <f>INDEX(User!$D:$D,MATCH($D35,User!$A:$A,0))</f>
        <v>org_user1_1</v>
      </c>
      <c r="F35" t="s">
        <v>982</v>
      </c>
      <c r="G35" s="19" t="b">
        <f ca="1">IF($F35="CREATE",$I35,IF($F35="CREATE_CASES",OR($I35,AND($K35,$L35,$O35,$P35,$AN35,AP35,$AU35,$AW35,$BB35,$BD35)),"TBD"))</f>
        <v>0</v>
      </c>
      <c r="H35" s="6" t="str">
        <f>INDEX(User!$G:$G,MATCH($D35,User!$A:$A,0))</f>
        <v>018d074d-ea0c-e942-07db-a3cc0ba1d653</v>
      </c>
      <c r="I35" s="6" t="b">
        <f>INDEX(User!$M:$M,MATCH($D35,User!$A:$A,0))</f>
        <v>0</v>
      </c>
      <c r="J35" s="6">
        <f>IF(ISNA(MATCH($H35&amp;"|"&amp;$X35,OrganizationAccessCasePolicy!$V:$V,0)),"",MATCH($H35&amp;"|"&amp;$X35,OrganizationAccessCasePolicy!$V:$V,0))</f>
        <v>7</v>
      </c>
      <c r="K35" s="6" t="b" cm="1">
        <f t="array" aca="1" ref="K35" ca="1">IF($J35="",FALSE,NOT(ISNA(MATCH(INDIRECT("OrganizationAccessCasePolicy!D"&amp;$J35)&amp;"|"&amp;$T35,CaseTypeSetMember!$H:$H,0))))</f>
        <v>1</v>
      </c>
      <c r="L35" s="6" t="b" cm="1">
        <f t="array" aca="1" ref="L35" ca="1">IF($J35="",FALSE,AND(INDIRECT("OrganizationAccessCasePolicy!H"&amp;$J35),NOT(ISNA(MATCH(INDIRECT("OrganizationAccessCasePolicy!D"&amp;$J35)&amp;"|"&amp;$T35,CaseTypeSetMember!$H:$H,0)))))</f>
        <v>1</v>
      </c>
      <c r="M35" s="6" t="b" cm="1">
        <f t="array" aca="1" ref="M35" ca="1">IF($J35="",FALSE,AND(INDIRECT("OrganizationAccessCasePolicy!I"&amp;$J35),NOT(ISNA(MATCH(INDIRECT("OrganizationAccessCasePolicy!D"&amp;$J35)&amp;"|"&amp;$T35,CaseTypeSetMember!$H:$H,0)))))</f>
        <v>1</v>
      </c>
      <c r="N35" s="6">
        <f>IF(ISNA(MATCH($D35&amp;"|"&amp;$X35,UserAccessCasePolicy!$W:$W,0)),"",MATCH($D35&amp;"|"&amp;$X35,UserAccessCasePolicy!$W:$W,0))</f>
        <v>7</v>
      </c>
      <c r="O35" s="6" t="b" cm="1">
        <f t="array" aca="1" ref="O35" ca="1">IF($N35="",FALSE,NOT(ISNA(MATCH(INDIRECT("UserAccessCasePolicy!D"&amp;$N35)&amp;"|"&amp;$T35,CaseTypeSetMember!$H:$H,0))))</f>
        <v>1</v>
      </c>
      <c r="P35" s="6" t="b" cm="1">
        <f t="array" aca="1" ref="P35" ca="1">IF($N35="",FALSE,AND(INDIRECT("UserAccessCasePolicy!G"&amp;$N35),NOT(ISNA(MATCH(INDIRECT("UserAccessCasePolicy!D"&amp;$N35)&amp;"|"&amp;$T35,CaseTypeSetMember!$H:$H,0)))))</f>
        <v>1</v>
      </c>
      <c r="Q35" s="6" t="b" cm="1">
        <f t="array" aca="1" ref="Q35" ca="1">IF($N35="",FALSE,AND(INDIRECT("UserAccessCasePolicy!H"&amp;$N35),NOT(ISNA(MATCH(INDIRECT("UserAccessCasePolicy!D"&amp;$N35)&amp;"|"&amp;$T35,CaseTypeSetMember!$H:$H,0)))))</f>
        <v>1</v>
      </c>
      <c r="R35" t="s">
        <v>1037</v>
      </c>
      <c r="S35" s="6" t="str">
        <f>"case"&amp;MATCH($R35,$R$1:$R35,0)-1</f>
        <v>case34</v>
      </c>
      <c r="T35" t="s">
        <v>115</v>
      </c>
      <c r="U35" s="6" t="str">
        <f>INDEX(CaseType!$B:$B,MATCH($T35,CaseType!$A:$A,0))</f>
        <v>case_type1</v>
      </c>
      <c r="V35" s="6" t="b">
        <f>AND(IF($AJ35="",TRUE,$T35=INDEX(CaseTypeCol!$B:$B,MATCH($AJ35,CaseTypeCol!$A:$A,0))),IF($AQ35="",TRUE,$T35=INDEX(CaseTypeCol!$B:$B,MATCH($AQ35,CaseTypeCol!$A:$A,0))),IF($AX35="",TRUE,$T35=INDEX(CaseTypeCol!$B:$B,MATCH($AX35,CaseTypeCol!$A:$A,0))))</f>
        <v>1</v>
      </c>
      <c r="X35" t="s">
        <v>15</v>
      </c>
      <c r="Y35" s="6" t="str">
        <f>INDEX(DataCollection!$B:$B,MATCH($X35,DataCollection!$A:$A,0))</f>
        <v>data_collection6</v>
      </c>
      <c r="AA35" s="6" t="str">
        <f>IF($Z35="","",INDEX(CaseTypeCol!$J:$J,MATCH($Z35,CaseTypeCol!$A:$A,0)))</f>
        <v/>
      </c>
      <c r="AC35" s="6" t="str">
        <f>IF($AB35="","",INDEX(IdentifierIssuer!$B:$B,MATCH($AB35,IdentifierIssuer!$A:$A,0)))</f>
        <v/>
      </c>
      <c r="AE35" s="6" t="str">
        <f>IF($AD35="","",INDEX(SequencingProtocol!$B:$B,MATCH($AD35,SequencingProtocol!$A:$A,0)))</f>
        <v/>
      </c>
      <c r="AG35" s="6" t="str">
        <f>IF($AF35="","",INDEX(AssemblyProtocol!$B:$B,MATCH($AF35,AssemblyProtocol!$A:$A,0)))</f>
        <v/>
      </c>
      <c r="AI35" s="14">
        <v>36526</v>
      </c>
      <c r="AJ35" t="s">
        <v>516</v>
      </c>
      <c r="AK35" t="s">
        <v>972</v>
      </c>
      <c r="AL35" s="6" t="str">
        <f>IF($AJ35="","",INDEX(CaseTypeCol!$J:$J,MATCH($AJ35,CaseTypeCol!$A:$A,0)))</f>
        <v>case_type_col1_7_0_1_TEXT</v>
      </c>
      <c r="AM35" s="6" t="b" cm="1">
        <f t="array" aca="1" ref="AM35" ca="1">IF($AJ35="",TRUE,IF($J35="",FALSE,IF(INDIRECT("OrganizationAccessCasePolicy!J"&amp;$J35)="",FALSE,NOT(ISNA(MATCH(INDIRECT("OrganizationAccessCasePolicy!J"&amp;$J35)&amp;"|"&amp;$AJ35,CaseTypeColSetMember!$H:$H,0))))))</f>
        <v>1</v>
      </c>
      <c r="AN35" s="6" t="b" cm="1">
        <f t="array" aca="1" ref="AN35" ca="1">IF($AJ35="",TRUE,IF($J35="",FALSE,IF(INDIRECT("OrganizationAccessCasePolicy!L"&amp;$J35)="",FALSE,NOT(ISNA(MATCH(INDIRECT("OrganizationAccessCasePolicy!L"&amp;$J35)&amp;"|"&amp;$AJ35,CaseTypeColSetMember!$H:$H,0))))))</f>
        <v>0</v>
      </c>
      <c r="AO35" s="6" t="b" cm="1">
        <f t="array" aca="1" ref="AO35" ca="1">IF($AJ35="",TRUE,IF($N35="",FALSE,IF(INDIRECT("UserAccessCasePolicy!I"&amp;$N35)="",FALSE,NOT(ISNA(MATCH(INDIRECT("UserAccessCasePolicy!I"&amp;$N35)&amp;"|"&amp;$AJ35,CaseTypeColSetMember!$H:$H,0))))))</f>
        <v>1</v>
      </c>
      <c r="AP35" s="6" t="b" cm="1">
        <f t="array" aca="1" ref="AP35" ca="1">IF($AJ35="",TRUE,IF($N35="",FALSE,IF(INDIRECT("UserAccessCasePolicy!K"&amp;$N35)="",FALSE,NOT(ISNA(MATCH(INDIRECT("UserAccessCasePolicy!K"&amp;$N35)&amp;"|"&amp;$AJ35,CaseTypeColSetMember!$H:$H,0))))))</f>
        <v>1</v>
      </c>
      <c r="AQ35" t="s">
        <v>517</v>
      </c>
      <c r="AR35" t="s">
        <v>1083</v>
      </c>
      <c r="AS35" s="6" t="str">
        <f>IF($AQ35="","",INDEX(CaseTypeCol!$J:$J,MATCH($AQ35,CaseTypeCol!$A:$A,0)))</f>
        <v>case_type_col1_8_0_1_TEXT</v>
      </c>
      <c r="AT35" s="6" t="b" cm="1">
        <f t="array" aca="1" ref="AT35" ca="1">IF($AQ35="",TRUE,IF($J35="",FALSE,IF(INDIRECT("OrganizationAccessCasePolicy!J"&amp;$J35)="",FALSE,NOT(ISNA(MATCH(INDIRECT("OrganizationAccessCasePolicy!J"&amp;$J35)&amp;"|"&amp;$AQ35,CaseTypeColSetMember!$H:$H,0))))))</f>
        <v>0</v>
      </c>
      <c r="AU35" s="6" t="b" cm="1">
        <f t="array" aca="1" ref="AU35" ca="1">IF($AQ35="",TRUE,IF($J35="",FALSE,IF(INDIRECT("OrganizationAccessCasePolicy!L"&amp;$J35)="",FALSE,NOT(ISNA(MATCH(INDIRECT("OrganizationAccessCasePolicy!L"&amp;$J35)&amp;"|"&amp;$AQ35,CaseTypeColSetMember!$H:$H,0))))))</f>
        <v>0</v>
      </c>
      <c r="AV35" s="6" t="b" cm="1">
        <f t="array" aca="1" ref="AV35" ca="1">IF($AQ35="",TRUE,IF($N35="",FALSE,IF(INDIRECT("UserAccessCasePolicy!I"&amp;$N35)="",FALSE,NOT(ISNA(MATCH(INDIRECT("UserAccessCasePolicy!I"&amp;$N35)&amp;"|"&amp;$AQ35,CaseTypeColSetMember!$H:$H,0))))))</f>
        <v>0</v>
      </c>
      <c r="AW35" s="6" t="b" cm="1">
        <f t="array" aca="1" ref="AW35" ca="1">IF($AQ35="",TRUE,IF($N35="",FALSE,IF(INDIRECT("UserAccessCasePolicy!K"&amp;$N35)="",FALSE,NOT(ISNA(MATCH(INDIRECT("UserAccessCasePolicy!K"&amp;$N35)&amp;"|"&amp;$AQ35,CaseTypeColSetMember!$H:$H,0))))))</f>
        <v>0</v>
      </c>
      <c r="AZ35" s="6" t="str">
        <f>IF($AX35="","",INDEX(CaseTypeCol!$J:$J,MATCH($AX35,CaseTypeCol!$A:$A,0)))</f>
        <v/>
      </c>
      <c r="BA35" s="6" t="b" cm="1">
        <f t="array" aca="1" ref="BA35" ca="1">IF($AX35="",TRUE,IF($J35="",FALSE,IF(INDIRECT("OrganizationAccessCasePolicy!J"&amp;$J35)="",FALSE,NOT(ISNA(MATCH(INDIRECT("OrganizationAccessCasePolicy!J"&amp;$J35)&amp;"|"&amp;$AX35,CaseTypeColSetMember!$H:$H,0))))))</f>
        <v>1</v>
      </c>
      <c r="BB35" s="6" t="b" cm="1">
        <f t="array" aca="1" ref="BB35" ca="1">IF($AX35="",TRUE,IF($J35="",FALSE,IF(INDIRECT("OrganizationAccessCasePolicy!L"&amp;$J35)="",FALSE,NOT(ISNA(MATCH(INDIRECT("OrganizationAccessCasePolicy!L"&amp;$J35)&amp;"|"&amp;$AX35,CaseTypeColSetMember!$H:$H,0))))))</f>
        <v>1</v>
      </c>
      <c r="BC35" s="6" t="b" cm="1">
        <f t="array" aca="1" ref="BC35" ca="1">IF($AX35="",TRUE,IF($N35="",FALSE,IF(INDIRECT("UserAccessCasePolicy!I"&amp;$N35)="",FALSE,NOT(ISNA(MATCH(INDIRECT("UserAccessCasePolicy!I"&amp;$N35)&amp;"|"&amp;$AX35,CaseTypeColSetMember!$H:$H,0))))))</f>
        <v>1</v>
      </c>
      <c r="BD35" s="6" t="b" cm="1">
        <f t="array" aca="1" ref="BD35" ca="1">IF($AX35="",TRUE,IF($N35="",FALSE,IF(INDIRECT("UserAccessCasePolicy!K"&amp;$N35)="",FALSE,NOT(ISNA(MATCH(INDIRECT("UserAccessCasePolicy!K"&amp;$N35)&amp;"|"&amp;$AX35,CaseTypeColSetMember!$H:$H,0))))))</f>
        <v>1</v>
      </c>
    </row>
    <row r="36" spans="1:56" ht="15" customHeight="1" x14ac:dyDescent="0.3">
      <c r="A36">
        <v>35</v>
      </c>
      <c r="B36" t="b">
        <v>0</v>
      </c>
      <c r="C36" t="s">
        <v>1038</v>
      </c>
      <c r="D36" t="s">
        <v>12</v>
      </c>
      <c r="E36" s="6" t="str">
        <f>INDEX(User!$D:$D,MATCH($D36,User!$A:$A,0))</f>
        <v>org_user1_2</v>
      </c>
      <c r="F36" t="s">
        <v>982</v>
      </c>
      <c r="G36" s="19" t="b">
        <f ca="1">IF($F36="CREATE",$I36,IF($F36="CREATE_CASES",OR($I36,AND($K36,$L36,$O36,$P36,$AN36,AP36,$AU36,$AW36,$BB36,$BD36)),"TBD"))</f>
        <v>0</v>
      </c>
      <c r="H36" s="6" t="str">
        <f>INDEX(User!$G:$G,MATCH($D36,User!$A:$A,0))</f>
        <v>018d074d-ea0c-e942-07db-a3cc0ba1d653</v>
      </c>
      <c r="I36" s="6" t="b">
        <f>INDEX(User!$M:$M,MATCH($D36,User!$A:$A,0))</f>
        <v>0</v>
      </c>
      <c r="J36" s="6">
        <f>IF(ISNA(MATCH($H36&amp;"|"&amp;$X36,OrganizationAccessCasePolicy!$V:$V,0)),"",MATCH($H36&amp;"|"&amp;$X36,OrganizationAccessCasePolicy!$V:$V,0))</f>
        <v>7</v>
      </c>
      <c r="K36" s="6" t="b" cm="1">
        <f t="array" aca="1" ref="K36" ca="1">IF($J36="",FALSE,NOT(ISNA(MATCH(INDIRECT("OrganizationAccessCasePolicy!D"&amp;$J36)&amp;"|"&amp;$T36,CaseTypeSetMember!$H:$H,0))))</f>
        <v>1</v>
      </c>
      <c r="L36" s="6" t="b" cm="1">
        <f t="array" aca="1" ref="L36" ca="1">IF($J36="",FALSE,AND(INDIRECT("OrganizationAccessCasePolicy!H"&amp;$J36),NOT(ISNA(MATCH(INDIRECT("OrganizationAccessCasePolicy!D"&amp;$J36)&amp;"|"&amp;$T36,CaseTypeSetMember!$H:$H,0)))))</f>
        <v>1</v>
      </c>
      <c r="M36" s="6" t="b" cm="1">
        <f t="array" aca="1" ref="M36" ca="1">IF($J36="",FALSE,AND(INDIRECT("OrganizationAccessCasePolicy!I"&amp;$J36),NOT(ISNA(MATCH(INDIRECT("OrganizationAccessCasePolicy!D"&amp;$J36)&amp;"|"&amp;$T36,CaseTypeSetMember!$H:$H,0)))))</f>
        <v>1</v>
      </c>
      <c r="N36" s="6" t="str">
        <f>IF(ISNA(MATCH($D36&amp;"|"&amp;$X36,UserAccessCasePolicy!$W:$W,0)),"",MATCH($D36&amp;"|"&amp;$X36,UserAccessCasePolicy!$W:$W,0))</f>
        <v/>
      </c>
      <c r="O36" s="6" t="b" cm="1">
        <f t="array" aca="1" ref="O36" ca="1">IF($N36="",FALSE,NOT(ISNA(MATCH(INDIRECT("UserAccessCasePolicy!D"&amp;$N36)&amp;"|"&amp;$T36,CaseTypeSetMember!$H:$H,0))))</f>
        <v>0</v>
      </c>
      <c r="P36" s="6" t="b" cm="1">
        <f t="array" aca="1" ref="P36" ca="1">IF($N36="",FALSE,AND(INDIRECT("UserAccessCasePolicy!G"&amp;$N36),NOT(ISNA(MATCH(INDIRECT("UserAccessCasePolicy!D"&amp;$N36)&amp;"|"&amp;$T36,CaseTypeSetMember!$H:$H,0)))))</f>
        <v>0</v>
      </c>
      <c r="Q36" s="6" t="b" cm="1">
        <f t="array" aca="1" ref="Q36" ca="1">IF($N36="",FALSE,AND(INDIRECT("UserAccessCasePolicy!H"&amp;$N36),NOT(ISNA(MATCH(INDIRECT("UserAccessCasePolicy!D"&amp;$N36)&amp;"|"&amp;$T36,CaseTypeSetMember!$H:$H,0)))))</f>
        <v>0</v>
      </c>
      <c r="R36" t="s">
        <v>1037</v>
      </c>
      <c r="S36" s="6" t="str">
        <f>"case"&amp;MATCH($R36,$R$1:$R36,0)-1</f>
        <v>case34</v>
      </c>
      <c r="T36" t="s">
        <v>115</v>
      </c>
      <c r="U36" s="6" t="str">
        <f>INDEX(CaseType!$B:$B,MATCH($T36,CaseType!$A:$A,0))</f>
        <v>case_type1</v>
      </c>
      <c r="V36" s="6" t="b">
        <f>AND(IF($AJ36="",TRUE,$T36=INDEX(CaseTypeCol!$B:$B,MATCH($AJ36,CaseTypeCol!$A:$A,0))),IF($AQ36="",TRUE,$T36=INDEX(CaseTypeCol!$B:$B,MATCH($AQ36,CaseTypeCol!$A:$A,0))),IF($AX36="",TRUE,$T36=INDEX(CaseTypeCol!$B:$B,MATCH($AX36,CaseTypeCol!$A:$A,0))))</f>
        <v>1</v>
      </c>
      <c r="X36" t="s">
        <v>15</v>
      </c>
      <c r="Y36" s="6" t="str">
        <f>INDEX(DataCollection!$B:$B,MATCH($X36,DataCollection!$A:$A,0))</f>
        <v>data_collection6</v>
      </c>
      <c r="AA36" s="6" t="str">
        <f>IF($Z36="","",INDEX(CaseTypeCol!$J:$J,MATCH($Z36,CaseTypeCol!$A:$A,0)))</f>
        <v/>
      </c>
      <c r="AC36" s="6" t="str">
        <f>IF($AB36="","",INDEX(IdentifierIssuer!$B:$B,MATCH($AB36,IdentifierIssuer!$A:$A,0)))</f>
        <v/>
      </c>
      <c r="AE36" s="6" t="str">
        <f>IF($AD36="","",INDEX(SequencingProtocol!$B:$B,MATCH($AD36,SequencingProtocol!$A:$A,0)))</f>
        <v/>
      </c>
      <c r="AG36" s="6" t="str">
        <f>IF($AF36="","",INDEX(AssemblyProtocol!$B:$B,MATCH($AF36,AssemblyProtocol!$A:$A,0)))</f>
        <v/>
      </c>
      <c r="AI36" s="14">
        <v>36526</v>
      </c>
      <c r="AJ36" t="s">
        <v>516</v>
      </c>
      <c r="AK36" t="s">
        <v>972</v>
      </c>
      <c r="AL36" s="6" t="str">
        <f>IF($AJ36="","",INDEX(CaseTypeCol!$J:$J,MATCH($AJ36,CaseTypeCol!$A:$A,0)))</f>
        <v>case_type_col1_7_0_1_TEXT</v>
      </c>
      <c r="AM36" s="6" t="b" cm="1">
        <f t="array" aca="1" ref="AM36" ca="1">IF($AJ36="",TRUE,IF($J36="",FALSE,IF(INDIRECT("OrganizationAccessCasePolicy!J"&amp;$J36)="",FALSE,NOT(ISNA(MATCH(INDIRECT("OrganizationAccessCasePolicy!J"&amp;$J36)&amp;"|"&amp;$AJ36,CaseTypeColSetMember!$H:$H,0))))))</f>
        <v>1</v>
      </c>
      <c r="AN36" s="6" t="b" cm="1">
        <f t="array" aca="1" ref="AN36" ca="1">IF($AJ36="",TRUE,IF($J36="",FALSE,IF(INDIRECT("OrganizationAccessCasePolicy!L"&amp;$J36)="",FALSE,NOT(ISNA(MATCH(INDIRECT("OrganizationAccessCasePolicy!L"&amp;$J36)&amp;"|"&amp;$AJ36,CaseTypeColSetMember!$H:$H,0))))))</f>
        <v>0</v>
      </c>
      <c r="AO36" s="6" t="b" cm="1">
        <f t="array" aca="1" ref="AO36" ca="1">IF($AJ36="",TRUE,IF($N36="",FALSE,IF(INDIRECT("UserAccessCasePolicy!I"&amp;$N36)="",FALSE,NOT(ISNA(MATCH(INDIRECT("UserAccessCasePolicy!I"&amp;$N36)&amp;"|"&amp;$AJ36,CaseTypeColSetMember!$H:$H,0))))))</f>
        <v>0</v>
      </c>
      <c r="AP36" s="6" t="b" cm="1">
        <f t="array" aca="1" ref="AP36" ca="1">IF($AJ36="",TRUE,IF($N36="",FALSE,IF(INDIRECT("UserAccessCasePolicy!K"&amp;$N36)="",FALSE,NOT(ISNA(MATCH(INDIRECT("UserAccessCasePolicy!K"&amp;$N36)&amp;"|"&amp;$AJ36,CaseTypeColSetMember!$H:$H,0))))))</f>
        <v>0</v>
      </c>
      <c r="AR36" s="11"/>
      <c r="AS36" s="6" t="str">
        <f>IF($AQ36="","",INDEX(CaseTypeCol!$J:$J,MATCH($AQ36,CaseTypeCol!$A:$A,0)))</f>
        <v/>
      </c>
      <c r="AT36" s="6" t="b" cm="1">
        <f t="array" aca="1" ref="AT36" ca="1">IF($AQ36="",TRUE,IF($J36="",FALSE,IF(INDIRECT("OrganizationAccessCasePolicy!J"&amp;$J36)="",FALSE,NOT(ISNA(MATCH(INDIRECT("OrganizationAccessCasePolicy!J"&amp;$J36)&amp;"|"&amp;$AQ36,CaseTypeColSetMember!$H:$H,0))))))</f>
        <v>1</v>
      </c>
      <c r="AU36" s="6" t="b" cm="1">
        <f t="array" aca="1" ref="AU36" ca="1">IF($AQ36="",TRUE,IF($J36="",FALSE,IF(INDIRECT("OrganizationAccessCasePolicy!L"&amp;$J36)="",FALSE,NOT(ISNA(MATCH(INDIRECT("OrganizationAccessCasePolicy!L"&amp;$J36)&amp;"|"&amp;$AQ36,CaseTypeColSetMember!$H:$H,0))))))</f>
        <v>1</v>
      </c>
      <c r="AV36" s="6" t="b" cm="1">
        <f t="array" aca="1" ref="AV36" ca="1">IF($AQ36="",TRUE,IF($N36="",FALSE,IF(INDIRECT("UserAccessCasePolicy!I"&amp;$N36)="",FALSE,NOT(ISNA(MATCH(INDIRECT("UserAccessCasePolicy!I"&amp;$N36)&amp;"|"&amp;$AQ36,CaseTypeColSetMember!$H:$H,0))))))</f>
        <v>1</v>
      </c>
      <c r="AW36" s="6" t="b" cm="1">
        <f t="array" aca="1" ref="AW36" ca="1">IF($AQ36="",TRUE,IF($N36="",FALSE,IF(INDIRECT("UserAccessCasePolicy!K"&amp;$N36)="",FALSE,NOT(ISNA(MATCH(INDIRECT("UserAccessCasePolicy!K"&amp;$N36)&amp;"|"&amp;$AQ36,CaseTypeColSetMember!$H:$H,0))))))</f>
        <v>1</v>
      </c>
      <c r="AZ36" s="6" t="str">
        <f>IF($AX36="","",INDEX(CaseTypeCol!$J:$J,MATCH($AX36,CaseTypeCol!$A:$A,0)))</f>
        <v/>
      </c>
      <c r="BA36" s="6" t="b" cm="1">
        <f t="array" aca="1" ref="BA36" ca="1">IF($AX36="",TRUE,IF($J36="",FALSE,IF(INDIRECT("OrganizationAccessCasePolicy!J"&amp;$J36)="",FALSE,NOT(ISNA(MATCH(INDIRECT("OrganizationAccessCasePolicy!J"&amp;$J36)&amp;"|"&amp;$AX36,CaseTypeColSetMember!$H:$H,0))))))</f>
        <v>1</v>
      </c>
      <c r="BB36" s="6" t="b" cm="1">
        <f t="array" aca="1" ref="BB36" ca="1">IF($AX36="",TRUE,IF($J36="",FALSE,IF(INDIRECT("OrganizationAccessCasePolicy!L"&amp;$J36)="",FALSE,NOT(ISNA(MATCH(INDIRECT("OrganizationAccessCasePolicy!L"&amp;$J36)&amp;"|"&amp;$AX36,CaseTypeColSetMember!$H:$H,0))))))</f>
        <v>1</v>
      </c>
      <c r="BC36" s="6" t="b" cm="1">
        <f t="array" aca="1" ref="BC36" ca="1">IF($AX36="",TRUE,IF($N36="",FALSE,IF(INDIRECT("UserAccessCasePolicy!I"&amp;$N36)="",FALSE,NOT(ISNA(MATCH(INDIRECT("UserAccessCasePolicy!I"&amp;$N36)&amp;"|"&amp;$AX36,CaseTypeColSetMember!$H:$H,0))))))</f>
        <v>1</v>
      </c>
      <c r="BD36" s="6" t="b" cm="1">
        <f t="array" aca="1" ref="BD36" ca="1">IF($AX36="",TRUE,IF($N36="",FALSE,IF(INDIRECT("UserAccessCasePolicy!K"&amp;$N36)="",FALSE,NOT(ISNA(MATCH(INDIRECT("UserAccessCasePolicy!K"&amp;$N36)&amp;"|"&amp;$AX36,CaseTypeColSetMember!$H:$H,0))))))</f>
        <v>1</v>
      </c>
    </row>
    <row r="37" spans="1:56" ht="15" customHeight="1" x14ac:dyDescent="0.3">
      <c r="A37">
        <v>36</v>
      </c>
      <c r="B37" t="b">
        <v>0</v>
      </c>
      <c r="C37" t="s">
        <v>1039</v>
      </c>
      <c r="D37" t="s">
        <v>13</v>
      </c>
      <c r="E37" s="6" t="str">
        <f>INDEX(User!$D:$D,MATCH($D37,User!$A:$A,0))</f>
        <v>org_user1_3</v>
      </c>
      <c r="F37" t="s">
        <v>982</v>
      </c>
      <c r="G37" s="19" t="b">
        <f ca="1">IF($F37="CREATE",$I37,IF($F37="CREATE_CASES",OR($I37,AND($K37,$L37,$O37,$P37,$AN37,AP37,$AU37,$AW37,$BB37,$BD37)),"TBD"))</f>
        <v>0</v>
      </c>
      <c r="H37" s="6" t="str">
        <f>INDEX(User!$G:$G,MATCH($D37,User!$A:$A,0))</f>
        <v>018d074d-ea0c-e942-07db-a3cc0ba1d653</v>
      </c>
      <c r="I37" s="6" t="b">
        <f>INDEX(User!$M:$M,MATCH($D37,User!$A:$A,0))</f>
        <v>0</v>
      </c>
      <c r="J37" s="6">
        <f>IF(ISNA(MATCH($H37&amp;"|"&amp;$X37,OrganizationAccessCasePolicy!$V:$V,0)),"",MATCH($H37&amp;"|"&amp;$X37,OrganizationAccessCasePolicy!$V:$V,0))</f>
        <v>7</v>
      </c>
      <c r="K37" s="6" t="b" cm="1">
        <f t="array" aca="1" ref="K37" ca="1">IF($J37="",FALSE,NOT(ISNA(MATCH(INDIRECT("OrganizationAccessCasePolicy!D"&amp;$J37)&amp;"|"&amp;$T37,CaseTypeSetMember!$H:$H,0))))</f>
        <v>1</v>
      </c>
      <c r="L37" s="6" t="b" cm="1">
        <f t="array" aca="1" ref="L37" ca="1">IF($J37="",FALSE,AND(INDIRECT("OrganizationAccessCasePolicy!H"&amp;$J37),NOT(ISNA(MATCH(INDIRECT("OrganizationAccessCasePolicy!D"&amp;$J37)&amp;"|"&amp;$T37,CaseTypeSetMember!$H:$H,0)))))</f>
        <v>1</v>
      </c>
      <c r="M37" s="6" t="b" cm="1">
        <f t="array" aca="1" ref="M37" ca="1">IF($J37="",FALSE,AND(INDIRECT("OrganizationAccessCasePolicy!I"&amp;$J37),NOT(ISNA(MATCH(INDIRECT("OrganizationAccessCasePolicy!D"&amp;$J37)&amp;"|"&amp;$T37,CaseTypeSetMember!$H:$H,0)))))</f>
        <v>1</v>
      </c>
      <c r="N37" s="6" t="str">
        <f>IF(ISNA(MATCH($D37&amp;"|"&amp;$X37,UserAccessCasePolicy!$W:$W,0)),"",MATCH($D37&amp;"|"&amp;$X37,UserAccessCasePolicy!$W:$W,0))</f>
        <v/>
      </c>
      <c r="O37" s="6" t="b" cm="1">
        <f t="array" aca="1" ref="O37" ca="1">IF($N37="",FALSE,NOT(ISNA(MATCH(INDIRECT("UserAccessCasePolicy!D"&amp;$N37)&amp;"|"&amp;$T37,CaseTypeSetMember!$H:$H,0))))</f>
        <v>0</v>
      </c>
      <c r="P37" s="6" t="b" cm="1">
        <f t="array" aca="1" ref="P37" ca="1">IF($N37="",FALSE,AND(INDIRECT("UserAccessCasePolicy!G"&amp;$N37),NOT(ISNA(MATCH(INDIRECT("UserAccessCasePolicy!D"&amp;$N37)&amp;"|"&amp;$T37,CaseTypeSetMember!$H:$H,0)))))</f>
        <v>0</v>
      </c>
      <c r="Q37" s="6" t="b" cm="1">
        <f t="array" aca="1" ref="Q37" ca="1">IF($N37="",FALSE,AND(INDIRECT("UserAccessCasePolicy!H"&amp;$N37),NOT(ISNA(MATCH(INDIRECT("UserAccessCasePolicy!D"&amp;$N37)&amp;"|"&amp;$T37,CaseTypeSetMember!$H:$H,0)))))</f>
        <v>0</v>
      </c>
      <c r="R37" t="s">
        <v>1037</v>
      </c>
      <c r="S37" s="6" t="str">
        <f>"case"&amp;MATCH($R37,$R$1:$R37,0)-1</f>
        <v>case34</v>
      </c>
      <c r="T37" t="s">
        <v>115</v>
      </c>
      <c r="U37" s="6" t="str">
        <f>INDEX(CaseType!$B:$B,MATCH($T37,CaseType!$A:$A,0))</f>
        <v>case_type1</v>
      </c>
      <c r="V37" s="6" t="b">
        <f>AND(IF($AJ37="",TRUE,$T37=INDEX(CaseTypeCol!$B:$B,MATCH($AJ37,CaseTypeCol!$A:$A,0))),IF($AQ37="",TRUE,$T37=INDEX(CaseTypeCol!$B:$B,MATCH($AQ37,CaseTypeCol!$A:$A,0))),IF($AX37="",TRUE,$T37=INDEX(CaseTypeCol!$B:$B,MATCH($AX37,CaseTypeCol!$A:$A,0))))</f>
        <v>1</v>
      </c>
      <c r="X37" t="s">
        <v>15</v>
      </c>
      <c r="Y37" s="6" t="str">
        <f>INDEX(DataCollection!$B:$B,MATCH($X37,DataCollection!$A:$A,0))</f>
        <v>data_collection6</v>
      </c>
      <c r="AA37" s="6" t="str">
        <f>IF($Z37="","",INDEX(CaseTypeCol!$J:$J,MATCH($Z37,CaseTypeCol!$A:$A,0)))</f>
        <v/>
      </c>
      <c r="AC37" s="6" t="str">
        <f>IF($AB37="","",INDEX(IdentifierIssuer!$B:$B,MATCH($AB37,IdentifierIssuer!$A:$A,0)))</f>
        <v/>
      </c>
      <c r="AE37" s="6" t="str">
        <f>IF($AD37="","",INDEX(SequencingProtocol!$B:$B,MATCH($AD37,SequencingProtocol!$A:$A,0)))</f>
        <v/>
      </c>
      <c r="AG37" s="6" t="str">
        <f>IF($AF37="","",INDEX(AssemblyProtocol!$B:$B,MATCH($AF37,AssemblyProtocol!$A:$A,0)))</f>
        <v/>
      </c>
      <c r="AI37" s="14">
        <v>36526</v>
      </c>
      <c r="AJ37" t="s">
        <v>516</v>
      </c>
      <c r="AK37" t="s">
        <v>972</v>
      </c>
      <c r="AL37" s="6" t="str">
        <f>IF($AJ37="","",INDEX(CaseTypeCol!$J:$J,MATCH($AJ37,CaseTypeCol!$A:$A,0)))</f>
        <v>case_type_col1_7_0_1_TEXT</v>
      </c>
      <c r="AM37" s="6" t="b" cm="1">
        <f t="array" aca="1" ref="AM37" ca="1">IF($AJ37="",TRUE,IF($J37="",FALSE,IF(INDIRECT("OrganizationAccessCasePolicy!J"&amp;$J37)="",FALSE,NOT(ISNA(MATCH(INDIRECT("OrganizationAccessCasePolicy!J"&amp;$J37)&amp;"|"&amp;$AJ37,CaseTypeColSetMember!$H:$H,0))))))</f>
        <v>1</v>
      </c>
      <c r="AN37" s="6" t="b" cm="1">
        <f t="array" aca="1" ref="AN37" ca="1">IF($AJ37="",TRUE,IF($J37="",FALSE,IF(INDIRECT("OrganizationAccessCasePolicy!L"&amp;$J37)="",FALSE,NOT(ISNA(MATCH(INDIRECT("OrganizationAccessCasePolicy!L"&amp;$J37)&amp;"|"&amp;$AJ37,CaseTypeColSetMember!$H:$H,0))))))</f>
        <v>0</v>
      </c>
      <c r="AO37" s="6" t="b" cm="1">
        <f t="array" aca="1" ref="AO37" ca="1">IF($AJ37="",TRUE,IF($N37="",FALSE,IF(INDIRECT("UserAccessCasePolicy!I"&amp;$N37)="",FALSE,NOT(ISNA(MATCH(INDIRECT("UserAccessCasePolicy!I"&amp;$N37)&amp;"|"&amp;$AJ37,CaseTypeColSetMember!$H:$H,0))))))</f>
        <v>0</v>
      </c>
      <c r="AP37" s="6" t="b" cm="1">
        <f t="array" aca="1" ref="AP37" ca="1">IF($AJ37="",TRUE,IF($N37="",FALSE,IF(INDIRECT("UserAccessCasePolicy!K"&amp;$N37)="",FALSE,NOT(ISNA(MATCH(INDIRECT("UserAccessCasePolicy!K"&amp;$N37)&amp;"|"&amp;$AJ37,CaseTypeColSetMember!$H:$H,0))))))</f>
        <v>0</v>
      </c>
      <c r="AR37" s="11"/>
      <c r="AS37" s="6" t="str">
        <f>IF($AQ37="","",INDEX(CaseTypeCol!$J:$J,MATCH($AQ37,CaseTypeCol!$A:$A,0)))</f>
        <v/>
      </c>
      <c r="AT37" s="6" t="b" cm="1">
        <f t="array" aca="1" ref="AT37" ca="1">IF($AQ37="",TRUE,IF($J37="",FALSE,IF(INDIRECT("OrganizationAccessCasePolicy!J"&amp;$J37)="",FALSE,NOT(ISNA(MATCH(INDIRECT("OrganizationAccessCasePolicy!J"&amp;$J37)&amp;"|"&amp;$AQ37,CaseTypeColSetMember!$H:$H,0))))))</f>
        <v>1</v>
      </c>
      <c r="AU37" s="6" t="b" cm="1">
        <f t="array" aca="1" ref="AU37" ca="1">IF($AQ37="",TRUE,IF($J37="",FALSE,IF(INDIRECT("OrganizationAccessCasePolicy!L"&amp;$J37)="",FALSE,NOT(ISNA(MATCH(INDIRECT("OrganizationAccessCasePolicy!L"&amp;$J37)&amp;"|"&amp;$AQ37,CaseTypeColSetMember!$H:$H,0))))))</f>
        <v>1</v>
      </c>
      <c r="AV37" s="6" t="b" cm="1">
        <f t="array" aca="1" ref="AV37" ca="1">IF($AQ37="",TRUE,IF($N37="",FALSE,IF(INDIRECT("UserAccessCasePolicy!I"&amp;$N37)="",FALSE,NOT(ISNA(MATCH(INDIRECT("UserAccessCasePolicy!I"&amp;$N37)&amp;"|"&amp;$AQ37,CaseTypeColSetMember!$H:$H,0))))))</f>
        <v>1</v>
      </c>
      <c r="AW37" s="6" t="b" cm="1">
        <f t="array" aca="1" ref="AW37" ca="1">IF($AQ37="",TRUE,IF($N37="",FALSE,IF(INDIRECT("UserAccessCasePolicy!K"&amp;$N37)="",FALSE,NOT(ISNA(MATCH(INDIRECT("UserAccessCasePolicy!K"&amp;$N37)&amp;"|"&amp;$AQ37,CaseTypeColSetMember!$H:$H,0))))))</f>
        <v>1</v>
      </c>
      <c r="AZ37" s="6" t="str">
        <f>IF($AX37="","",INDEX(CaseTypeCol!$J:$J,MATCH($AX37,CaseTypeCol!$A:$A,0)))</f>
        <v/>
      </c>
      <c r="BA37" s="6" t="b" cm="1">
        <f t="array" aca="1" ref="BA37" ca="1">IF($AX37="",TRUE,IF($J37="",FALSE,IF(INDIRECT("OrganizationAccessCasePolicy!J"&amp;$J37)="",FALSE,NOT(ISNA(MATCH(INDIRECT("OrganizationAccessCasePolicy!J"&amp;$J37)&amp;"|"&amp;$AX37,CaseTypeColSetMember!$H:$H,0))))))</f>
        <v>1</v>
      </c>
      <c r="BB37" s="6" t="b" cm="1">
        <f t="array" aca="1" ref="BB37" ca="1">IF($AX37="",TRUE,IF($J37="",FALSE,IF(INDIRECT("OrganizationAccessCasePolicy!L"&amp;$J37)="",FALSE,NOT(ISNA(MATCH(INDIRECT("OrganizationAccessCasePolicy!L"&amp;$J37)&amp;"|"&amp;$AX37,CaseTypeColSetMember!$H:$H,0))))))</f>
        <v>1</v>
      </c>
      <c r="BC37" s="6" t="b" cm="1">
        <f t="array" aca="1" ref="BC37" ca="1">IF($AX37="",TRUE,IF($N37="",FALSE,IF(INDIRECT("UserAccessCasePolicy!I"&amp;$N37)="",FALSE,NOT(ISNA(MATCH(INDIRECT("UserAccessCasePolicy!I"&amp;$N37)&amp;"|"&amp;$AX37,CaseTypeColSetMember!$H:$H,0))))))</f>
        <v>1</v>
      </c>
      <c r="BD37" s="6" t="b" cm="1">
        <f t="array" aca="1" ref="BD37" ca="1">IF($AX37="",TRUE,IF($N37="",FALSE,IF(INDIRECT("UserAccessCasePolicy!K"&amp;$N37)="",FALSE,NOT(ISNA(MATCH(INDIRECT("UserAccessCasePolicy!K"&amp;$N37)&amp;"|"&amp;$AX37,CaseTypeColSetMember!$H:$H,0))))))</f>
        <v>1</v>
      </c>
    </row>
    <row r="38" spans="1:56" ht="15" customHeight="1" x14ac:dyDescent="0.3">
      <c r="A38">
        <v>37</v>
      </c>
      <c r="B38" t="b">
        <v>0</v>
      </c>
      <c r="C38" t="s">
        <v>1040</v>
      </c>
      <c r="D38" t="s">
        <v>14</v>
      </c>
      <c r="E38" s="6" t="str">
        <f>INDEX(User!$D:$D,MATCH($D38,User!$A:$A,0))</f>
        <v>org_user1_4</v>
      </c>
      <c r="F38" t="s">
        <v>982</v>
      </c>
      <c r="G38" s="19" t="b">
        <f ca="1">IF($F38="CREATE",$I38,IF($F38="CREATE_CASES",OR($I38,AND($K38,$L38,$O38,$P38,$AN38,AP38,$AU38,$AW38,$BB38,$BD38)),"TBD"))</f>
        <v>0</v>
      </c>
      <c r="H38" s="6" t="str">
        <f>INDEX(User!$G:$G,MATCH($D38,User!$A:$A,0))</f>
        <v>018d074d-ea0c-e942-07db-a3cc0ba1d653</v>
      </c>
      <c r="I38" s="6" t="b">
        <f>INDEX(User!$M:$M,MATCH($D38,User!$A:$A,0))</f>
        <v>0</v>
      </c>
      <c r="J38" s="6">
        <f>IF(ISNA(MATCH($H38&amp;"|"&amp;$X38,OrganizationAccessCasePolicy!$V:$V,0)),"",MATCH($H38&amp;"|"&amp;$X38,OrganizationAccessCasePolicy!$V:$V,0))</f>
        <v>7</v>
      </c>
      <c r="K38" s="6" t="b" cm="1">
        <f t="array" aca="1" ref="K38" ca="1">IF($J38="",FALSE,NOT(ISNA(MATCH(INDIRECT("OrganizationAccessCasePolicy!D"&amp;$J38)&amp;"|"&amp;$T38,CaseTypeSetMember!$H:$H,0))))</f>
        <v>1</v>
      </c>
      <c r="L38" s="6" t="b" cm="1">
        <f t="array" aca="1" ref="L38" ca="1">IF($J38="",FALSE,AND(INDIRECT("OrganizationAccessCasePolicy!H"&amp;$J38),NOT(ISNA(MATCH(INDIRECT("OrganizationAccessCasePolicy!D"&amp;$J38)&amp;"|"&amp;$T38,CaseTypeSetMember!$H:$H,0)))))</f>
        <v>1</v>
      </c>
      <c r="M38" s="6" t="b" cm="1">
        <f t="array" aca="1" ref="M38" ca="1">IF($J38="",FALSE,AND(INDIRECT("OrganizationAccessCasePolicy!I"&amp;$J38),NOT(ISNA(MATCH(INDIRECT("OrganizationAccessCasePolicy!D"&amp;$J38)&amp;"|"&amp;$T38,CaseTypeSetMember!$H:$H,0)))))</f>
        <v>1</v>
      </c>
      <c r="N38" s="6" t="str">
        <f>IF(ISNA(MATCH($D38&amp;"|"&amp;$X38,UserAccessCasePolicy!$W:$W,0)),"",MATCH($D38&amp;"|"&amp;$X38,UserAccessCasePolicy!$W:$W,0))</f>
        <v/>
      </c>
      <c r="O38" s="6" t="b" cm="1">
        <f t="array" aca="1" ref="O38" ca="1">IF($N38="",FALSE,NOT(ISNA(MATCH(INDIRECT("UserAccessCasePolicy!D"&amp;$N38)&amp;"|"&amp;$T38,CaseTypeSetMember!$H:$H,0))))</f>
        <v>0</v>
      </c>
      <c r="P38" s="6" t="b" cm="1">
        <f t="array" aca="1" ref="P38" ca="1">IF($N38="",FALSE,AND(INDIRECT("UserAccessCasePolicy!G"&amp;$N38),NOT(ISNA(MATCH(INDIRECT("UserAccessCasePolicy!D"&amp;$N38)&amp;"|"&amp;$T38,CaseTypeSetMember!$H:$H,0)))))</f>
        <v>0</v>
      </c>
      <c r="Q38" s="6" t="b" cm="1">
        <f t="array" aca="1" ref="Q38" ca="1">IF($N38="",FALSE,AND(INDIRECT("UserAccessCasePolicy!H"&amp;$N38),NOT(ISNA(MATCH(INDIRECT("UserAccessCasePolicy!D"&amp;$N38)&amp;"|"&amp;$T38,CaseTypeSetMember!$H:$H,0)))))</f>
        <v>0</v>
      </c>
      <c r="R38" t="s">
        <v>1037</v>
      </c>
      <c r="S38" s="6" t="str">
        <f>"case"&amp;MATCH($R38,$R$1:$R38,0)-1</f>
        <v>case34</v>
      </c>
      <c r="T38" t="s">
        <v>115</v>
      </c>
      <c r="U38" s="6" t="str">
        <f>INDEX(CaseType!$B:$B,MATCH($T38,CaseType!$A:$A,0))</f>
        <v>case_type1</v>
      </c>
      <c r="V38" s="6" t="b">
        <f>AND(IF($AJ38="",TRUE,$T38=INDEX(CaseTypeCol!$B:$B,MATCH($AJ38,CaseTypeCol!$A:$A,0))),IF($AQ38="",TRUE,$T38=INDEX(CaseTypeCol!$B:$B,MATCH($AQ38,CaseTypeCol!$A:$A,0))),IF($AX38="",TRUE,$T38=INDEX(CaseTypeCol!$B:$B,MATCH($AX38,CaseTypeCol!$A:$A,0))))</f>
        <v>1</v>
      </c>
      <c r="X38" t="s">
        <v>15</v>
      </c>
      <c r="Y38" s="6" t="str">
        <f>INDEX(DataCollection!$B:$B,MATCH($X38,DataCollection!$A:$A,0))</f>
        <v>data_collection6</v>
      </c>
      <c r="AA38" s="6" t="str">
        <f>IF($Z38="","",INDEX(CaseTypeCol!$J:$J,MATCH($Z38,CaseTypeCol!$A:$A,0)))</f>
        <v/>
      </c>
      <c r="AC38" s="6" t="str">
        <f>IF($AB38="","",INDEX(IdentifierIssuer!$B:$B,MATCH($AB38,IdentifierIssuer!$A:$A,0)))</f>
        <v/>
      </c>
      <c r="AE38" s="6" t="str">
        <f>IF($AD38="","",INDEX(SequencingProtocol!$B:$B,MATCH($AD38,SequencingProtocol!$A:$A,0)))</f>
        <v/>
      </c>
      <c r="AG38" s="6" t="str">
        <f>IF($AF38="","",INDEX(AssemblyProtocol!$B:$B,MATCH($AF38,AssemblyProtocol!$A:$A,0)))</f>
        <v/>
      </c>
      <c r="AI38" s="14">
        <v>36526</v>
      </c>
      <c r="AJ38" t="s">
        <v>516</v>
      </c>
      <c r="AK38" t="s">
        <v>972</v>
      </c>
      <c r="AL38" s="6" t="str">
        <f>IF($AJ38="","",INDEX(CaseTypeCol!$J:$J,MATCH($AJ38,CaseTypeCol!$A:$A,0)))</f>
        <v>case_type_col1_7_0_1_TEXT</v>
      </c>
      <c r="AM38" s="6" t="b" cm="1">
        <f t="array" aca="1" ref="AM38" ca="1">IF($AJ38="",TRUE,IF($J38="",FALSE,IF(INDIRECT("OrganizationAccessCasePolicy!J"&amp;$J38)="",FALSE,NOT(ISNA(MATCH(INDIRECT("OrganizationAccessCasePolicy!J"&amp;$J38)&amp;"|"&amp;$AJ38,CaseTypeColSetMember!$H:$H,0))))))</f>
        <v>1</v>
      </c>
      <c r="AN38" s="6" t="b" cm="1">
        <f t="array" aca="1" ref="AN38" ca="1">IF($AJ38="",TRUE,IF($J38="",FALSE,IF(INDIRECT("OrganizationAccessCasePolicy!L"&amp;$J38)="",FALSE,NOT(ISNA(MATCH(INDIRECT("OrganizationAccessCasePolicy!L"&amp;$J38)&amp;"|"&amp;$AJ38,CaseTypeColSetMember!$H:$H,0))))))</f>
        <v>0</v>
      </c>
      <c r="AO38" s="6" t="b" cm="1">
        <f t="array" aca="1" ref="AO38" ca="1">IF($AJ38="",TRUE,IF($N38="",FALSE,IF(INDIRECT("UserAccessCasePolicy!I"&amp;$N38)="",FALSE,NOT(ISNA(MATCH(INDIRECT("UserAccessCasePolicy!I"&amp;$N38)&amp;"|"&amp;$AJ38,CaseTypeColSetMember!$H:$H,0))))))</f>
        <v>0</v>
      </c>
      <c r="AP38" s="6" t="b" cm="1">
        <f t="array" aca="1" ref="AP38" ca="1">IF($AJ38="",TRUE,IF($N38="",FALSE,IF(INDIRECT("UserAccessCasePolicy!K"&amp;$N38)="",FALSE,NOT(ISNA(MATCH(INDIRECT("UserAccessCasePolicy!K"&amp;$N38)&amp;"|"&amp;$AJ38,CaseTypeColSetMember!$H:$H,0))))))</f>
        <v>0</v>
      </c>
      <c r="AS38" s="6" t="str">
        <f>IF($AQ38="","",INDEX(CaseTypeCol!$J:$J,MATCH($AQ38,CaseTypeCol!$A:$A,0)))</f>
        <v/>
      </c>
      <c r="AT38" s="6" t="b" cm="1">
        <f t="array" aca="1" ref="AT38" ca="1">IF($AQ38="",TRUE,IF($J38="",FALSE,IF(INDIRECT("OrganizationAccessCasePolicy!J"&amp;$J38)="",FALSE,NOT(ISNA(MATCH(INDIRECT("OrganizationAccessCasePolicy!J"&amp;$J38)&amp;"|"&amp;$AQ38,CaseTypeColSetMember!$H:$H,0))))))</f>
        <v>1</v>
      </c>
      <c r="AU38" s="6" t="b" cm="1">
        <f t="array" aca="1" ref="AU38" ca="1">IF($AQ38="",TRUE,IF($J38="",FALSE,IF(INDIRECT("OrganizationAccessCasePolicy!L"&amp;$J38)="",FALSE,NOT(ISNA(MATCH(INDIRECT("OrganizationAccessCasePolicy!L"&amp;$J38)&amp;"|"&amp;$AQ38,CaseTypeColSetMember!$H:$H,0))))))</f>
        <v>1</v>
      </c>
      <c r="AV38" s="6" t="b" cm="1">
        <f t="array" aca="1" ref="AV38" ca="1">IF($AQ38="",TRUE,IF($N38="",FALSE,IF(INDIRECT("UserAccessCasePolicy!I"&amp;$N38)="",FALSE,NOT(ISNA(MATCH(INDIRECT("UserAccessCasePolicy!I"&amp;$N38)&amp;"|"&amp;$AQ38,CaseTypeColSetMember!$H:$H,0))))))</f>
        <v>1</v>
      </c>
      <c r="AW38" s="6" t="b" cm="1">
        <f t="array" aca="1" ref="AW38" ca="1">IF($AQ38="",TRUE,IF($N38="",FALSE,IF(INDIRECT("UserAccessCasePolicy!K"&amp;$N38)="",FALSE,NOT(ISNA(MATCH(INDIRECT("UserAccessCasePolicy!K"&amp;$N38)&amp;"|"&amp;$AQ38,CaseTypeColSetMember!$H:$H,0))))))</f>
        <v>1</v>
      </c>
      <c r="AZ38" s="6" t="str">
        <f>IF($AX38="","",INDEX(CaseTypeCol!$J:$J,MATCH($AX38,CaseTypeCol!$A:$A,0)))</f>
        <v/>
      </c>
      <c r="BA38" s="6" t="b" cm="1">
        <f t="array" aca="1" ref="BA38" ca="1">IF($AX38="",TRUE,IF($J38="",FALSE,IF(INDIRECT("OrganizationAccessCasePolicy!J"&amp;$J38)="",FALSE,NOT(ISNA(MATCH(INDIRECT("OrganizationAccessCasePolicy!J"&amp;$J38)&amp;"|"&amp;$AX38,CaseTypeColSetMember!$H:$H,0))))))</f>
        <v>1</v>
      </c>
      <c r="BB38" s="6" t="b" cm="1">
        <f t="array" aca="1" ref="BB38" ca="1">IF($AX38="",TRUE,IF($J38="",FALSE,IF(INDIRECT("OrganizationAccessCasePolicy!L"&amp;$J38)="",FALSE,NOT(ISNA(MATCH(INDIRECT("OrganizationAccessCasePolicy!L"&amp;$J38)&amp;"|"&amp;$AX38,CaseTypeColSetMember!$H:$H,0))))))</f>
        <v>1</v>
      </c>
      <c r="BC38" s="6" t="b" cm="1">
        <f t="array" aca="1" ref="BC38" ca="1">IF($AX38="",TRUE,IF($N38="",FALSE,IF(INDIRECT("UserAccessCasePolicy!I"&amp;$N38)="",FALSE,NOT(ISNA(MATCH(INDIRECT("UserAccessCasePolicy!I"&amp;$N38)&amp;"|"&amp;$AX38,CaseTypeColSetMember!$H:$H,0))))))</f>
        <v>1</v>
      </c>
      <c r="BD38" s="6" t="b" cm="1">
        <f t="array" aca="1" ref="BD38" ca="1">IF($AX38="",TRUE,IF($N38="",FALSE,IF(INDIRECT("UserAccessCasePolicy!K"&amp;$N38)="",FALSE,NOT(ISNA(MATCH(INDIRECT("UserAccessCasePolicy!K"&amp;$N38)&amp;"|"&amp;$AX38,CaseTypeColSetMember!$H:$H,0))))))</f>
        <v>1</v>
      </c>
    </row>
    <row r="39" spans="1:56" ht="15" customHeight="1" x14ac:dyDescent="0.3">
      <c r="A39">
        <v>38</v>
      </c>
      <c r="B39" t="b">
        <v>0</v>
      </c>
      <c r="C39" t="s">
        <v>1041</v>
      </c>
      <c r="D39" t="s">
        <v>16</v>
      </c>
      <c r="E39" s="6" t="str">
        <f>INDEX(User!$D:$D,MATCH($D39,User!$A:$A,0))</f>
        <v>org_user2_1</v>
      </c>
      <c r="F39" t="s">
        <v>982</v>
      </c>
      <c r="G39" s="19" t="b">
        <f ca="1">IF($F39="CREATE",$I39,IF($F39="CREATE_CASES",OR($I39,AND($K39,$L39,$O39,$P39,$AN39,AP39,$AU39,$AW39,$BB39,$BD39)),"TBD"))</f>
        <v>0</v>
      </c>
      <c r="H39" s="6" t="str">
        <f>INDEX(User!$G:$G,MATCH($D39,User!$A:$A,0))</f>
        <v>0195d18c-1c92-0ed4-2e94-b4f66d82baf3</v>
      </c>
      <c r="I39" s="6" t="b">
        <f>INDEX(User!$M:$M,MATCH($D39,User!$A:$A,0))</f>
        <v>0</v>
      </c>
      <c r="J39" s="6">
        <f>IF(ISNA(MATCH($H39&amp;"|"&amp;$X39,OrganizationAccessCasePolicy!$V:$V,0)),"",MATCH($H39&amp;"|"&amp;$X39,OrganizationAccessCasePolicy!$V:$V,0))</f>
        <v>8</v>
      </c>
      <c r="K39" s="6" t="b" cm="1">
        <f t="array" aca="1" ref="K39" ca="1">IF($J39="",FALSE,NOT(ISNA(MATCH(INDIRECT("OrganizationAccessCasePolicy!D"&amp;$J39)&amp;"|"&amp;$T39,CaseTypeSetMember!$H:$H,0))))</f>
        <v>0</v>
      </c>
      <c r="L39" s="6" t="b" cm="1">
        <f t="array" aca="1" ref="L39" ca="1">IF($J39="",FALSE,AND(INDIRECT("OrganizationAccessCasePolicy!H"&amp;$J39),NOT(ISNA(MATCH(INDIRECT("OrganizationAccessCasePolicy!D"&amp;$J39)&amp;"|"&amp;$T39,CaseTypeSetMember!$H:$H,0)))))</f>
        <v>0</v>
      </c>
      <c r="M39" s="6" t="b" cm="1">
        <f t="array" aca="1" ref="M39" ca="1">IF($J39="",FALSE,AND(INDIRECT("OrganizationAccessCasePolicy!I"&amp;$J39),NOT(ISNA(MATCH(INDIRECT("OrganizationAccessCasePolicy!D"&amp;$J39)&amp;"|"&amp;$T39,CaseTypeSetMember!$H:$H,0)))))</f>
        <v>0</v>
      </c>
      <c r="N39" s="6">
        <f>IF(ISNA(MATCH($D39&amp;"|"&amp;$X39,UserAccessCasePolicy!$W:$W,0)),"",MATCH($D39&amp;"|"&amp;$X39,UserAccessCasePolicy!$W:$W,0))</f>
        <v>8</v>
      </c>
      <c r="O39" s="6" t="b" cm="1">
        <f t="array" aca="1" ref="O39" ca="1">IF($N39="",FALSE,NOT(ISNA(MATCH(INDIRECT("UserAccessCasePolicy!D"&amp;$N39)&amp;"|"&amp;$T39,CaseTypeSetMember!$H:$H,0))))</f>
        <v>0</v>
      </c>
      <c r="P39" s="6" t="b" cm="1">
        <f t="array" aca="1" ref="P39" ca="1">IF($N39="",FALSE,AND(INDIRECT("UserAccessCasePolicy!G"&amp;$N39),NOT(ISNA(MATCH(INDIRECT("UserAccessCasePolicy!D"&amp;$N39)&amp;"|"&amp;$T39,CaseTypeSetMember!$H:$H,0)))))</f>
        <v>0</v>
      </c>
      <c r="Q39" s="6" t="b" cm="1">
        <f t="array" aca="1" ref="Q39" ca="1">IF($N39="",FALSE,AND(INDIRECT("UserAccessCasePolicy!H"&amp;$N39),NOT(ISNA(MATCH(INDIRECT("UserAccessCasePolicy!D"&amp;$N39)&amp;"|"&amp;$T39,CaseTypeSetMember!$H:$H,0)))))</f>
        <v>0</v>
      </c>
      <c r="R39" t="s">
        <v>1037</v>
      </c>
      <c r="S39" s="6" t="str">
        <f>"case"&amp;MATCH($R39,$R$1:$R39,0)-1</f>
        <v>case34</v>
      </c>
      <c r="T39" t="s">
        <v>115</v>
      </c>
      <c r="U39" s="6" t="str">
        <f>INDEX(CaseType!$B:$B,MATCH($T39,CaseType!$A:$A,0))</f>
        <v>case_type1</v>
      </c>
      <c r="V39" s="6" t="b">
        <f>AND(IF($AJ39="",TRUE,$T39=INDEX(CaseTypeCol!$B:$B,MATCH($AJ39,CaseTypeCol!$A:$A,0))),IF($AQ39="",TRUE,$T39=INDEX(CaseTypeCol!$B:$B,MATCH($AQ39,CaseTypeCol!$A:$A,0))),IF($AX39="",TRUE,$T39=INDEX(CaseTypeCol!$B:$B,MATCH($AX39,CaseTypeCol!$A:$A,0))))</f>
        <v>1</v>
      </c>
      <c r="X39" t="s">
        <v>21</v>
      </c>
      <c r="Y39" s="6" t="str">
        <f>INDEX(DataCollection!$B:$B,MATCH($X39,DataCollection!$A:$A,0))</f>
        <v>data_collection7</v>
      </c>
      <c r="AA39" s="6" t="str">
        <f>IF($Z39="","",INDEX(CaseTypeCol!$J:$J,MATCH($Z39,CaseTypeCol!$A:$A,0)))</f>
        <v/>
      </c>
      <c r="AC39" s="6" t="str">
        <f>IF($AB39="","",INDEX(IdentifierIssuer!$B:$B,MATCH($AB39,IdentifierIssuer!$A:$A,0)))</f>
        <v/>
      </c>
      <c r="AE39" s="6" t="str">
        <f>IF($AD39="","",INDEX(SequencingProtocol!$B:$B,MATCH($AD39,SequencingProtocol!$A:$A,0)))</f>
        <v/>
      </c>
      <c r="AG39" s="6" t="str">
        <f>IF($AF39="","",INDEX(AssemblyProtocol!$B:$B,MATCH($AF39,AssemblyProtocol!$A:$A,0)))</f>
        <v/>
      </c>
      <c r="AI39" s="14">
        <v>36526</v>
      </c>
      <c r="AJ39" t="s">
        <v>516</v>
      </c>
      <c r="AK39" t="s">
        <v>972</v>
      </c>
      <c r="AL39" s="6" t="str">
        <f>IF($AJ39="","",INDEX(CaseTypeCol!$J:$J,MATCH($AJ39,CaseTypeCol!$A:$A,0)))</f>
        <v>case_type_col1_7_0_1_TEXT</v>
      </c>
      <c r="AM39" s="6" t="b" cm="1">
        <f t="array" aca="1" ref="AM39" ca="1">IF($AJ39="",TRUE,IF($J39="",FALSE,IF(INDIRECT("OrganizationAccessCasePolicy!J"&amp;$J39)="",FALSE,NOT(ISNA(MATCH(INDIRECT("OrganizationAccessCasePolicy!J"&amp;$J39)&amp;"|"&amp;$AJ39,CaseTypeColSetMember!$H:$H,0))))))</f>
        <v>1</v>
      </c>
      <c r="AN39" s="6" t="b" cm="1">
        <f t="array" aca="1" ref="AN39" ca="1">IF($AJ39="",TRUE,IF($J39="",FALSE,IF(INDIRECT("OrganizationAccessCasePolicy!L"&amp;$J39)="",FALSE,NOT(ISNA(MATCH(INDIRECT("OrganizationAccessCasePolicy!L"&amp;$J39)&amp;"|"&amp;$AJ39,CaseTypeColSetMember!$H:$H,0))))))</f>
        <v>0</v>
      </c>
      <c r="AO39" s="6" t="b" cm="1">
        <f t="array" aca="1" ref="AO39" ca="1">IF($AJ39="",TRUE,IF($N39="",FALSE,IF(INDIRECT("UserAccessCasePolicy!I"&amp;$N39)="",FALSE,NOT(ISNA(MATCH(INDIRECT("UserAccessCasePolicy!I"&amp;$N39)&amp;"|"&amp;$AJ39,CaseTypeColSetMember!$H:$H,0))))))</f>
        <v>1</v>
      </c>
      <c r="AP39" s="6" t="b" cm="1">
        <f t="array" aca="1" ref="AP39" ca="1">IF($AJ39="",TRUE,IF($N39="",FALSE,IF(INDIRECT("UserAccessCasePolicy!K"&amp;$N39)="",FALSE,NOT(ISNA(MATCH(INDIRECT("UserAccessCasePolicy!K"&amp;$N39)&amp;"|"&amp;$AJ39,CaseTypeColSetMember!$H:$H,0))))))</f>
        <v>1</v>
      </c>
      <c r="AS39" s="6" t="str">
        <f>IF($AQ39="","",INDEX(CaseTypeCol!$J:$J,MATCH($AQ39,CaseTypeCol!$A:$A,0)))</f>
        <v/>
      </c>
      <c r="AT39" s="6" t="b" cm="1">
        <f t="array" aca="1" ref="AT39" ca="1">IF($AQ39="",TRUE,IF($J39="",FALSE,IF(INDIRECT("OrganizationAccessCasePolicy!J"&amp;$J39)="",FALSE,NOT(ISNA(MATCH(INDIRECT("OrganizationAccessCasePolicy!J"&amp;$J39)&amp;"|"&amp;$AQ39,CaseTypeColSetMember!$H:$H,0))))))</f>
        <v>1</v>
      </c>
      <c r="AU39" s="6" t="b" cm="1">
        <f t="array" aca="1" ref="AU39" ca="1">IF($AQ39="",TRUE,IF($J39="",FALSE,IF(INDIRECT("OrganizationAccessCasePolicy!L"&amp;$J39)="",FALSE,NOT(ISNA(MATCH(INDIRECT("OrganizationAccessCasePolicy!L"&amp;$J39)&amp;"|"&amp;$AQ39,CaseTypeColSetMember!$H:$H,0))))))</f>
        <v>1</v>
      </c>
      <c r="AV39" s="6" t="b" cm="1">
        <f t="array" aca="1" ref="AV39" ca="1">IF($AQ39="",TRUE,IF($N39="",FALSE,IF(INDIRECT("UserAccessCasePolicy!I"&amp;$N39)="",FALSE,NOT(ISNA(MATCH(INDIRECT("UserAccessCasePolicy!I"&amp;$N39)&amp;"|"&amp;$AQ39,CaseTypeColSetMember!$H:$H,0))))))</f>
        <v>1</v>
      </c>
      <c r="AW39" s="6" t="b" cm="1">
        <f t="array" aca="1" ref="AW39" ca="1">IF($AQ39="",TRUE,IF($N39="",FALSE,IF(INDIRECT("UserAccessCasePolicy!K"&amp;$N39)="",FALSE,NOT(ISNA(MATCH(INDIRECT("UserAccessCasePolicy!K"&amp;$N39)&amp;"|"&amp;$AQ39,CaseTypeColSetMember!$H:$H,0))))))</f>
        <v>1</v>
      </c>
      <c r="AZ39" s="6" t="str">
        <f>IF($AX39="","",INDEX(CaseTypeCol!$J:$J,MATCH($AX39,CaseTypeCol!$A:$A,0)))</f>
        <v/>
      </c>
      <c r="BA39" s="6" t="b" cm="1">
        <f t="array" aca="1" ref="BA39" ca="1">IF($AX39="",TRUE,IF($J39="",FALSE,IF(INDIRECT("OrganizationAccessCasePolicy!J"&amp;$J39)="",FALSE,NOT(ISNA(MATCH(INDIRECT("OrganizationAccessCasePolicy!J"&amp;$J39)&amp;"|"&amp;$AX39,CaseTypeColSetMember!$H:$H,0))))))</f>
        <v>1</v>
      </c>
      <c r="BB39" s="6" t="b" cm="1">
        <f t="array" aca="1" ref="BB39" ca="1">IF($AX39="",TRUE,IF($J39="",FALSE,IF(INDIRECT("OrganizationAccessCasePolicy!L"&amp;$J39)="",FALSE,NOT(ISNA(MATCH(INDIRECT("OrganizationAccessCasePolicy!L"&amp;$J39)&amp;"|"&amp;$AX39,CaseTypeColSetMember!$H:$H,0))))))</f>
        <v>1</v>
      </c>
      <c r="BC39" s="6" t="b" cm="1">
        <f t="array" aca="1" ref="BC39" ca="1">IF($AX39="",TRUE,IF($N39="",FALSE,IF(INDIRECT("UserAccessCasePolicy!I"&amp;$N39)="",FALSE,NOT(ISNA(MATCH(INDIRECT("UserAccessCasePolicy!I"&amp;$N39)&amp;"|"&amp;$AX39,CaseTypeColSetMember!$H:$H,0))))))</f>
        <v>1</v>
      </c>
      <c r="BD39" s="6" t="b" cm="1">
        <f t="array" aca="1" ref="BD39" ca="1">IF($AX39="",TRUE,IF($N39="",FALSE,IF(INDIRECT("UserAccessCasePolicy!K"&amp;$N39)="",FALSE,NOT(ISNA(MATCH(INDIRECT("UserAccessCasePolicy!K"&amp;$N39)&amp;"|"&amp;$AX39,CaseTypeColSetMember!$H:$H,0))))))</f>
        <v>1</v>
      </c>
    </row>
    <row r="40" spans="1:56" ht="15" customHeight="1" x14ac:dyDescent="0.3">
      <c r="A40">
        <v>39</v>
      </c>
      <c r="B40" t="b">
        <v>0</v>
      </c>
      <c r="C40" t="s">
        <v>1042</v>
      </c>
      <c r="D40" t="s">
        <v>18</v>
      </c>
      <c r="E40" s="6" t="str">
        <f>INDEX(User!$D:$D,MATCH($D40,User!$A:$A,0))</f>
        <v>org_user2_2</v>
      </c>
      <c r="F40" t="s">
        <v>982</v>
      </c>
      <c r="G40" s="19" t="b">
        <f ca="1">IF($F40="CREATE",$I40,IF($F40="CREATE_CASES",OR($I40,AND($K40,$L40,$O40,$P40,$AN40,AP40,$AU40,$AW40,$BB40,$BD40)),"TBD"))</f>
        <v>0</v>
      </c>
      <c r="H40" s="6" t="str">
        <f>INDEX(User!$G:$G,MATCH($D40,User!$A:$A,0))</f>
        <v>0195d18c-1c92-0ed4-2e94-b4f66d82baf3</v>
      </c>
      <c r="I40" s="6" t="b">
        <f>INDEX(User!$M:$M,MATCH($D40,User!$A:$A,0))</f>
        <v>0</v>
      </c>
      <c r="J40" s="6">
        <f>IF(ISNA(MATCH($H40&amp;"|"&amp;$X40,OrganizationAccessCasePolicy!$V:$V,0)),"",MATCH($H40&amp;"|"&amp;$X40,OrganizationAccessCasePolicy!$V:$V,0))</f>
        <v>8</v>
      </c>
      <c r="K40" s="6" t="b" cm="1">
        <f t="array" aca="1" ref="K40" ca="1">IF($J40="",FALSE,NOT(ISNA(MATCH(INDIRECT("OrganizationAccessCasePolicy!D"&amp;$J40)&amp;"|"&amp;$T40,CaseTypeSetMember!$H:$H,0))))</f>
        <v>0</v>
      </c>
      <c r="L40" s="6" t="b" cm="1">
        <f t="array" aca="1" ref="L40" ca="1">IF($J40="",FALSE,AND(INDIRECT("OrganizationAccessCasePolicy!H"&amp;$J40),NOT(ISNA(MATCH(INDIRECT("OrganizationAccessCasePolicy!D"&amp;$J40)&amp;"|"&amp;$T40,CaseTypeSetMember!$H:$H,0)))))</f>
        <v>0</v>
      </c>
      <c r="M40" s="6" t="b" cm="1">
        <f t="array" aca="1" ref="M40" ca="1">IF($J40="",FALSE,AND(INDIRECT("OrganizationAccessCasePolicy!I"&amp;$J40),NOT(ISNA(MATCH(INDIRECT("OrganizationAccessCasePolicy!D"&amp;$J40)&amp;"|"&amp;$T40,CaseTypeSetMember!$H:$H,0)))))</f>
        <v>0</v>
      </c>
      <c r="N40" s="6" t="str">
        <f>IF(ISNA(MATCH($D40&amp;"|"&amp;$X40,UserAccessCasePolicy!$W:$W,0)),"",MATCH($D40&amp;"|"&amp;$X40,UserAccessCasePolicy!$W:$W,0))</f>
        <v/>
      </c>
      <c r="O40" s="6" t="b" cm="1">
        <f t="array" aca="1" ref="O40" ca="1">IF($N40="",FALSE,NOT(ISNA(MATCH(INDIRECT("UserAccessCasePolicy!D"&amp;$N40)&amp;"|"&amp;$T40,CaseTypeSetMember!$H:$H,0))))</f>
        <v>0</v>
      </c>
      <c r="P40" s="6" t="b" cm="1">
        <f t="array" aca="1" ref="P40" ca="1">IF($N40="",FALSE,AND(INDIRECT("UserAccessCasePolicy!G"&amp;$N40),NOT(ISNA(MATCH(INDIRECT("UserAccessCasePolicy!D"&amp;$N40)&amp;"|"&amp;$T40,CaseTypeSetMember!$H:$H,0)))))</f>
        <v>0</v>
      </c>
      <c r="Q40" s="6" t="b" cm="1">
        <f t="array" aca="1" ref="Q40" ca="1">IF($N40="",FALSE,AND(INDIRECT("UserAccessCasePolicy!H"&amp;$N40),NOT(ISNA(MATCH(INDIRECT("UserAccessCasePolicy!D"&amp;$N40)&amp;"|"&amp;$T40,CaseTypeSetMember!$H:$H,0)))))</f>
        <v>0</v>
      </c>
      <c r="R40" t="s">
        <v>1037</v>
      </c>
      <c r="S40" s="6" t="str">
        <f>"case"&amp;MATCH($R40,$R$1:$R40,0)-1</f>
        <v>case34</v>
      </c>
      <c r="T40" t="s">
        <v>115</v>
      </c>
      <c r="U40" s="6" t="str">
        <f>INDEX(CaseType!$B:$B,MATCH($T40,CaseType!$A:$A,0))</f>
        <v>case_type1</v>
      </c>
      <c r="V40" s="6" t="b">
        <f>AND(IF($AJ40="",TRUE,$T40=INDEX(CaseTypeCol!$B:$B,MATCH($AJ40,CaseTypeCol!$A:$A,0))),IF($AQ40="",TRUE,$T40=INDEX(CaseTypeCol!$B:$B,MATCH($AQ40,CaseTypeCol!$A:$A,0))),IF($AX40="",TRUE,$T40=INDEX(CaseTypeCol!$B:$B,MATCH($AX40,CaseTypeCol!$A:$A,0))))</f>
        <v>1</v>
      </c>
      <c r="X40" t="s">
        <v>21</v>
      </c>
      <c r="Y40" s="6" t="str">
        <f>INDEX(DataCollection!$B:$B,MATCH($X40,DataCollection!$A:$A,0))</f>
        <v>data_collection7</v>
      </c>
      <c r="AA40" s="6" t="str">
        <f>IF($Z40="","",INDEX(CaseTypeCol!$J:$J,MATCH($Z40,CaseTypeCol!$A:$A,0)))</f>
        <v/>
      </c>
      <c r="AC40" s="6" t="str">
        <f>IF($AB40="","",INDEX(IdentifierIssuer!$B:$B,MATCH($AB40,IdentifierIssuer!$A:$A,0)))</f>
        <v/>
      </c>
      <c r="AE40" s="6" t="str">
        <f>IF($AD40="","",INDEX(SequencingProtocol!$B:$B,MATCH($AD40,SequencingProtocol!$A:$A,0)))</f>
        <v/>
      </c>
      <c r="AG40" s="6" t="str">
        <f>IF($AF40="","",INDEX(AssemblyProtocol!$B:$B,MATCH($AF40,AssemblyProtocol!$A:$A,0)))</f>
        <v/>
      </c>
      <c r="AI40" s="14">
        <v>36526</v>
      </c>
      <c r="AJ40" t="s">
        <v>516</v>
      </c>
      <c r="AK40" t="s">
        <v>972</v>
      </c>
      <c r="AL40" s="6" t="str">
        <f>IF($AJ40="","",INDEX(CaseTypeCol!$J:$J,MATCH($AJ40,CaseTypeCol!$A:$A,0)))</f>
        <v>case_type_col1_7_0_1_TEXT</v>
      </c>
      <c r="AM40" s="6" t="b" cm="1">
        <f t="array" aca="1" ref="AM40" ca="1">IF($AJ40="",TRUE,IF($J40="",FALSE,IF(INDIRECT("OrganizationAccessCasePolicy!J"&amp;$J40)="",FALSE,NOT(ISNA(MATCH(INDIRECT("OrganizationAccessCasePolicy!J"&amp;$J40)&amp;"|"&amp;$AJ40,CaseTypeColSetMember!$H:$H,0))))))</f>
        <v>1</v>
      </c>
      <c r="AN40" s="6" t="b" cm="1">
        <f t="array" aca="1" ref="AN40" ca="1">IF($AJ40="",TRUE,IF($J40="",FALSE,IF(INDIRECT("OrganizationAccessCasePolicy!L"&amp;$J40)="",FALSE,NOT(ISNA(MATCH(INDIRECT("OrganizationAccessCasePolicy!L"&amp;$J40)&amp;"|"&amp;$AJ40,CaseTypeColSetMember!$H:$H,0))))))</f>
        <v>0</v>
      </c>
      <c r="AO40" s="6" t="b" cm="1">
        <f t="array" aca="1" ref="AO40" ca="1">IF($AJ40="",TRUE,IF($N40="",FALSE,IF(INDIRECT("UserAccessCasePolicy!I"&amp;$N40)="",FALSE,NOT(ISNA(MATCH(INDIRECT("UserAccessCasePolicy!I"&amp;$N40)&amp;"|"&amp;$AJ40,CaseTypeColSetMember!$H:$H,0))))))</f>
        <v>0</v>
      </c>
      <c r="AP40" s="6" t="b" cm="1">
        <f t="array" aca="1" ref="AP40" ca="1">IF($AJ40="",TRUE,IF($N40="",FALSE,IF(INDIRECT("UserAccessCasePolicy!K"&amp;$N40)="",FALSE,NOT(ISNA(MATCH(INDIRECT("UserAccessCasePolicy!K"&amp;$N40)&amp;"|"&amp;$AJ40,CaseTypeColSetMember!$H:$H,0))))))</f>
        <v>0</v>
      </c>
      <c r="AS40" s="6" t="str">
        <f>IF($AQ40="","",INDEX(CaseTypeCol!$J:$J,MATCH($AQ40,CaseTypeCol!$A:$A,0)))</f>
        <v/>
      </c>
      <c r="AT40" s="6" t="b" cm="1">
        <f t="array" aca="1" ref="AT40" ca="1">IF($AQ40="",TRUE,IF($J40="",FALSE,IF(INDIRECT("OrganizationAccessCasePolicy!J"&amp;$J40)="",FALSE,NOT(ISNA(MATCH(INDIRECT("OrganizationAccessCasePolicy!J"&amp;$J40)&amp;"|"&amp;$AQ40,CaseTypeColSetMember!$H:$H,0))))))</f>
        <v>1</v>
      </c>
      <c r="AU40" s="6" t="b" cm="1">
        <f t="array" aca="1" ref="AU40" ca="1">IF($AQ40="",TRUE,IF($J40="",FALSE,IF(INDIRECT("OrganizationAccessCasePolicy!L"&amp;$J40)="",FALSE,NOT(ISNA(MATCH(INDIRECT("OrganizationAccessCasePolicy!L"&amp;$J40)&amp;"|"&amp;$AQ40,CaseTypeColSetMember!$H:$H,0))))))</f>
        <v>1</v>
      </c>
      <c r="AV40" s="6" t="b" cm="1">
        <f t="array" aca="1" ref="AV40" ca="1">IF($AQ40="",TRUE,IF($N40="",FALSE,IF(INDIRECT("UserAccessCasePolicy!I"&amp;$N40)="",FALSE,NOT(ISNA(MATCH(INDIRECT("UserAccessCasePolicy!I"&amp;$N40)&amp;"|"&amp;$AQ40,CaseTypeColSetMember!$H:$H,0))))))</f>
        <v>1</v>
      </c>
      <c r="AW40" s="6" t="b" cm="1">
        <f t="array" aca="1" ref="AW40" ca="1">IF($AQ40="",TRUE,IF($N40="",FALSE,IF(INDIRECT("UserAccessCasePolicy!K"&amp;$N40)="",FALSE,NOT(ISNA(MATCH(INDIRECT("UserAccessCasePolicy!K"&amp;$N40)&amp;"|"&amp;$AQ40,CaseTypeColSetMember!$H:$H,0))))))</f>
        <v>1</v>
      </c>
      <c r="AZ40" s="6" t="str">
        <f>IF($AX40="","",INDEX(CaseTypeCol!$J:$J,MATCH($AX40,CaseTypeCol!$A:$A,0)))</f>
        <v/>
      </c>
      <c r="BA40" s="6" t="b" cm="1">
        <f t="array" aca="1" ref="BA40" ca="1">IF($AX40="",TRUE,IF($J40="",FALSE,IF(INDIRECT("OrganizationAccessCasePolicy!J"&amp;$J40)="",FALSE,NOT(ISNA(MATCH(INDIRECT("OrganizationAccessCasePolicy!J"&amp;$J40)&amp;"|"&amp;$AX40,CaseTypeColSetMember!$H:$H,0))))))</f>
        <v>1</v>
      </c>
      <c r="BB40" s="6" t="b" cm="1">
        <f t="array" aca="1" ref="BB40" ca="1">IF($AX40="",TRUE,IF($J40="",FALSE,IF(INDIRECT("OrganizationAccessCasePolicy!L"&amp;$J40)="",FALSE,NOT(ISNA(MATCH(INDIRECT("OrganizationAccessCasePolicy!L"&amp;$J40)&amp;"|"&amp;$AX40,CaseTypeColSetMember!$H:$H,0))))))</f>
        <v>1</v>
      </c>
      <c r="BC40" s="6" t="b" cm="1">
        <f t="array" aca="1" ref="BC40" ca="1">IF($AX40="",TRUE,IF($N40="",FALSE,IF(INDIRECT("UserAccessCasePolicy!I"&amp;$N40)="",FALSE,NOT(ISNA(MATCH(INDIRECT("UserAccessCasePolicy!I"&amp;$N40)&amp;"|"&amp;$AX40,CaseTypeColSetMember!$H:$H,0))))))</f>
        <v>1</v>
      </c>
      <c r="BD40" s="6" t="b" cm="1">
        <f t="array" aca="1" ref="BD40" ca="1">IF($AX40="",TRUE,IF($N40="",FALSE,IF(INDIRECT("UserAccessCasePolicy!K"&amp;$N40)="",FALSE,NOT(ISNA(MATCH(INDIRECT("UserAccessCasePolicy!K"&amp;$N40)&amp;"|"&amp;$AX40,CaseTypeColSetMember!$H:$H,0))))))</f>
        <v>1</v>
      </c>
    </row>
    <row r="41" spans="1:56" ht="15" customHeight="1" x14ac:dyDescent="0.3">
      <c r="A41">
        <v>40</v>
      </c>
      <c r="B41" t="b">
        <v>0</v>
      </c>
      <c r="C41" t="s">
        <v>1043</v>
      </c>
      <c r="D41" t="s">
        <v>19</v>
      </c>
      <c r="E41" s="6" t="str">
        <f>INDEX(User!$D:$D,MATCH($D41,User!$A:$A,0))</f>
        <v>org_user2_3</v>
      </c>
      <c r="F41" t="s">
        <v>982</v>
      </c>
      <c r="G41" s="19" t="b">
        <f ca="1">IF($F41="CREATE",$I41,IF($F41="CREATE_CASES",OR($I41,AND($K41,$L41,$O41,$P41,$AN41,AP41,$AU41,$AW41,$BB41,$BD41)),"TBD"))</f>
        <v>0</v>
      </c>
      <c r="H41" s="6" t="str">
        <f>INDEX(User!$G:$G,MATCH($D41,User!$A:$A,0))</f>
        <v>0195d18c-1c92-0ed4-2e94-b4f66d82baf3</v>
      </c>
      <c r="I41" s="6" t="b">
        <f>INDEX(User!$M:$M,MATCH($D41,User!$A:$A,0))</f>
        <v>0</v>
      </c>
      <c r="J41" s="6">
        <f>IF(ISNA(MATCH($H41&amp;"|"&amp;$X41,OrganizationAccessCasePolicy!$V:$V,0)),"",MATCH($H41&amp;"|"&amp;$X41,OrganizationAccessCasePolicy!$V:$V,0))</f>
        <v>8</v>
      </c>
      <c r="K41" s="6" t="b" cm="1">
        <f t="array" aca="1" ref="K41" ca="1">IF($J41="",FALSE,NOT(ISNA(MATCH(INDIRECT("OrganizationAccessCasePolicy!D"&amp;$J41)&amp;"|"&amp;$T41,CaseTypeSetMember!$H:$H,0))))</f>
        <v>0</v>
      </c>
      <c r="L41" s="6" t="b" cm="1">
        <f t="array" aca="1" ref="L41" ca="1">IF($J41="",FALSE,AND(INDIRECT("OrganizationAccessCasePolicy!H"&amp;$J41),NOT(ISNA(MATCH(INDIRECT("OrganizationAccessCasePolicy!D"&amp;$J41)&amp;"|"&amp;$T41,CaseTypeSetMember!$H:$H,0)))))</f>
        <v>0</v>
      </c>
      <c r="M41" s="6" t="b" cm="1">
        <f t="array" aca="1" ref="M41" ca="1">IF($J41="",FALSE,AND(INDIRECT("OrganizationAccessCasePolicy!I"&amp;$J41),NOT(ISNA(MATCH(INDIRECT("OrganizationAccessCasePolicy!D"&amp;$J41)&amp;"|"&amp;$T41,CaseTypeSetMember!$H:$H,0)))))</f>
        <v>0</v>
      </c>
      <c r="N41" s="6" t="str">
        <f>IF(ISNA(MATCH($D41&amp;"|"&amp;$X41,UserAccessCasePolicy!$W:$W,0)),"",MATCH($D41&amp;"|"&amp;$X41,UserAccessCasePolicy!$W:$W,0))</f>
        <v/>
      </c>
      <c r="O41" s="6" t="b" cm="1">
        <f t="array" aca="1" ref="O41" ca="1">IF($N41="",FALSE,NOT(ISNA(MATCH(INDIRECT("UserAccessCasePolicy!D"&amp;$N41)&amp;"|"&amp;$T41,CaseTypeSetMember!$H:$H,0))))</f>
        <v>0</v>
      </c>
      <c r="P41" s="6" t="b" cm="1">
        <f t="array" aca="1" ref="P41" ca="1">IF($N41="",FALSE,AND(INDIRECT("UserAccessCasePolicy!G"&amp;$N41),NOT(ISNA(MATCH(INDIRECT("UserAccessCasePolicy!D"&amp;$N41)&amp;"|"&amp;$T41,CaseTypeSetMember!$H:$H,0)))))</f>
        <v>0</v>
      </c>
      <c r="Q41" s="6" t="b" cm="1">
        <f t="array" aca="1" ref="Q41" ca="1">IF($N41="",FALSE,AND(INDIRECT("UserAccessCasePolicy!H"&amp;$N41),NOT(ISNA(MATCH(INDIRECT("UserAccessCasePolicy!D"&amp;$N41)&amp;"|"&amp;$T41,CaseTypeSetMember!$H:$H,0)))))</f>
        <v>0</v>
      </c>
      <c r="R41" t="s">
        <v>1037</v>
      </c>
      <c r="S41" s="6" t="str">
        <f>"case"&amp;MATCH($R41,$R$1:$R41,0)-1</f>
        <v>case34</v>
      </c>
      <c r="T41" t="s">
        <v>115</v>
      </c>
      <c r="U41" s="6" t="str">
        <f>INDEX(CaseType!$B:$B,MATCH($T41,CaseType!$A:$A,0))</f>
        <v>case_type1</v>
      </c>
      <c r="V41" s="6" t="b">
        <f>AND(IF($AJ41="",TRUE,$T41=INDEX(CaseTypeCol!$B:$B,MATCH($AJ41,CaseTypeCol!$A:$A,0))),IF($AQ41="",TRUE,$T41=INDEX(CaseTypeCol!$B:$B,MATCH($AQ41,CaseTypeCol!$A:$A,0))),IF($AX41="",TRUE,$T41=INDEX(CaseTypeCol!$B:$B,MATCH($AX41,CaseTypeCol!$A:$A,0))))</f>
        <v>1</v>
      </c>
      <c r="X41" t="s">
        <v>21</v>
      </c>
      <c r="Y41" s="6" t="str">
        <f>INDEX(DataCollection!$B:$B,MATCH($X41,DataCollection!$A:$A,0))</f>
        <v>data_collection7</v>
      </c>
      <c r="AA41" s="6" t="str">
        <f>IF($Z41="","",INDEX(CaseTypeCol!$J:$J,MATCH($Z41,CaseTypeCol!$A:$A,0)))</f>
        <v/>
      </c>
      <c r="AC41" s="6" t="str">
        <f>IF($AB41="","",INDEX(IdentifierIssuer!$B:$B,MATCH($AB41,IdentifierIssuer!$A:$A,0)))</f>
        <v/>
      </c>
      <c r="AE41" s="6" t="str">
        <f>IF($AD41="","",INDEX(SequencingProtocol!$B:$B,MATCH($AD41,SequencingProtocol!$A:$A,0)))</f>
        <v/>
      </c>
      <c r="AG41" s="6" t="str">
        <f>IF($AF41="","",INDEX(AssemblyProtocol!$B:$B,MATCH($AF41,AssemblyProtocol!$A:$A,0)))</f>
        <v/>
      </c>
      <c r="AI41" s="14">
        <v>36526</v>
      </c>
      <c r="AJ41" t="s">
        <v>516</v>
      </c>
      <c r="AK41" t="s">
        <v>972</v>
      </c>
      <c r="AL41" s="6" t="str">
        <f>IF($AJ41="","",INDEX(CaseTypeCol!$J:$J,MATCH($AJ41,CaseTypeCol!$A:$A,0)))</f>
        <v>case_type_col1_7_0_1_TEXT</v>
      </c>
      <c r="AM41" s="6" t="b" cm="1">
        <f t="array" aca="1" ref="AM41" ca="1">IF($AJ41="",TRUE,IF($J41="",FALSE,IF(INDIRECT("OrganizationAccessCasePolicy!J"&amp;$J41)="",FALSE,NOT(ISNA(MATCH(INDIRECT("OrganizationAccessCasePolicy!J"&amp;$J41)&amp;"|"&amp;$AJ41,CaseTypeColSetMember!$H:$H,0))))))</f>
        <v>1</v>
      </c>
      <c r="AN41" s="6" t="b" cm="1">
        <f t="array" aca="1" ref="AN41" ca="1">IF($AJ41="",TRUE,IF($J41="",FALSE,IF(INDIRECT("OrganizationAccessCasePolicy!L"&amp;$J41)="",FALSE,NOT(ISNA(MATCH(INDIRECT("OrganizationAccessCasePolicy!L"&amp;$J41)&amp;"|"&amp;$AJ41,CaseTypeColSetMember!$H:$H,0))))))</f>
        <v>0</v>
      </c>
      <c r="AO41" s="6" t="b" cm="1">
        <f t="array" aca="1" ref="AO41" ca="1">IF($AJ41="",TRUE,IF($N41="",FALSE,IF(INDIRECT("UserAccessCasePolicy!I"&amp;$N41)="",FALSE,NOT(ISNA(MATCH(INDIRECT("UserAccessCasePolicy!I"&amp;$N41)&amp;"|"&amp;$AJ41,CaseTypeColSetMember!$H:$H,0))))))</f>
        <v>0</v>
      </c>
      <c r="AP41" s="6" t="b" cm="1">
        <f t="array" aca="1" ref="AP41" ca="1">IF($AJ41="",TRUE,IF($N41="",FALSE,IF(INDIRECT("UserAccessCasePolicy!K"&amp;$N41)="",FALSE,NOT(ISNA(MATCH(INDIRECT("UserAccessCasePolicy!K"&amp;$N41)&amp;"|"&amp;$AJ41,CaseTypeColSetMember!$H:$H,0))))))</f>
        <v>0</v>
      </c>
      <c r="AS41" s="6" t="str">
        <f>IF($AQ41="","",INDEX(CaseTypeCol!$J:$J,MATCH($AQ41,CaseTypeCol!$A:$A,0)))</f>
        <v/>
      </c>
      <c r="AT41" s="6" t="b" cm="1">
        <f t="array" aca="1" ref="AT41" ca="1">IF($AQ41="",TRUE,IF($J41="",FALSE,IF(INDIRECT("OrganizationAccessCasePolicy!J"&amp;$J41)="",FALSE,NOT(ISNA(MATCH(INDIRECT("OrganizationAccessCasePolicy!J"&amp;$J41)&amp;"|"&amp;$AQ41,CaseTypeColSetMember!$H:$H,0))))))</f>
        <v>1</v>
      </c>
      <c r="AU41" s="6" t="b" cm="1">
        <f t="array" aca="1" ref="AU41" ca="1">IF($AQ41="",TRUE,IF($J41="",FALSE,IF(INDIRECT("OrganizationAccessCasePolicy!L"&amp;$J41)="",FALSE,NOT(ISNA(MATCH(INDIRECT("OrganizationAccessCasePolicy!L"&amp;$J41)&amp;"|"&amp;$AQ41,CaseTypeColSetMember!$H:$H,0))))))</f>
        <v>1</v>
      </c>
      <c r="AV41" s="6" t="b" cm="1">
        <f t="array" aca="1" ref="AV41" ca="1">IF($AQ41="",TRUE,IF($N41="",FALSE,IF(INDIRECT("UserAccessCasePolicy!I"&amp;$N41)="",FALSE,NOT(ISNA(MATCH(INDIRECT("UserAccessCasePolicy!I"&amp;$N41)&amp;"|"&amp;$AQ41,CaseTypeColSetMember!$H:$H,0))))))</f>
        <v>1</v>
      </c>
      <c r="AW41" s="6" t="b" cm="1">
        <f t="array" aca="1" ref="AW41" ca="1">IF($AQ41="",TRUE,IF($N41="",FALSE,IF(INDIRECT("UserAccessCasePolicy!K"&amp;$N41)="",FALSE,NOT(ISNA(MATCH(INDIRECT("UserAccessCasePolicy!K"&amp;$N41)&amp;"|"&amp;$AQ41,CaseTypeColSetMember!$H:$H,0))))))</f>
        <v>1</v>
      </c>
      <c r="AZ41" s="6" t="str">
        <f>IF($AX41="","",INDEX(CaseTypeCol!$J:$J,MATCH($AX41,CaseTypeCol!$A:$A,0)))</f>
        <v/>
      </c>
      <c r="BA41" s="6" t="b" cm="1">
        <f t="array" aca="1" ref="BA41" ca="1">IF($AX41="",TRUE,IF($J41="",FALSE,IF(INDIRECT("OrganizationAccessCasePolicy!J"&amp;$J41)="",FALSE,NOT(ISNA(MATCH(INDIRECT("OrganizationAccessCasePolicy!J"&amp;$J41)&amp;"|"&amp;$AX41,CaseTypeColSetMember!$H:$H,0))))))</f>
        <v>1</v>
      </c>
      <c r="BB41" s="6" t="b" cm="1">
        <f t="array" aca="1" ref="BB41" ca="1">IF($AX41="",TRUE,IF($J41="",FALSE,IF(INDIRECT("OrganizationAccessCasePolicy!L"&amp;$J41)="",FALSE,NOT(ISNA(MATCH(INDIRECT("OrganizationAccessCasePolicy!L"&amp;$J41)&amp;"|"&amp;$AX41,CaseTypeColSetMember!$H:$H,0))))))</f>
        <v>1</v>
      </c>
      <c r="BC41" s="6" t="b" cm="1">
        <f t="array" aca="1" ref="BC41" ca="1">IF($AX41="",TRUE,IF($N41="",FALSE,IF(INDIRECT("UserAccessCasePolicy!I"&amp;$N41)="",FALSE,NOT(ISNA(MATCH(INDIRECT("UserAccessCasePolicy!I"&amp;$N41)&amp;"|"&amp;$AX41,CaseTypeColSetMember!$H:$H,0))))))</f>
        <v>1</v>
      </c>
      <c r="BD41" s="6" t="b" cm="1">
        <f t="array" aca="1" ref="BD41" ca="1">IF($AX41="",TRUE,IF($N41="",FALSE,IF(INDIRECT("UserAccessCasePolicy!K"&amp;$N41)="",FALSE,NOT(ISNA(MATCH(INDIRECT("UserAccessCasePolicy!K"&amp;$N41)&amp;"|"&amp;$AX41,CaseTypeColSetMember!$H:$H,0))))))</f>
        <v>1</v>
      </c>
    </row>
    <row r="42" spans="1:56" ht="15" customHeight="1" x14ac:dyDescent="0.3">
      <c r="A42">
        <v>41</v>
      </c>
      <c r="B42" t="b">
        <v>0</v>
      </c>
      <c r="C42" t="s">
        <v>1044</v>
      </c>
      <c r="D42" t="s">
        <v>20</v>
      </c>
      <c r="E42" s="6" t="str">
        <f>INDEX(User!$D:$D,MATCH($D42,User!$A:$A,0))</f>
        <v>org_user2_4</v>
      </c>
      <c r="F42" t="s">
        <v>982</v>
      </c>
      <c r="G42" s="19" t="b">
        <f ca="1">IF($F42="CREATE",$I42,IF($F42="CREATE_CASES",OR($I42,AND($K42,$L42,$O42,$P42,$AN42,AP42,$AU42,$AW42,$BB42,$BD42)),"TBD"))</f>
        <v>0</v>
      </c>
      <c r="H42" s="6" t="str">
        <f>INDEX(User!$G:$G,MATCH($D42,User!$A:$A,0))</f>
        <v>0195d18c-1c92-0ed4-2e94-b4f66d82baf3</v>
      </c>
      <c r="I42" s="6" t="b">
        <f>INDEX(User!$M:$M,MATCH($D42,User!$A:$A,0))</f>
        <v>0</v>
      </c>
      <c r="J42" s="6">
        <f>IF(ISNA(MATCH($H42&amp;"|"&amp;$X42,OrganizationAccessCasePolicy!$V:$V,0)),"",MATCH($H42&amp;"|"&amp;$X42,OrganizationAccessCasePolicy!$V:$V,0))</f>
        <v>8</v>
      </c>
      <c r="K42" s="6" t="b" cm="1">
        <f t="array" aca="1" ref="K42" ca="1">IF($J42="",FALSE,NOT(ISNA(MATCH(INDIRECT("OrganizationAccessCasePolicy!D"&amp;$J42)&amp;"|"&amp;$T42,CaseTypeSetMember!$H:$H,0))))</f>
        <v>0</v>
      </c>
      <c r="L42" s="6" t="b" cm="1">
        <f t="array" aca="1" ref="L42" ca="1">IF($J42="",FALSE,AND(INDIRECT("OrganizationAccessCasePolicy!H"&amp;$J42),NOT(ISNA(MATCH(INDIRECT("OrganizationAccessCasePolicy!D"&amp;$J42)&amp;"|"&amp;$T42,CaseTypeSetMember!$H:$H,0)))))</f>
        <v>0</v>
      </c>
      <c r="M42" s="6" t="b" cm="1">
        <f t="array" aca="1" ref="M42" ca="1">IF($J42="",FALSE,AND(INDIRECT("OrganizationAccessCasePolicy!I"&amp;$J42),NOT(ISNA(MATCH(INDIRECT("OrganizationAccessCasePolicy!D"&amp;$J42)&amp;"|"&amp;$T42,CaseTypeSetMember!$H:$H,0)))))</f>
        <v>0</v>
      </c>
      <c r="N42" s="6" t="str">
        <f>IF(ISNA(MATCH($D42&amp;"|"&amp;$X42,UserAccessCasePolicy!$W:$W,0)),"",MATCH($D42&amp;"|"&amp;$X42,UserAccessCasePolicy!$W:$W,0))</f>
        <v/>
      </c>
      <c r="O42" s="6" t="b" cm="1">
        <f t="array" aca="1" ref="O42" ca="1">IF($N42="",FALSE,NOT(ISNA(MATCH(INDIRECT("UserAccessCasePolicy!D"&amp;$N42)&amp;"|"&amp;$T42,CaseTypeSetMember!$H:$H,0))))</f>
        <v>0</v>
      </c>
      <c r="P42" s="6" t="b" cm="1">
        <f t="array" aca="1" ref="P42" ca="1">IF($N42="",FALSE,AND(INDIRECT("UserAccessCasePolicy!G"&amp;$N42),NOT(ISNA(MATCH(INDIRECT("UserAccessCasePolicy!D"&amp;$N42)&amp;"|"&amp;$T42,CaseTypeSetMember!$H:$H,0)))))</f>
        <v>0</v>
      </c>
      <c r="Q42" s="6" t="b" cm="1">
        <f t="array" aca="1" ref="Q42" ca="1">IF($N42="",FALSE,AND(INDIRECT("UserAccessCasePolicy!H"&amp;$N42),NOT(ISNA(MATCH(INDIRECT("UserAccessCasePolicy!D"&amp;$N42)&amp;"|"&amp;$T42,CaseTypeSetMember!$H:$H,0)))))</f>
        <v>0</v>
      </c>
      <c r="R42" t="s">
        <v>1037</v>
      </c>
      <c r="S42" s="6" t="str">
        <f>"case"&amp;MATCH($R42,$R$1:$R42,0)-1</f>
        <v>case34</v>
      </c>
      <c r="T42" t="s">
        <v>115</v>
      </c>
      <c r="U42" s="6" t="str">
        <f>INDEX(CaseType!$B:$B,MATCH($T42,CaseType!$A:$A,0))</f>
        <v>case_type1</v>
      </c>
      <c r="V42" s="6" t="b">
        <f>AND(IF($AJ42="",TRUE,$T42=INDEX(CaseTypeCol!$B:$B,MATCH($AJ42,CaseTypeCol!$A:$A,0))),IF($AQ42="",TRUE,$T42=INDEX(CaseTypeCol!$B:$B,MATCH($AQ42,CaseTypeCol!$A:$A,0))),IF($AX42="",TRUE,$T42=INDEX(CaseTypeCol!$B:$B,MATCH($AX42,CaseTypeCol!$A:$A,0))))</f>
        <v>1</v>
      </c>
      <c r="X42" t="s">
        <v>21</v>
      </c>
      <c r="Y42" s="6" t="str">
        <f>INDEX(DataCollection!$B:$B,MATCH($X42,DataCollection!$A:$A,0))</f>
        <v>data_collection7</v>
      </c>
      <c r="AA42" s="6" t="str">
        <f>IF($Z42="","",INDEX(CaseTypeCol!$J:$J,MATCH($Z42,CaseTypeCol!$A:$A,0)))</f>
        <v/>
      </c>
      <c r="AC42" s="6" t="str">
        <f>IF($AB42="","",INDEX(IdentifierIssuer!$B:$B,MATCH($AB42,IdentifierIssuer!$A:$A,0)))</f>
        <v/>
      </c>
      <c r="AE42" s="6" t="str">
        <f>IF($AD42="","",INDEX(SequencingProtocol!$B:$B,MATCH($AD42,SequencingProtocol!$A:$A,0)))</f>
        <v/>
      </c>
      <c r="AG42" s="6" t="str">
        <f>IF($AF42="","",INDEX(AssemblyProtocol!$B:$B,MATCH($AF42,AssemblyProtocol!$A:$A,0)))</f>
        <v/>
      </c>
      <c r="AI42" s="14">
        <v>36526</v>
      </c>
      <c r="AJ42" t="s">
        <v>516</v>
      </c>
      <c r="AK42" t="s">
        <v>972</v>
      </c>
      <c r="AL42" s="6" t="str">
        <f>IF($AJ42="","",INDEX(CaseTypeCol!$J:$J,MATCH($AJ42,CaseTypeCol!$A:$A,0)))</f>
        <v>case_type_col1_7_0_1_TEXT</v>
      </c>
      <c r="AM42" s="6" t="b" cm="1">
        <f t="array" aca="1" ref="AM42" ca="1">IF($AJ42="",TRUE,IF($J42="",FALSE,IF(INDIRECT("OrganizationAccessCasePolicy!J"&amp;$J42)="",FALSE,NOT(ISNA(MATCH(INDIRECT("OrganizationAccessCasePolicy!J"&amp;$J42)&amp;"|"&amp;$AJ42,CaseTypeColSetMember!$H:$H,0))))))</f>
        <v>1</v>
      </c>
      <c r="AN42" s="6" t="b" cm="1">
        <f t="array" aca="1" ref="AN42" ca="1">IF($AJ42="",TRUE,IF($J42="",FALSE,IF(INDIRECT("OrganizationAccessCasePolicy!L"&amp;$J42)="",FALSE,NOT(ISNA(MATCH(INDIRECT("OrganizationAccessCasePolicy!L"&amp;$J42)&amp;"|"&amp;$AJ42,CaseTypeColSetMember!$H:$H,0))))))</f>
        <v>0</v>
      </c>
      <c r="AO42" s="6" t="b" cm="1">
        <f t="array" aca="1" ref="AO42" ca="1">IF($AJ42="",TRUE,IF($N42="",FALSE,IF(INDIRECT("UserAccessCasePolicy!I"&amp;$N42)="",FALSE,NOT(ISNA(MATCH(INDIRECT("UserAccessCasePolicy!I"&amp;$N42)&amp;"|"&amp;$AJ42,CaseTypeColSetMember!$H:$H,0))))))</f>
        <v>0</v>
      </c>
      <c r="AP42" s="6" t="b" cm="1">
        <f t="array" aca="1" ref="AP42" ca="1">IF($AJ42="",TRUE,IF($N42="",FALSE,IF(INDIRECT("UserAccessCasePolicy!K"&amp;$N42)="",FALSE,NOT(ISNA(MATCH(INDIRECT("UserAccessCasePolicy!K"&amp;$N42)&amp;"|"&amp;$AJ42,CaseTypeColSetMember!$H:$H,0))))))</f>
        <v>0</v>
      </c>
      <c r="AS42" s="6" t="str">
        <f>IF($AQ42="","",INDEX(CaseTypeCol!$J:$J,MATCH($AQ42,CaseTypeCol!$A:$A,0)))</f>
        <v/>
      </c>
      <c r="AT42" s="6" t="b" cm="1">
        <f t="array" aca="1" ref="AT42" ca="1">IF($AQ42="",TRUE,IF($J42="",FALSE,IF(INDIRECT("OrganizationAccessCasePolicy!J"&amp;$J42)="",FALSE,NOT(ISNA(MATCH(INDIRECT("OrganizationAccessCasePolicy!J"&amp;$J42)&amp;"|"&amp;$AQ42,CaseTypeColSetMember!$H:$H,0))))))</f>
        <v>1</v>
      </c>
      <c r="AU42" s="6" t="b" cm="1">
        <f t="array" aca="1" ref="AU42" ca="1">IF($AQ42="",TRUE,IF($J42="",FALSE,IF(INDIRECT("OrganizationAccessCasePolicy!L"&amp;$J42)="",FALSE,NOT(ISNA(MATCH(INDIRECT("OrganizationAccessCasePolicy!L"&amp;$J42)&amp;"|"&amp;$AQ42,CaseTypeColSetMember!$H:$H,0))))))</f>
        <v>1</v>
      </c>
      <c r="AV42" s="6" t="b" cm="1">
        <f t="array" aca="1" ref="AV42" ca="1">IF($AQ42="",TRUE,IF($N42="",FALSE,IF(INDIRECT("UserAccessCasePolicy!I"&amp;$N42)="",FALSE,NOT(ISNA(MATCH(INDIRECT("UserAccessCasePolicy!I"&amp;$N42)&amp;"|"&amp;$AQ42,CaseTypeColSetMember!$H:$H,0))))))</f>
        <v>1</v>
      </c>
      <c r="AW42" s="6" t="b" cm="1">
        <f t="array" aca="1" ref="AW42" ca="1">IF($AQ42="",TRUE,IF($N42="",FALSE,IF(INDIRECT("UserAccessCasePolicy!K"&amp;$N42)="",FALSE,NOT(ISNA(MATCH(INDIRECT("UserAccessCasePolicy!K"&amp;$N42)&amp;"|"&amp;$AQ42,CaseTypeColSetMember!$H:$H,0))))))</f>
        <v>1</v>
      </c>
      <c r="AZ42" s="6" t="str">
        <f>IF($AX42="","",INDEX(CaseTypeCol!$J:$J,MATCH($AX42,CaseTypeCol!$A:$A,0)))</f>
        <v/>
      </c>
      <c r="BA42" s="6" t="b" cm="1">
        <f t="array" aca="1" ref="BA42" ca="1">IF($AX42="",TRUE,IF($J42="",FALSE,IF(INDIRECT("OrganizationAccessCasePolicy!J"&amp;$J42)="",FALSE,NOT(ISNA(MATCH(INDIRECT("OrganizationAccessCasePolicy!J"&amp;$J42)&amp;"|"&amp;$AX42,CaseTypeColSetMember!$H:$H,0))))))</f>
        <v>1</v>
      </c>
      <c r="BB42" s="6" t="b" cm="1">
        <f t="array" aca="1" ref="BB42" ca="1">IF($AX42="",TRUE,IF($J42="",FALSE,IF(INDIRECT("OrganizationAccessCasePolicy!L"&amp;$J42)="",FALSE,NOT(ISNA(MATCH(INDIRECT("OrganizationAccessCasePolicy!L"&amp;$J42)&amp;"|"&amp;$AX42,CaseTypeColSetMember!$H:$H,0))))))</f>
        <v>1</v>
      </c>
      <c r="BC42" s="6" t="b" cm="1">
        <f t="array" aca="1" ref="BC42" ca="1">IF($AX42="",TRUE,IF($N42="",FALSE,IF(INDIRECT("UserAccessCasePolicy!I"&amp;$N42)="",FALSE,NOT(ISNA(MATCH(INDIRECT("UserAccessCasePolicy!I"&amp;$N42)&amp;"|"&amp;$AX42,CaseTypeColSetMember!$H:$H,0))))))</f>
        <v>1</v>
      </c>
      <c r="BD42" s="6" t="b" cm="1">
        <f t="array" aca="1" ref="BD42" ca="1">IF($AX42="",TRUE,IF($N42="",FALSE,IF(INDIRECT("UserAccessCasePolicy!K"&amp;$N42)="",FALSE,NOT(ISNA(MATCH(INDIRECT("UserAccessCasePolicy!K"&amp;$N42)&amp;"|"&amp;$AX42,CaseTypeColSetMember!$H:$H,0))))))</f>
        <v>1</v>
      </c>
    </row>
    <row r="43" spans="1:56" ht="15" customHeight="1" x14ac:dyDescent="0.3">
      <c r="A43">
        <v>42</v>
      </c>
      <c r="B43" t="b">
        <v>0</v>
      </c>
      <c r="C43" t="s">
        <v>1045</v>
      </c>
      <c r="D43" t="s">
        <v>22</v>
      </c>
      <c r="E43" s="6" t="str">
        <f>INDEX(User!$D:$D,MATCH($D43,User!$A:$A,0))</f>
        <v>org_user3_1</v>
      </c>
      <c r="F43" t="s">
        <v>982</v>
      </c>
      <c r="G43" s="19" t="b">
        <f ca="1">IF($F43="CREATE",$I43,IF($F43="CREATE_CASES",OR($I43,AND($K43,$L43,$O43,$P43,$AN43,AP43,$AU43,$AW43,$BB43,$BD43)),"TBD"))</f>
        <v>0</v>
      </c>
      <c r="H43" s="6" t="str">
        <f>INDEX(User!$G:$G,MATCH($D43,User!$A:$A,0))</f>
        <v>0195d18c-1c92-52b3-93e0-43dc1f2aa037</v>
      </c>
      <c r="I43" s="6" t="b">
        <f>INDEX(User!$M:$M,MATCH($D43,User!$A:$A,0))</f>
        <v>0</v>
      </c>
      <c r="J43" s="6">
        <f>IF(ISNA(MATCH($H43&amp;"|"&amp;$X43,OrganizationAccessCasePolicy!$V:$V,0)),"",MATCH($H43&amp;"|"&amp;$X43,OrganizationAccessCasePolicy!$V:$V,0))</f>
        <v>9</v>
      </c>
      <c r="K43" s="6" t="b" cm="1">
        <f t="array" aca="1" ref="K43" ca="1">IF($J43="",FALSE,NOT(ISNA(MATCH(INDIRECT("OrganizationAccessCasePolicy!D"&amp;$J43)&amp;"|"&amp;$T43,CaseTypeSetMember!$H:$H,0))))</f>
        <v>0</v>
      </c>
      <c r="L43" s="6" t="b" cm="1">
        <f t="array" aca="1" ref="L43" ca="1">IF($J43="",FALSE,AND(INDIRECT("OrganizationAccessCasePolicy!H"&amp;$J43),NOT(ISNA(MATCH(INDIRECT("OrganizationAccessCasePolicy!D"&amp;$J43)&amp;"|"&amp;$T43,CaseTypeSetMember!$H:$H,0)))))</f>
        <v>0</v>
      </c>
      <c r="M43" s="6" t="b" cm="1">
        <f t="array" aca="1" ref="M43" ca="1">IF($J43="",FALSE,AND(INDIRECT("OrganizationAccessCasePolicy!I"&amp;$J43),NOT(ISNA(MATCH(INDIRECT("OrganizationAccessCasePolicy!D"&amp;$J43)&amp;"|"&amp;$T43,CaseTypeSetMember!$H:$H,0)))))</f>
        <v>0</v>
      </c>
      <c r="N43" s="6">
        <f>IF(ISNA(MATCH($D43&amp;"|"&amp;$X43,UserAccessCasePolicy!$W:$W,0)),"",MATCH($D43&amp;"|"&amp;$X43,UserAccessCasePolicy!$W:$W,0))</f>
        <v>9</v>
      </c>
      <c r="O43" s="6" t="b" cm="1">
        <f t="array" aca="1" ref="O43" ca="1">IF($N43="",FALSE,NOT(ISNA(MATCH(INDIRECT("UserAccessCasePolicy!D"&amp;$N43)&amp;"|"&amp;$T43,CaseTypeSetMember!$H:$H,0))))</f>
        <v>0</v>
      </c>
      <c r="P43" s="6" t="b" cm="1">
        <f t="array" aca="1" ref="P43" ca="1">IF($N43="",FALSE,AND(INDIRECT("UserAccessCasePolicy!G"&amp;$N43),NOT(ISNA(MATCH(INDIRECT("UserAccessCasePolicy!D"&amp;$N43)&amp;"|"&amp;$T43,CaseTypeSetMember!$H:$H,0)))))</f>
        <v>0</v>
      </c>
      <c r="Q43" s="6" t="b" cm="1">
        <f t="array" aca="1" ref="Q43" ca="1">IF($N43="",FALSE,AND(INDIRECT("UserAccessCasePolicy!H"&amp;$N43),NOT(ISNA(MATCH(INDIRECT("UserAccessCasePolicy!D"&amp;$N43)&amp;"|"&amp;$T43,CaseTypeSetMember!$H:$H,0)))))</f>
        <v>0</v>
      </c>
      <c r="R43" t="s">
        <v>1037</v>
      </c>
      <c r="S43" s="6" t="str">
        <f>"case"&amp;MATCH($R43,$R$1:$R43,0)-1</f>
        <v>case34</v>
      </c>
      <c r="T43" t="s">
        <v>115</v>
      </c>
      <c r="U43" s="6" t="str">
        <f>INDEX(CaseType!$B:$B,MATCH($T43,CaseType!$A:$A,0))</f>
        <v>case_type1</v>
      </c>
      <c r="V43" s="6" t="b">
        <f>AND(IF($AJ43="",TRUE,$T43=INDEX(CaseTypeCol!$B:$B,MATCH($AJ43,CaseTypeCol!$A:$A,0))),IF($AQ43="",TRUE,$T43=INDEX(CaseTypeCol!$B:$B,MATCH($AQ43,CaseTypeCol!$A:$A,0))),IF($AX43="",TRUE,$T43=INDEX(CaseTypeCol!$B:$B,MATCH($AX43,CaseTypeCol!$A:$A,0))))</f>
        <v>1</v>
      </c>
      <c r="X43" t="s">
        <v>27</v>
      </c>
      <c r="Y43" s="6" t="str">
        <f>INDEX(DataCollection!$B:$B,MATCH($X43,DataCollection!$A:$A,0))</f>
        <v>data_collection8</v>
      </c>
      <c r="AA43" s="6" t="str">
        <f>IF($Z43="","",INDEX(CaseTypeCol!$J:$J,MATCH($Z43,CaseTypeCol!$A:$A,0)))</f>
        <v/>
      </c>
      <c r="AC43" s="6" t="str">
        <f>IF($AB43="","",INDEX(IdentifierIssuer!$B:$B,MATCH($AB43,IdentifierIssuer!$A:$A,0)))</f>
        <v/>
      </c>
      <c r="AE43" s="6" t="str">
        <f>IF($AD43="","",INDEX(SequencingProtocol!$B:$B,MATCH($AD43,SequencingProtocol!$A:$A,0)))</f>
        <v/>
      </c>
      <c r="AG43" s="6" t="str">
        <f>IF($AF43="","",INDEX(AssemblyProtocol!$B:$B,MATCH($AF43,AssemblyProtocol!$A:$A,0)))</f>
        <v/>
      </c>
      <c r="AI43" s="14">
        <v>36526</v>
      </c>
      <c r="AJ43" t="s">
        <v>516</v>
      </c>
      <c r="AK43" t="s">
        <v>972</v>
      </c>
      <c r="AL43" s="6" t="str">
        <f>IF($AJ43="","",INDEX(CaseTypeCol!$J:$J,MATCH($AJ43,CaseTypeCol!$A:$A,0)))</f>
        <v>case_type_col1_7_0_1_TEXT</v>
      </c>
      <c r="AM43" s="6" t="b" cm="1">
        <f t="array" aca="1" ref="AM43" ca="1">IF($AJ43="",TRUE,IF($J43="",FALSE,IF(INDIRECT("OrganizationAccessCasePolicy!J"&amp;$J43)="",FALSE,NOT(ISNA(MATCH(INDIRECT("OrganizationAccessCasePolicy!J"&amp;$J43)&amp;"|"&amp;$AJ43,CaseTypeColSetMember!$H:$H,0))))))</f>
        <v>1</v>
      </c>
      <c r="AN43" s="6" t="b" cm="1">
        <f t="array" aca="1" ref="AN43" ca="1">IF($AJ43="",TRUE,IF($J43="",FALSE,IF(INDIRECT("OrganizationAccessCasePolicy!L"&amp;$J43)="",FALSE,NOT(ISNA(MATCH(INDIRECT("OrganizationAccessCasePolicy!L"&amp;$J43)&amp;"|"&amp;$AJ43,CaseTypeColSetMember!$H:$H,0))))))</f>
        <v>0</v>
      </c>
      <c r="AO43" s="6" t="b" cm="1">
        <f t="array" aca="1" ref="AO43" ca="1">IF($AJ43="",TRUE,IF($N43="",FALSE,IF(INDIRECT("UserAccessCasePolicy!I"&amp;$N43)="",FALSE,NOT(ISNA(MATCH(INDIRECT("UserAccessCasePolicy!I"&amp;$N43)&amp;"|"&amp;$AJ43,CaseTypeColSetMember!$H:$H,0))))))</f>
        <v>1</v>
      </c>
      <c r="AP43" s="6" t="b" cm="1">
        <f t="array" aca="1" ref="AP43" ca="1">IF($AJ43="",TRUE,IF($N43="",FALSE,IF(INDIRECT("UserAccessCasePolicy!K"&amp;$N43)="",FALSE,NOT(ISNA(MATCH(INDIRECT("UserAccessCasePolicy!K"&amp;$N43)&amp;"|"&amp;$AJ43,CaseTypeColSetMember!$H:$H,0))))))</f>
        <v>1</v>
      </c>
      <c r="AS43" s="6" t="str">
        <f>IF($AQ43="","",INDEX(CaseTypeCol!$J:$J,MATCH($AQ43,CaseTypeCol!$A:$A,0)))</f>
        <v/>
      </c>
      <c r="AT43" s="6" t="b" cm="1">
        <f t="array" aca="1" ref="AT43" ca="1">IF($AQ43="",TRUE,IF($J43="",FALSE,IF(INDIRECT("OrganizationAccessCasePolicy!J"&amp;$J43)="",FALSE,NOT(ISNA(MATCH(INDIRECT("OrganizationAccessCasePolicy!J"&amp;$J43)&amp;"|"&amp;$AQ43,CaseTypeColSetMember!$H:$H,0))))))</f>
        <v>1</v>
      </c>
      <c r="AU43" s="6" t="b" cm="1">
        <f t="array" aca="1" ref="AU43" ca="1">IF($AQ43="",TRUE,IF($J43="",FALSE,IF(INDIRECT("OrganizationAccessCasePolicy!L"&amp;$J43)="",FALSE,NOT(ISNA(MATCH(INDIRECT("OrganizationAccessCasePolicy!L"&amp;$J43)&amp;"|"&amp;$AQ43,CaseTypeColSetMember!$H:$H,0))))))</f>
        <v>1</v>
      </c>
      <c r="AV43" s="6" t="b" cm="1">
        <f t="array" aca="1" ref="AV43" ca="1">IF($AQ43="",TRUE,IF($N43="",FALSE,IF(INDIRECT("UserAccessCasePolicy!I"&amp;$N43)="",FALSE,NOT(ISNA(MATCH(INDIRECT("UserAccessCasePolicy!I"&amp;$N43)&amp;"|"&amp;$AQ43,CaseTypeColSetMember!$H:$H,0))))))</f>
        <v>1</v>
      </c>
      <c r="AW43" s="6" t="b" cm="1">
        <f t="array" aca="1" ref="AW43" ca="1">IF($AQ43="",TRUE,IF($N43="",FALSE,IF(INDIRECT("UserAccessCasePolicy!K"&amp;$N43)="",FALSE,NOT(ISNA(MATCH(INDIRECT("UserAccessCasePolicy!K"&amp;$N43)&amp;"|"&amp;$AQ43,CaseTypeColSetMember!$H:$H,0))))))</f>
        <v>1</v>
      </c>
      <c r="AZ43" s="6" t="str">
        <f>IF($AX43="","",INDEX(CaseTypeCol!$J:$J,MATCH($AX43,CaseTypeCol!$A:$A,0)))</f>
        <v/>
      </c>
      <c r="BA43" s="6" t="b" cm="1">
        <f t="array" aca="1" ref="BA43" ca="1">IF($AX43="",TRUE,IF($J43="",FALSE,IF(INDIRECT("OrganizationAccessCasePolicy!J"&amp;$J43)="",FALSE,NOT(ISNA(MATCH(INDIRECT("OrganizationAccessCasePolicy!J"&amp;$J43)&amp;"|"&amp;$AX43,CaseTypeColSetMember!$H:$H,0))))))</f>
        <v>1</v>
      </c>
      <c r="BB43" s="6" t="b" cm="1">
        <f t="array" aca="1" ref="BB43" ca="1">IF($AX43="",TRUE,IF($J43="",FALSE,IF(INDIRECT("OrganizationAccessCasePolicy!L"&amp;$J43)="",FALSE,NOT(ISNA(MATCH(INDIRECT("OrganizationAccessCasePolicy!L"&amp;$J43)&amp;"|"&amp;$AX43,CaseTypeColSetMember!$H:$H,0))))))</f>
        <v>1</v>
      </c>
      <c r="BC43" s="6" t="b" cm="1">
        <f t="array" aca="1" ref="BC43" ca="1">IF($AX43="",TRUE,IF($N43="",FALSE,IF(INDIRECT("UserAccessCasePolicy!I"&amp;$N43)="",FALSE,NOT(ISNA(MATCH(INDIRECT("UserAccessCasePolicy!I"&amp;$N43)&amp;"|"&amp;$AX43,CaseTypeColSetMember!$H:$H,0))))))</f>
        <v>1</v>
      </c>
      <c r="BD43" s="6" t="b" cm="1">
        <f t="array" aca="1" ref="BD43" ca="1">IF($AX43="",TRUE,IF($N43="",FALSE,IF(INDIRECT("UserAccessCasePolicy!K"&amp;$N43)="",FALSE,NOT(ISNA(MATCH(INDIRECT("UserAccessCasePolicy!K"&amp;$N43)&amp;"|"&amp;$AX43,CaseTypeColSetMember!$H:$H,0))))))</f>
        <v>1</v>
      </c>
    </row>
    <row r="44" spans="1:56" ht="15" customHeight="1" x14ac:dyDescent="0.3">
      <c r="A44">
        <v>43</v>
      </c>
      <c r="B44" t="b">
        <v>0</v>
      </c>
      <c r="C44" t="s">
        <v>1046</v>
      </c>
      <c r="D44" t="s">
        <v>24</v>
      </c>
      <c r="E44" s="6" t="str">
        <f>INDEX(User!$D:$D,MATCH($D44,User!$A:$A,0))</f>
        <v>org_user3_2</v>
      </c>
      <c r="F44" t="s">
        <v>982</v>
      </c>
      <c r="G44" s="19" t="b">
        <f ca="1">IF($F44="CREATE",$I44,IF($F44="CREATE_CASES",OR($I44,AND($K44,$L44,$O44,$P44,$AN44,AP44,$AU44,$AW44,$BB44,$BD44)),"TBD"))</f>
        <v>0</v>
      </c>
      <c r="H44" s="6" t="str">
        <f>INDEX(User!$G:$G,MATCH($D44,User!$A:$A,0))</f>
        <v>0195d18c-1c92-52b3-93e0-43dc1f2aa037</v>
      </c>
      <c r="I44" s="6" t="b">
        <f>INDEX(User!$M:$M,MATCH($D44,User!$A:$A,0))</f>
        <v>0</v>
      </c>
      <c r="J44" s="6">
        <f>IF(ISNA(MATCH($H44&amp;"|"&amp;$X44,OrganizationAccessCasePolicy!$V:$V,0)),"",MATCH($H44&amp;"|"&amp;$X44,OrganizationAccessCasePolicy!$V:$V,0))</f>
        <v>9</v>
      </c>
      <c r="K44" s="6" t="b" cm="1">
        <f t="array" aca="1" ref="K44" ca="1">IF($J44="",FALSE,NOT(ISNA(MATCH(INDIRECT("OrganizationAccessCasePolicy!D"&amp;$J44)&amp;"|"&amp;$T44,CaseTypeSetMember!$H:$H,0))))</f>
        <v>0</v>
      </c>
      <c r="L44" s="6" t="b" cm="1">
        <f t="array" aca="1" ref="L44" ca="1">IF($J44="",FALSE,AND(INDIRECT("OrganizationAccessCasePolicy!H"&amp;$J44),NOT(ISNA(MATCH(INDIRECT("OrganizationAccessCasePolicy!D"&amp;$J44)&amp;"|"&amp;$T44,CaseTypeSetMember!$H:$H,0)))))</f>
        <v>0</v>
      </c>
      <c r="M44" s="6" t="b" cm="1">
        <f t="array" aca="1" ref="M44" ca="1">IF($J44="",FALSE,AND(INDIRECT("OrganizationAccessCasePolicy!I"&amp;$J44),NOT(ISNA(MATCH(INDIRECT("OrganizationAccessCasePolicy!D"&amp;$J44)&amp;"|"&amp;$T44,CaseTypeSetMember!$H:$H,0)))))</f>
        <v>0</v>
      </c>
      <c r="N44" s="6" t="str">
        <f>IF(ISNA(MATCH($D44&amp;"|"&amp;$X44,UserAccessCasePolicy!$W:$W,0)),"",MATCH($D44&amp;"|"&amp;$X44,UserAccessCasePolicy!$W:$W,0))</f>
        <v/>
      </c>
      <c r="O44" s="6" t="b" cm="1">
        <f t="array" aca="1" ref="O44" ca="1">IF($N44="",FALSE,NOT(ISNA(MATCH(INDIRECT("UserAccessCasePolicy!D"&amp;$N44)&amp;"|"&amp;$T44,CaseTypeSetMember!$H:$H,0))))</f>
        <v>0</v>
      </c>
      <c r="P44" s="6" t="b" cm="1">
        <f t="array" aca="1" ref="P44" ca="1">IF($N44="",FALSE,AND(INDIRECT("UserAccessCasePolicy!G"&amp;$N44),NOT(ISNA(MATCH(INDIRECT("UserAccessCasePolicy!D"&amp;$N44)&amp;"|"&amp;$T44,CaseTypeSetMember!$H:$H,0)))))</f>
        <v>0</v>
      </c>
      <c r="Q44" s="6" t="b" cm="1">
        <f t="array" aca="1" ref="Q44" ca="1">IF($N44="",FALSE,AND(INDIRECT("UserAccessCasePolicy!H"&amp;$N44),NOT(ISNA(MATCH(INDIRECT("UserAccessCasePolicy!D"&amp;$N44)&amp;"|"&amp;$T44,CaseTypeSetMember!$H:$H,0)))))</f>
        <v>0</v>
      </c>
      <c r="R44" t="s">
        <v>1037</v>
      </c>
      <c r="S44" s="6" t="str">
        <f>"case"&amp;MATCH($R44,$R$1:$R44,0)-1</f>
        <v>case34</v>
      </c>
      <c r="T44" t="s">
        <v>115</v>
      </c>
      <c r="U44" s="6" t="str">
        <f>INDEX(CaseType!$B:$B,MATCH($T44,CaseType!$A:$A,0))</f>
        <v>case_type1</v>
      </c>
      <c r="V44" s="6" t="b">
        <f>AND(IF($AJ44="",TRUE,$T44=INDEX(CaseTypeCol!$B:$B,MATCH($AJ44,CaseTypeCol!$A:$A,0))),IF($AQ44="",TRUE,$T44=INDEX(CaseTypeCol!$B:$B,MATCH($AQ44,CaseTypeCol!$A:$A,0))),IF($AX44="",TRUE,$T44=INDEX(CaseTypeCol!$B:$B,MATCH($AX44,CaseTypeCol!$A:$A,0))))</f>
        <v>1</v>
      </c>
      <c r="X44" t="s">
        <v>27</v>
      </c>
      <c r="Y44" s="6" t="str">
        <f>INDEX(DataCollection!$B:$B,MATCH($X44,DataCollection!$A:$A,0))</f>
        <v>data_collection8</v>
      </c>
      <c r="AA44" s="6" t="str">
        <f>IF($Z44="","",INDEX(CaseTypeCol!$J:$J,MATCH($Z44,CaseTypeCol!$A:$A,0)))</f>
        <v/>
      </c>
      <c r="AC44" s="6" t="str">
        <f>IF($AB44="","",INDEX(IdentifierIssuer!$B:$B,MATCH($AB44,IdentifierIssuer!$A:$A,0)))</f>
        <v/>
      </c>
      <c r="AE44" s="6" t="str">
        <f>IF($AD44="","",INDEX(SequencingProtocol!$B:$B,MATCH($AD44,SequencingProtocol!$A:$A,0)))</f>
        <v/>
      </c>
      <c r="AG44" s="6" t="str">
        <f>IF($AF44="","",INDEX(AssemblyProtocol!$B:$B,MATCH($AF44,AssemblyProtocol!$A:$A,0)))</f>
        <v/>
      </c>
      <c r="AI44" s="14">
        <v>36526</v>
      </c>
      <c r="AJ44" t="s">
        <v>516</v>
      </c>
      <c r="AK44" t="s">
        <v>972</v>
      </c>
      <c r="AL44" s="6" t="str">
        <f>IF($AJ44="","",INDEX(CaseTypeCol!$J:$J,MATCH($AJ44,CaseTypeCol!$A:$A,0)))</f>
        <v>case_type_col1_7_0_1_TEXT</v>
      </c>
      <c r="AM44" s="6" t="b" cm="1">
        <f t="array" aca="1" ref="AM44" ca="1">IF($AJ44="",TRUE,IF($J44="",FALSE,IF(INDIRECT("OrganizationAccessCasePolicy!J"&amp;$J44)="",FALSE,NOT(ISNA(MATCH(INDIRECT("OrganizationAccessCasePolicy!J"&amp;$J44)&amp;"|"&amp;$AJ44,CaseTypeColSetMember!$H:$H,0))))))</f>
        <v>1</v>
      </c>
      <c r="AN44" s="6" t="b" cm="1">
        <f t="array" aca="1" ref="AN44" ca="1">IF($AJ44="",TRUE,IF($J44="",FALSE,IF(INDIRECT("OrganizationAccessCasePolicy!L"&amp;$J44)="",FALSE,NOT(ISNA(MATCH(INDIRECT("OrganizationAccessCasePolicy!L"&amp;$J44)&amp;"|"&amp;$AJ44,CaseTypeColSetMember!$H:$H,0))))))</f>
        <v>0</v>
      </c>
      <c r="AO44" s="6" t="b" cm="1">
        <f t="array" aca="1" ref="AO44" ca="1">IF($AJ44="",TRUE,IF($N44="",FALSE,IF(INDIRECT("UserAccessCasePolicy!I"&amp;$N44)="",FALSE,NOT(ISNA(MATCH(INDIRECT("UserAccessCasePolicy!I"&amp;$N44)&amp;"|"&amp;$AJ44,CaseTypeColSetMember!$H:$H,0))))))</f>
        <v>0</v>
      </c>
      <c r="AP44" s="6" t="b" cm="1">
        <f t="array" aca="1" ref="AP44" ca="1">IF($AJ44="",TRUE,IF($N44="",FALSE,IF(INDIRECT("UserAccessCasePolicy!K"&amp;$N44)="",FALSE,NOT(ISNA(MATCH(INDIRECT("UserAccessCasePolicy!K"&amp;$N44)&amp;"|"&amp;$AJ44,CaseTypeColSetMember!$H:$H,0))))))</f>
        <v>0</v>
      </c>
      <c r="AS44" s="6" t="str">
        <f>IF($AQ44="","",INDEX(CaseTypeCol!$J:$J,MATCH($AQ44,CaseTypeCol!$A:$A,0)))</f>
        <v/>
      </c>
      <c r="AT44" s="6" t="b" cm="1">
        <f t="array" aca="1" ref="AT44" ca="1">IF($AQ44="",TRUE,IF($J44="",FALSE,IF(INDIRECT("OrganizationAccessCasePolicy!J"&amp;$J44)="",FALSE,NOT(ISNA(MATCH(INDIRECT("OrganizationAccessCasePolicy!J"&amp;$J44)&amp;"|"&amp;$AQ44,CaseTypeColSetMember!$H:$H,0))))))</f>
        <v>1</v>
      </c>
      <c r="AU44" s="6" t="b" cm="1">
        <f t="array" aca="1" ref="AU44" ca="1">IF($AQ44="",TRUE,IF($J44="",FALSE,IF(INDIRECT("OrganizationAccessCasePolicy!L"&amp;$J44)="",FALSE,NOT(ISNA(MATCH(INDIRECT("OrganizationAccessCasePolicy!L"&amp;$J44)&amp;"|"&amp;$AQ44,CaseTypeColSetMember!$H:$H,0))))))</f>
        <v>1</v>
      </c>
      <c r="AV44" s="6" t="b" cm="1">
        <f t="array" aca="1" ref="AV44" ca="1">IF($AQ44="",TRUE,IF($N44="",FALSE,IF(INDIRECT("UserAccessCasePolicy!I"&amp;$N44)="",FALSE,NOT(ISNA(MATCH(INDIRECT("UserAccessCasePolicy!I"&amp;$N44)&amp;"|"&amp;$AQ44,CaseTypeColSetMember!$H:$H,0))))))</f>
        <v>1</v>
      </c>
      <c r="AW44" s="6" t="b" cm="1">
        <f t="array" aca="1" ref="AW44" ca="1">IF($AQ44="",TRUE,IF($N44="",FALSE,IF(INDIRECT("UserAccessCasePolicy!K"&amp;$N44)="",FALSE,NOT(ISNA(MATCH(INDIRECT("UserAccessCasePolicy!K"&amp;$N44)&amp;"|"&amp;$AQ44,CaseTypeColSetMember!$H:$H,0))))))</f>
        <v>1</v>
      </c>
      <c r="AZ44" s="6" t="str">
        <f>IF($AX44="","",INDEX(CaseTypeCol!$J:$J,MATCH($AX44,CaseTypeCol!$A:$A,0)))</f>
        <v/>
      </c>
      <c r="BA44" s="6" t="b" cm="1">
        <f t="array" aca="1" ref="BA44" ca="1">IF($AX44="",TRUE,IF($J44="",FALSE,IF(INDIRECT("OrganizationAccessCasePolicy!J"&amp;$J44)="",FALSE,NOT(ISNA(MATCH(INDIRECT("OrganizationAccessCasePolicy!J"&amp;$J44)&amp;"|"&amp;$AX44,CaseTypeColSetMember!$H:$H,0))))))</f>
        <v>1</v>
      </c>
      <c r="BB44" s="6" t="b" cm="1">
        <f t="array" aca="1" ref="BB44" ca="1">IF($AX44="",TRUE,IF($J44="",FALSE,IF(INDIRECT("OrganizationAccessCasePolicy!L"&amp;$J44)="",FALSE,NOT(ISNA(MATCH(INDIRECT("OrganizationAccessCasePolicy!L"&amp;$J44)&amp;"|"&amp;$AX44,CaseTypeColSetMember!$H:$H,0))))))</f>
        <v>1</v>
      </c>
      <c r="BC44" s="6" t="b" cm="1">
        <f t="array" aca="1" ref="BC44" ca="1">IF($AX44="",TRUE,IF($N44="",FALSE,IF(INDIRECT("UserAccessCasePolicy!I"&amp;$N44)="",FALSE,NOT(ISNA(MATCH(INDIRECT("UserAccessCasePolicy!I"&amp;$N44)&amp;"|"&amp;$AX44,CaseTypeColSetMember!$H:$H,0))))))</f>
        <v>1</v>
      </c>
      <c r="BD44" s="6" t="b" cm="1">
        <f t="array" aca="1" ref="BD44" ca="1">IF($AX44="",TRUE,IF($N44="",FALSE,IF(INDIRECT("UserAccessCasePolicy!K"&amp;$N44)="",FALSE,NOT(ISNA(MATCH(INDIRECT("UserAccessCasePolicy!K"&amp;$N44)&amp;"|"&amp;$AX44,CaseTypeColSetMember!$H:$H,0))))))</f>
        <v>1</v>
      </c>
    </row>
    <row r="45" spans="1:56" ht="15" customHeight="1" x14ac:dyDescent="0.3">
      <c r="A45">
        <v>44</v>
      </c>
      <c r="B45" t="b">
        <v>0</v>
      </c>
      <c r="C45" t="s">
        <v>1048</v>
      </c>
      <c r="D45" t="s">
        <v>25</v>
      </c>
      <c r="E45" s="6" t="str">
        <f>INDEX(User!$D:$D,MATCH($D45,User!$A:$A,0))</f>
        <v>org_user3_3</v>
      </c>
      <c r="F45" t="s">
        <v>982</v>
      </c>
      <c r="G45" s="19" t="b">
        <f ca="1">IF($F45="CREATE",$I45,IF($F45="CREATE_CASES",OR($I45,AND($K45,$L45,$O45,$P45,$AN45,AP45,$AU45,$AW45,$BB45,$BD45)),"TBD"))</f>
        <v>0</v>
      </c>
      <c r="H45" s="6" t="str">
        <f>INDEX(User!$G:$G,MATCH($D45,User!$A:$A,0))</f>
        <v>0195d18c-1c92-52b3-93e0-43dc1f2aa037</v>
      </c>
      <c r="I45" s="6" t="b">
        <f>INDEX(User!$M:$M,MATCH($D45,User!$A:$A,0))</f>
        <v>0</v>
      </c>
      <c r="J45" s="6">
        <f>IF(ISNA(MATCH($H45&amp;"|"&amp;$X45,OrganizationAccessCasePolicy!$V:$V,0)),"",MATCH($H45&amp;"|"&amp;$X45,OrganizationAccessCasePolicy!$V:$V,0))</f>
        <v>9</v>
      </c>
      <c r="K45" s="6" t="b" cm="1">
        <f t="array" aca="1" ref="K45" ca="1">IF($J45="",FALSE,NOT(ISNA(MATCH(INDIRECT("OrganizationAccessCasePolicy!D"&amp;$J45)&amp;"|"&amp;$T45,CaseTypeSetMember!$H:$H,0))))</f>
        <v>0</v>
      </c>
      <c r="L45" s="6" t="b" cm="1">
        <f t="array" aca="1" ref="L45" ca="1">IF($J45="",FALSE,AND(INDIRECT("OrganizationAccessCasePolicy!H"&amp;$J45),NOT(ISNA(MATCH(INDIRECT("OrganizationAccessCasePolicy!D"&amp;$J45)&amp;"|"&amp;$T45,CaseTypeSetMember!$H:$H,0)))))</f>
        <v>0</v>
      </c>
      <c r="M45" s="6" t="b" cm="1">
        <f t="array" aca="1" ref="M45" ca="1">IF($J45="",FALSE,AND(INDIRECT("OrganizationAccessCasePolicy!I"&amp;$J45),NOT(ISNA(MATCH(INDIRECT("OrganizationAccessCasePolicy!D"&amp;$J45)&amp;"|"&amp;$T45,CaseTypeSetMember!$H:$H,0)))))</f>
        <v>0</v>
      </c>
      <c r="N45" s="6" t="str">
        <f>IF(ISNA(MATCH($D45&amp;"|"&amp;$X45,UserAccessCasePolicy!$W:$W,0)),"",MATCH($D45&amp;"|"&amp;$X45,UserAccessCasePolicy!$W:$W,0))</f>
        <v/>
      </c>
      <c r="O45" s="6" t="b" cm="1">
        <f t="array" aca="1" ref="O45" ca="1">IF($N45="",FALSE,NOT(ISNA(MATCH(INDIRECT("UserAccessCasePolicy!D"&amp;$N45)&amp;"|"&amp;$T45,CaseTypeSetMember!$H:$H,0))))</f>
        <v>0</v>
      </c>
      <c r="P45" s="6" t="b" cm="1">
        <f t="array" aca="1" ref="P45" ca="1">IF($N45="",FALSE,AND(INDIRECT("UserAccessCasePolicy!G"&amp;$N45),NOT(ISNA(MATCH(INDIRECT("UserAccessCasePolicy!D"&amp;$N45)&amp;"|"&amp;$T45,CaseTypeSetMember!$H:$H,0)))))</f>
        <v>0</v>
      </c>
      <c r="Q45" s="6" t="b" cm="1">
        <f t="array" aca="1" ref="Q45" ca="1">IF($N45="",FALSE,AND(INDIRECT("UserAccessCasePolicy!H"&amp;$N45),NOT(ISNA(MATCH(INDIRECT("UserAccessCasePolicy!D"&amp;$N45)&amp;"|"&amp;$T45,CaseTypeSetMember!$H:$H,0)))))</f>
        <v>0</v>
      </c>
      <c r="R45" t="s">
        <v>1037</v>
      </c>
      <c r="S45" s="6" t="str">
        <f>"case"&amp;MATCH($R45,$R$1:$R45,0)-1</f>
        <v>case34</v>
      </c>
      <c r="T45" t="s">
        <v>115</v>
      </c>
      <c r="U45" s="6" t="str">
        <f>INDEX(CaseType!$B:$B,MATCH($T45,CaseType!$A:$A,0))</f>
        <v>case_type1</v>
      </c>
      <c r="V45" s="6" t="b">
        <f>AND(IF($AJ45="",TRUE,$T45=INDEX(CaseTypeCol!$B:$B,MATCH($AJ45,CaseTypeCol!$A:$A,0))),IF($AQ45="",TRUE,$T45=INDEX(CaseTypeCol!$B:$B,MATCH($AQ45,CaseTypeCol!$A:$A,0))),IF($AX45="",TRUE,$T45=INDEX(CaseTypeCol!$B:$B,MATCH($AX45,CaseTypeCol!$A:$A,0))))</f>
        <v>1</v>
      </c>
      <c r="X45" t="s">
        <v>27</v>
      </c>
      <c r="Y45" s="6" t="str">
        <f>INDEX(DataCollection!$B:$B,MATCH($X45,DataCollection!$A:$A,0))</f>
        <v>data_collection8</v>
      </c>
      <c r="AA45" s="6" t="str">
        <f>IF($Z45="","",INDEX(CaseTypeCol!$J:$J,MATCH($Z45,CaseTypeCol!$A:$A,0)))</f>
        <v/>
      </c>
      <c r="AC45" s="6" t="str">
        <f>IF($AB45="","",INDEX(IdentifierIssuer!$B:$B,MATCH($AB45,IdentifierIssuer!$A:$A,0)))</f>
        <v/>
      </c>
      <c r="AE45" s="6" t="str">
        <f>IF($AD45="","",INDEX(SequencingProtocol!$B:$B,MATCH($AD45,SequencingProtocol!$A:$A,0)))</f>
        <v/>
      </c>
      <c r="AG45" s="6" t="str">
        <f>IF($AF45="","",INDEX(AssemblyProtocol!$B:$B,MATCH($AF45,AssemblyProtocol!$A:$A,0)))</f>
        <v/>
      </c>
      <c r="AI45" s="14">
        <v>36526</v>
      </c>
      <c r="AJ45" t="s">
        <v>516</v>
      </c>
      <c r="AK45" t="s">
        <v>972</v>
      </c>
      <c r="AL45" s="6" t="str">
        <f>IF($AJ45="","",INDEX(CaseTypeCol!$J:$J,MATCH($AJ45,CaseTypeCol!$A:$A,0)))</f>
        <v>case_type_col1_7_0_1_TEXT</v>
      </c>
      <c r="AM45" s="6" t="b" cm="1">
        <f t="array" aca="1" ref="AM45" ca="1">IF($AJ45="",TRUE,IF($J45="",FALSE,IF(INDIRECT("OrganizationAccessCasePolicy!J"&amp;$J45)="",FALSE,NOT(ISNA(MATCH(INDIRECT("OrganizationAccessCasePolicy!J"&amp;$J45)&amp;"|"&amp;$AJ45,CaseTypeColSetMember!$H:$H,0))))))</f>
        <v>1</v>
      </c>
      <c r="AN45" s="6" t="b" cm="1">
        <f t="array" aca="1" ref="AN45" ca="1">IF($AJ45="",TRUE,IF($J45="",FALSE,IF(INDIRECT("OrganizationAccessCasePolicy!L"&amp;$J45)="",FALSE,NOT(ISNA(MATCH(INDIRECT("OrganizationAccessCasePolicy!L"&amp;$J45)&amp;"|"&amp;$AJ45,CaseTypeColSetMember!$H:$H,0))))))</f>
        <v>0</v>
      </c>
      <c r="AO45" s="6" t="b" cm="1">
        <f t="array" aca="1" ref="AO45" ca="1">IF($AJ45="",TRUE,IF($N45="",FALSE,IF(INDIRECT("UserAccessCasePolicy!I"&amp;$N45)="",FALSE,NOT(ISNA(MATCH(INDIRECT("UserAccessCasePolicy!I"&amp;$N45)&amp;"|"&amp;$AJ45,CaseTypeColSetMember!$H:$H,0))))))</f>
        <v>0</v>
      </c>
      <c r="AP45" s="6" t="b" cm="1">
        <f t="array" aca="1" ref="AP45" ca="1">IF($AJ45="",TRUE,IF($N45="",FALSE,IF(INDIRECT("UserAccessCasePolicy!K"&amp;$N45)="",FALSE,NOT(ISNA(MATCH(INDIRECT("UserAccessCasePolicy!K"&amp;$N45)&amp;"|"&amp;$AJ45,CaseTypeColSetMember!$H:$H,0))))))</f>
        <v>0</v>
      </c>
      <c r="AS45" s="6" t="str">
        <f>IF($AQ45="","",INDEX(CaseTypeCol!$J:$J,MATCH($AQ45,CaseTypeCol!$A:$A,0)))</f>
        <v/>
      </c>
      <c r="AT45" s="6" t="b" cm="1">
        <f t="array" aca="1" ref="AT45" ca="1">IF($AQ45="",TRUE,IF($J45="",FALSE,IF(INDIRECT("OrganizationAccessCasePolicy!J"&amp;$J45)="",FALSE,NOT(ISNA(MATCH(INDIRECT("OrganizationAccessCasePolicy!J"&amp;$J45)&amp;"|"&amp;$AQ45,CaseTypeColSetMember!$H:$H,0))))))</f>
        <v>1</v>
      </c>
      <c r="AU45" s="6" t="b" cm="1">
        <f t="array" aca="1" ref="AU45" ca="1">IF($AQ45="",TRUE,IF($J45="",FALSE,IF(INDIRECT("OrganizationAccessCasePolicy!L"&amp;$J45)="",FALSE,NOT(ISNA(MATCH(INDIRECT("OrganizationAccessCasePolicy!L"&amp;$J45)&amp;"|"&amp;$AQ45,CaseTypeColSetMember!$H:$H,0))))))</f>
        <v>1</v>
      </c>
      <c r="AV45" s="6" t="b" cm="1">
        <f t="array" aca="1" ref="AV45" ca="1">IF($AQ45="",TRUE,IF($N45="",FALSE,IF(INDIRECT("UserAccessCasePolicy!I"&amp;$N45)="",FALSE,NOT(ISNA(MATCH(INDIRECT("UserAccessCasePolicy!I"&amp;$N45)&amp;"|"&amp;$AQ45,CaseTypeColSetMember!$H:$H,0))))))</f>
        <v>1</v>
      </c>
      <c r="AW45" s="6" t="b" cm="1">
        <f t="array" aca="1" ref="AW45" ca="1">IF($AQ45="",TRUE,IF($N45="",FALSE,IF(INDIRECT("UserAccessCasePolicy!K"&amp;$N45)="",FALSE,NOT(ISNA(MATCH(INDIRECT("UserAccessCasePolicy!K"&amp;$N45)&amp;"|"&amp;$AQ45,CaseTypeColSetMember!$H:$H,0))))))</f>
        <v>1</v>
      </c>
      <c r="AZ45" s="6" t="str">
        <f>IF($AX45="","",INDEX(CaseTypeCol!$J:$J,MATCH($AX45,CaseTypeCol!$A:$A,0)))</f>
        <v/>
      </c>
      <c r="BA45" s="6" t="b" cm="1">
        <f t="array" aca="1" ref="BA45" ca="1">IF($AX45="",TRUE,IF($J45="",FALSE,IF(INDIRECT("OrganizationAccessCasePolicy!J"&amp;$J45)="",FALSE,NOT(ISNA(MATCH(INDIRECT("OrganizationAccessCasePolicy!J"&amp;$J45)&amp;"|"&amp;$AX45,CaseTypeColSetMember!$H:$H,0))))))</f>
        <v>1</v>
      </c>
      <c r="BB45" s="6" t="b" cm="1">
        <f t="array" aca="1" ref="BB45" ca="1">IF($AX45="",TRUE,IF($J45="",FALSE,IF(INDIRECT("OrganizationAccessCasePolicy!L"&amp;$J45)="",FALSE,NOT(ISNA(MATCH(INDIRECT("OrganizationAccessCasePolicy!L"&amp;$J45)&amp;"|"&amp;$AX45,CaseTypeColSetMember!$H:$H,0))))))</f>
        <v>1</v>
      </c>
      <c r="BC45" s="6" t="b" cm="1">
        <f t="array" aca="1" ref="BC45" ca="1">IF($AX45="",TRUE,IF($N45="",FALSE,IF(INDIRECT("UserAccessCasePolicy!I"&amp;$N45)="",FALSE,NOT(ISNA(MATCH(INDIRECT("UserAccessCasePolicy!I"&amp;$N45)&amp;"|"&amp;$AX45,CaseTypeColSetMember!$H:$H,0))))))</f>
        <v>1</v>
      </c>
      <c r="BD45" s="6" t="b" cm="1">
        <f t="array" aca="1" ref="BD45" ca="1">IF($AX45="",TRUE,IF($N45="",FALSE,IF(INDIRECT("UserAccessCasePolicy!K"&amp;$N45)="",FALSE,NOT(ISNA(MATCH(INDIRECT("UserAccessCasePolicy!K"&amp;$N45)&amp;"|"&amp;$AX45,CaseTypeColSetMember!$H:$H,0))))))</f>
        <v>1</v>
      </c>
    </row>
    <row r="46" spans="1:56" ht="15" customHeight="1" x14ac:dyDescent="0.3">
      <c r="A46">
        <v>45</v>
      </c>
      <c r="B46" t="b">
        <v>0</v>
      </c>
      <c r="C46" t="s">
        <v>1049</v>
      </c>
      <c r="D46" t="s">
        <v>26</v>
      </c>
      <c r="E46" s="6" t="str">
        <f>INDEX(User!$D:$D,MATCH($D46,User!$A:$A,0))</f>
        <v>org_user3_4</v>
      </c>
      <c r="F46" t="s">
        <v>982</v>
      </c>
      <c r="G46" s="19" t="b">
        <f ca="1">IF($F46="CREATE",$I46,IF($F46="CREATE_CASES",OR($I46,AND($K46,$L46,$O46,$P46,$AN46,AP46,$AU46,$AW46,$BB46,$BD46)),"TBD"))</f>
        <v>0</v>
      </c>
      <c r="H46" s="6" t="str">
        <f>INDEX(User!$G:$G,MATCH($D46,User!$A:$A,0))</f>
        <v>0195d18c-1c92-52b3-93e0-43dc1f2aa037</v>
      </c>
      <c r="I46" s="6" t="b">
        <f>INDEX(User!$M:$M,MATCH($D46,User!$A:$A,0))</f>
        <v>0</v>
      </c>
      <c r="J46" s="6">
        <f>IF(ISNA(MATCH($H46&amp;"|"&amp;$X46,OrganizationAccessCasePolicy!$V:$V,0)),"",MATCH($H46&amp;"|"&amp;$X46,OrganizationAccessCasePolicy!$V:$V,0))</f>
        <v>9</v>
      </c>
      <c r="K46" s="6" t="b" cm="1">
        <f t="array" aca="1" ref="K46" ca="1">IF($J46="",FALSE,NOT(ISNA(MATCH(INDIRECT("OrganizationAccessCasePolicy!D"&amp;$J46)&amp;"|"&amp;$T46,CaseTypeSetMember!$H:$H,0))))</f>
        <v>0</v>
      </c>
      <c r="L46" s="6" t="b" cm="1">
        <f t="array" aca="1" ref="L46" ca="1">IF($J46="",FALSE,AND(INDIRECT("OrganizationAccessCasePolicy!H"&amp;$J46),NOT(ISNA(MATCH(INDIRECT("OrganizationAccessCasePolicy!D"&amp;$J46)&amp;"|"&amp;$T46,CaseTypeSetMember!$H:$H,0)))))</f>
        <v>0</v>
      </c>
      <c r="M46" s="6" t="b" cm="1">
        <f t="array" aca="1" ref="M46" ca="1">IF($J46="",FALSE,AND(INDIRECT("OrganizationAccessCasePolicy!I"&amp;$J46),NOT(ISNA(MATCH(INDIRECT("OrganizationAccessCasePolicy!D"&amp;$J46)&amp;"|"&amp;$T46,CaseTypeSetMember!$H:$H,0)))))</f>
        <v>0</v>
      </c>
      <c r="N46" s="6" t="str">
        <f>IF(ISNA(MATCH($D46&amp;"|"&amp;$X46,UserAccessCasePolicy!$W:$W,0)),"",MATCH($D46&amp;"|"&amp;$X46,UserAccessCasePolicy!$W:$W,0))</f>
        <v/>
      </c>
      <c r="O46" s="6" t="b" cm="1">
        <f t="array" aca="1" ref="O46" ca="1">IF($N46="",FALSE,NOT(ISNA(MATCH(INDIRECT("UserAccessCasePolicy!D"&amp;$N46)&amp;"|"&amp;$T46,CaseTypeSetMember!$H:$H,0))))</f>
        <v>0</v>
      </c>
      <c r="P46" s="6" t="b" cm="1">
        <f t="array" aca="1" ref="P46" ca="1">IF($N46="",FALSE,AND(INDIRECT("UserAccessCasePolicy!G"&amp;$N46),NOT(ISNA(MATCH(INDIRECT("UserAccessCasePolicy!D"&amp;$N46)&amp;"|"&amp;$T46,CaseTypeSetMember!$H:$H,0)))))</f>
        <v>0</v>
      </c>
      <c r="Q46" s="6" t="b" cm="1">
        <f t="array" aca="1" ref="Q46" ca="1">IF($N46="",FALSE,AND(INDIRECT("UserAccessCasePolicy!H"&amp;$N46),NOT(ISNA(MATCH(INDIRECT("UserAccessCasePolicy!D"&amp;$N46)&amp;"|"&amp;$T46,CaseTypeSetMember!$H:$H,0)))))</f>
        <v>0</v>
      </c>
      <c r="R46" t="s">
        <v>1037</v>
      </c>
      <c r="S46" s="6" t="str">
        <f>"case"&amp;MATCH($R46,$R$1:$R46,0)-1</f>
        <v>case34</v>
      </c>
      <c r="T46" t="s">
        <v>115</v>
      </c>
      <c r="U46" s="6" t="str">
        <f>INDEX(CaseType!$B:$B,MATCH($T46,CaseType!$A:$A,0))</f>
        <v>case_type1</v>
      </c>
      <c r="V46" s="6" t="b">
        <f>AND(IF($AJ46="",TRUE,$T46=INDEX(CaseTypeCol!$B:$B,MATCH($AJ46,CaseTypeCol!$A:$A,0))),IF($AQ46="",TRUE,$T46=INDEX(CaseTypeCol!$B:$B,MATCH($AQ46,CaseTypeCol!$A:$A,0))),IF($AX46="",TRUE,$T46=INDEX(CaseTypeCol!$B:$B,MATCH($AX46,CaseTypeCol!$A:$A,0))))</f>
        <v>1</v>
      </c>
      <c r="X46" t="s">
        <v>27</v>
      </c>
      <c r="Y46" s="6" t="str">
        <f>INDEX(DataCollection!$B:$B,MATCH($X46,DataCollection!$A:$A,0))</f>
        <v>data_collection8</v>
      </c>
      <c r="AA46" s="6" t="str">
        <f>IF($Z46="","",INDEX(CaseTypeCol!$J:$J,MATCH($Z46,CaseTypeCol!$A:$A,0)))</f>
        <v/>
      </c>
      <c r="AC46" s="6" t="str">
        <f>IF($AB46="","",INDEX(IdentifierIssuer!$B:$B,MATCH($AB46,IdentifierIssuer!$A:$A,0)))</f>
        <v/>
      </c>
      <c r="AE46" s="6" t="str">
        <f>IF($AD46="","",INDEX(SequencingProtocol!$B:$B,MATCH($AD46,SequencingProtocol!$A:$A,0)))</f>
        <v/>
      </c>
      <c r="AG46" s="6" t="str">
        <f>IF($AF46="","",INDEX(AssemblyProtocol!$B:$B,MATCH($AF46,AssemblyProtocol!$A:$A,0)))</f>
        <v/>
      </c>
      <c r="AI46" s="14">
        <v>36526</v>
      </c>
      <c r="AJ46" t="s">
        <v>516</v>
      </c>
      <c r="AK46" t="s">
        <v>972</v>
      </c>
      <c r="AL46" s="6" t="str">
        <f>IF($AJ46="","",INDEX(CaseTypeCol!$J:$J,MATCH($AJ46,CaseTypeCol!$A:$A,0)))</f>
        <v>case_type_col1_7_0_1_TEXT</v>
      </c>
      <c r="AM46" s="6" t="b" cm="1">
        <f t="array" aca="1" ref="AM46" ca="1">IF($AJ46="",TRUE,IF($J46="",FALSE,IF(INDIRECT("OrganizationAccessCasePolicy!J"&amp;$J46)="",FALSE,NOT(ISNA(MATCH(INDIRECT("OrganizationAccessCasePolicy!J"&amp;$J46)&amp;"|"&amp;$AJ46,CaseTypeColSetMember!$H:$H,0))))))</f>
        <v>1</v>
      </c>
      <c r="AN46" s="6" t="b" cm="1">
        <f t="array" aca="1" ref="AN46" ca="1">IF($AJ46="",TRUE,IF($J46="",FALSE,IF(INDIRECT("OrganizationAccessCasePolicy!L"&amp;$J46)="",FALSE,NOT(ISNA(MATCH(INDIRECT("OrganizationAccessCasePolicy!L"&amp;$J46)&amp;"|"&amp;$AJ46,CaseTypeColSetMember!$H:$H,0))))))</f>
        <v>0</v>
      </c>
      <c r="AO46" s="6" t="b" cm="1">
        <f t="array" aca="1" ref="AO46" ca="1">IF($AJ46="",TRUE,IF($N46="",FALSE,IF(INDIRECT("UserAccessCasePolicy!I"&amp;$N46)="",FALSE,NOT(ISNA(MATCH(INDIRECT("UserAccessCasePolicy!I"&amp;$N46)&amp;"|"&amp;$AJ46,CaseTypeColSetMember!$H:$H,0))))))</f>
        <v>0</v>
      </c>
      <c r="AP46" s="6" t="b" cm="1">
        <f t="array" aca="1" ref="AP46" ca="1">IF($AJ46="",TRUE,IF($N46="",FALSE,IF(INDIRECT("UserAccessCasePolicy!K"&amp;$N46)="",FALSE,NOT(ISNA(MATCH(INDIRECT("UserAccessCasePolicy!K"&amp;$N46)&amp;"|"&amp;$AJ46,CaseTypeColSetMember!$H:$H,0))))))</f>
        <v>0</v>
      </c>
      <c r="AS46" s="6" t="str">
        <f>IF($AQ46="","",INDEX(CaseTypeCol!$J:$J,MATCH($AQ46,CaseTypeCol!$A:$A,0)))</f>
        <v/>
      </c>
      <c r="AT46" s="6" t="b" cm="1">
        <f t="array" aca="1" ref="AT46" ca="1">IF($AQ46="",TRUE,IF($J46="",FALSE,IF(INDIRECT("OrganizationAccessCasePolicy!J"&amp;$J46)="",FALSE,NOT(ISNA(MATCH(INDIRECT("OrganizationAccessCasePolicy!J"&amp;$J46)&amp;"|"&amp;$AQ46,CaseTypeColSetMember!$H:$H,0))))))</f>
        <v>1</v>
      </c>
      <c r="AU46" s="6" t="b" cm="1">
        <f t="array" aca="1" ref="AU46" ca="1">IF($AQ46="",TRUE,IF($J46="",FALSE,IF(INDIRECT("OrganizationAccessCasePolicy!L"&amp;$J46)="",FALSE,NOT(ISNA(MATCH(INDIRECT("OrganizationAccessCasePolicy!L"&amp;$J46)&amp;"|"&amp;$AQ46,CaseTypeColSetMember!$H:$H,0))))))</f>
        <v>1</v>
      </c>
      <c r="AV46" s="6" t="b" cm="1">
        <f t="array" aca="1" ref="AV46" ca="1">IF($AQ46="",TRUE,IF($N46="",FALSE,IF(INDIRECT("UserAccessCasePolicy!I"&amp;$N46)="",FALSE,NOT(ISNA(MATCH(INDIRECT("UserAccessCasePolicy!I"&amp;$N46)&amp;"|"&amp;$AQ46,CaseTypeColSetMember!$H:$H,0))))))</f>
        <v>1</v>
      </c>
      <c r="AW46" s="6" t="b" cm="1">
        <f t="array" aca="1" ref="AW46" ca="1">IF($AQ46="",TRUE,IF($N46="",FALSE,IF(INDIRECT("UserAccessCasePolicy!K"&amp;$N46)="",FALSE,NOT(ISNA(MATCH(INDIRECT("UserAccessCasePolicy!K"&amp;$N46)&amp;"|"&amp;$AQ46,CaseTypeColSetMember!$H:$H,0))))))</f>
        <v>1</v>
      </c>
      <c r="AZ46" s="6" t="str">
        <f>IF($AX46="","",INDEX(CaseTypeCol!$J:$J,MATCH($AX46,CaseTypeCol!$A:$A,0)))</f>
        <v/>
      </c>
      <c r="BA46" s="6" t="b" cm="1">
        <f t="array" aca="1" ref="BA46" ca="1">IF($AX46="",TRUE,IF($J46="",FALSE,IF(INDIRECT("OrganizationAccessCasePolicy!J"&amp;$J46)="",FALSE,NOT(ISNA(MATCH(INDIRECT("OrganizationAccessCasePolicy!J"&amp;$J46)&amp;"|"&amp;$AX46,CaseTypeColSetMember!$H:$H,0))))))</f>
        <v>1</v>
      </c>
      <c r="BB46" s="6" t="b" cm="1">
        <f t="array" aca="1" ref="BB46" ca="1">IF($AX46="",TRUE,IF($J46="",FALSE,IF(INDIRECT("OrganizationAccessCasePolicy!L"&amp;$J46)="",FALSE,NOT(ISNA(MATCH(INDIRECT("OrganizationAccessCasePolicy!L"&amp;$J46)&amp;"|"&amp;$AX46,CaseTypeColSetMember!$H:$H,0))))))</f>
        <v>1</v>
      </c>
      <c r="BC46" s="6" t="b" cm="1">
        <f t="array" aca="1" ref="BC46" ca="1">IF($AX46="",TRUE,IF($N46="",FALSE,IF(INDIRECT("UserAccessCasePolicy!I"&amp;$N46)="",FALSE,NOT(ISNA(MATCH(INDIRECT("UserAccessCasePolicy!I"&amp;$N46)&amp;"|"&amp;$AX46,CaseTypeColSetMember!$H:$H,0))))))</f>
        <v>1</v>
      </c>
      <c r="BD46" s="6" t="b" cm="1">
        <f t="array" aca="1" ref="BD46" ca="1">IF($AX46="",TRUE,IF($N46="",FALSE,IF(INDIRECT("UserAccessCasePolicy!K"&amp;$N46)="",FALSE,NOT(ISNA(MATCH(INDIRECT("UserAccessCasePolicy!K"&amp;$N46)&amp;"|"&amp;$AX46,CaseTypeColSetMember!$H:$H,0))))))</f>
        <v>1</v>
      </c>
    </row>
    <row r="47" spans="1:56" ht="15" customHeight="1" x14ac:dyDescent="0.3">
      <c r="A47">
        <v>46</v>
      </c>
      <c r="B47" t="b">
        <v>0</v>
      </c>
      <c r="C47" t="s">
        <v>1050</v>
      </c>
      <c r="D47" t="s">
        <v>28</v>
      </c>
      <c r="E47" s="6" t="str">
        <f>INDEX(User!$D:$D,MATCH($D47,User!$A:$A,0))</f>
        <v>org_user4_1</v>
      </c>
      <c r="F47" t="s">
        <v>982</v>
      </c>
      <c r="G47" s="19" t="b">
        <f ca="1">IF($F47="CREATE",$I47,IF($F47="CREATE_CASES",OR($I47,AND($K47,$L47,$O47,$P47,$AN47,AP47,$AU47,$AW47,$BB47,$BD47)),"TBD"))</f>
        <v>0</v>
      </c>
      <c r="H47" s="6" t="str">
        <f>INDEX(User!$G:$G,MATCH($D47,User!$A:$A,0))</f>
        <v>0195d18c-1c92-d419-4c71-a570f428499b</v>
      </c>
      <c r="I47" s="6" t="b">
        <f>INDEX(User!$M:$M,MATCH($D47,User!$A:$A,0))</f>
        <v>0</v>
      </c>
      <c r="J47" s="6">
        <f>IF(ISNA(MATCH($H47&amp;"|"&amp;$X47,OrganizationAccessCasePolicy!$V:$V,0)),"",MATCH($H47&amp;"|"&amp;$X47,OrganizationAccessCasePolicy!$V:$V,0))</f>
        <v>10</v>
      </c>
      <c r="K47" s="6" t="b" cm="1">
        <f t="array" aca="1" ref="K47" ca="1">IF($J47="",FALSE,NOT(ISNA(MATCH(INDIRECT("OrganizationAccessCasePolicy!D"&amp;$J47)&amp;"|"&amp;$T47,CaseTypeSetMember!$H:$H,0))))</f>
        <v>0</v>
      </c>
      <c r="L47" s="6" t="b" cm="1">
        <f t="array" aca="1" ref="L47" ca="1">IF($J47="",FALSE,AND(INDIRECT("OrganizationAccessCasePolicy!H"&amp;$J47),NOT(ISNA(MATCH(INDIRECT("OrganizationAccessCasePolicy!D"&amp;$J47)&amp;"|"&amp;$T47,CaseTypeSetMember!$H:$H,0)))))</f>
        <v>0</v>
      </c>
      <c r="M47" s="6" t="b" cm="1">
        <f t="array" aca="1" ref="M47" ca="1">IF($J47="",FALSE,AND(INDIRECT("OrganizationAccessCasePolicy!I"&amp;$J47),NOT(ISNA(MATCH(INDIRECT("OrganizationAccessCasePolicy!D"&amp;$J47)&amp;"|"&amp;$T47,CaseTypeSetMember!$H:$H,0)))))</f>
        <v>0</v>
      </c>
      <c r="N47" s="6">
        <f>IF(ISNA(MATCH($D47&amp;"|"&amp;$X47,UserAccessCasePolicy!$W:$W,0)),"",MATCH($D47&amp;"|"&amp;$X47,UserAccessCasePolicy!$W:$W,0))</f>
        <v>10</v>
      </c>
      <c r="O47" s="6" t="b" cm="1">
        <f t="array" aca="1" ref="O47" ca="1">IF($N47="",FALSE,NOT(ISNA(MATCH(INDIRECT("UserAccessCasePolicy!D"&amp;$N47)&amp;"|"&amp;$T47,CaseTypeSetMember!$H:$H,0))))</f>
        <v>0</v>
      </c>
      <c r="P47" s="6" t="b" cm="1">
        <f t="array" aca="1" ref="P47" ca="1">IF($N47="",FALSE,AND(INDIRECT("UserAccessCasePolicy!G"&amp;$N47),NOT(ISNA(MATCH(INDIRECT("UserAccessCasePolicy!D"&amp;$N47)&amp;"|"&amp;$T47,CaseTypeSetMember!$H:$H,0)))))</f>
        <v>0</v>
      </c>
      <c r="Q47" s="6" t="b" cm="1">
        <f t="array" aca="1" ref="Q47" ca="1">IF($N47="",FALSE,AND(INDIRECT("UserAccessCasePolicy!H"&amp;$N47),NOT(ISNA(MATCH(INDIRECT("UserAccessCasePolicy!D"&amp;$N47)&amp;"|"&amp;$T47,CaseTypeSetMember!$H:$H,0)))))</f>
        <v>0</v>
      </c>
      <c r="R47" t="s">
        <v>1021</v>
      </c>
      <c r="S47" s="6" t="str">
        <f>"case"&amp;MATCH($R47,$R$1:$R47,0)-1</f>
        <v>case26</v>
      </c>
      <c r="T47" t="s">
        <v>115</v>
      </c>
      <c r="U47" s="6" t="str">
        <f>INDEX(CaseType!$B:$B,MATCH($T47,CaseType!$A:$A,0))</f>
        <v>case_type1</v>
      </c>
      <c r="V47" s="6" t="b">
        <f>AND(IF($AJ47="",TRUE,$T47=INDEX(CaseTypeCol!$B:$B,MATCH($AJ47,CaseTypeCol!$A:$A,0))),IF($AQ47="",TRUE,$T47=INDEX(CaseTypeCol!$B:$B,MATCH($AQ47,CaseTypeCol!$A:$A,0))),IF($AX47="",TRUE,$T47=INDEX(CaseTypeCol!$B:$B,MATCH($AX47,CaseTypeCol!$A:$A,0))))</f>
        <v>1</v>
      </c>
      <c r="X47" t="s">
        <v>33</v>
      </c>
      <c r="Y47" s="6" t="str">
        <f>INDEX(DataCollection!$B:$B,MATCH($X47,DataCollection!$A:$A,0))</f>
        <v>data_collection9</v>
      </c>
      <c r="AA47" s="6" t="str">
        <f>IF($Z47="","",INDEX(CaseTypeCol!$J:$J,MATCH($Z47,CaseTypeCol!$A:$A,0)))</f>
        <v/>
      </c>
      <c r="AC47" s="6" t="str">
        <f>IF($AB47="","",INDEX(IdentifierIssuer!$B:$B,MATCH($AB47,IdentifierIssuer!$A:$A,0)))</f>
        <v/>
      </c>
      <c r="AE47" s="6" t="str">
        <f>IF($AD47="","",INDEX(SequencingProtocol!$B:$B,MATCH($AD47,SequencingProtocol!$A:$A,0)))</f>
        <v/>
      </c>
      <c r="AG47" s="6" t="str">
        <f>IF($AF47="","",INDEX(AssemblyProtocol!$B:$B,MATCH($AF47,AssemblyProtocol!$A:$A,0)))</f>
        <v/>
      </c>
      <c r="AI47" s="14">
        <v>36526</v>
      </c>
      <c r="AJ47" t="s">
        <v>516</v>
      </c>
      <c r="AK47" t="s">
        <v>972</v>
      </c>
      <c r="AL47" s="6" t="str">
        <f>IF($AJ47="","",INDEX(CaseTypeCol!$J:$J,MATCH($AJ47,CaseTypeCol!$A:$A,0)))</f>
        <v>case_type_col1_7_0_1_TEXT</v>
      </c>
      <c r="AM47" s="6" t="b" cm="1">
        <f t="array" aca="1" ref="AM47" ca="1">IF($AJ47="",TRUE,IF($J47="",FALSE,IF(INDIRECT("OrganizationAccessCasePolicy!J"&amp;$J47)="",FALSE,NOT(ISNA(MATCH(INDIRECT("OrganizationAccessCasePolicy!J"&amp;$J47)&amp;"|"&amp;$AJ47,CaseTypeColSetMember!$H:$H,0))))))</f>
        <v>1</v>
      </c>
      <c r="AN47" s="6" t="b" cm="1">
        <f t="array" aca="1" ref="AN47" ca="1">IF($AJ47="",TRUE,IF($J47="",FALSE,IF(INDIRECT("OrganizationAccessCasePolicy!L"&amp;$J47)="",FALSE,NOT(ISNA(MATCH(INDIRECT("OrganizationAccessCasePolicy!L"&amp;$J47)&amp;"|"&amp;$AJ47,CaseTypeColSetMember!$H:$H,0))))))</f>
        <v>0</v>
      </c>
      <c r="AO47" s="6" t="b" cm="1">
        <f t="array" aca="1" ref="AO47" ca="1">IF($AJ47="",TRUE,IF($N47="",FALSE,IF(INDIRECT("UserAccessCasePolicy!I"&amp;$N47)="",FALSE,NOT(ISNA(MATCH(INDIRECT("UserAccessCasePolicy!I"&amp;$N47)&amp;"|"&amp;$AJ47,CaseTypeColSetMember!$H:$H,0))))))</f>
        <v>1</v>
      </c>
      <c r="AP47" s="6" t="b" cm="1">
        <f t="array" aca="1" ref="AP47" ca="1">IF($AJ47="",TRUE,IF($N47="",FALSE,IF(INDIRECT("UserAccessCasePolicy!K"&amp;$N47)="",FALSE,NOT(ISNA(MATCH(INDIRECT("UserAccessCasePolicy!K"&amp;$N47)&amp;"|"&amp;$AJ47,CaseTypeColSetMember!$H:$H,0))))))</f>
        <v>1</v>
      </c>
      <c r="AS47" s="6" t="str">
        <f>IF($AQ47="","",INDEX(CaseTypeCol!$J:$J,MATCH($AQ47,CaseTypeCol!$A:$A,0)))</f>
        <v/>
      </c>
      <c r="AT47" s="6" t="b" cm="1">
        <f t="array" aca="1" ref="AT47" ca="1">IF($AQ47="",TRUE,IF($J47="",FALSE,IF(INDIRECT("OrganizationAccessCasePolicy!J"&amp;$J47)="",FALSE,NOT(ISNA(MATCH(INDIRECT("OrganizationAccessCasePolicy!J"&amp;$J47)&amp;"|"&amp;$AQ47,CaseTypeColSetMember!$H:$H,0))))))</f>
        <v>1</v>
      </c>
      <c r="AU47" s="6" t="b" cm="1">
        <f t="array" aca="1" ref="AU47" ca="1">IF($AQ47="",TRUE,IF($J47="",FALSE,IF(INDIRECT("OrganizationAccessCasePolicy!L"&amp;$J47)="",FALSE,NOT(ISNA(MATCH(INDIRECT("OrganizationAccessCasePolicy!L"&amp;$J47)&amp;"|"&amp;$AQ47,CaseTypeColSetMember!$H:$H,0))))))</f>
        <v>1</v>
      </c>
      <c r="AV47" s="6" t="b" cm="1">
        <f t="array" aca="1" ref="AV47" ca="1">IF($AQ47="",TRUE,IF($N47="",FALSE,IF(INDIRECT("UserAccessCasePolicy!I"&amp;$N47)="",FALSE,NOT(ISNA(MATCH(INDIRECT("UserAccessCasePolicy!I"&amp;$N47)&amp;"|"&amp;$AQ47,CaseTypeColSetMember!$H:$H,0))))))</f>
        <v>1</v>
      </c>
      <c r="AW47" s="6" t="b" cm="1">
        <f t="array" aca="1" ref="AW47" ca="1">IF($AQ47="",TRUE,IF($N47="",FALSE,IF(INDIRECT("UserAccessCasePolicy!K"&amp;$N47)="",FALSE,NOT(ISNA(MATCH(INDIRECT("UserAccessCasePolicy!K"&amp;$N47)&amp;"|"&amp;$AQ47,CaseTypeColSetMember!$H:$H,0))))))</f>
        <v>1</v>
      </c>
      <c r="AZ47" s="6" t="str">
        <f>IF($AX47="","",INDEX(CaseTypeCol!$J:$J,MATCH($AX47,CaseTypeCol!$A:$A,0)))</f>
        <v/>
      </c>
      <c r="BA47" s="6" t="b" cm="1">
        <f t="array" aca="1" ref="BA47" ca="1">IF($AX47="",TRUE,IF($J47="",FALSE,IF(INDIRECT("OrganizationAccessCasePolicy!J"&amp;$J47)="",FALSE,NOT(ISNA(MATCH(INDIRECT("OrganizationAccessCasePolicy!J"&amp;$J47)&amp;"|"&amp;$AX47,CaseTypeColSetMember!$H:$H,0))))))</f>
        <v>1</v>
      </c>
      <c r="BB47" s="6" t="b" cm="1">
        <f t="array" aca="1" ref="BB47" ca="1">IF($AX47="",TRUE,IF($J47="",FALSE,IF(INDIRECT("OrganizationAccessCasePolicy!L"&amp;$J47)="",FALSE,NOT(ISNA(MATCH(INDIRECT("OrganizationAccessCasePolicy!L"&amp;$J47)&amp;"|"&amp;$AX47,CaseTypeColSetMember!$H:$H,0))))))</f>
        <v>1</v>
      </c>
      <c r="BC47" s="6" t="b" cm="1">
        <f t="array" aca="1" ref="BC47" ca="1">IF($AX47="",TRUE,IF($N47="",FALSE,IF(INDIRECT("UserAccessCasePolicy!I"&amp;$N47)="",FALSE,NOT(ISNA(MATCH(INDIRECT("UserAccessCasePolicy!I"&amp;$N47)&amp;"|"&amp;$AX47,CaseTypeColSetMember!$H:$H,0))))))</f>
        <v>1</v>
      </c>
      <c r="BD47" s="6" t="b" cm="1">
        <f t="array" aca="1" ref="BD47" ca="1">IF($AX47="",TRUE,IF($N47="",FALSE,IF(INDIRECT("UserAccessCasePolicy!K"&amp;$N47)="",FALSE,NOT(ISNA(MATCH(INDIRECT("UserAccessCasePolicy!K"&amp;$N47)&amp;"|"&amp;$AX47,CaseTypeColSetMember!$H:$H,0))))))</f>
        <v>1</v>
      </c>
    </row>
    <row r="48" spans="1:56" ht="15" customHeight="1" x14ac:dyDescent="0.3">
      <c r="A48">
        <v>47</v>
      </c>
      <c r="B48" t="b">
        <v>0</v>
      </c>
      <c r="C48" t="s">
        <v>1051</v>
      </c>
      <c r="D48" t="s">
        <v>30</v>
      </c>
      <c r="E48" s="6" t="str">
        <f>INDEX(User!$D:$D,MATCH($D48,User!$A:$A,0))</f>
        <v>org_user4_2</v>
      </c>
      <c r="F48" t="s">
        <v>982</v>
      </c>
      <c r="G48" s="19" t="b">
        <f ca="1">IF($F48="CREATE",$I48,IF($F48="CREATE_CASES",OR($I48,AND($K48,$L48,$O48,$P48,$AN48,AP48,$AU48,$AW48,$BB48,$BD48)),"TBD"))</f>
        <v>0</v>
      </c>
      <c r="H48" s="6" t="str">
        <f>INDEX(User!$G:$G,MATCH($D48,User!$A:$A,0))</f>
        <v>0195d18c-1c92-d419-4c71-a570f428499b</v>
      </c>
      <c r="I48" s="6" t="b">
        <f>INDEX(User!$M:$M,MATCH($D48,User!$A:$A,0))</f>
        <v>0</v>
      </c>
      <c r="J48" s="6">
        <f>IF(ISNA(MATCH($H48&amp;"|"&amp;$X48,OrganizationAccessCasePolicy!$V:$V,0)),"",MATCH($H48&amp;"|"&amp;$X48,OrganizationAccessCasePolicy!$V:$V,0))</f>
        <v>10</v>
      </c>
      <c r="K48" s="6" t="b" cm="1">
        <f t="array" aca="1" ref="K48" ca="1">IF($J48="",FALSE,NOT(ISNA(MATCH(INDIRECT("OrganizationAccessCasePolicy!D"&amp;$J48)&amp;"|"&amp;$T48,CaseTypeSetMember!$H:$H,0))))</f>
        <v>0</v>
      </c>
      <c r="L48" s="6" t="b" cm="1">
        <f t="array" aca="1" ref="L48" ca="1">IF($J48="",FALSE,AND(INDIRECT("OrganizationAccessCasePolicy!H"&amp;$J48),NOT(ISNA(MATCH(INDIRECT("OrganizationAccessCasePolicy!D"&amp;$J48)&amp;"|"&amp;$T48,CaseTypeSetMember!$H:$H,0)))))</f>
        <v>0</v>
      </c>
      <c r="M48" s="6" t="b" cm="1">
        <f t="array" aca="1" ref="M48" ca="1">IF($J48="",FALSE,AND(INDIRECT("OrganizationAccessCasePolicy!I"&amp;$J48),NOT(ISNA(MATCH(INDIRECT("OrganizationAccessCasePolicy!D"&amp;$J48)&amp;"|"&amp;$T48,CaseTypeSetMember!$H:$H,0)))))</f>
        <v>0</v>
      </c>
      <c r="N48" s="6" t="str">
        <f>IF(ISNA(MATCH($D48&amp;"|"&amp;$X48,UserAccessCasePolicy!$W:$W,0)),"",MATCH($D48&amp;"|"&amp;$X48,UserAccessCasePolicy!$W:$W,0))</f>
        <v/>
      </c>
      <c r="O48" s="6" t="b" cm="1">
        <f t="array" aca="1" ref="O48" ca="1">IF($N48="",FALSE,NOT(ISNA(MATCH(INDIRECT("UserAccessCasePolicy!D"&amp;$N48)&amp;"|"&amp;$T48,CaseTypeSetMember!$H:$H,0))))</f>
        <v>0</v>
      </c>
      <c r="P48" s="6" t="b" cm="1">
        <f t="array" aca="1" ref="P48" ca="1">IF($N48="",FALSE,AND(INDIRECT("UserAccessCasePolicy!G"&amp;$N48),NOT(ISNA(MATCH(INDIRECT("UserAccessCasePolicy!D"&amp;$N48)&amp;"|"&amp;$T48,CaseTypeSetMember!$H:$H,0)))))</f>
        <v>0</v>
      </c>
      <c r="Q48" s="6" t="b" cm="1">
        <f t="array" aca="1" ref="Q48" ca="1">IF($N48="",FALSE,AND(INDIRECT("UserAccessCasePolicy!H"&amp;$N48),NOT(ISNA(MATCH(INDIRECT("UserAccessCasePolicy!D"&amp;$N48)&amp;"|"&amp;$T48,CaseTypeSetMember!$H:$H,0)))))</f>
        <v>0</v>
      </c>
      <c r="R48" t="s">
        <v>1023</v>
      </c>
      <c r="S48" s="6" t="str">
        <f>"case"&amp;MATCH($R48,$R$1:$R48,0)-1</f>
        <v>case27</v>
      </c>
      <c r="T48" t="s">
        <v>115</v>
      </c>
      <c r="U48" s="6" t="str">
        <f>INDEX(CaseType!$B:$B,MATCH($T48,CaseType!$A:$A,0))</f>
        <v>case_type1</v>
      </c>
      <c r="V48" s="6" t="b">
        <f>AND(IF($AJ48="",TRUE,$T48=INDEX(CaseTypeCol!$B:$B,MATCH($AJ48,CaseTypeCol!$A:$A,0))),IF($AQ48="",TRUE,$T48=INDEX(CaseTypeCol!$B:$B,MATCH($AQ48,CaseTypeCol!$A:$A,0))),IF($AX48="",TRUE,$T48=INDEX(CaseTypeCol!$B:$B,MATCH($AX48,CaseTypeCol!$A:$A,0))))</f>
        <v>1</v>
      </c>
      <c r="X48" t="s">
        <v>33</v>
      </c>
      <c r="Y48" s="6" t="str">
        <f>INDEX(DataCollection!$B:$B,MATCH($X48,DataCollection!$A:$A,0))</f>
        <v>data_collection9</v>
      </c>
      <c r="AA48" s="6" t="str">
        <f>IF($Z48="","",INDEX(CaseTypeCol!$J:$J,MATCH($Z48,CaseTypeCol!$A:$A,0)))</f>
        <v/>
      </c>
      <c r="AC48" s="6" t="str">
        <f>IF($AB48="","",INDEX(IdentifierIssuer!$B:$B,MATCH($AB48,IdentifierIssuer!$A:$A,0)))</f>
        <v/>
      </c>
      <c r="AE48" s="6" t="str">
        <f>IF($AD48="","",INDEX(SequencingProtocol!$B:$B,MATCH($AD48,SequencingProtocol!$A:$A,0)))</f>
        <v/>
      </c>
      <c r="AG48" s="6" t="str">
        <f>IF($AF48="","",INDEX(AssemblyProtocol!$B:$B,MATCH($AF48,AssemblyProtocol!$A:$A,0)))</f>
        <v/>
      </c>
      <c r="AI48" s="14">
        <v>36526</v>
      </c>
      <c r="AJ48" t="s">
        <v>516</v>
      </c>
      <c r="AK48" t="s">
        <v>972</v>
      </c>
      <c r="AL48" s="6" t="str">
        <f>IF($AJ48="","",INDEX(CaseTypeCol!$J:$J,MATCH($AJ48,CaseTypeCol!$A:$A,0)))</f>
        <v>case_type_col1_7_0_1_TEXT</v>
      </c>
      <c r="AM48" s="6" t="b" cm="1">
        <f t="array" aca="1" ref="AM48" ca="1">IF($AJ48="",TRUE,IF($J48="",FALSE,IF(INDIRECT("OrganizationAccessCasePolicy!J"&amp;$J48)="",FALSE,NOT(ISNA(MATCH(INDIRECT("OrganizationAccessCasePolicy!J"&amp;$J48)&amp;"|"&amp;$AJ48,CaseTypeColSetMember!$H:$H,0))))))</f>
        <v>1</v>
      </c>
      <c r="AN48" s="6" t="b" cm="1">
        <f t="array" aca="1" ref="AN48" ca="1">IF($AJ48="",TRUE,IF($J48="",FALSE,IF(INDIRECT("OrganizationAccessCasePolicy!L"&amp;$J48)="",FALSE,NOT(ISNA(MATCH(INDIRECT("OrganizationAccessCasePolicy!L"&amp;$J48)&amp;"|"&amp;$AJ48,CaseTypeColSetMember!$H:$H,0))))))</f>
        <v>0</v>
      </c>
      <c r="AO48" s="6" t="b" cm="1">
        <f t="array" aca="1" ref="AO48" ca="1">IF($AJ48="",TRUE,IF($N48="",FALSE,IF(INDIRECT("UserAccessCasePolicy!I"&amp;$N48)="",FALSE,NOT(ISNA(MATCH(INDIRECT("UserAccessCasePolicy!I"&amp;$N48)&amp;"|"&amp;$AJ48,CaseTypeColSetMember!$H:$H,0))))))</f>
        <v>0</v>
      </c>
      <c r="AP48" s="6" t="b" cm="1">
        <f t="array" aca="1" ref="AP48" ca="1">IF($AJ48="",TRUE,IF($N48="",FALSE,IF(INDIRECT("UserAccessCasePolicy!K"&amp;$N48)="",FALSE,NOT(ISNA(MATCH(INDIRECT("UserAccessCasePolicy!K"&amp;$N48)&amp;"|"&amp;$AJ48,CaseTypeColSetMember!$H:$H,0))))))</f>
        <v>0</v>
      </c>
      <c r="AS48" s="6" t="str">
        <f>IF($AQ48="","",INDEX(CaseTypeCol!$J:$J,MATCH($AQ48,CaseTypeCol!$A:$A,0)))</f>
        <v/>
      </c>
      <c r="AT48" s="6" t="b" cm="1">
        <f t="array" aca="1" ref="AT48" ca="1">IF($AQ48="",TRUE,IF($J48="",FALSE,IF(INDIRECT("OrganizationAccessCasePolicy!J"&amp;$J48)="",FALSE,NOT(ISNA(MATCH(INDIRECT("OrganizationAccessCasePolicy!J"&amp;$J48)&amp;"|"&amp;$AQ48,CaseTypeColSetMember!$H:$H,0))))))</f>
        <v>1</v>
      </c>
      <c r="AU48" s="6" t="b" cm="1">
        <f t="array" aca="1" ref="AU48" ca="1">IF($AQ48="",TRUE,IF($J48="",FALSE,IF(INDIRECT("OrganizationAccessCasePolicy!L"&amp;$J48)="",FALSE,NOT(ISNA(MATCH(INDIRECT("OrganizationAccessCasePolicy!L"&amp;$J48)&amp;"|"&amp;$AQ48,CaseTypeColSetMember!$H:$H,0))))))</f>
        <v>1</v>
      </c>
      <c r="AV48" s="6" t="b" cm="1">
        <f t="array" aca="1" ref="AV48" ca="1">IF($AQ48="",TRUE,IF($N48="",FALSE,IF(INDIRECT("UserAccessCasePolicy!I"&amp;$N48)="",FALSE,NOT(ISNA(MATCH(INDIRECT("UserAccessCasePolicy!I"&amp;$N48)&amp;"|"&amp;$AQ48,CaseTypeColSetMember!$H:$H,0))))))</f>
        <v>1</v>
      </c>
      <c r="AW48" s="6" t="b" cm="1">
        <f t="array" aca="1" ref="AW48" ca="1">IF($AQ48="",TRUE,IF($N48="",FALSE,IF(INDIRECT("UserAccessCasePolicy!K"&amp;$N48)="",FALSE,NOT(ISNA(MATCH(INDIRECT("UserAccessCasePolicy!K"&amp;$N48)&amp;"|"&amp;$AQ48,CaseTypeColSetMember!$H:$H,0))))))</f>
        <v>1</v>
      </c>
      <c r="AZ48" s="6" t="str">
        <f>IF($AX48="","",INDEX(CaseTypeCol!$J:$J,MATCH($AX48,CaseTypeCol!$A:$A,0)))</f>
        <v/>
      </c>
      <c r="BA48" s="6" t="b" cm="1">
        <f t="array" aca="1" ref="BA48" ca="1">IF($AX48="",TRUE,IF($J48="",FALSE,IF(INDIRECT("OrganizationAccessCasePolicy!J"&amp;$J48)="",FALSE,NOT(ISNA(MATCH(INDIRECT("OrganizationAccessCasePolicy!J"&amp;$J48)&amp;"|"&amp;$AX48,CaseTypeColSetMember!$H:$H,0))))))</f>
        <v>1</v>
      </c>
      <c r="BB48" s="6" t="b" cm="1">
        <f t="array" aca="1" ref="BB48" ca="1">IF($AX48="",TRUE,IF($J48="",FALSE,IF(INDIRECT("OrganizationAccessCasePolicy!L"&amp;$J48)="",FALSE,NOT(ISNA(MATCH(INDIRECT("OrganizationAccessCasePolicy!L"&amp;$J48)&amp;"|"&amp;$AX48,CaseTypeColSetMember!$H:$H,0))))))</f>
        <v>1</v>
      </c>
      <c r="BC48" s="6" t="b" cm="1">
        <f t="array" aca="1" ref="BC48" ca="1">IF($AX48="",TRUE,IF($N48="",FALSE,IF(INDIRECT("UserAccessCasePolicy!I"&amp;$N48)="",FALSE,NOT(ISNA(MATCH(INDIRECT("UserAccessCasePolicy!I"&amp;$N48)&amp;"|"&amp;$AX48,CaseTypeColSetMember!$H:$H,0))))))</f>
        <v>1</v>
      </c>
      <c r="BD48" s="6" t="b" cm="1">
        <f t="array" aca="1" ref="BD48" ca="1">IF($AX48="",TRUE,IF($N48="",FALSE,IF(INDIRECT("UserAccessCasePolicy!K"&amp;$N48)="",FALSE,NOT(ISNA(MATCH(INDIRECT("UserAccessCasePolicy!K"&amp;$N48)&amp;"|"&amp;$AX48,CaseTypeColSetMember!$H:$H,0))))))</f>
        <v>1</v>
      </c>
    </row>
    <row r="49" spans="1:56" ht="15" customHeight="1" x14ac:dyDescent="0.3">
      <c r="A49">
        <v>48</v>
      </c>
      <c r="B49" t="b">
        <v>0</v>
      </c>
      <c r="C49" t="s">
        <v>1052</v>
      </c>
      <c r="D49" t="s">
        <v>31</v>
      </c>
      <c r="E49" s="6" t="str">
        <f>INDEX(User!$D:$D,MATCH($D49,User!$A:$A,0))</f>
        <v>org_user4_3</v>
      </c>
      <c r="F49" t="s">
        <v>982</v>
      </c>
      <c r="G49" s="19" t="b">
        <f ca="1">IF($F49="CREATE",$I49,IF($F49="CREATE_CASES",OR($I49,AND($K49,$L49,$O49,$P49,$AN49,AP49,$AU49,$AW49,$BB49,$BD49)),"TBD"))</f>
        <v>0</v>
      </c>
      <c r="H49" s="6" t="str">
        <f>INDEX(User!$G:$G,MATCH($D49,User!$A:$A,0))</f>
        <v>0195d18c-1c92-d419-4c71-a570f428499b</v>
      </c>
      <c r="I49" s="6" t="b">
        <f>INDEX(User!$M:$M,MATCH($D49,User!$A:$A,0))</f>
        <v>0</v>
      </c>
      <c r="J49" s="6">
        <f>IF(ISNA(MATCH($H49&amp;"|"&amp;$X49,OrganizationAccessCasePolicy!$V:$V,0)),"",MATCH($H49&amp;"|"&amp;$X49,OrganizationAccessCasePolicy!$V:$V,0))</f>
        <v>10</v>
      </c>
      <c r="K49" s="6" t="b" cm="1">
        <f t="array" aca="1" ref="K49" ca="1">IF($J49="",FALSE,NOT(ISNA(MATCH(INDIRECT("OrganizationAccessCasePolicy!D"&amp;$J49)&amp;"|"&amp;$T49,CaseTypeSetMember!$H:$H,0))))</f>
        <v>0</v>
      </c>
      <c r="L49" s="6" t="b" cm="1">
        <f t="array" aca="1" ref="L49" ca="1">IF($J49="",FALSE,AND(INDIRECT("OrganizationAccessCasePolicy!H"&amp;$J49),NOT(ISNA(MATCH(INDIRECT("OrganizationAccessCasePolicy!D"&amp;$J49)&amp;"|"&amp;$T49,CaseTypeSetMember!$H:$H,0)))))</f>
        <v>0</v>
      </c>
      <c r="M49" s="6" t="b" cm="1">
        <f t="array" aca="1" ref="M49" ca="1">IF($J49="",FALSE,AND(INDIRECT("OrganizationAccessCasePolicy!I"&amp;$J49),NOT(ISNA(MATCH(INDIRECT("OrganizationAccessCasePolicy!D"&amp;$J49)&amp;"|"&amp;$T49,CaseTypeSetMember!$H:$H,0)))))</f>
        <v>0</v>
      </c>
      <c r="N49" s="6" t="str">
        <f>IF(ISNA(MATCH($D49&amp;"|"&amp;$X49,UserAccessCasePolicy!$W:$W,0)),"",MATCH($D49&amp;"|"&amp;$X49,UserAccessCasePolicy!$W:$W,0))</f>
        <v/>
      </c>
      <c r="O49" s="6" t="b" cm="1">
        <f t="array" aca="1" ref="O49" ca="1">IF($N49="",FALSE,NOT(ISNA(MATCH(INDIRECT("UserAccessCasePolicy!D"&amp;$N49)&amp;"|"&amp;$T49,CaseTypeSetMember!$H:$H,0))))</f>
        <v>0</v>
      </c>
      <c r="P49" s="6" t="b" cm="1">
        <f t="array" aca="1" ref="P49" ca="1">IF($N49="",FALSE,AND(INDIRECT("UserAccessCasePolicy!G"&amp;$N49),NOT(ISNA(MATCH(INDIRECT("UserAccessCasePolicy!D"&amp;$N49)&amp;"|"&amp;$T49,CaseTypeSetMember!$H:$H,0)))))</f>
        <v>0</v>
      </c>
      <c r="Q49" s="6" t="b" cm="1">
        <f t="array" aca="1" ref="Q49" ca="1">IF($N49="",FALSE,AND(INDIRECT("UserAccessCasePolicy!H"&amp;$N49),NOT(ISNA(MATCH(INDIRECT("UserAccessCasePolicy!D"&amp;$N49)&amp;"|"&amp;$T49,CaseTypeSetMember!$H:$H,0)))))</f>
        <v>0</v>
      </c>
      <c r="R49" t="s">
        <v>1025</v>
      </c>
      <c r="S49" s="6" t="str">
        <f>"case"&amp;MATCH($R49,$R$1:$R49,0)-1</f>
        <v>case28</v>
      </c>
      <c r="T49" t="s">
        <v>115</v>
      </c>
      <c r="U49" s="6" t="str">
        <f>INDEX(CaseType!$B:$B,MATCH($T49,CaseType!$A:$A,0))</f>
        <v>case_type1</v>
      </c>
      <c r="V49" s="6" t="b">
        <f>AND(IF($AJ49="",TRUE,$T49=INDEX(CaseTypeCol!$B:$B,MATCH($AJ49,CaseTypeCol!$A:$A,0))),IF($AQ49="",TRUE,$T49=INDEX(CaseTypeCol!$B:$B,MATCH($AQ49,CaseTypeCol!$A:$A,0))),IF($AX49="",TRUE,$T49=INDEX(CaseTypeCol!$B:$B,MATCH($AX49,CaseTypeCol!$A:$A,0))))</f>
        <v>1</v>
      </c>
      <c r="X49" t="s">
        <v>33</v>
      </c>
      <c r="Y49" s="6" t="str">
        <f>INDEX(DataCollection!$B:$B,MATCH($X49,DataCollection!$A:$A,0))</f>
        <v>data_collection9</v>
      </c>
      <c r="AA49" s="6" t="str">
        <f>IF($Z49="","",INDEX(CaseTypeCol!$J:$J,MATCH($Z49,CaseTypeCol!$A:$A,0)))</f>
        <v/>
      </c>
      <c r="AC49" s="6" t="str">
        <f>IF($AB49="","",INDEX(IdentifierIssuer!$B:$B,MATCH($AB49,IdentifierIssuer!$A:$A,0)))</f>
        <v/>
      </c>
      <c r="AE49" s="6" t="str">
        <f>IF($AD49="","",INDEX(SequencingProtocol!$B:$B,MATCH($AD49,SequencingProtocol!$A:$A,0)))</f>
        <v/>
      </c>
      <c r="AG49" s="6" t="str">
        <f>IF($AF49="","",INDEX(AssemblyProtocol!$B:$B,MATCH($AF49,AssemblyProtocol!$A:$A,0)))</f>
        <v/>
      </c>
      <c r="AI49" s="14">
        <v>36526</v>
      </c>
      <c r="AJ49" t="s">
        <v>516</v>
      </c>
      <c r="AK49" t="s">
        <v>972</v>
      </c>
      <c r="AL49" s="6" t="str">
        <f>IF($AJ49="","",INDEX(CaseTypeCol!$J:$J,MATCH($AJ49,CaseTypeCol!$A:$A,0)))</f>
        <v>case_type_col1_7_0_1_TEXT</v>
      </c>
      <c r="AM49" s="6" t="b" cm="1">
        <f t="array" aca="1" ref="AM49" ca="1">IF($AJ49="",TRUE,IF($J49="",FALSE,IF(INDIRECT("OrganizationAccessCasePolicy!J"&amp;$J49)="",FALSE,NOT(ISNA(MATCH(INDIRECT("OrganizationAccessCasePolicy!J"&amp;$J49)&amp;"|"&amp;$AJ49,CaseTypeColSetMember!$H:$H,0))))))</f>
        <v>1</v>
      </c>
      <c r="AN49" s="6" t="b" cm="1">
        <f t="array" aca="1" ref="AN49" ca="1">IF($AJ49="",TRUE,IF($J49="",FALSE,IF(INDIRECT("OrganizationAccessCasePolicy!L"&amp;$J49)="",FALSE,NOT(ISNA(MATCH(INDIRECT("OrganizationAccessCasePolicy!L"&amp;$J49)&amp;"|"&amp;$AJ49,CaseTypeColSetMember!$H:$H,0))))))</f>
        <v>0</v>
      </c>
      <c r="AO49" s="6" t="b" cm="1">
        <f t="array" aca="1" ref="AO49" ca="1">IF($AJ49="",TRUE,IF($N49="",FALSE,IF(INDIRECT("UserAccessCasePolicy!I"&amp;$N49)="",FALSE,NOT(ISNA(MATCH(INDIRECT("UserAccessCasePolicy!I"&amp;$N49)&amp;"|"&amp;$AJ49,CaseTypeColSetMember!$H:$H,0))))))</f>
        <v>0</v>
      </c>
      <c r="AP49" s="6" t="b" cm="1">
        <f t="array" aca="1" ref="AP49" ca="1">IF($AJ49="",TRUE,IF($N49="",FALSE,IF(INDIRECT("UserAccessCasePolicy!K"&amp;$N49)="",FALSE,NOT(ISNA(MATCH(INDIRECT("UserAccessCasePolicy!K"&amp;$N49)&amp;"|"&amp;$AJ49,CaseTypeColSetMember!$H:$H,0))))))</f>
        <v>0</v>
      </c>
      <c r="AS49" s="6" t="str">
        <f>IF($AQ49="","",INDEX(CaseTypeCol!$J:$J,MATCH($AQ49,CaseTypeCol!$A:$A,0)))</f>
        <v/>
      </c>
      <c r="AT49" s="6" t="b" cm="1">
        <f t="array" aca="1" ref="AT49" ca="1">IF($AQ49="",TRUE,IF($J49="",FALSE,IF(INDIRECT("OrganizationAccessCasePolicy!J"&amp;$J49)="",FALSE,NOT(ISNA(MATCH(INDIRECT("OrganizationAccessCasePolicy!J"&amp;$J49)&amp;"|"&amp;$AQ49,CaseTypeColSetMember!$H:$H,0))))))</f>
        <v>1</v>
      </c>
      <c r="AU49" s="6" t="b" cm="1">
        <f t="array" aca="1" ref="AU49" ca="1">IF($AQ49="",TRUE,IF($J49="",FALSE,IF(INDIRECT("OrganizationAccessCasePolicy!L"&amp;$J49)="",FALSE,NOT(ISNA(MATCH(INDIRECT("OrganizationAccessCasePolicy!L"&amp;$J49)&amp;"|"&amp;$AQ49,CaseTypeColSetMember!$H:$H,0))))))</f>
        <v>1</v>
      </c>
      <c r="AV49" s="6" t="b" cm="1">
        <f t="array" aca="1" ref="AV49" ca="1">IF($AQ49="",TRUE,IF($N49="",FALSE,IF(INDIRECT("UserAccessCasePolicy!I"&amp;$N49)="",FALSE,NOT(ISNA(MATCH(INDIRECT("UserAccessCasePolicy!I"&amp;$N49)&amp;"|"&amp;$AQ49,CaseTypeColSetMember!$H:$H,0))))))</f>
        <v>1</v>
      </c>
      <c r="AW49" s="6" t="b" cm="1">
        <f t="array" aca="1" ref="AW49" ca="1">IF($AQ49="",TRUE,IF($N49="",FALSE,IF(INDIRECT("UserAccessCasePolicy!K"&amp;$N49)="",FALSE,NOT(ISNA(MATCH(INDIRECT("UserAccessCasePolicy!K"&amp;$N49)&amp;"|"&amp;$AQ49,CaseTypeColSetMember!$H:$H,0))))))</f>
        <v>1</v>
      </c>
      <c r="AZ49" s="6" t="str">
        <f>IF($AX49="","",INDEX(CaseTypeCol!$J:$J,MATCH($AX49,CaseTypeCol!$A:$A,0)))</f>
        <v/>
      </c>
      <c r="BA49" s="6" t="b" cm="1">
        <f t="array" aca="1" ref="BA49" ca="1">IF($AX49="",TRUE,IF($J49="",FALSE,IF(INDIRECT("OrganizationAccessCasePolicy!J"&amp;$J49)="",FALSE,NOT(ISNA(MATCH(INDIRECT("OrganizationAccessCasePolicy!J"&amp;$J49)&amp;"|"&amp;$AX49,CaseTypeColSetMember!$H:$H,0))))))</f>
        <v>1</v>
      </c>
      <c r="BB49" s="6" t="b" cm="1">
        <f t="array" aca="1" ref="BB49" ca="1">IF($AX49="",TRUE,IF($J49="",FALSE,IF(INDIRECT("OrganizationAccessCasePolicy!L"&amp;$J49)="",FALSE,NOT(ISNA(MATCH(INDIRECT("OrganizationAccessCasePolicy!L"&amp;$J49)&amp;"|"&amp;$AX49,CaseTypeColSetMember!$H:$H,0))))))</f>
        <v>1</v>
      </c>
      <c r="BC49" s="6" t="b" cm="1">
        <f t="array" aca="1" ref="BC49" ca="1">IF($AX49="",TRUE,IF($N49="",FALSE,IF(INDIRECT("UserAccessCasePolicy!I"&amp;$N49)="",FALSE,NOT(ISNA(MATCH(INDIRECT("UserAccessCasePolicy!I"&amp;$N49)&amp;"|"&amp;$AX49,CaseTypeColSetMember!$H:$H,0))))))</f>
        <v>1</v>
      </c>
      <c r="BD49" s="6" t="b" cm="1">
        <f t="array" aca="1" ref="BD49" ca="1">IF($AX49="",TRUE,IF($N49="",FALSE,IF(INDIRECT("UserAccessCasePolicy!K"&amp;$N49)="",FALSE,NOT(ISNA(MATCH(INDIRECT("UserAccessCasePolicy!K"&amp;$N49)&amp;"|"&amp;$AX49,CaseTypeColSetMember!$H:$H,0))))))</f>
        <v>1</v>
      </c>
    </row>
    <row r="50" spans="1:56" ht="15" customHeight="1" x14ac:dyDescent="0.3">
      <c r="A50">
        <v>49</v>
      </c>
      <c r="B50" t="b">
        <v>0</v>
      </c>
      <c r="C50" t="s">
        <v>1053</v>
      </c>
      <c r="D50" t="s">
        <v>32</v>
      </c>
      <c r="E50" s="6" t="str">
        <f>INDEX(User!$D:$D,MATCH($D50,User!$A:$A,0))</f>
        <v>org_user4_4</v>
      </c>
      <c r="F50" t="s">
        <v>982</v>
      </c>
      <c r="G50" s="19" t="b">
        <f ca="1">IF($F50="CREATE",$I50,IF($F50="CREATE_CASES",OR($I50,AND($K50,$L50,$O50,$P50,$AN50,AP50,$AU50,$AW50,$BB50,$BD50)),"TBD"))</f>
        <v>0</v>
      </c>
      <c r="H50" s="6" t="str">
        <f>INDEX(User!$G:$G,MATCH($D50,User!$A:$A,0))</f>
        <v>0195d18c-1c92-d419-4c71-a570f428499b</v>
      </c>
      <c r="I50" s="6" t="b">
        <f>INDEX(User!$M:$M,MATCH($D50,User!$A:$A,0))</f>
        <v>0</v>
      </c>
      <c r="J50" s="6">
        <f>IF(ISNA(MATCH($H50&amp;"|"&amp;$X50,OrganizationAccessCasePolicy!$V:$V,0)),"",MATCH($H50&amp;"|"&amp;$X50,OrganizationAccessCasePolicy!$V:$V,0))</f>
        <v>10</v>
      </c>
      <c r="K50" s="6" t="b" cm="1">
        <f t="array" aca="1" ref="K50" ca="1">IF($J50="",FALSE,NOT(ISNA(MATCH(INDIRECT("OrganizationAccessCasePolicy!D"&amp;$J50)&amp;"|"&amp;$T50,CaseTypeSetMember!$H:$H,0))))</f>
        <v>0</v>
      </c>
      <c r="L50" s="6" t="b" cm="1">
        <f t="array" aca="1" ref="L50" ca="1">IF($J50="",FALSE,AND(INDIRECT("OrganizationAccessCasePolicy!H"&amp;$J50),NOT(ISNA(MATCH(INDIRECT("OrganizationAccessCasePolicy!D"&amp;$J50)&amp;"|"&amp;$T50,CaseTypeSetMember!$H:$H,0)))))</f>
        <v>0</v>
      </c>
      <c r="M50" s="6" t="b" cm="1">
        <f t="array" aca="1" ref="M50" ca="1">IF($J50="",FALSE,AND(INDIRECT("OrganizationAccessCasePolicy!I"&amp;$J50),NOT(ISNA(MATCH(INDIRECT("OrganizationAccessCasePolicy!D"&amp;$J50)&amp;"|"&amp;$T50,CaseTypeSetMember!$H:$H,0)))))</f>
        <v>0</v>
      </c>
      <c r="N50" s="6" t="str">
        <f>IF(ISNA(MATCH($D50&amp;"|"&amp;$X50,UserAccessCasePolicy!$W:$W,0)),"",MATCH($D50&amp;"|"&amp;$X50,UserAccessCasePolicy!$W:$W,0))</f>
        <v/>
      </c>
      <c r="O50" s="6" t="b" cm="1">
        <f t="array" aca="1" ref="O50" ca="1">IF($N50="",FALSE,NOT(ISNA(MATCH(INDIRECT("UserAccessCasePolicy!D"&amp;$N50)&amp;"|"&amp;$T50,CaseTypeSetMember!$H:$H,0))))</f>
        <v>0</v>
      </c>
      <c r="P50" s="6" t="b" cm="1">
        <f t="array" aca="1" ref="P50" ca="1">IF($N50="",FALSE,AND(INDIRECT("UserAccessCasePolicy!G"&amp;$N50),NOT(ISNA(MATCH(INDIRECT("UserAccessCasePolicy!D"&amp;$N50)&amp;"|"&amp;$T50,CaseTypeSetMember!$H:$H,0)))))</f>
        <v>0</v>
      </c>
      <c r="Q50" s="6" t="b" cm="1">
        <f t="array" aca="1" ref="Q50" ca="1">IF($N50="",FALSE,AND(INDIRECT("UserAccessCasePolicy!H"&amp;$N50),NOT(ISNA(MATCH(INDIRECT("UserAccessCasePolicy!D"&amp;$N50)&amp;"|"&amp;$T50,CaseTypeSetMember!$H:$H,0)))))</f>
        <v>0</v>
      </c>
      <c r="R50" t="s">
        <v>1027</v>
      </c>
      <c r="S50" s="6" t="str">
        <f>"case"&amp;MATCH($R50,$R$1:$R50,0)-1</f>
        <v>case29</v>
      </c>
      <c r="T50" t="s">
        <v>115</v>
      </c>
      <c r="U50" s="6" t="str">
        <f>INDEX(CaseType!$B:$B,MATCH($T50,CaseType!$A:$A,0))</f>
        <v>case_type1</v>
      </c>
      <c r="V50" s="6" t="b">
        <f>AND(IF($AJ50="",TRUE,$T50=INDEX(CaseTypeCol!$B:$B,MATCH($AJ50,CaseTypeCol!$A:$A,0))),IF($AQ50="",TRUE,$T50=INDEX(CaseTypeCol!$B:$B,MATCH($AQ50,CaseTypeCol!$A:$A,0))),IF($AX50="",TRUE,$T50=INDEX(CaseTypeCol!$B:$B,MATCH($AX50,CaseTypeCol!$A:$A,0))))</f>
        <v>1</v>
      </c>
      <c r="X50" t="s">
        <v>33</v>
      </c>
      <c r="Y50" s="6" t="str">
        <f>INDEX(DataCollection!$B:$B,MATCH($X50,DataCollection!$A:$A,0))</f>
        <v>data_collection9</v>
      </c>
      <c r="AA50" s="6" t="str">
        <f>IF($Z50="","",INDEX(CaseTypeCol!$J:$J,MATCH($Z50,CaseTypeCol!$A:$A,0)))</f>
        <v/>
      </c>
      <c r="AC50" s="6" t="str">
        <f>IF($AB50="","",INDEX(IdentifierIssuer!$B:$B,MATCH($AB50,IdentifierIssuer!$A:$A,0)))</f>
        <v/>
      </c>
      <c r="AE50" s="6" t="str">
        <f>IF($AD50="","",INDEX(SequencingProtocol!$B:$B,MATCH($AD50,SequencingProtocol!$A:$A,0)))</f>
        <v/>
      </c>
      <c r="AG50" s="6" t="str">
        <f>IF($AF50="","",INDEX(AssemblyProtocol!$B:$B,MATCH($AF50,AssemblyProtocol!$A:$A,0)))</f>
        <v/>
      </c>
      <c r="AI50" s="14">
        <v>36526</v>
      </c>
      <c r="AJ50" t="s">
        <v>516</v>
      </c>
      <c r="AK50" t="s">
        <v>972</v>
      </c>
      <c r="AL50" s="6" t="str">
        <f>IF($AJ50="","",INDEX(CaseTypeCol!$J:$J,MATCH($AJ50,CaseTypeCol!$A:$A,0)))</f>
        <v>case_type_col1_7_0_1_TEXT</v>
      </c>
      <c r="AM50" s="6" t="b" cm="1">
        <f t="array" aca="1" ref="AM50" ca="1">IF($AJ50="",TRUE,IF($J50="",FALSE,IF(INDIRECT("OrganizationAccessCasePolicy!J"&amp;$J50)="",FALSE,NOT(ISNA(MATCH(INDIRECT("OrganizationAccessCasePolicy!J"&amp;$J50)&amp;"|"&amp;$AJ50,CaseTypeColSetMember!$H:$H,0))))))</f>
        <v>1</v>
      </c>
      <c r="AN50" s="6" t="b" cm="1">
        <f t="array" aca="1" ref="AN50" ca="1">IF($AJ50="",TRUE,IF($J50="",FALSE,IF(INDIRECT("OrganizationAccessCasePolicy!L"&amp;$J50)="",FALSE,NOT(ISNA(MATCH(INDIRECT("OrganizationAccessCasePolicy!L"&amp;$J50)&amp;"|"&amp;$AJ50,CaseTypeColSetMember!$H:$H,0))))))</f>
        <v>0</v>
      </c>
      <c r="AO50" s="6" t="b" cm="1">
        <f t="array" aca="1" ref="AO50" ca="1">IF($AJ50="",TRUE,IF($N50="",FALSE,IF(INDIRECT("UserAccessCasePolicy!I"&amp;$N50)="",FALSE,NOT(ISNA(MATCH(INDIRECT("UserAccessCasePolicy!I"&amp;$N50)&amp;"|"&amp;$AJ50,CaseTypeColSetMember!$H:$H,0))))))</f>
        <v>0</v>
      </c>
      <c r="AP50" s="6" t="b" cm="1">
        <f t="array" aca="1" ref="AP50" ca="1">IF($AJ50="",TRUE,IF($N50="",FALSE,IF(INDIRECT("UserAccessCasePolicy!K"&amp;$N50)="",FALSE,NOT(ISNA(MATCH(INDIRECT("UserAccessCasePolicy!K"&amp;$N50)&amp;"|"&amp;$AJ50,CaseTypeColSetMember!$H:$H,0))))))</f>
        <v>0</v>
      </c>
      <c r="AS50" s="6" t="str">
        <f>IF($AQ50="","",INDEX(CaseTypeCol!$J:$J,MATCH($AQ50,CaseTypeCol!$A:$A,0)))</f>
        <v/>
      </c>
      <c r="AT50" s="6" t="b" cm="1">
        <f t="array" aca="1" ref="AT50" ca="1">IF($AQ50="",TRUE,IF($J50="",FALSE,IF(INDIRECT("OrganizationAccessCasePolicy!J"&amp;$J50)="",FALSE,NOT(ISNA(MATCH(INDIRECT("OrganizationAccessCasePolicy!J"&amp;$J50)&amp;"|"&amp;$AQ50,CaseTypeColSetMember!$H:$H,0))))))</f>
        <v>1</v>
      </c>
      <c r="AU50" s="6" t="b" cm="1">
        <f t="array" aca="1" ref="AU50" ca="1">IF($AQ50="",TRUE,IF($J50="",FALSE,IF(INDIRECT("OrganizationAccessCasePolicy!L"&amp;$J50)="",FALSE,NOT(ISNA(MATCH(INDIRECT("OrganizationAccessCasePolicy!L"&amp;$J50)&amp;"|"&amp;$AQ50,CaseTypeColSetMember!$H:$H,0))))))</f>
        <v>1</v>
      </c>
      <c r="AV50" s="6" t="b" cm="1">
        <f t="array" aca="1" ref="AV50" ca="1">IF($AQ50="",TRUE,IF($N50="",FALSE,IF(INDIRECT("UserAccessCasePolicy!I"&amp;$N50)="",FALSE,NOT(ISNA(MATCH(INDIRECT("UserAccessCasePolicy!I"&amp;$N50)&amp;"|"&amp;$AQ50,CaseTypeColSetMember!$H:$H,0))))))</f>
        <v>1</v>
      </c>
      <c r="AW50" s="6" t="b" cm="1">
        <f t="array" aca="1" ref="AW50" ca="1">IF($AQ50="",TRUE,IF($N50="",FALSE,IF(INDIRECT("UserAccessCasePolicy!K"&amp;$N50)="",FALSE,NOT(ISNA(MATCH(INDIRECT("UserAccessCasePolicy!K"&amp;$N50)&amp;"|"&amp;$AQ50,CaseTypeColSetMember!$H:$H,0))))))</f>
        <v>1</v>
      </c>
      <c r="AZ50" s="6" t="str">
        <f>IF($AX50="","",INDEX(CaseTypeCol!$J:$J,MATCH($AX50,CaseTypeCol!$A:$A,0)))</f>
        <v/>
      </c>
      <c r="BA50" s="6" t="b" cm="1">
        <f t="array" aca="1" ref="BA50" ca="1">IF($AX50="",TRUE,IF($J50="",FALSE,IF(INDIRECT("OrganizationAccessCasePolicy!J"&amp;$J50)="",FALSE,NOT(ISNA(MATCH(INDIRECT("OrganizationAccessCasePolicy!J"&amp;$J50)&amp;"|"&amp;$AX50,CaseTypeColSetMember!$H:$H,0))))))</f>
        <v>1</v>
      </c>
      <c r="BB50" s="6" t="b" cm="1">
        <f t="array" aca="1" ref="BB50" ca="1">IF($AX50="",TRUE,IF($J50="",FALSE,IF(INDIRECT("OrganizationAccessCasePolicy!L"&amp;$J50)="",FALSE,NOT(ISNA(MATCH(INDIRECT("OrganizationAccessCasePolicy!L"&amp;$J50)&amp;"|"&amp;$AX50,CaseTypeColSetMember!$H:$H,0))))))</f>
        <v>1</v>
      </c>
      <c r="BC50" s="6" t="b" cm="1">
        <f t="array" aca="1" ref="BC50" ca="1">IF($AX50="",TRUE,IF($N50="",FALSE,IF(INDIRECT("UserAccessCasePolicy!I"&amp;$N50)="",FALSE,NOT(ISNA(MATCH(INDIRECT("UserAccessCasePolicy!I"&amp;$N50)&amp;"|"&amp;$AX50,CaseTypeColSetMember!$H:$H,0))))))</f>
        <v>1</v>
      </c>
      <c r="BD50" s="6" t="b" cm="1">
        <f t="array" aca="1" ref="BD50" ca="1">IF($AX50="",TRUE,IF($N50="",FALSE,IF(INDIRECT("UserAccessCasePolicy!K"&amp;$N50)="",FALSE,NOT(ISNA(MATCH(INDIRECT("UserAccessCasePolicy!K"&amp;$N50)&amp;"|"&amp;$AX50,CaseTypeColSetMember!$H:$H,0))))))</f>
        <v>1</v>
      </c>
    </row>
    <row r="51" spans="1:56" ht="15" customHeight="1" x14ac:dyDescent="0.3">
      <c r="A51">
        <v>50</v>
      </c>
      <c r="B51" t="b">
        <v>0</v>
      </c>
      <c r="C51" t="s">
        <v>1054</v>
      </c>
      <c r="D51" t="s">
        <v>34</v>
      </c>
      <c r="E51" s="6" t="str">
        <f>INDEX(User!$D:$D,MATCH($D51,User!$A:$A,0))</f>
        <v>org_user5_1</v>
      </c>
      <c r="F51" t="s">
        <v>982</v>
      </c>
      <c r="G51" s="19" t="b">
        <f ca="1">IF($F51="CREATE",$I51,IF($F51="CREATE_CASES",OR($I51,AND($K51,$L51,$O51,$P51,$AN51,AP51,$AU51,$AW51,$BB51,$BD51)),"TBD"))</f>
        <v>0</v>
      </c>
      <c r="H51" s="6" t="str">
        <f>INDEX(User!$G:$G,MATCH($D51,User!$A:$A,0))</f>
        <v>0195d18c-1c93-02a2-6920-7e4dbfb73ce0</v>
      </c>
      <c r="I51" s="6" t="b">
        <f>INDEX(User!$M:$M,MATCH($D51,User!$A:$A,0))</f>
        <v>0</v>
      </c>
      <c r="J51" s="6">
        <f>IF(ISNA(MATCH($H51&amp;"|"&amp;$X51,OrganizationAccessCasePolicy!$V:$V,0)),"",MATCH($H51&amp;"|"&amp;$X51,OrganizationAccessCasePolicy!$V:$V,0))</f>
        <v>11</v>
      </c>
      <c r="K51" s="6" t="b" cm="1">
        <f t="array" aca="1" ref="K51" ca="1">IF($J51="",FALSE,NOT(ISNA(MATCH(INDIRECT("OrganizationAccessCasePolicy!D"&amp;$J51)&amp;"|"&amp;$T51,CaseTypeSetMember!$H:$H,0))))</f>
        <v>0</v>
      </c>
      <c r="L51" s="6" t="b" cm="1">
        <f t="array" aca="1" ref="L51" ca="1">IF($J51="",FALSE,AND(INDIRECT("OrganizationAccessCasePolicy!H"&amp;$J51),NOT(ISNA(MATCH(INDIRECT("OrganizationAccessCasePolicy!D"&amp;$J51)&amp;"|"&amp;$T51,CaseTypeSetMember!$H:$H,0)))))</f>
        <v>0</v>
      </c>
      <c r="M51" s="6" t="b" cm="1">
        <f t="array" aca="1" ref="M51" ca="1">IF($J51="",FALSE,AND(INDIRECT("OrganizationAccessCasePolicy!I"&amp;$J51),NOT(ISNA(MATCH(INDIRECT("OrganizationAccessCasePolicy!D"&amp;$J51)&amp;"|"&amp;$T51,CaseTypeSetMember!$H:$H,0)))))</f>
        <v>0</v>
      </c>
      <c r="N51" s="6">
        <f>IF(ISNA(MATCH($D51&amp;"|"&amp;$X51,UserAccessCasePolicy!$W:$W,0)),"",MATCH($D51&amp;"|"&amp;$X51,UserAccessCasePolicy!$W:$W,0))</f>
        <v>11</v>
      </c>
      <c r="O51" s="6" t="b" cm="1">
        <f t="array" aca="1" ref="O51" ca="1">IF($N51="",FALSE,NOT(ISNA(MATCH(INDIRECT("UserAccessCasePolicy!D"&amp;$N51)&amp;"|"&amp;$T51,CaseTypeSetMember!$H:$H,0))))</f>
        <v>0</v>
      </c>
      <c r="P51" s="6" t="b" cm="1">
        <f t="array" aca="1" ref="P51" ca="1">IF($N51="",FALSE,AND(INDIRECT("UserAccessCasePolicy!G"&amp;$N51),NOT(ISNA(MATCH(INDIRECT("UserAccessCasePolicy!D"&amp;$N51)&amp;"|"&amp;$T51,CaseTypeSetMember!$H:$H,0)))))</f>
        <v>0</v>
      </c>
      <c r="Q51" s="6" t="b" cm="1">
        <f t="array" aca="1" ref="Q51" ca="1">IF($N51="",FALSE,AND(INDIRECT("UserAccessCasePolicy!H"&amp;$N51),NOT(ISNA(MATCH(INDIRECT("UserAccessCasePolicy!D"&amp;$N51)&amp;"|"&amp;$T51,CaseTypeSetMember!$H:$H,0)))))</f>
        <v>0</v>
      </c>
      <c r="R51" t="s">
        <v>1029</v>
      </c>
      <c r="S51" s="6" t="str">
        <f>"case"&amp;MATCH($R51,$R$1:$R51,0)-1</f>
        <v>case30</v>
      </c>
      <c r="T51" t="s">
        <v>115</v>
      </c>
      <c r="U51" s="6" t="str">
        <f>INDEX(CaseType!$B:$B,MATCH($T51,CaseType!$A:$A,0))</f>
        <v>case_type1</v>
      </c>
      <c r="V51" s="6" t="b">
        <f>AND(IF($AJ51="",TRUE,$T51=INDEX(CaseTypeCol!$B:$B,MATCH($AJ51,CaseTypeCol!$A:$A,0))),IF($AQ51="",TRUE,$T51=INDEX(CaseTypeCol!$B:$B,MATCH($AQ51,CaseTypeCol!$A:$A,0))),IF($AX51="",TRUE,$T51=INDEX(CaseTypeCol!$B:$B,MATCH($AX51,CaseTypeCol!$A:$A,0))))</f>
        <v>1</v>
      </c>
      <c r="X51" t="s">
        <v>39</v>
      </c>
      <c r="Y51" s="6" t="str">
        <f>INDEX(DataCollection!$B:$B,MATCH($X51,DataCollection!$A:$A,0))</f>
        <v>data_collection10</v>
      </c>
      <c r="AA51" s="6" t="str">
        <f>IF($Z51="","",INDEX(CaseTypeCol!$J:$J,MATCH($Z51,CaseTypeCol!$A:$A,0)))</f>
        <v/>
      </c>
      <c r="AC51" s="6" t="str">
        <f>IF($AB51="","",INDEX(IdentifierIssuer!$B:$B,MATCH($AB51,IdentifierIssuer!$A:$A,0)))</f>
        <v/>
      </c>
      <c r="AE51" s="6" t="str">
        <f>IF($AD51="","",INDEX(SequencingProtocol!$B:$B,MATCH($AD51,SequencingProtocol!$A:$A,0)))</f>
        <v/>
      </c>
      <c r="AG51" s="6" t="str">
        <f>IF($AF51="","",INDEX(AssemblyProtocol!$B:$B,MATCH($AF51,AssemblyProtocol!$A:$A,0)))</f>
        <v/>
      </c>
      <c r="AI51" s="14">
        <v>36526</v>
      </c>
      <c r="AJ51" t="s">
        <v>516</v>
      </c>
      <c r="AK51" t="s">
        <v>972</v>
      </c>
      <c r="AL51" s="6" t="str">
        <f>IF($AJ51="","",INDEX(CaseTypeCol!$J:$J,MATCH($AJ51,CaseTypeCol!$A:$A,0)))</f>
        <v>case_type_col1_7_0_1_TEXT</v>
      </c>
      <c r="AM51" s="6" t="b" cm="1">
        <f t="array" aca="1" ref="AM51" ca="1">IF($AJ51="",TRUE,IF($J51="",FALSE,IF(INDIRECT("OrganizationAccessCasePolicy!J"&amp;$J51)="",FALSE,NOT(ISNA(MATCH(INDIRECT("OrganizationAccessCasePolicy!J"&amp;$J51)&amp;"|"&amp;$AJ51,CaseTypeColSetMember!$H:$H,0))))))</f>
        <v>1</v>
      </c>
      <c r="AN51" s="6" t="b" cm="1">
        <f t="array" aca="1" ref="AN51" ca="1">IF($AJ51="",TRUE,IF($J51="",FALSE,IF(INDIRECT("OrganizationAccessCasePolicy!L"&amp;$J51)="",FALSE,NOT(ISNA(MATCH(INDIRECT("OrganizationAccessCasePolicy!L"&amp;$J51)&amp;"|"&amp;$AJ51,CaseTypeColSetMember!$H:$H,0))))))</f>
        <v>0</v>
      </c>
      <c r="AO51" s="6" t="b" cm="1">
        <f t="array" aca="1" ref="AO51" ca="1">IF($AJ51="",TRUE,IF($N51="",FALSE,IF(INDIRECT("UserAccessCasePolicy!I"&amp;$N51)="",FALSE,NOT(ISNA(MATCH(INDIRECT("UserAccessCasePolicy!I"&amp;$N51)&amp;"|"&amp;$AJ51,CaseTypeColSetMember!$H:$H,0))))))</f>
        <v>1</v>
      </c>
      <c r="AP51" s="6" t="b" cm="1">
        <f t="array" aca="1" ref="AP51" ca="1">IF($AJ51="",TRUE,IF($N51="",FALSE,IF(INDIRECT("UserAccessCasePolicy!K"&amp;$N51)="",FALSE,NOT(ISNA(MATCH(INDIRECT("UserAccessCasePolicy!K"&amp;$N51)&amp;"|"&amp;$AJ51,CaseTypeColSetMember!$H:$H,0))))))</f>
        <v>1</v>
      </c>
      <c r="AS51" s="6" t="str">
        <f>IF($AQ51="","",INDEX(CaseTypeCol!$J:$J,MATCH($AQ51,CaseTypeCol!$A:$A,0)))</f>
        <v/>
      </c>
      <c r="AT51" s="6" t="b" cm="1">
        <f t="array" aca="1" ref="AT51" ca="1">IF($AQ51="",TRUE,IF($J51="",FALSE,IF(INDIRECT("OrganizationAccessCasePolicy!J"&amp;$J51)="",FALSE,NOT(ISNA(MATCH(INDIRECT("OrganizationAccessCasePolicy!J"&amp;$J51)&amp;"|"&amp;$AQ51,CaseTypeColSetMember!$H:$H,0))))))</f>
        <v>1</v>
      </c>
      <c r="AU51" s="6" t="b" cm="1">
        <f t="array" aca="1" ref="AU51" ca="1">IF($AQ51="",TRUE,IF($J51="",FALSE,IF(INDIRECT("OrganizationAccessCasePolicy!L"&amp;$J51)="",FALSE,NOT(ISNA(MATCH(INDIRECT("OrganizationAccessCasePolicy!L"&amp;$J51)&amp;"|"&amp;$AQ51,CaseTypeColSetMember!$H:$H,0))))))</f>
        <v>1</v>
      </c>
      <c r="AV51" s="6" t="b" cm="1">
        <f t="array" aca="1" ref="AV51" ca="1">IF($AQ51="",TRUE,IF($N51="",FALSE,IF(INDIRECT("UserAccessCasePolicy!I"&amp;$N51)="",FALSE,NOT(ISNA(MATCH(INDIRECT("UserAccessCasePolicy!I"&amp;$N51)&amp;"|"&amp;$AQ51,CaseTypeColSetMember!$H:$H,0))))))</f>
        <v>1</v>
      </c>
      <c r="AW51" s="6" t="b" cm="1">
        <f t="array" aca="1" ref="AW51" ca="1">IF($AQ51="",TRUE,IF($N51="",FALSE,IF(INDIRECT("UserAccessCasePolicy!K"&amp;$N51)="",FALSE,NOT(ISNA(MATCH(INDIRECT("UserAccessCasePolicy!K"&amp;$N51)&amp;"|"&amp;$AQ51,CaseTypeColSetMember!$H:$H,0))))))</f>
        <v>1</v>
      </c>
      <c r="AZ51" s="6" t="str">
        <f>IF($AX51="","",INDEX(CaseTypeCol!$J:$J,MATCH($AX51,CaseTypeCol!$A:$A,0)))</f>
        <v/>
      </c>
      <c r="BA51" s="6" t="b" cm="1">
        <f t="array" aca="1" ref="BA51" ca="1">IF($AX51="",TRUE,IF($J51="",FALSE,IF(INDIRECT("OrganizationAccessCasePolicy!J"&amp;$J51)="",FALSE,NOT(ISNA(MATCH(INDIRECT("OrganizationAccessCasePolicy!J"&amp;$J51)&amp;"|"&amp;$AX51,CaseTypeColSetMember!$H:$H,0))))))</f>
        <v>1</v>
      </c>
      <c r="BB51" s="6" t="b" cm="1">
        <f t="array" aca="1" ref="BB51" ca="1">IF($AX51="",TRUE,IF($J51="",FALSE,IF(INDIRECT("OrganizationAccessCasePolicy!L"&amp;$J51)="",FALSE,NOT(ISNA(MATCH(INDIRECT("OrganizationAccessCasePolicy!L"&amp;$J51)&amp;"|"&amp;$AX51,CaseTypeColSetMember!$H:$H,0))))))</f>
        <v>1</v>
      </c>
      <c r="BC51" s="6" t="b" cm="1">
        <f t="array" aca="1" ref="BC51" ca="1">IF($AX51="",TRUE,IF($N51="",FALSE,IF(INDIRECT("UserAccessCasePolicy!I"&amp;$N51)="",FALSE,NOT(ISNA(MATCH(INDIRECT("UserAccessCasePolicy!I"&amp;$N51)&amp;"|"&amp;$AX51,CaseTypeColSetMember!$H:$H,0))))))</f>
        <v>1</v>
      </c>
      <c r="BD51" s="6" t="b" cm="1">
        <f t="array" aca="1" ref="BD51" ca="1">IF($AX51="",TRUE,IF($N51="",FALSE,IF(INDIRECT("UserAccessCasePolicy!K"&amp;$N51)="",FALSE,NOT(ISNA(MATCH(INDIRECT("UserAccessCasePolicy!K"&amp;$N51)&amp;"|"&amp;$AX51,CaseTypeColSetMember!$H:$H,0))))))</f>
        <v>1</v>
      </c>
    </row>
    <row r="52" spans="1:56" ht="15" customHeight="1" x14ac:dyDescent="0.3">
      <c r="A52">
        <v>51</v>
      </c>
      <c r="B52" t="b">
        <v>0</v>
      </c>
      <c r="C52" t="s">
        <v>1055</v>
      </c>
      <c r="D52" t="s">
        <v>36</v>
      </c>
      <c r="E52" s="6" t="str">
        <f>INDEX(User!$D:$D,MATCH($D52,User!$A:$A,0))</f>
        <v>org_user5_2</v>
      </c>
      <c r="F52" t="s">
        <v>982</v>
      </c>
      <c r="G52" s="19" t="b">
        <f ca="1">IF($F52="CREATE",$I52,IF($F52="CREATE_CASES",OR($I52,AND($K52,$L52,$O52,$P52,$AN52,AP52,$AU52,$AW52,$BB52,$BD52)),"TBD"))</f>
        <v>0</v>
      </c>
      <c r="H52" s="6" t="str">
        <f>INDEX(User!$G:$G,MATCH($D52,User!$A:$A,0))</f>
        <v>0195d18c-1c93-02a2-6920-7e4dbfb73ce0</v>
      </c>
      <c r="I52" s="6" t="b">
        <f>INDEX(User!$M:$M,MATCH($D52,User!$A:$A,0))</f>
        <v>0</v>
      </c>
      <c r="J52" s="6">
        <f>IF(ISNA(MATCH($H52&amp;"|"&amp;$X52,OrganizationAccessCasePolicy!$V:$V,0)),"",MATCH($H52&amp;"|"&amp;$X52,OrganizationAccessCasePolicy!$V:$V,0))</f>
        <v>11</v>
      </c>
      <c r="K52" s="6" t="b" cm="1">
        <f t="array" aca="1" ref="K52" ca="1">IF($J52="",FALSE,NOT(ISNA(MATCH(INDIRECT("OrganizationAccessCasePolicy!D"&amp;$J52)&amp;"|"&amp;$T52,CaseTypeSetMember!$H:$H,0))))</f>
        <v>0</v>
      </c>
      <c r="L52" s="6" t="b" cm="1">
        <f t="array" aca="1" ref="L52" ca="1">IF($J52="",FALSE,AND(INDIRECT("OrganizationAccessCasePolicy!H"&amp;$J52),NOT(ISNA(MATCH(INDIRECT("OrganizationAccessCasePolicy!D"&amp;$J52)&amp;"|"&amp;$T52,CaseTypeSetMember!$H:$H,0)))))</f>
        <v>0</v>
      </c>
      <c r="M52" s="6" t="b" cm="1">
        <f t="array" aca="1" ref="M52" ca="1">IF($J52="",FALSE,AND(INDIRECT("OrganizationAccessCasePolicy!I"&amp;$J52),NOT(ISNA(MATCH(INDIRECT("OrganizationAccessCasePolicy!D"&amp;$J52)&amp;"|"&amp;$T52,CaseTypeSetMember!$H:$H,0)))))</f>
        <v>0</v>
      </c>
      <c r="N52" s="6" t="str">
        <f>IF(ISNA(MATCH($D52&amp;"|"&amp;$X52,UserAccessCasePolicy!$W:$W,0)),"",MATCH($D52&amp;"|"&amp;$X52,UserAccessCasePolicy!$W:$W,0))</f>
        <v/>
      </c>
      <c r="O52" s="6" t="b" cm="1">
        <f t="array" aca="1" ref="O52" ca="1">IF($N52="",FALSE,NOT(ISNA(MATCH(INDIRECT("UserAccessCasePolicy!D"&amp;$N52)&amp;"|"&amp;$T52,CaseTypeSetMember!$H:$H,0))))</f>
        <v>0</v>
      </c>
      <c r="P52" s="6" t="b" cm="1">
        <f t="array" aca="1" ref="P52" ca="1">IF($N52="",FALSE,AND(INDIRECT("UserAccessCasePolicy!G"&amp;$N52),NOT(ISNA(MATCH(INDIRECT("UserAccessCasePolicy!D"&amp;$N52)&amp;"|"&amp;$T52,CaseTypeSetMember!$H:$H,0)))))</f>
        <v>0</v>
      </c>
      <c r="Q52" s="6" t="b" cm="1">
        <f t="array" aca="1" ref="Q52" ca="1">IF($N52="",FALSE,AND(INDIRECT("UserAccessCasePolicy!H"&amp;$N52),NOT(ISNA(MATCH(INDIRECT("UserAccessCasePolicy!D"&amp;$N52)&amp;"|"&amp;$T52,CaseTypeSetMember!$H:$H,0)))))</f>
        <v>0</v>
      </c>
      <c r="R52" t="s">
        <v>1031</v>
      </c>
      <c r="S52" s="6" t="str">
        <f>"case"&amp;MATCH($R52,$R$1:$R52,0)-1</f>
        <v>case31</v>
      </c>
      <c r="T52" t="s">
        <v>115</v>
      </c>
      <c r="U52" s="6" t="str">
        <f>INDEX(CaseType!$B:$B,MATCH($T52,CaseType!$A:$A,0))</f>
        <v>case_type1</v>
      </c>
      <c r="V52" s="6" t="b">
        <f>AND(IF($AJ52="",TRUE,$T52=INDEX(CaseTypeCol!$B:$B,MATCH($AJ52,CaseTypeCol!$A:$A,0))),IF($AQ52="",TRUE,$T52=INDEX(CaseTypeCol!$B:$B,MATCH($AQ52,CaseTypeCol!$A:$A,0))),IF($AX52="",TRUE,$T52=INDEX(CaseTypeCol!$B:$B,MATCH($AX52,CaseTypeCol!$A:$A,0))))</f>
        <v>1</v>
      </c>
      <c r="X52" t="s">
        <v>39</v>
      </c>
      <c r="Y52" s="6" t="str">
        <f>INDEX(DataCollection!$B:$B,MATCH($X52,DataCollection!$A:$A,0))</f>
        <v>data_collection10</v>
      </c>
      <c r="AA52" s="6" t="str">
        <f>IF($Z52="","",INDEX(CaseTypeCol!$J:$J,MATCH($Z52,CaseTypeCol!$A:$A,0)))</f>
        <v/>
      </c>
      <c r="AC52" s="6" t="str">
        <f>IF($AB52="","",INDEX(IdentifierIssuer!$B:$B,MATCH($AB52,IdentifierIssuer!$A:$A,0)))</f>
        <v/>
      </c>
      <c r="AE52" s="6" t="str">
        <f>IF($AD52="","",INDEX(SequencingProtocol!$B:$B,MATCH($AD52,SequencingProtocol!$A:$A,0)))</f>
        <v/>
      </c>
      <c r="AG52" s="6" t="str">
        <f>IF($AF52="","",INDEX(AssemblyProtocol!$B:$B,MATCH($AF52,AssemblyProtocol!$A:$A,0)))</f>
        <v/>
      </c>
      <c r="AI52" s="14">
        <v>36526</v>
      </c>
      <c r="AJ52" t="s">
        <v>516</v>
      </c>
      <c r="AK52" t="s">
        <v>972</v>
      </c>
      <c r="AL52" s="6" t="str">
        <f>IF($AJ52="","",INDEX(CaseTypeCol!$J:$J,MATCH($AJ52,CaseTypeCol!$A:$A,0)))</f>
        <v>case_type_col1_7_0_1_TEXT</v>
      </c>
      <c r="AM52" s="6" t="b" cm="1">
        <f t="array" aca="1" ref="AM52" ca="1">IF($AJ52="",TRUE,IF($J52="",FALSE,IF(INDIRECT("OrganizationAccessCasePolicy!J"&amp;$J52)="",FALSE,NOT(ISNA(MATCH(INDIRECT("OrganizationAccessCasePolicy!J"&amp;$J52)&amp;"|"&amp;$AJ52,CaseTypeColSetMember!$H:$H,0))))))</f>
        <v>1</v>
      </c>
      <c r="AN52" s="6" t="b" cm="1">
        <f t="array" aca="1" ref="AN52" ca="1">IF($AJ52="",TRUE,IF($J52="",FALSE,IF(INDIRECT("OrganizationAccessCasePolicy!L"&amp;$J52)="",FALSE,NOT(ISNA(MATCH(INDIRECT("OrganizationAccessCasePolicy!L"&amp;$J52)&amp;"|"&amp;$AJ52,CaseTypeColSetMember!$H:$H,0))))))</f>
        <v>0</v>
      </c>
      <c r="AO52" s="6" t="b" cm="1">
        <f t="array" aca="1" ref="AO52" ca="1">IF($AJ52="",TRUE,IF($N52="",FALSE,IF(INDIRECT("UserAccessCasePolicy!I"&amp;$N52)="",FALSE,NOT(ISNA(MATCH(INDIRECT("UserAccessCasePolicy!I"&amp;$N52)&amp;"|"&amp;$AJ52,CaseTypeColSetMember!$H:$H,0))))))</f>
        <v>0</v>
      </c>
      <c r="AP52" s="6" t="b" cm="1">
        <f t="array" aca="1" ref="AP52" ca="1">IF($AJ52="",TRUE,IF($N52="",FALSE,IF(INDIRECT("UserAccessCasePolicy!K"&amp;$N52)="",FALSE,NOT(ISNA(MATCH(INDIRECT("UserAccessCasePolicy!K"&amp;$N52)&amp;"|"&amp;$AJ52,CaseTypeColSetMember!$H:$H,0))))))</f>
        <v>0</v>
      </c>
      <c r="AS52" s="6" t="str">
        <f>IF($AQ52="","",INDEX(CaseTypeCol!$J:$J,MATCH($AQ52,CaseTypeCol!$A:$A,0)))</f>
        <v/>
      </c>
      <c r="AT52" s="6" t="b" cm="1">
        <f t="array" aca="1" ref="AT52" ca="1">IF($AQ52="",TRUE,IF($J52="",FALSE,IF(INDIRECT("OrganizationAccessCasePolicy!J"&amp;$J52)="",FALSE,NOT(ISNA(MATCH(INDIRECT("OrganizationAccessCasePolicy!J"&amp;$J52)&amp;"|"&amp;$AQ52,CaseTypeColSetMember!$H:$H,0))))))</f>
        <v>1</v>
      </c>
      <c r="AU52" s="6" t="b" cm="1">
        <f t="array" aca="1" ref="AU52" ca="1">IF($AQ52="",TRUE,IF($J52="",FALSE,IF(INDIRECT("OrganizationAccessCasePolicy!L"&amp;$J52)="",FALSE,NOT(ISNA(MATCH(INDIRECT("OrganizationAccessCasePolicy!L"&amp;$J52)&amp;"|"&amp;$AQ52,CaseTypeColSetMember!$H:$H,0))))))</f>
        <v>1</v>
      </c>
      <c r="AV52" s="6" t="b" cm="1">
        <f t="array" aca="1" ref="AV52" ca="1">IF($AQ52="",TRUE,IF($N52="",FALSE,IF(INDIRECT("UserAccessCasePolicy!I"&amp;$N52)="",FALSE,NOT(ISNA(MATCH(INDIRECT("UserAccessCasePolicy!I"&amp;$N52)&amp;"|"&amp;$AQ52,CaseTypeColSetMember!$H:$H,0))))))</f>
        <v>1</v>
      </c>
      <c r="AW52" s="6" t="b" cm="1">
        <f t="array" aca="1" ref="AW52" ca="1">IF($AQ52="",TRUE,IF($N52="",FALSE,IF(INDIRECT("UserAccessCasePolicy!K"&amp;$N52)="",FALSE,NOT(ISNA(MATCH(INDIRECT("UserAccessCasePolicy!K"&amp;$N52)&amp;"|"&amp;$AQ52,CaseTypeColSetMember!$H:$H,0))))))</f>
        <v>1</v>
      </c>
      <c r="AZ52" s="6" t="str">
        <f>IF($AX52="","",INDEX(CaseTypeCol!$J:$J,MATCH($AX52,CaseTypeCol!$A:$A,0)))</f>
        <v/>
      </c>
      <c r="BA52" s="6" t="b" cm="1">
        <f t="array" aca="1" ref="BA52" ca="1">IF($AX52="",TRUE,IF($J52="",FALSE,IF(INDIRECT("OrganizationAccessCasePolicy!J"&amp;$J52)="",FALSE,NOT(ISNA(MATCH(INDIRECT("OrganizationAccessCasePolicy!J"&amp;$J52)&amp;"|"&amp;$AX52,CaseTypeColSetMember!$H:$H,0))))))</f>
        <v>1</v>
      </c>
      <c r="BB52" s="6" t="b" cm="1">
        <f t="array" aca="1" ref="BB52" ca="1">IF($AX52="",TRUE,IF($J52="",FALSE,IF(INDIRECT("OrganizationAccessCasePolicy!L"&amp;$J52)="",FALSE,NOT(ISNA(MATCH(INDIRECT("OrganizationAccessCasePolicy!L"&amp;$J52)&amp;"|"&amp;$AX52,CaseTypeColSetMember!$H:$H,0))))))</f>
        <v>1</v>
      </c>
      <c r="BC52" s="6" t="b" cm="1">
        <f t="array" aca="1" ref="BC52" ca="1">IF($AX52="",TRUE,IF($N52="",FALSE,IF(INDIRECT("UserAccessCasePolicy!I"&amp;$N52)="",FALSE,NOT(ISNA(MATCH(INDIRECT("UserAccessCasePolicy!I"&amp;$N52)&amp;"|"&amp;$AX52,CaseTypeColSetMember!$H:$H,0))))))</f>
        <v>1</v>
      </c>
      <c r="BD52" s="6" t="b" cm="1">
        <f t="array" aca="1" ref="BD52" ca="1">IF($AX52="",TRUE,IF($N52="",FALSE,IF(INDIRECT("UserAccessCasePolicy!K"&amp;$N52)="",FALSE,NOT(ISNA(MATCH(INDIRECT("UserAccessCasePolicy!K"&amp;$N52)&amp;"|"&amp;$AX52,CaseTypeColSetMember!$H:$H,0))))))</f>
        <v>1</v>
      </c>
    </row>
    <row r="53" spans="1:56" ht="15" customHeight="1" x14ac:dyDescent="0.3">
      <c r="A53">
        <v>52</v>
      </c>
      <c r="B53" t="b">
        <v>0</v>
      </c>
      <c r="C53" t="s">
        <v>1056</v>
      </c>
      <c r="D53" t="s">
        <v>37</v>
      </c>
      <c r="E53" s="6" t="str">
        <f>INDEX(User!$D:$D,MATCH($D53,User!$A:$A,0))</f>
        <v>org_user5_3</v>
      </c>
      <c r="F53" t="s">
        <v>982</v>
      </c>
      <c r="G53" s="19" t="b">
        <f ca="1">IF($F53="CREATE",$I53,IF($F53="CREATE_CASES",OR($I53,AND($K53,$L53,$O53,$P53,$AN53,AP53,$AU53,$AW53,$BB53,$BD53)),"TBD"))</f>
        <v>0</v>
      </c>
      <c r="H53" s="6" t="str">
        <f>INDEX(User!$G:$G,MATCH($D53,User!$A:$A,0))</f>
        <v>0195d18c-1c93-02a2-6920-7e4dbfb73ce0</v>
      </c>
      <c r="I53" s="6" t="b">
        <f>INDEX(User!$M:$M,MATCH($D53,User!$A:$A,0))</f>
        <v>0</v>
      </c>
      <c r="J53" s="6">
        <f>IF(ISNA(MATCH($H53&amp;"|"&amp;$X53,OrganizationAccessCasePolicy!$V:$V,0)),"",MATCH($H53&amp;"|"&amp;$X53,OrganizationAccessCasePolicy!$V:$V,0))</f>
        <v>11</v>
      </c>
      <c r="K53" s="6" t="b" cm="1">
        <f t="array" aca="1" ref="K53" ca="1">IF($J53="",FALSE,NOT(ISNA(MATCH(INDIRECT("OrganizationAccessCasePolicy!D"&amp;$J53)&amp;"|"&amp;$T53,CaseTypeSetMember!$H:$H,0))))</f>
        <v>0</v>
      </c>
      <c r="L53" s="6" t="b" cm="1">
        <f t="array" aca="1" ref="L53" ca="1">IF($J53="",FALSE,AND(INDIRECT("OrganizationAccessCasePolicy!H"&amp;$J53),NOT(ISNA(MATCH(INDIRECT("OrganizationAccessCasePolicy!D"&amp;$J53)&amp;"|"&amp;$T53,CaseTypeSetMember!$H:$H,0)))))</f>
        <v>0</v>
      </c>
      <c r="M53" s="6" t="b" cm="1">
        <f t="array" aca="1" ref="M53" ca="1">IF($J53="",FALSE,AND(INDIRECT("OrganizationAccessCasePolicy!I"&amp;$J53),NOT(ISNA(MATCH(INDIRECT("OrganizationAccessCasePolicy!D"&amp;$J53)&amp;"|"&amp;$T53,CaseTypeSetMember!$H:$H,0)))))</f>
        <v>0</v>
      </c>
      <c r="N53" s="6" t="str">
        <f>IF(ISNA(MATCH($D53&amp;"|"&amp;$X53,UserAccessCasePolicy!$W:$W,0)),"",MATCH($D53&amp;"|"&amp;$X53,UserAccessCasePolicy!$W:$W,0))</f>
        <v/>
      </c>
      <c r="O53" s="6" t="b" cm="1">
        <f t="array" aca="1" ref="O53" ca="1">IF($N53="",FALSE,NOT(ISNA(MATCH(INDIRECT("UserAccessCasePolicy!D"&amp;$N53)&amp;"|"&amp;$T53,CaseTypeSetMember!$H:$H,0))))</f>
        <v>0</v>
      </c>
      <c r="P53" s="6" t="b" cm="1">
        <f t="array" aca="1" ref="P53" ca="1">IF($N53="",FALSE,AND(INDIRECT("UserAccessCasePolicy!G"&amp;$N53),NOT(ISNA(MATCH(INDIRECT("UserAccessCasePolicy!D"&amp;$N53)&amp;"|"&amp;$T53,CaseTypeSetMember!$H:$H,0)))))</f>
        <v>0</v>
      </c>
      <c r="Q53" s="6" t="b" cm="1">
        <f t="array" aca="1" ref="Q53" ca="1">IF($N53="",FALSE,AND(INDIRECT("UserAccessCasePolicy!H"&amp;$N53),NOT(ISNA(MATCH(INDIRECT("UserAccessCasePolicy!D"&amp;$N53)&amp;"|"&amp;$T53,CaseTypeSetMember!$H:$H,0)))))</f>
        <v>0</v>
      </c>
      <c r="R53" t="s">
        <v>1033</v>
      </c>
      <c r="S53" s="6" t="str">
        <f>"case"&amp;MATCH($R53,$R$1:$R53,0)-1</f>
        <v>case32</v>
      </c>
      <c r="T53" t="s">
        <v>115</v>
      </c>
      <c r="U53" s="6" t="str">
        <f>INDEX(CaseType!$B:$B,MATCH($T53,CaseType!$A:$A,0))</f>
        <v>case_type1</v>
      </c>
      <c r="V53" s="6" t="b">
        <f>AND(IF($AJ53="",TRUE,$T53=INDEX(CaseTypeCol!$B:$B,MATCH($AJ53,CaseTypeCol!$A:$A,0))),IF($AQ53="",TRUE,$T53=INDEX(CaseTypeCol!$B:$B,MATCH($AQ53,CaseTypeCol!$A:$A,0))),IF($AX53="",TRUE,$T53=INDEX(CaseTypeCol!$B:$B,MATCH($AX53,CaseTypeCol!$A:$A,0))))</f>
        <v>1</v>
      </c>
      <c r="X53" t="s">
        <v>39</v>
      </c>
      <c r="Y53" s="6" t="str">
        <f>INDEX(DataCollection!$B:$B,MATCH($X53,DataCollection!$A:$A,0))</f>
        <v>data_collection10</v>
      </c>
      <c r="AA53" s="6" t="str">
        <f>IF($Z53="","",INDEX(CaseTypeCol!$J:$J,MATCH($Z53,CaseTypeCol!$A:$A,0)))</f>
        <v/>
      </c>
      <c r="AC53" s="6" t="str">
        <f>IF($AB53="","",INDEX(IdentifierIssuer!$B:$B,MATCH($AB53,IdentifierIssuer!$A:$A,0)))</f>
        <v/>
      </c>
      <c r="AE53" s="6" t="str">
        <f>IF($AD53="","",INDEX(SequencingProtocol!$B:$B,MATCH($AD53,SequencingProtocol!$A:$A,0)))</f>
        <v/>
      </c>
      <c r="AG53" s="6" t="str">
        <f>IF($AF53="","",INDEX(AssemblyProtocol!$B:$B,MATCH($AF53,AssemblyProtocol!$A:$A,0)))</f>
        <v/>
      </c>
      <c r="AI53" s="14">
        <v>36526</v>
      </c>
      <c r="AJ53" t="s">
        <v>516</v>
      </c>
      <c r="AK53" t="s">
        <v>972</v>
      </c>
      <c r="AL53" s="6" t="str">
        <f>IF($AJ53="","",INDEX(CaseTypeCol!$J:$J,MATCH($AJ53,CaseTypeCol!$A:$A,0)))</f>
        <v>case_type_col1_7_0_1_TEXT</v>
      </c>
      <c r="AM53" s="6" t="b" cm="1">
        <f t="array" aca="1" ref="AM53" ca="1">IF($AJ53="",TRUE,IF($J53="",FALSE,IF(INDIRECT("OrganizationAccessCasePolicy!J"&amp;$J53)="",FALSE,NOT(ISNA(MATCH(INDIRECT("OrganizationAccessCasePolicy!J"&amp;$J53)&amp;"|"&amp;$AJ53,CaseTypeColSetMember!$H:$H,0))))))</f>
        <v>1</v>
      </c>
      <c r="AN53" s="6" t="b" cm="1">
        <f t="array" aca="1" ref="AN53" ca="1">IF($AJ53="",TRUE,IF($J53="",FALSE,IF(INDIRECT("OrganizationAccessCasePolicy!L"&amp;$J53)="",FALSE,NOT(ISNA(MATCH(INDIRECT("OrganizationAccessCasePolicy!L"&amp;$J53)&amp;"|"&amp;$AJ53,CaseTypeColSetMember!$H:$H,0))))))</f>
        <v>0</v>
      </c>
      <c r="AO53" s="6" t="b" cm="1">
        <f t="array" aca="1" ref="AO53" ca="1">IF($AJ53="",TRUE,IF($N53="",FALSE,IF(INDIRECT("UserAccessCasePolicy!I"&amp;$N53)="",FALSE,NOT(ISNA(MATCH(INDIRECT("UserAccessCasePolicy!I"&amp;$N53)&amp;"|"&amp;$AJ53,CaseTypeColSetMember!$H:$H,0))))))</f>
        <v>0</v>
      </c>
      <c r="AP53" s="6" t="b" cm="1">
        <f t="array" aca="1" ref="AP53" ca="1">IF($AJ53="",TRUE,IF($N53="",FALSE,IF(INDIRECT("UserAccessCasePolicy!K"&amp;$N53)="",FALSE,NOT(ISNA(MATCH(INDIRECT("UserAccessCasePolicy!K"&amp;$N53)&amp;"|"&amp;$AJ53,CaseTypeColSetMember!$H:$H,0))))))</f>
        <v>0</v>
      </c>
      <c r="AS53" s="6" t="str">
        <f>IF($AQ53="","",INDEX(CaseTypeCol!$J:$J,MATCH($AQ53,CaseTypeCol!$A:$A,0)))</f>
        <v/>
      </c>
      <c r="AT53" s="6" t="b" cm="1">
        <f t="array" aca="1" ref="AT53" ca="1">IF($AQ53="",TRUE,IF($J53="",FALSE,IF(INDIRECT("OrganizationAccessCasePolicy!J"&amp;$J53)="",FALSE,NOT(ISNA(MATCH(INDIRECT("OrganizationAccessCasePolicy!J"&amp;$J53)&amp;"|"&amp;$AQ53,CaseTypeColSetMember!$H:$H,0))))))</f>
        <v>1</v>
      </c>
      <c r="AU53" s="6" t="b" cm="1">
        <f t="array" aca="1" ref="AU53" ca="1">IF($AQ53="",TRUE,IF($J53="",FALSE,IF(INDIRECT("OrganizationAccessCasePolicy!L"&amp;$J53)="",FALSE,NOT(ISNA(MATCH(INDIRECT("OrganizationAccessCasePolicy!L"&amp;$J53)&amp;"|"&amp;$AQ53,CaseTypeColSetMember!$H:$H,0))))))</f>
        <v>1</v>
      </c>
      <c r="AV53" s="6" t="b" cm="1">
        <f t="array" aca="1" ref="AV53" ca="1">IF($AQ53="",TRUE,IF($N53="",FALSE,IF(INDIRECT("UserAccessCasePolicy!I"&amp;$N53)="",FALSE,NOT(ISNA(MATCH(INDIRECT("UserAccessCasePolicy!I"&amp;$N53)&amp;"|"&amp;$AQ53,CaseTypeColSetMember!$H:$H,0))))))</f>
        <v>1</v>
      </c>
      <c r="AW53" s="6" t="b" cm="1">
        <f t="array" aca="1" ref="AW53" ca="1">IF($AQ53="",TRUE,IF($N53="",FALSE,IF(INDIRECT("UserAccessCasePolicy!K"&amp;$N53)="",FALSE,NOT(ISNA(MATCH(INDIRECT("UserAccessCasePolicy!K"&amp;$N53)&amp;"|"&amp;$AQ53,CaseTypeColSetMember!$H:$H,0))))))</f>
        <v>1</v>
      </c>
      <c r="AZ53" s="6" t="str">
        <f>IF($AX53="","",INDEX(CaseTypeCol!$J:$J,MATCH($AX53,CaseTypeCol!$A:$A,0)))</f>
        <v/>
      </c>
      <c r="BA53" s="6" t="b" cm="1">
        <f t="array" aca="1" ref="BA53" ca="1">IF($AX53="",TRUE,IF($J53="",FALSE,IF(INDIRECT("OrganizationAccessCasePolicy!J"&amp;$J53)="",FALSE,NOT(ISNA(MATCH(INDIRECT("OrganizationAccessCasePolicy!J"&amp;$J53)&amp;"|"&amp;$AX53,CaseTypeColSetMember!$H:$H,0))))))</f>
        <v>1</v>
      </c>
      <c r="BB53" s="6" t="b" cm="1">
        <f t="array" aca="1" ref="BB53" ca="1">IF($AX53="",TRUE,IF($J53="",FALSE,IF(INDIRECT("OrganizationAccessCasePolicy!L"&amp;$J53)="",FALSE,NOT(ISNA(MATCH(INDIRECT("OrganizationAccessCasePolicy!L"&amp;$J53)&amp;"|"&amp;$AX53,CaseTypeColSetMember!$H:$H,0))))))</f>
        <v>1</v>
      </c>
      <c r="BC53" s="6" t="b" cm="1">
        <f t="array" aca="1" ref="BC53" ca="1">IF($AX53="",TRUE,IF($N53="",FALSE,IF(INDIRECT("UserAccessCasePolicy!I"&amp;$N53)="",FALSE,NOT(ISNA(MATCH(INDIRECT("UserAccessCasePolicy!I"&amp;$N53)&amp;"|"&amp;$AX53,CaseTypeColSetMember!$H:$H,0))))))</f>
        <v>1</v>
      </c>
      <c r="BD53" s="6" t="b" cm="1">
        <f t="array" aca="1" ref="BD53" ca="1">IF($AX53="",TRUE,IF($N53="",FALSE,IF(INDIRECT("UserAccessCasePolicy!K"&amp;$N53)="",FALSE,NOT(ISNA(MATCH(INDIRECT("UserAccessCasePolicy!K"&amp;$N53)&amp;"|"&amp;$AX53,CaseTypeColSetMember!$H:$H,0))))))</f>
        <v>1</v>
      </c>
    </row>
    <row r="54" spans="1:56" ht="15" customHeight="1" x14ac:dyDescent="0.3">
      <c r="A54">
        <v>53</v>
      </c>
      <c r="B54" t="b">
        <v>0</v>
      </c>
      <c r="C54" t="s">
        <v>1057</v>
      </c>
      <c r="D54" t="s">
        <v>38</v>
      </c>
      <c r="E54" s="6" t="str">
        <f>INDEX(User!$D:$D,MATCH($D54,User!$A:$A,0))</f>
        <v>org_user5_4</v>
      </c>
      <c r="F54" t="s">
        <v>982</v>
      </c>
      <c r="G54" s="19" t="b">
        <f ca="1">IF($F54="CREATE",$I54,IF($F54="CREATE_CASES",OR($I54,AND($K54,$L54,$O54,$P54,$AN54,AP54,$AU54,$AW54,$BB54,$BD54)),"TBD"))</f>
        <v>0</v>
      </c>
      <c r="H54" s="6" t="str">
        <f>INDEX(User!$G:$G,MATCH($D54,User!$A:$A,0))</f>
        <v>0195d18c-1c93-02a2-6920-7e4dbfb73ce0</v>
      </c>
      <c r="I54" s="6" t="b">
        <f>INDEX(User!$M:$M,MATCH($D54,User!$A:$A,0))</f>
        <v>0</v>
      </c>
      <c r="J54" s="6">
        <f>IF(ISNA(MATCH($H54&amp;"|"&amp;$X54,OrganizationAccessCasePolicy!$V:$V,0)),"",MATCH($H54&amp;"|"&amp;$X54,OrganizationAccessCasePolicy!$V:$V,0))</f>
        <v>11</v>
      </c>
      <c r="K54" s="6" t="b" cm="1">
        <f t="array" aca="1" ref="K54" ca="1">IF($J54="",FALSE,NOT(ISNA(MATCH(INDIRECT("OrganizationAccessCasePolicy!D"&amp;$J54)&amp;"|"&amp;$T54,CaseTypeSetMember!$H:$H,0))))</f>
        <v>0</v>
      </c>
      <c r="L54" s="6" t="b" cm="1">
        <f t="array" aca="1" ref="L54" ca="1">IF($J54="",FALSE,AND(INDIRECT("OrganizationAccessCasePolicy!H"&amp;$J54),NOT(ISNA(MATCH(INDIRECT("OrganizationAccessCasePolicy!D"&amp;$J54)&amp;"|"&amp;$T54,CaseTypeSetMember!$H:$H,0)))))</f>
        <v>0</v>
      </c>
      <c r="M54" s="6" t="b" cm="1">
        <f t="array" aca="1" ref="M54" ca="1">IF($J54="",FALSE,AND(INDIRECT("OrganizationAccessCasePolicy!I"&amp;$J54),NOT(ISNA(MATCH(INDIRECT("OrganizationAccessCasePolicy!D"&amp;$J54)&amp;"|"&amp;$T54,CaseTypeSetMember!$H:$H,0)))))</f>
        <v>0</v>
      </c>
      <c r="N54" s="6" t="str">
        <f>IF(ISNA(MATCH($D54&amp;"|"&amp;$X54,UserAccessCasePolicy!$W:$W,0)),"",MATCH($D54&amp;"|"&amp;$X54,UserAccessCasePolicy!$W:$W,0))</f>
        <v/>
      </c>
      <c r="O54" s="6" t="b" cm="1">
        <f t="array" aca="1" ref="O54" ca="1">IF($N54="",FALSE,NOT(ISNA(MATCH(INDIRECT("UserAccessCasePolicy!D"&amp;$N54)&amp;"|"&amp;$T54,CaseTypeSetMember!$H:$H,0))))</f>
        <v>0</v>
      </c>
      <c r="P54" s="6" t="b" cm="1">
        <f t="array" aca="1" ref="P54" ca="1">IF($N54="",FALSE,AND(INDIRECT("UserAccessCasePolicy!G"&amp;$N54),NOT(ISNA(MATCH(INDIRECT("UserAccessCasePolicy!D"&amp;$N54)&amp;"|"&amp;$T54,CaseTypeSetMember!$H:$H,0)))))</f>
        <v>0</v>
      </c>
      <c r="Q54" s="6" t="b" cm="1">
        <f t="array" aca="1" ref="Q54" ca="1">IF($N54="",FALSE,AND(INDIRECT("UserAccessCasePolicy!H"&amp;$N54),NOT(ISNA(MATCH(INDIRECT("UserAccessCasePolicy!D"&amp;$N54)&amp;"|"&amp;$T54,CaseTypeSetMember!$H:$H,0)))))</f>
        <v>0</v>
      </c>
      <c r="R54" t="s">
        <v>1035</v>
      </c>
      <c r="S54" s="6" t="str">
        <f>"case"&amp;MATCH($R54,$R$1:$R54,0)-1</f>
        <v>case33</v>
      </c>
      <c r="T54" t="s">
        <v>115</v>
      </c>
      <c r="U54" s="6" t="str">
        <f>INDEX(CaseType!$B:$B,MATCH($T54,CaseType!$A:$A,0))</f>
        <v>case_type1</v>
      </c>
      <c r="V54" s="6" t="b">
        <f>AND(IF($AJ54="",TRUE,$T54=INDEX(CaseTypeCol!$B:$B,MATCH($AJ54,CaseTypeCol!$A:$A,0))),IF($AQ54="",TRUE,$T54=INDEX(CaseTypeCol!$B:$B,MATCH($AQ54,CaseTypeCol!$A:$A,0))),IF($AX54="",TRUE,$T54=INDEX(CaseTypeCol!$B:$B,MATCH($AX54,CaseTypeCol!$A:$A,0))))</f>
        <v>1</v>
      </c>
      <c r="X54" t="s">
        <v>39</v>
      </c>
      <c r="Y54" s="6" t="str">
        <f>INDEX(DataCollection!$B:$B,MATCH($X54,DataCollection!$A:$A,0))</f>
        <v>data_collection10</v>
      </c>
      <c r="AA54" s="6" t="str">
        <f>IF($Z54="","",INDEX(CaseTypeCol!$J:$J,MATCH($Z54,CaseTypeCol!$A:$A,0)))</f>
        <v/>
      </c>
      <c r="AC54" s="6" t="str">
        <f>IF($AB54="","",INDEX(IdentifierIssuer!$B:$B,MATCH($AB54,IdentifierIssuer!$A:$A,0)))</f>
        <v/>
      </c>
      <c r="AE54" s="6" t="str">
        <f>IF($AD54="","",INDEX(SequencingProtocol!$B:$B,MATCH($AD54,SequencingProtocol!$A:$A,0)))</f>
        <v/>
      </c>
      <c r="AG54" s="6" t="str">
        <f>IF($AF54="","",INDEX(AssemblyProtocol!$B:$B,MATCH($AF54,AssemblyProtocol!$A:$A,0)))</f>
        <v/>
      </c>
      <c r="AI54" s="14">
        <v>36526</v>
      </c>
      <c r="AJ54" t="s">
        <v>516</v>
      </c>
      <c r="AK54" t="s">
        <v>972</v>
      </c>
      <c r="AL54" s="6" t="str">
        <f>IF($AJ54="","",INDEX(CaseTypeCol!$J:$J,MATCH($AJ54,CaseTypeCol!$A:$A,0)))</f>
        <v>case_type_col1_7_0_1_TEXT</v>
      </c>
      <c r="AM54" s="6" t="b" cm="1">
        <f t="array" aca="1" ref="AM54" ca="1">IF($AJ54="",TRUE,IF($J54="",FALSE,IF(INDIRECT("OrganizationAccessCasePolicy!J"&amp;$J54)="",FALSE,NOT(ISNA(MATCH(INDIRECT("OrganizationAccessCasePolicy!J"&amp;$J54)&amp;"|"&amp;$AJ54,CaseTypeColSetMember!$H:$H,0))))))</f>
        <v>1</v>
      </c>
      <c r="AN54" s="6" t="b" cm="1">
        <f t="array" aca="1" ref="AN54" ca="1">IF($AJ54="",TRUE,IF($J54="",FALSE,IF(INDIRECT("OrganizationAccessCasePolicy!L"&amp;$J54)="",FALSE,NOT(ISNA(MATCH(INDIRECT("OrganizationAccessCasePolicy!L"&amp;$J54)&amp;"|"&amp;$AJ54,CaseTypeColSetMember!$H:$H,0))))))</f>
        <v>0</v>
      </c>
      <c r="AO54" s="6" t="b" cm="1">
        <f t="array" aca="1" ref="AO54" ca="1">IF($AJ54="",TRUE,IF($N54="",FALSE,IF(INDIRECT("UserAccessCasePolicy!I"&amp;$N54)="",FALSE,NOT(ISNA(MATCH(INDIRECT("UserAccessCasePolicy!I"&amp;$N54)&amp;"|"&amp;$AJ54,CaseTypeColSetMember!$H:$H,0))))))</f>
        <v>0</v>
      </c>
      <c r="AP54" s="6" t="b" cm="1">
        <f t="array" aca="1" ref="AP54" ca="1">IF($AJ54="",TRUE,IF($N54="",FALSE,IF(INDIRECT("UserAccessCasePolicy!K"&amp;$N54)="",FALSE,NOT(ISNA(MATCH(INDIRECT("UserAccessCasePolicy!K"&amp;$N54)&amp;"|"&amp;$AJ54,CaseTypeColSetMember!$H:$H,0))))))</f>
        <v>0</v>
      </c>
      <c r="AS54" s="6" t="str">
        <f>IF($AQ54="","",INDEX(CaseTypeCol!$J:$J,MATCH($AQ54,CaseTypeCol!$A:$A,0)))</f>
        <v/>
      </c>
      <c r="AT54" s="6" t="b" cm="1">
        <f t="array" aca="1" ref="AT54" ca="1">IF($AQ54="",TRUE,IF($J54="",FALSE,IF(INDIRECT("OrganizationAccessCasePolicy!J"&amp;$J54)="",FALSE,NOT(ISNA(MATCH(INDIRECT("OrganizationAccessCasePolicy!J"&amp;$J54)&amp;"|"&amp;$AQ54,CaseTypeColSetMember!$H:$H,0))))))</f>
        <v>1</v>
      </c>
      <c r="AU54" s="6" t="b" cm="1">
        <f t="array" aca="1" ref="AU54" ca="1">IF($AQ54="",TRUE,IF($J54="",FALSE,IF(INDIRECT("OrganizationAccessCasePolicy!L"&amp;$J54)="",FALSE,NOT(ISNA(MATCH(INDIRECT("OrganizationAccessCasePolicy!L"&amp;$J54)&amp;"|"&amp;$AQ54,CaseTypeColSetMember!$H:$H,0))))))</f>
        <v>1</v>
      </c>
      <c r="AV54" s="6" t="b" cm="1">
        <f t="array" aca="1" ref="AV54" ca="1">IF($AQ54="",TRUE,IF($N54="",FALSE,IF(INDIRECT("UserAccessCasePolicy!I"&amp;$N54)="",FALSE,NOT(ISNA(MATCH(INDIRECT("UserAccessCasePolicy!I"&amp;$N54)&amp;"|"&amp;$AQ54,CaseTypeColSetMember!$H:$H,0))))))</f>
        <v>1</v>
      </c>
      <c r="AW54" s="6" t="b" cm="1">
        <f t="array" aca="1" ref="AW54" ca="1">IF($AQ54="",TRUE,IF($N54="",FALSE,IF(INDIRECT("UserAccessCasePolicy!K"&amp;$N54)="",FALSE,NOT(ISNA(MATCH(INDIRECT("UserAccessCasePolicy!K"&amp;$N54)&amp;"|"&amp;$AQ54,CaseTypeColSetMember!$H:$H,0))))))</f>
        <v>1</v>
      </c>
      <c r="AZ54" s="6" t="str">
        <f>IF($AX54="","",INDEX(CaseTypeCol!$J:$J,MATCH($AX54,CaseTypeCol!$A:$A,0)))</f>
        <v/>
      </c>
      <c r="BA54" s="6" t="b" cm="1">
        <f t="array" aca="1" ref="BA54" ca="1">IF($AX54="",TRUE,IF($J54="",FALSE,IF(INDIRECT("OrganizationAccessCasePolicy!J"&amp;$J54)="",FALSE,NOT(ISNA(MATCH(INDIRECT("OrganizationAccessCasePolicy!J"&amp;$J54)&amp;"|"&amp;$AX54,CaseTypeColSetMember!$H:$H,0))))))</f>
        <v>1</v>
      </c>
      <c r="BB54" s="6" t="b" cm="1">
        <f t="array" aca="1" ref="BB54" ca="1">IF($AX54="",TRUE,IF($J54="",FALSE,IF(INDIRECT("OrganizationAccessCasePolicy!L"&amp;$J54)="",FALSE,NOT(ISNA(MATCH(INDIRECT("OrganizationAccessCasePolicy!L"&amp;$J54)&amp;"|"&amp;$AX54,CaseTypeColSetMember!$H:$H,0))))))</f>
        <v>1</v>
      </c>
      <c r="BC54" s="6" t="b" cm="1">
        <f t="array" aca="1" ref="BC54" ca="1">IF($AX54="",TRUE,IF($N54="",FALSE,IF(INDIRECT("UserAccessCasePolicy!I"&amp;$N54)="",FALSE,NOT(ISNA(MATCH(INDIRECT("UserAccessCasePolicy!I"&amp;$N54)&amp;"|"&amp;$AX54,CaseTypeColSetMember!$H:$H,0))))))</f>
        <v>1</v>
      </c>
      <c r="BD54" s="6" t="b" cm="1">
        <f t="array" aca="1" ref="BD54" ca="1">IF($AX54="",TRUE,IF($N54="",FALSE,IF(INDIRECT("UserAccessCasePolicy!K"&amp;$N54)="",FALSE,NOT(ISNA(MATCH(INDIRECT("UserAccessCasePolicy!K"&amp;$N54)&amp;"|"&amp;$AX54,CaseTypeColSetMember!$H:$H,0))))))</f>
        <v>1</v>
      </c>
    </row>
    <row r="55" spans="1:56" ht="15" customHeight="1" x14ac:dyDescent="0.3">
      <c r="A55">
        <v>54</v>
      </c>
      <c r="B55" t="b">
        <v>0</v>
      </c>
      <c r="C55" t="s">
        <v>1058</v>
      </c>
      <c r="D55" t="s">
        <v>10</v>
      </c>
      <c r="E55" s="6" t="str">
        <f>INDEX(User!$D:$D,MATCH($D55,User!$A:$A,0))</f>
        <v>org_user1_1</v>
      </c>
      <c r="F55" t="s">
        <v>982</v>
      </c>
      <c r="G55" s="19" t="b">
        <f ca="1">IF($F55="CREATE",$I55,IF($F55="CREATE_CASES",OR($I55,AND($K55,$L55,$O55,$P55,$AN55,AP55,$AU55,$AW55,$BB55,$BD55)),"TBD"))</f>
        <v>0</v>
      </c>
      <c r="H55" s="6" t="str">
        <f>INDEX(User!$G:$G,MATCH($D55,User!$A:$A,0))</f>
        <v>018d074d-ea0c-e942-07db-a3cc0ba1d653</v>
      </c>
      <c r="I55" s="6" t="b">
        <f>INDEX(User!$M:$M,MATCH($D55,User!$A:$A,0))</f>
        <v>0</v>
      </c>
      <c r="J55" s="6">
        <f>IF(ISNA(MATCH($H55&amp;"|"&amp;$X55,OrganizationAccessCasePolicy!$V:$V,0)),"",MATCH($H55&amp;"|"&amp;$X55,OrganizationAccessCasePolicy!$V:$V,0))</f>
        <v>7</v>
      </c>
      <c r="K55" s="6" t="b" cm="1">
        <f t="array" aca="1" ref="K55" ca="1">IF($J55="",FALSE,NOT(ISNA(MATCH(INDIRECT("OrganizationAccessCasePolicy!D"&amp;$J55)&amp;"|"&amp;$T55,CaseTypeSetMember!$H:$H,0))))</f>
        <v>0</v>
      </c>
      <c r="L55" s="6" t="b" cm="1">
        <f t="array" aca="1" ref="L55" ca="1">IF($J55="",FALSE,AND(INDIRECT("OrganizationAccessCasePolicy!H"&amp;$J55),NOT(ISNA(MATCH(INDIRECT("OrganizationAccessCasePolicy!D"&amp;$J55)&amp;"|"&amp;$T55,CaseTypeSetMember!$H:$H,0)))))</f>
        <v>0</v>
      </c>
      <c r="M55" s="6" t="b" cm="1">
        <f t="array" aca="1" ref="M55" ca="1">IF($J55="",FALSE,AND(INDIRECT("OrganizationAccessCasePolicy!I"&amp;$J55),NOT(ISNA(MATCH(INDIRECT("OrganizationAccessCasePolicy!D"&amp;$J55)&amp;"|"&amp;$T55,CaseTypeSetMember!$H:$H,0)))))</f>
        <v>0</v>
      </c>
      <c r="N55" s="6">
        <f>IF(ISNA(MATCH($D55&amp;"|"&amp;$X55,UserAccessCasePolicy!$W:$W,0)),"",MATCH($D55&amp;"|"&amp;$X55,UserAccessCasePolicy!$W:$W,0))</f>
        <v>7</v>
      </c>
      <c r="O55" s="6" t="b" cm="1">
        <f t="array" aca="1" ref="O55" ca="1">IF($N55="",FALSE,NOT(ISNA(MATCH(INDIRECT("UserAccessCasePolicy!D"&amp;$N55)&amp;"|"&amp;$T55,CaseTypeSetMember!$H:$H,0))))</f>
        <v>0</v>
      </c>
      <c r="P55" s="6" t="b" cm="1">
        <f t="array" aca="1" ref="P55" ca="1">IF($N55="",FALSE,AND(INDIRECT("UserAccessCasePolicy!G"&amp;$N55),NOT(ISNA(MATCH(INDIRECT("UserAccessCasePolicy!D"&amp;$N55)&amp;"|"&amp;$T55,CaseTypeSetMember!$H:$H,0)))))</f>
        <v>0</v>
      </c>
      <c r="Q55" s="6" t="b" cm="1">
        <f t="array" aca="1" ref="Q55" ca="1">IF($N55="",FALSE,AND(INDIRECT("UserAccessCasePolicy!H"&amp;$N55),NOT(ISNA(MATCH(INDIRECT("UserAccessCasePolicy!D"&amp;$N55)&amp;"|"&amp;$T55,CaseTypeSetMember!$H:$H,0)))))</f>
        <v>0</v>
      </c>
      <c r="R55" t="s">
        <v>1059</v>
      </c>
      <c r="S55" s="6" t="str">
        <f>"case"&amp;MATCH($R55,$R$1:$R55,0)-1</f>
        <v>case54</v>
      </c>
      <c r="T55" t="s">
        <v>118</v>
      </c>
      <c r="U55" s="6" t="str">
        <f>INDEX(CaseType!$B:$B,MATCH($T55,CaseType!$A:$A,0))</f>
        <v>case_type2</v>
      </c>
      <c r="V55" s="6" t="b">
        <f>AND(IF($AJ55="",TRUE,$T55=INDEX(CaseTypeCol!$B:$B,MATCH($AJ55,CaseTypeCol!$A:$A,0))),IF($AQ55="",TRUE,$T55=INDEX(CaseTypeCol!$B:$B,MATCH($AQ55,CaseTypeCol!$A:$A,0))),IF($AX55="",TRUE,$T55=INDEX(CaseTypeCol!$B:$B,MATCH($AX55,CaseTypeCol!$A:$A,0))))</f>
        <v>0</v>
      </c>
      <c r="X55" t="s">
        <v>15</v>
      </c>
      <c r="Y55" s="6" t="str">
        <f>INDEX(DataCollection!$B:$B,MATCH($X55,DataCollection!$A:$A,0))</f>
        <v>data_collection6</v>
      </c>
      <c r="AA55" s="6" t="str">
        <f>IF($Z55="","",INDEX(CaseTypeCol!$J:$J,MATCH($Z55,CaseTypeCol!$A:$A,0)))</f>
        <v/>
      </c>
      <c r="AC55" s="6" t="str">
        <f>IF($AB55="","",INDEX(IdentifierIssuer!$B:$B,MATCH($AB55,IdentifierIssuer!$A:$A,0)))</f>
        <v/>
      </c>
      <c r="AE55" s="6" t="str">
        <f>IF($AD55="","",INDEX(SequencingProtocol!$B:$B,MATCH($AD55,SequencingProtocol!$A:$A,0)))</f>
        <v/>
      </c>
      <c r="AG55" s="6" t="str">
        <f>IF($AF55="","",INDEX(AssemblyProtocol!$B:$B,MATCH($AF55,AssemblyProtocol!$A:$A,0)))</f>
        <v/>
      </c>
      <c r="AI55" s="14">
        <v>36526</v>
      </c>
      <c r="AJ55" t="s">
        <v>516</v>
      </c>
      <c r="AK55" t="s">
        <v>972</v>
      </c>
      <c r="AL55" s="6" t="str">
        <f>IF($AJ55="","",INDEX(CaseTypeCol!$J:$J,MATCH($AJ55,CaseTypeCol!$A:$A,0)))</f>
        <v>case_type_col1_7_0_1_TEXT</v>
      </c>
      <c r="AM55" s="6" t="b" cm="1">
        <f t="array" aca="1" ref="AM55" ca="1">IF($AJ55="",TRUE,IF($J55="",FALSE,IF(INDIRECT("OrganizationAccessCasePolicy!J"&amp;$J55)="",FALSE,NOT(ISNA(MATCH(INDIRECT("OrganizationAccessCasePolicy!J"&amp;$J55)&amp;"|"&amp;$AJ55,CaseTypeColSetMember!$H:$H,0))))))</f>
        <v>1</v>
      </c>
      <c r="AN55" s="6" t="b" cm="1">
        <f t="array" aca="1" ref="AN55" ca="1">IF($AJ55="",TRUE,IF($J55="",FALSE,IF(INDIRECT("OrganizationAccessCasePolicy!L"&amp;$J55)="",FALSE,NOT(ISNA(MATCH(INDIRECT("OrganizationAccessCasePolicy!L"&amp;$J55)&amp;"|"&amp;$AJ55,CaseTypeColSetMember!$H:$H,0))))))</f>
        <v>0</v>
      </c>
      <c r="AO55" s="6" t="b" cm="1">
        <f t="array" aca="1" ref="AO55" ca="1">IF($AJ55="",TRUE,IF($N55="",FALSE,IF(INDIRECT("UserAccessCasePolicy!I"&amp;$N55)="",FALSE,NOT(ISNA(MATCH(INDIRECT("UserAccessCasePolicy!I"&amp;$N55)&amp;"|"&amp;$AJ55,CaseTypeColSetMember!$H:$H,0))))))</f>
        <v>1</v>
      </c>
      <c r="AP55" s="6" t="b" cm="1">
        <f t="array" aca="1" ref="AP55" ca="1">IF($AJ55="",TRUE,IF($N55="",FALSE,IF(INDIRECT("UserAccessCasePolicy!K"&amp;$N55)="",FALSE,NOT(ISNA(MATCH(INDIRECT("UserAccessCasePolicy!K"&amp;$N55)&amp;"|"&amp;$AJ55,CaseTypeColSetMember!$H:$H,0))))))</f>
        <v>1</v>
      </c>
      <c r="AS55" s="6" t="str">
        <f>IF($AQ55="","",INDEX(CaseTypeCol!$J:$J,MATCH($AQ55,CaseTypeCol!$A:$A,0)))</f>
        <v/>
      </c>
      <c r="AT55" s="6" t="b" cm="1">
        <f t="array" aca="1" ref="AT55" ca="1">IF($AQ55="",TRUE,IF($J55="",FALSE,IF(INDIRECT("OrganizationAccessCasePolicy!J"&amp;$J55)="",FALSE,NOT(ISNA(MATCH(INDIRECT("OrganizationAccessCasePolicy!J"&amp;$J55)&amp;"|"&amp;$AQ55,CaseTypeColSetMember!$H:$H,0))))))</f>
        <v>1</v>
      </c>
      <c r="AU55" s="6" t="b" cm="1">
        <f t="array" aca="1" ref="AU55" ca="1">IF($AQ55="",TRUE,IF($J55="",FALSE,IF(INDIRECT("OrganizationAccessCasePolicy!L"&amp;$J55)="",FALSE,NOT(ISNA(MATCH(INDIRECT("OrganizationAccessCasePolicy!L"&amp;$J55)&amp;"|"&amp;$AQ55,CaseTypeColSetMember!$H:$H,0))))))</f>
        <v>1</v>
      </c>
      <c r="AV55" s="6" t="b" cm="1">
        <f t="array" aca="1" ref="AV55" ca="1">IF($AQ55="",TRUE,IF($N55="",FALSE,IF(INDIRECT("UserAccessCasePolicy!I"&amp;$N55)="",FALSE,NOT(ISNA(MATCH(INDIRECT("UserAccessCasePolicy!I"&amp;$N55)&amp;"|"&amp;$AQ55,CaseTypeColSetMember!$H:$H,0))))))</f>
        <v>1</v>
      </c>
      <c r="AW55" s="6" t="b" cm="1">
        <f t="array" aca="1" ref="AW55" ca="1">IF($AQ55="",TRUE,IF($N55="",FALSE,IF(INDIRECT("UserAccessCasePolicy!K"&amp;$N55)="",FALSE,NOT(ISNA(MATCH(INDIRECT("UserAccessCasePolicy!K"&amp;$N55)&amp;"|"&amp;$AQ55,CaseTypeColSetMember!$H:$H,0))))))</f>
        <v>1</v>
      </c>
      <c r="AZ55" s="6" t="str">
        <f>IF($AX55="","",INDEX(CaseTypeCol!$J:$J,MATCH($AX55,CaseTypeCol!$A:$A,0)))</f>
        <v/>
      </c>
      <c r="BA55" s="6" t="b" cm="1">
        <f t="array" aca="1" ref="BA55" ca="1">IF($AX55="",TRUE,IF($J55="",FALSE,IF(INDIRECT("OrganizationAccessCasePolicy!J"&amp;$J55)="",FALSE,NOT(ISNA(MATCH(INDIRECT("OrganizationAccessCasePolicy!J"&amp;$J55)&amp;"|"&amp;$AX55,CaseTypeColSetMember!$H:$H,0))))))</f>
        <v>1</v>
      </c>
      <c r="BB55" s="6" t="b" cm="1">
        <f t="array" aca="1" ref="BB55" ca="1">IF($AX55="",TRUE,IF($J55="",FALSE,IF(INDIRECT("OrganizationAccessCasePolicy!L"&amp;$J55)="",FALSE,NOT(ISNA(MATCH(INDIRECT("OrganizationAccessCasePolicy!L"&amp;$J55)&amp;"|"&amp;$AX55,CaseTypeColSetMember!$H:$H,0))))))</f>
        <v>1</v>
      </c>
      <c r="BC55" s="6" t="b" cm="1">
        <f t="array" aca="1" ref="BC55" ca="1">IF($AX55="",TRUE,IF($N55="",FALSE,IF(INDIRECT("UserAccessCasePolicy!I"&amp;$N55)="",FALSE,NOT(ISNA(MATCH(INDIRECT("UserAccessCasePolicy!I"&amp;$N55)&amp;"|"&amp;$AX55,CaseTypeColSetMember!$H:$H,0))))))</f>
        <v>1</v>
      </c>
      <c r="BD55" s="6" t="b" cm="1">
        <f t="array" aca="1" ref="BD55" ca="1">IF($AX55="",TRUE,IF($N55="",FALSE,IF(INDIRECT("UserAccessCasePolicy!K"&amp;$N55)="",FALSE,NOT(ISNA(MATCH(INDIRECT("UserAccessCasePolicy!K"&amp;$N55)&amp;"|"&amp;$AX55,CaseTypeColSetMember!$H:$H,0))))))</f>
        <v>1</v>
      </c>
    </row>
    <row r="56" spans="1:56" ht="15" customHeight="1" x14ac:dyDescent="0.3">
      <c r="A56">
        <v>55</v>
      </c>
      <c r="B56" t="b">
        <v>0</v>
      </c>
      <c r="C56" t="s">
        <v>1060</v>
      </c>
      <c r="D56" t="s">
        <v>10</v>
      </c>
      <c r="E56" s="6" t="str">
        <f>INDEX(User!$D:$D,MATCH($D56,User!$A:$A,0))</f>
        <v>org_user1_1</v>
      </c>
      <c r="F56" t="s">
        <v>982</v>
      </c>
      <c r="G56" s="19" t="b">
        <f ca="1">IF($F56="CREATE",$I56,IF($F56="CREATE_CASES",OR($I56,AND($K56,$L56,$O56,$P56,$AN56,AP56,$AU56,$AW56,$BB56,$BD56)),"TBD"))</f>
        <v>0</v>
      </c>
      <c r="H56" s="6" t="str">
        <f>INDEX(User!$G:$G,MATCH($D56,User!$A:$A,0))</f>
        <v>018d074d-ea0c-e942-07db-a3cc0ba1d653</v>
      </c>
      <c r="I56" s="6" t="b">
        <f>INDEX(User!$M:$M,MATCH($D56,User!$A:$A,0))</f>
        <v>0</v>
      </c>
      <c r="J56" s="6">
        <f>IF(ISNA(MATCH($H56&amp;"|"&amp;$X56,OrganizationAccessCasePolicy!$V:$V,0)),"",MATCH($H56&amp;"|"&amp;$X56,OrganizationAccessCasePolicy!$V:$V,0))</f>
        <v>7</v>
      </c>
      <c r="K56" s="6" t="b" cm="1">
        <f t="array" aca="1" ref="K56" ca="1">IF($J56="",FALSE,NOT(ISNA(MATCH(INDIRECT("OrganizationAccessCasePolicy!D"&amp;$J56)&amp;"|"&amp;$T56,CaseTypeSetMember!$H:$H,0))))</f>
        <v>0</v>
      </c>
      <c r="L56" s="6" t="b" cm="1">
        <f t="array" aca="1" ref="L56" ca="1">IF($J56="",FALSE,AND(INDIRECT("OrganizationAccessCasePolicy!H"&amp;$J56),NOT(ISNA(MATCH(INDIRECT("OrganizationAccessCasePolicy!D"&amp;$J56)&amp;"|"&amp;$T56,CaseTypeSetMember!$H:$H,0)))))</f>
        <v>0</v>
      </c>
      <c r="M56" s="6" t="b" cm="1">
        <f t="array" aca="1" ref="M56" ca="1">IF($J56="",FALSE,AND(INDIRECT("OrganizationAccessCasePolicy!I"&amp;$J56),NOT(ISNA(MATCH(INDIRECT("OrganizationAccessCasePolicy!D"&amp;$J56)&amp;"|"&amp;$T56,CaseTypeSetMember!$H:$H,0)))))</f>
        <v>0</v>
      </c>
      <c r="N56" s="6">
        <f>IF(ISNA(MATCH($D56&amp;"|"&amp;$X56,UserAccessCasePolicy!$W:$W,0)),"",MATCH($D56&amp;"|"&amp;$X56,UserAccessCasePolicy!$W:$W,0))</f>
        <v>7</v>
      </c>
      <c r="O56" s="6" t="b" cm="1">
        <f t="array" aca="1" ref="O56" ca="1">IF($N56="",FALSE,NOT(ISNA(MATCH(INDIRECT("UserAccessCasePolicy!D"&amp;$N56)&amp;"|"&amp;$T56,CaseTypeSetMember!$H:$H,0))))</f>
        <v>0</v>
      </c>
      <c r="P56" s="6" t="b" cm="1">
        <f t="array" aca="1" ref="P56" ca="1">IF($N56="",FALSE,AND(INDIRECT("UserAccessCasePolicy!G"&amp;$N56),NOT(ISNA(MATCH(INDIRECT("UserAccessCasePolicy!D"&amp;$N56)&amp;"|"&amp;$T56,CaseTypeSetMember!$H:$H,0)))))</f>
        <v>0</v>
      </c>
      <c r="Q56" s="6" t="b" cm="1">
        <f t="array" aca="1" ref="Q56" ca="1">IF($N56="",FALSE,AND(INDIRECT("UserAccessCasePolicy!H"&amp;$N56),NOT(ISNA(MATCH(INDIRECT("UserAccessCasePolicy!D"&amp;$N56)&amp;"|"&amp;$T56,CaseTypeSetMember!$H:$H,0)))))</f>
        <v>0</v>
      </c>
      <c r="R56" t="s">
        <v>1061</v>
      </c>
      <c r="S56" s="6" t="str">
        <f>"case"&amp;MATCH($R56,$R$1:$R56,0)-1</f>
        <v>case55</v>
      </c>
      <c r="T56" t="s">
        <v>121</v>
      </c>
      <c r="U56" s="6" t="str">
        <f>INDEX(CaseType!$B:$B,MATCH($T56,CaseType!$A:$A,0))</f>
        <v>case_type3</v>
      </c>
      <c r="V56" s="6" t="b">
        <f>AND(IF($AJ56="",TRUE,$T56=INDEX(CaseTypeCol!$B:$B,MATCH($AJ56,CaseTypeCol!$A:$A,0))),IF($AQ56="",TRUE,$T56=INDEX(CaseTypeCol!$B:$B,MATCH($AQ56,CaseTypeCol!$A:$A,0))),IF($AX56="",TRUE,$T56=INDEX(CaseTypeCol!$B:$B,MATCH($AX56,CaseTypeCol!$A:$A,0))))</f>
        <v>0</v>
      </c>
      <c r="X56" t="s">
        <v>15</v>
      </c>
      <c r="Y56" s="6" t="str">
        <f>INDEX(DataCollection!$B:$B,MATCH($X56,DataCollection!$A:$A,0))</f>
        <v>data_collection6</v>
      </c>
      <c r="AA56" s="6" t="str">
        <f>IF($Z56="","",INDEX(CaseTypeCol!$J:$J,MATCH($Z56,CaseTypeCol!$A:$A,0)))</f>
        <v/>
      </c>
      <c r="AC56" s="6" t="str">
        <f>IF($AB56="","",INDEX(IdentifierIssuer!$B:$B,MATCH($AB56,IdentifierIssuer!$A:$A,0)))</f>
        <v/>
      </c>
      <c r="AE56" s="6" t="str">
        <f>IF($AD56="","",INDEX(SequencingProtocol!$B:$B,MATCH($AD56,SequencingProtocol!$A:$A,0)))</f>
        <v/>
      </c>
      <c r="AG56" s="6" t="str">
        <f>IF($AF56="","",INDEX(AssemblyProtocol!$B:$B,MATCH($AF56,AssemblyProtocol!$A:$A,0)))</f>
        <v/>
      </c>
      <c r="AI56" s="14">
        <v>36526</v>
      </c>
      <c r="AJ56" t="s">
        <v>516</v>
      </c>
      <c r="AK56" t="s">
        <v>972</v>
      </c>
      <c r="AL56" s="6" t="str">
        <f>IF($AJ56="","",INDEX(CaseTypeCol!$J:$J,MATCH($AJ56,CaseTypeCol!$A:$A,0)))</f>
        <v>case_type_col1_7_0_1_TEXT</v>
      </c>
      <c r="AM56" s="6" t="b" cm="1">
        <f t="array" aca="1" ref="AM56" ca="1">IF($AJ56="",TRUE,IF($J56="",FALSE,IF(INDIRECT("OrganizationAccessCasePolicy!J"&amp;$J56)="",FALSE,NOT(ISNA(MATCH(INDIRECT("OrganizationAccessCasePolicy!J"&amp;$J56)&amp;"|"&amp;$AJ56,CaseTypeColSetMember!$H:$H,0))))))</f>
        <v>1</v>
      </c>
      <c r="AN56" s="6" t="b" cm="1">
        <f t="array" aca="1" ref="AN56" ca="1">IF($AJ56="",TRUE,IF($J56="",FALSE,IF(INDIRECT("OrganizationAccessCasePolicy!L"&amp;$J56)="",FALSE,NOT(ISNA(MATCH(INDIRECT("OrganizationAccessCasePolicy!L"&amp;$J56)&amp;"|"&amp;$AJ56,CaseTypeColSetMember!$H:$H,0))))))</f>
        <v>0</v>
      </c>
      <c r="AO56" s="6" t="b" cm="1">
        <f t="array" aca="1" ref="AO56" ca="1">IF($AJ56="",TRUE,IF($N56="",FALSE,IF(INDIRECT("UserAccessCasePolicy!I"&amp;$N56)="",FALSE,NOT(ISNA(MATCH(INDIRECT("UserAccessCasePolicy!I"&amp;$N56)&amp;"|"&amp;$AJ56,CaseTypeColSetMember!$H:$H,0))))))</f>
        <v>1</v>
      </c>
      <c r="AP56" s="6" t="b" cm="1">
        <f t="array" aca="1" ref="AP56" ca="1">IF($AJ56="",TRUE,IF($N56="",FALSE,IF(INDIRECT("UserAccessCasePolicy!K"&amp;$N56)="",FALSE,NOT(ISNA(MATCH(INDIRECT("UserAccessCasePolicy!K"&amp;$N56)&amp;"|"&amp;$AJ56,CaseTypeColSetMember!$H:$H,0))))))</f>
        <v>1</v>
      </c>
      <c r="AQ56" t="s">
        <v>517</v>
      </c>
      <c r="AR56" t="s">
        <v>1083</v>
      </c>
      <c r="AS56" s="6" t="str">
        <f>IF($AQ56="","",INDEX(CaseTypeCol!$J:$J,MATCH($AQ56,CaseTypeCol!$A:$A,0)))</f>
        <v>case_type_col1_8_0_1_TEXT</v>
      </c>
      <c r="AT56" s="6" t="b" cm="1">
        <f t="array" aca="1" ref="AT56" ca="1">IF($AQ56="",TRUE,IF($J56="",FALSE,IF(INDIRECT("OrganizationAccessCasePolicy!J"&amp;$J56)="",FALSE,NOT(ISNA(MATCH(INDIRECT("OrganizationAccessCasePolicy!J"&amp;$J56)&amp;"|"&amp;$AQ56,CaseTypeColSetMember!$H:$H,0))))))</f>
        <v>0</v>
      </c>
      <c r="AU56" s="6" t="b" cm="1">
        <f t="array" aca="1" ref="AU56" ca="1">IF($AQ56="",TRUE,IF($J56="",FALSE,IF(INDIRECT("OrganizationAccessCasePolicy!L"&amp;$J56)="",FALSE,NOT(ISNA(MATCH(INDIRECT("OrganizationAccessCasePolicy!L"&amp;$J56)&amp;"|"&amp;$AQ56,CaseTypeColSetMember!$H:$H,0))))))</f>
        <v>0</v>
      </c>
      <c r="AV56" s="6" t="b" cm="1">
        <f t="array" aca="1" ref="AV56" ca="1">IF($AQ56="",TRUE,IF($N56="",FALSE,IF(INDIRECT("UserAccessCasePolicy!I"&amp;$N56)="",FALSE,NOT(ISNA(MATCH(INDIRECT("UserAccessCasePolicy!I"&amp;$N56)&amp;"|"&amp;$AQ56,CaseTypeColSetMember!$H:$H,0))))))</f>
        <v>0</v>
      </c>
      <c r="AW56" s="6" t="b" cm="1">
        <f t="array" aca="1" ref="AW56" ca="1">IF($AQ56="",TRUE,IF($N56="",FALSE,IF(INDIRECT("UserAccessCasePolicy!K"&amp;$N56)="",FALSE,NOT(ISNA(MATCH(INDIRECT("UserAccessCasePolicy!K"&amp;$N56)&amp;"|"&amp;$AQ56,CaseTypeColSetMember!$H:$H,0))))))</f>
        <v>0</v>
      </c>
      <c r="AZ56" s="6" t="str">
        <f>IF($AX56="","",INDEX(CaseTypeCol!$J:$J,MATCH($AX56,CaseTypeCol!$A:$A,0)))</f>
        <v/>
      </c>
      <c r="BA56" s="6" t="b" cm="1">
        <f t="array" aca="1" ref="BA56" ca="1">IF($AX56="",TRUE,IF($J56="",FALSE,IF(INDIRECT("OrganizationAccessCasePolicy!J"&amp;$J56)="",FALSE,NOT(ISNA(MATCH(INDIRECT("OrganizationAccessCasePolicy!J"&amp;$J56)&amp;"|"&amp;$AX56,CaseTypeColSetMember!$H:$H,0))))))</f>
        <v>1</v>
      </c>
      <c r="BB56" s="6" t="b" cm="1">
        <f t="array" aca="1" ref="BB56" ca="1">IF($AX56="",TRUE,IF($J56="",FALSE,IF(INDIRECT("OrganizationAccessCasePolicy!L"&amp;$J56)="",FALSE,NOT(ISNA(MATCH(INDIRECT("OrganizationAccessCasePolicy!L"&amp;$J56)&amp;"|"&amp;$AX56,CaseTypeColSetMember!$H:$H,0))))))</f>
        <v>1</v>
      </c>
      <c r="BC56" s="6" t="b" cm="1">
        <f t="array" aca="1" ref="BC56" ca="1">IF($AX56="",TRUE,IF($N56="",FALSE,IF(INDIRECT("UserAccessCasePolicy!I"&amp;$N56)="",FALSE,NOT(ISNA(MATCH(INDIRECT("UserAccessCasePolicy!I"&amp;$N56)&amp;"|"&amp;$AX56,CaseTypeColSetMember!$H:$H,0))))))</f>
        <v>1</v>
      </c>
      <c r="BD56" s="6" t="b" cm="1">
        <f t="array" aca="1" ref="BD56" ca="1">IF($AX56="",TRUE,IF($N56="",FALSE,IF(INDIRECT("UserAccessCasePolicy!K"&amp;$N56)="",FALSE,NOT(ISNA(MATCH(INDIRECT("UserAccessCasePolicy!K"&amp;$N56)&amp;"|"&amp;$AX56,CaseTypeColSetMember!$H:$H,0))))))</f>
        <v>1</v>
      </c>
    </row>
    <row r="57" spans="1:56" ht="15" customHeight="1" x14ac:dyDescent="0.3">
      <c r="A57">
        <v>56</v>
      </c>
      <c r="B57" t="b">
        <v>0</v>
      </c>
      <c r="C57" t="s">
        <v>1062</v>
      </c>
      <c r="D57" t="s">
        <v>10</v>
      </c>
      <c r="E57" s="6" t="str">
        <f>INDEX(User!$D:$D,MATCH($D57,User!$A:$A,0))</f>
        <v>org_user1_1</v>
      </c>
      <c r="F57" t="s">
        <v>982</v>
      </c>
      <c r="G57" s="19" t="b">
        <f ca="1">IF($F57="CREATE",$I57,IF($F57="CREATE_CASES",OR($I57,AND($K57,$L57,$O57,$P57,$AN57,AP57,$AU57,$AW57,$BB57,$BD57)),"TBD"))</f>
        <v>0</v>
      </c>
      <c r="H57" s="6" t="str">
        <f>INDEX(User!$G:$G,MATCH($D57,User!$A:$A,0))</f>
        <v>018d074d-ea0c-e942-07db-a3cc0ba1d653</v>
      </c>
      <c r="I57" s="6" t="b">
        <f>INDEX(User!$M:$M,MATCH($D57,User!$A:$A,0))</f>
        <v>0</v>
      </c>
      <c r="J57" s="6" t="str">
        <f>IF(ISNA(MATCH($H57&amp;"|"&amp;$X57,OrganizationAccessCasePolicy!$V:$V,0)),"",MATCH($H57&amp;"|"&amp;$X57,OrganizationAccessCasePolicy!$V:$V,0))</f>
        <v/>
      </c>
      <c r="K57" s="6" t="b" cm="1">
        <f t="array" aca="1" ref="K57" ca="1">IF($J57="",FALSE,NOT(ISNA(MATCH(INDIRECT("OrganizationAccessCasePolicy!D"&amp;$J57)&amp;"|"&amp;$T57,CaseTypeSetMember!$H:$H,0))))</f>
        <v>0</v>
      </c>
      <c r="L57" s="6" t="b" cm="1">
        <f t="array" aca="1" ref="L57" ca="1">IF($J57="",FALSE,AND(INDIRECT("OrganizationAccessCasePolicy!H"&amp;$J57),NOT(ISNA(MATCH(INDIRECT("OrganizationAccessCasePolicy!D"&amp;$J57)&amp;"|"&amp;$T57,CaseTypeSetMember!$H:$H,0)))))</f>
        <v>0</v>
      </c>
      <c r="M57" s="6" t="b" cm="1">
        <f t="array" aca="1" ref="M57" ca="1">IF($J57="",FALSE,AND(INDIRECT("OrganizationAccessCasePolicy!I"&amp;$J57),NOT(ISNA(MATCH(INDIRECT("OrganizationAccessCasePolicy!D"&amp;$J57)&amp;"|"&amp;$T57,CaseTypeSetMember!$H:$H,0)))))</f>
        <v>0</v>
      </c>
      <c r="N57" s="6" t="str">
        <f>IF(ISNA(MATCH($D57&amp;"|"&amp;$X57,UserAccessCasePolicy!$W:$W,0)),"",MATCH($D57&amp;"|"&amp;$X57,UserAccessCasePolicy!$W:$W,0))</f>
        <v/>
      </c>
      <c r="O57" s="6" t="b" cm="1">
        <f t="array" aca="1" ref="O57" ca="1">IF($N57="",FALSE,NOT(ISNA(MATCH(INDIRECT("UserAccessCasePolicy!D"&amp;$N57)&amp;"|"&amp;$T57,CaseTypeSetMember!$H:$H,0))))</f>
        <v>0</v>
      </c>
      <c r="P57" s="6" t="b" cm="1">
        <f t="array" aca="1" ref="P57" ca="1">IF($N57="",FALSE,AND(INDIRECT("UserAccessCasePolicy!G"&amp;$N57),NOT(ISNA(MATCH(INDIRECT("UserAccessCasePolicy!D"&amp;$N57)&amp;"|"&amp;$T57,CaseTypeSetMember!$H:$H,0)))))</f>
        <v>0</v>
      </c>
      <c r="Q57" s="6" t="b" cm="1">
        <f t="array" aca="1" ref="Q57" ca="1">IF($N57="",FALSE,AND(INDIRECT("UserAccessCasePolicy!H"&amp;$N57),NOT(ISNA(MATCH(INDIRECT("UserAccessCasePolicy!D"&amp;$N57)&amp;"|"&amp;$T57,CaseTypeSetMember!$H:$H,0)))))</f>
        <v>0</v>
      </c>
      <c r="R57" t="s">
        <v>1063</v>
      </c>
      <c r="S57" s="6" t="str">
        <f>"case"&amp;MATCH($R57,$R$1:$R57,0)-1</f>
        <v>case56</v>
      </c>
      <c r="T57" t="s">
        <v>124</v>
      </c>
      <c r="U57" s="6" t="str">
        <f>INDEX(CaseType!$B:$B,MATCH($T57,CaseType!$A:$A,0))</f>
        <v>case_type4</v>
      </c>
      <c r="V57" s="6" t="b">
        <f>AND(IF($AJ57="",TRUE,$T57=INDEX(CaseTypeCol!$B:$B,MATCH($AJ57,CaseTypeCol!$A:$A,0))),IF($AQ57="",TRUE,$T57=INDEX(CaseTypeCol!$B:$B,MATCH($AQ57,CaseTypeCol!$A:$A,0))),IF($AX57="",TRUE,$T57=INDEX(CaseTypeCol!$B:$B,MATCH($AX57,CaseTypeCol!$A:$A,0))))</f>
        <v>0</v>
      </c>
      <c r="X57" t="s">
        <v>35</v>
      </c>
      <c r="Y57" s="6" t="str">
        <f>INDEX(DataCollection!$B:$B,MATCH($X57,DataCollection!$A:$A,0))</f>
        <v>data_collection5</v>
      </c>
      <c r="AA57" s="6" t="str">
        <f>IF($Z57="","",INDEX(CaseTypeCol!$J:$J,MATCH($Z57,CaseTypeCol!$A:$A,0)))</f>
        <v/>
      </c>
      <c r="AC57" s="6" t="str">
        <f>IF($AB57="","",INDEX(IdentifierIssuer!$B:$B,MATCH($AB57,IdentifierIssuer!$A:$A,0)))</f>
        <v/>
      </c>
      <c r="AE57" s="6" t="str">
        <f>IF($AD57="","",INDEX(SequencingProtocol!$B:$B,MATCH($AD57,SequencingProtocol!$A:$A,0)))</f>
        <v/>
      </c>
      <c r="AG57" s="6" t="str">
        <f>IF($AF57="","",INDEX(AssemblyProtocol!$B:$B,MATCH($AF57,AssemblyProtocol!$A:$A,0)))</f>
        <v/>
      </c>
      <c r="AI57" s="14">
        <v>36526</v>
      </c>
      <c r="AJ57" t="s">
        <v>516</v>
      </c>
      <c r="AK57" t="s">
        <v>972</v>
      </c>
      <c r="AL57" s="6" t="str">
        <f>IF($AJ57="","",INDEX(CaseTypeCol!$J:$J,MATCH($AJ57,CaseTypeCol!$A:$A,0)))</f>
        <v>case_type_col1_7_0_1_TEXT</v>
      </c>
      <c r="AM57" s="6" t="b" cm="1">
        <f t="array" aca="1" ref="AM57" ca="1">IF($AJ57="",TRUE,IF($J57="",FALSE,IF(INDIRECT("OrganizationAccessCasePolicy!J"&amp;$J57)="",FALSE,NOT(ISNA(MATCH(INDIRECT("OrganizationAccessCasePolicy!J"&amp;$J57)&amp;"|"&amp;$AJ57,CaseTypeColSetMember!$H:$H,0))))))</f>
        <v>0</v>
      </c>
      <c r="AN57" s="6" t="b" cm="1">
        <f t="array" aca="1" ref="AN57" ca="1">IF($AJ57="",TRUE,IF($J57="",FALSE,IF(INDIRECT("OrganizationAccessCasePolicy!L"&amp;$J57)="",FALSE,NOT(ISNA(MATCH(INDIRECT("OrganizationAccessCasePolicy!L"&amp;$J57)&amp;"|"&amp;$AJ57,CaseTypeColSetMember!$H:$H,0))))))</f>
        <v>0</v>
      </c>
      <c r="AO57" s="6" t="b" cm="1">
        <f t="array" aca="1" ref="AO57" ca="1">IF($AJ57="",TRUE,IF($N57="",FALSE,IF(INDIRECT("UserAccessCasePolicy!I"&amp;$N57)="",FALSE,NOT(ISNA(MATCH(INDIRECT("UserAccessCasePolicy!I"&amp;$N57)&amp;"|"&amp;$AJ57,CaseTypeColSetMember!$H:$H,0))))))</f>
        <v>0</v>
      </c>
      <c r="AP57" s="6" t="b" cm="1">
        <f t="array" aca="1" ref="AP57" ca="1">IF($AJ57="",TRUE,IF($N57="",FALSE,IF(INDIRECT("UserAccessCasePolicy!K"&amp;$N57)="",FALSE,NOT(ISNA(MATCH(INDIRECT("UserAccessCasePolicy!K"&amp;$N57)&amp;"|"&amp;$AJ57,CaseTypeColSetMember!$H:$H,0))))))</f>
        <v>0</v>
      </c>
      <c r="AS57" s="6" t="str">
        <f>IF($AQ57="","",INDEX(CaseTypeCol!$J:$J,MATCH($AQ57,CaseTypeCol!$A:$A,0)))</f>
        <v/>
      </c>
      <c r="AT57" s="6" t="b" cm="1">
        <f t="array" aca="1" ref="AT57" ca="1">IF($AQ57="",TRUE,IF($J57="",FALSE,IF(INDIRECT("OrganizationAccessCasePolicy!J"&amp;$J57)="",FALSE,NOT(ISNA(MATCH(INDIRECT("OrganizationAccessCasePolicy!J"&amp;$J57)&amp;"|"&amp;$AQ57,CaseTypeColSetMember!$H:$H,0))))))</f>
        <v>1</v>
      </c>
      <c r="AU57" s="6" t="b" cm="1">
        <f t="array" aca="1" ref="AU57" ca="1">IF($AQ57="",TRUE,IF($J57="",FALSE,IF(INDIRECT("OrganizationAccessCasePolicy!L"&amp;$J57)="",FALSE,NOT(ISNA(MATCH(INDIRECT("OrganizationAccessCasePolicy!L"&amp;$J57)&amp;"|"&amp;$AQ57,CaseTypeColSetMember!$H:$H,0))))))</f>
        <v>1</v>
      </c>
      <c r="AV57" s="6" t="b" cm="1">
        <f t="array" aca="1" ref="AV57" ca="1">IF($AQ57="",TRUE,IF($N57="",FALSE,IF(INDIRECT("UserAccessCasePolicy!I"&amp;$N57)="",FALSE,NOT(ISNA(MATCH(INDIRECT("UserAccessCasePolicy!I"&amp;$N57)&amp;"|"&amp;$AQ57,CaseTypeColSetMember!$H:$H,0))))))</f>
        <v>1</v>
      </c>
      <c r="AW57" s="6" t="b" cm="1">
        <f t="array" aca="1" ref="AW57" ca="1">IF($AQ57="",TRUE,IF($N57="",FALSE,IF(INDIRECT("UserAccessCasePolicy!K"&amp;$N57)="",FALSE,NOT(ISNA(MATCH(INDIRECT("UserAccessCasePolicy!K"&amp;$N57)&amp;"|"&amp;$AQ57,CaseTypeColSetMember!$H:$H,0))))))</f>
        <v>1</v>
      </c>
      <c r="AZ57" s="6" t="str">
        <f>IF($AX57="","",INDEX(CaseTypeCol!$J:$J,MATCH($AX57,CaseTypeCol!$A:$A,0)))</f>
        <v/>
      </c>
      <c r="BA57" s="6" t="b" cm="1">
        <f t="array" aca="1" ref="BA57" ca="1">IF($AX57="",TRUE,IF($J57="",FALSE,IF(INDIRECT("OrganizationAccessCasePolicy!J"&amp;$J57)="",FALSE,NOT(ISNA(MATCH(INDIRECT("OrganizationAccessCasePolicy!J"&amp;$J57)&amp;"|"&amp;$AX57,CaseTypeColSetMember!$H:$H,0))))))</f>
        <v>1</v>
      </c>
      <c r="BB57" s="6" t="b" cm="1">
        <f t="array" aca="1" ref="BB57" ca="1">IF($AX57="",TRUE,IF($J57="",FALSE,IF(INDIRECT("OrganizationAccessCasePolicy!L"&amp;$J57)="",FALSE,NOT(ISNA(MATCH(INDIRECT("OrganizationAccessCasePolicy!L"&amp;$J57)&amp;"|"&amp;$AX57,CaseTypeColSetMember!$H:$H,0))))))</f>
        <v>1</v>
      </c>
      <c r="BC57" s="6" t="b" cm="1">
        <f t="array" aca="1" ref="BC57" ca="1">IF($AX57="",TRUE,IF($N57="",FALSE,IF(INDIRECT("UserAccessCasePolicy!I"&amp;$N57)="",FALSE,NOT(ISNA(MATCH(INDIRECT("UserAccessCasePolicy!I"&amp;$N57)&amp;"|"&amp;$AX57,CaseTypeColSetMember!$H:$H,0))))))</f>
        <v>1</v>
      </c>
      <c r="BD57" s="6" t="b" cm="1">
        <f t="array" aca="1" ref="BD57" ca="1">IF($AX57="",TRUE,IF($N57="",FALSE,IF(INDIRECT("UserAccessCasePolicy!K"&amp;$N57)="",FALSE,NOT(ISNA(MATCH(INDIRECT("UserAccessCasePolicy!K"&amp;$N57)&amp;"|"&amp;$AX57,CaseTypeColSetMember!$H:$H,0))))))</f>
        <v>1</v>
      </c>
    </row>
    <row r="58" spans="1:56" ht="15" customHeight="1" x14ac:dyDescent="0.3">
      <c r="A58">
        <v>57</v>
      </c>
      <c r="B58" t="b">
        <v>0</v>
      </c>
      <c r="C58" t="s">
        <v>1064</v>
      </c>
      <c r="D58" t="s">
        <v>12</v>
      </c>
      <c r="E58" s="6" t="str">
        <f>INDEX(User!$D:$D,MATCH($D58,User!$A:$A,0))</f>
        <v>org_user1_2</v>
      </c>
      <c r="F58" t="s">
        <v>982</v>
      </c>
      <c r="G58" s="19" t="b">
        <f ca="1">IF($F58="CREATE",$I58,IF($F58="CREATE_CASES",OR($I58,AND($K58,$L58,$O58,$P58,$AN58,AP58,$AU58,$AW58,$BB58,$BD58)),"TBD"))</f>
        <v>0</v>
      </c>
      <c r="H58" s="6" t="str">
        <f>INDEX(User!$G:$G,MATCH($D58,User!$A:$A,0))</f>
        <v>018d074d-ea0c-e942-07db-a3cc0ba1d653</v>
      </c>
      <c r="I58" s="6" t="b">
        <f>INDEX(User!$M:$M,MATCH($D58,User!$A:$A,0))</f>
        <v>0</v>
      </c>
      <c r="J58" s="6">
        <f>IF(ISNA(MATCH($H58&amp;"|"&amp;$X58,OrganizationAccessCasePolicy!$V:$V,0)),"",MATCH($H58&amp;"|"&amp;$X58,OrganizationAccessCasePolicy!$V:$V,0))</f>
        <v>2</v>
      </c>
      <c r="K58" s="6" t="b" cm="1">
        <f t="array" aca="1" ref="K58" ca="1">IF($J58="",FALSE,NOT(ISNA(MATCH(INDIRECT("OrganizationAccessCasePolicy!D"&amp;$J58)&amp;"|"&amp;$T58,CaseTypeSetMember!$H:$H,0))))</f>
        <v>0</v>
      </c>
      <c r="L58" s="6" t="b" cm="1">
        <f t="array" aca="1" ref="L58" ca="1">IF($J58="",FALSE,AND(INDIRECT("OrganizationAccessCasePolicy!H"&amp;$J58),NOT(ISNA(MATCH(INDIRECT("OrganizationAccessCasePolicy!D"&amp;$J58)&amp;"|"&amp;$T58,CaseTypeSetMember!$H:$H,0)))))</f>
        <v>0</v>
      </c>
      <c r="M58" s="6" t="b" cm="1">
        <f t="array" aca="1" ref="M58" ca="1">IF($J58="",FALSE,AND(INDIRECT("OrganizationAccessCasePolicy!I"&amp;$J58),NOT(ISNA(MATCH(INDIRECT("OrganizationAccessCasePolicy!D"&amp;$J58)&amp;"|"&amp;$T58,CaseTypeSetMember!$H:$H,0)))))</f>
        <v>0</v>
      </c>
      <c r="N58" s="6" t="str">
        <f>IF(ISNA(MATCH($D58&amp;"|"&amp;$X58,UserAccessCasePolicy!$W:$W,0)),"",MATCH($D58&amp;"|"&amp;$X58,UserAccessCasePolicy!$W:$W,0))</f>
        <v/>
      </c>
      <c r="O58" s="6" t="b" cm="1">
        <f t="array" aca="1" ref="O58" ca="1">IF($N58="",FALSE,NOT(ISNA(MATCH(INDIRECT("UserAccessCasePolicy!D"&amp;$N58)&amp;"|"&amp;$T58,CaseTypeSetMember!$H:$H,0))))</f>
        <v>0</v>
      </c>
      <c r="P58" s="6" t="b" cm="1">
        <f t="array" aca="1" ref="P58" ca="1">IF($N58="",FALSE,AND(INDIRECT("UserAccessCasePolicy!G"&amp;$N58),NOT(ISNA(MATCH(INDIRECT("UserAccessCasePolicy!D"&amp;$N58)&amp;"|"&amp;$T58,CaseTypeSetMember!$H:$H,0)))))</f>
        <v>0</v>
      </c>
      <c r="Q58" s="6" t="b" cm="1">
        <f t="array" aca="1" ref="Q58" ca="1">IF($N58="",FALSE,AND(INDIRECT("UserAccessCasePolicy!H"&amp;$N58),NOT(ISNA(MATCH(INDIRECT("UserAccessCasePolicy!D"&amp;$N58)&amp;"|"&amp;$T58,CaseTypeSetMember!$H:$H,0)))))</f>
        <v>0</v>
      </c>
      <c r="R58" t="s">
        <v>999</v>
      </c>
      <c r="S58" s="6" t="str">
        <f>"case"&amp;MATCH($R58,$R$1:$R58,0)-1</f>
        <v>case15</v>
      </c>
      <c r="T58" t="s">
        <v>118</v>
      </c>
      <c r="U58" s="6" t="str">
        <f>INDEX(CaseType!$B:$B,MATCH($T58,CaseType!$A:$A,0))</f>
        <v>case_type2</v>
      </c>
      <c r="V58" s="6" t="b">
        <f>AND(IF($AJ58="",TRUE,$T58=INDEX(CaseTypeCol!$B:$B,MATCH($AJ58,CaseTypeCol!$A:$A,0))),IF($AQ58="",TRUE,$T58=INDEX(CaseTypeCol!$B:$B,MATCH($AQ58,CaseTypeCol!$A:$A,0))),IF($AX58="",TRUE,$T58=INDEX(CaseTypeCol!$B:$B,MATCH($AX58,CaseTypeCol!$A:$A,0))))</f>
        <v>0</v>
      </c>
      <c r="X58" t="s">
        <v>11</v>
      </c>
      <c r="Y58" s="6" t="str">
        <f>INDEX(DataCollection!$B:$B,MATCH($X58,DataCollection!$A:$A,0))</f>
        <v>data_collection1</v>
      </c>
      <c r="AA58" s="6" t="str">
        <f>IF($Z58="","",INDEX(CaseTypeCol!$J:$J,MATCH($Z58,CaseTypeCol!$A:$A,0)))</f>
        <v/>
      </c>
      <c r="AC58" s="6" t="str">
        <f>IF($AB58="","",INDEX(IdentifierIssuer!$B:$B,MATCH($AB58,IdentifierIssuer!$A:$A,0)))</f>
        <v/>
      </c>
      <c r="AE58" s="6" t="str">
        <f>IF($AD58="","",INDEX(SequencingProtocol!$B:$B,MATCH($AD58,SequencingProtocol!$A:$A,0)))</f>
        <v/>
      </c>
      <c r="AG58" s="6" t="str">
        <f>IF($AF58="","",INDEX(AssemblyProtocol!$B:$B,MATCH($AF58,AssemblyProtocol!$A:$A,0)))</f>
        <v/>
      </c>
      <c r="AI58" s="14">
        <v>36526</v>
      </c>
      <c r="AJ58" t="s">
        <v>516</v>
      </c>
      <c r="AK58" t="s">
        <v>972</v>
      </c>
      <c r="AL58" s="6" t="str">
        <f>IF($AJ58="","",INDEX(CaseTypeCol!$J:$J,MATCH($AJ58,CaseTypeCol!$A:$A,0)))</f>
        <v>case_type_col1_7_0_1_TEXT</v>
      </c>
      <c r="AM58" s="6" t="b" cm="1">
        <f t="array" aca="1" ref="AM58" ca="1">IF($AJ58="",TRUE,IF($J58="",FALSE,IF(INDIRECT("OrganizationAccessCasePolicy!J"&amp;$J58)="",FALSE,NOT(ISNA(MATCH(INDIRECT("OrganizationAccessCasePolicy!J"&amp;$J58)&amp;"|"&amp;$AJ58,CaseTypeColSetMember!$H:$H,0))))))</f>
        <v>1</v>
      </c>
      <c r="AN58" s="6" t="b" cm="1">
        <f t="array" aca="1" ref="AN58" ca="1">IF($AJ58="",TRUE,IF($J58="",FALSE,IF(INDIRECT("OrganizationAccessCasePolicy!L"&amp;$J58)="",FALSE,NOT(ISNA(MATCH(INDIRECT("OrganizationAccessCasePolicy!L"&amp;$J58)&amp;"|"&amp;$AJ58,CaseTypeColSetMember!$H:$H,0))))))</f>
        <v>1</v>
      </c>
      <c r="AO58" s="6" t="b" cm="1">
        <f t="array" aca="1" ref="AO58" ca="1">IF($AJ58="",TRUE,IF($N58="",FALSE,IF(INDIRECT("UserAccessCasePolicy!I"&amp;$N58)="",FALSE,NOT(ISNA(MATCH(INDIRECT("UserAccessCasePolicy!I"&amp;$N58)&amp;"|"&amp;$AJ58,CaseTypeColSetMember!$H:$H,0))))))</f>
        <v>0</v>
      </c>
      <c r="AP58" s="6" t="b" cm="1">
        <f t="array" aca="1" ref="AP58" ca="1">IF($AJ58="",TRUE,IF($N58="",FALSE,IF(INDIRECT("UserAccessCasePolicy!K"&amp;$N58)="",FALSE,NOT(ISNA(MATCH(INDIRECT("UserAccessCasePolicy!K"&amp;$N58)&amp;"|"&amp;$AJ58,CaseTypeColSetMember!$H:$H,0))))))</f>
        <v>0</v>
      </c>
      <c r="AS58" s="6" t="str">
        <f>IF($AQ58="","",INDEX(CaseTypeCol!$J:$J,MATCH($AQ58,CaseTypeCol!$A:$A,0)))</f>
        <v/>
      </c>
      <c r="AT58" s="6" t="b" cm="1">
        <f t="array" aca="1" ref="AT58" ca="1">IF($AQ58="",TRUE,IF($J58="",FALSE,IF(INDIRECT("OrganizationAccessCasePolicy!J"&amp;$J58)="",FALSE,NOT(ISNA(MATCH(INDIRECT("OrganizationAccessCasePolicy!J"&amp;$J58)&amp;"|"&amp;$AQ58,CaseTypeColSetMember!$H:$H,0))))))</f>
        <v>1</v>
      </c>
      <c r="AU58" s="6" t="b" cm="1">
        <f t="array" aca="1" ref="AU58" ca="1">IF($AQ58="",TRUE,IF($J58="",FALSE,IF(INDIRECT("OrganizationAccessCasePolicy!L"&amp;$J58)="",FALSE,NOT(ISNA(MATCH(INDIRECT("OrganizationAccessCasePolicy!L"&amp;$J58)&amp;"|"&amp;$AQ58,CaseTypeColSetMember!$H:$H,0))))))</f>
        <v>1</v>
      </c>
      <c r="AV58" s="6" t="b" cm="1">
        <f t="array" aca="1" ref="AV58" ca="1">IF($AQ58="",TRUE,IF($N58="",FALSE,IF(INDIRECT("UserAccessCasePolicy!I"&amp;$N58)="",FALSE,NOT(ISNA(MATCH(INDIRECT("UserAccessCasePolicy!I"&amp;$N58)&amp;"|"&amp;$AQ58,CaseTypeColSetMember!$H:$H,0))))))</f>
        <v>1</v>
      </c>
      <c r="AW58" s="6" t="b" cm="1">
        <f t="array" aca="1" ref="AW58" ca="1">IF($AQ58="",TRUE,IF($N58="",FALSE,IF(INDIRECT("UserAccessCasePolicy!K"&amp;$N58)="",FALSE,NOT(ISNA(MATCH(INDIRECT("UserAccessCasePolicy!K"&amp;$N58)&amp;"|"&amp;$AQ58,CaseTypeColSetMember!$H:$H,0))))))</f>
        <v>1</v>
      </c>
      <c r="AZ58" s="6" t="str">
        <f>IF($AX58="","",INDEX(CaseTypeCol!$J:$J,MATCH($AX58,CaseTypeCol!$A:$A,0)))</f>
        <v/>
      </c>
      <c r="BA58" s="6" t="b" cm="1">
        <f t="array" aca="1" ref="BA58" ca="1">IF($AX58="",TRUE,IF($J58="",FALSE,IF(INDIRECT("OrganizationAccessCasePolicy!J"&amp;$J58)="",FALSE,NOT(ISNA(MATCH(INDIRECT("OrganizationAccessCasePolicy!J"&amp;$J58)&amp;"|"&amp;$AX58,CaseTypeColSetMember!$H:$H,0))))))</f>
        <v>1</v>
      </c>
      <c r="BB58" s="6" t="b" cm="1">
        <f t="array" aca="1" ref="BB58" ca="1">IF($AX58="",TRUE,IF($J58="",FALSE,IF(INDIRECT("OrganizationAccessCasePolicy!L"&amp;$J58)="",FALSE,NOT(ISNA(MATCH(INDIRECT("OrganizationAccessCasePolicy!L"&amp;$J58)&amp;"|"&amp;$AX58,CaseTypeColSetMember!$H:$H,0))))))</f>
        <v>1</v>
      </c>
      <c r="BC58" s="6" t="b" cm="1">
        <f t="array" aca="1" ref="BC58" ca="1">IF($AX58="",TRUE,IF($N58="",FALSE,IF(INDIRECT("UserAccessCasePolicy!I"&amp;$N58)="",FALSE,NOT(ISNA(MATCH(INDIRECT("UserAccessCasePolicy!I"&amp;$N58)&amp;"|"&amp;$AX58,CaseTypeColSetMember!$H:$H,0))))))</f>
        <v>1</v>
      </c>
      <c r="BD58" s="6" t="b" cm="1">
        <f t="array" aca="1" ref="BD58" ca="1">IF($AX58="",TRUE,IF($N58="",FALSE,IF(INDIRECT("UserAccessCasePolicy!K"&amp;$N58)="",FALSE,NOT(ISNA(MATCH(INDIRECT("UserAccessCasePolicy!K"&amp;$N58)&amp;"|"&amp;$AX58,CaseTypeColSetMember!$H:$H,0))))))</f>
        <v>1</v>
      </c>
    </row>
    <row r="59" spans="1:56" ht="15" customHeight="1" x14ac:dyDescent="0.3">
      <c r="A59">
        <v>58</v>
      </c>
      <c r="B59" t="b">
        <v>0</v>
      </c>
      <c r="C59" t="s">
        <v>1065</v>
      </c>
      <c r="D59" t="s">
        <v>12</v>
      </c>
      <c r="E59" s="6" t="str">
        <f>INDEX(User!$D:$D,MATCH($D59,User!$A:$A,0))</f>
        <v>org_user1_2</v>
      </c>
      <c r="F59" t="s">
        <v>982</v>
      </c>
      <c r="G59" s="19" t="b">
        <f ca="1">IF($F59="CREATE",$I59,IF($F59="CREATE_CASES",OR($I59,AND($K59,$L59,$O59,$P59,$AN59,AP59,$AU59,$AW59,$BB59,$BD59)),"TBD"))</f>
        <v>0</v>
      </c>
      <c r="H59" s="6" t="str">
        <f>INDEX(User!$G:$G,MATCH($D59,User!$A:$A,0))</f>
        <v>018d074d-ea0c-e942-07db-a3cc0ba1d653</v>
      </c>
      <c r="I59" s="6" t="b">
        <f>INDEX(User!$M:$M,MATCH($D59,User!$A:$A,0))</f>
        <v>0</v>
      </c>
      <c r="J59" s="6" t="str">
        <f>IF(ISNA(MATCH($H59&amp;"|"&amp;$X59,OrganizationAccessCasePolicy!$V:$V,0)),"",MATCH($H59&amp;"|"&amp;$X59,OrganizationAccessCasePolicy!$V:$V,0))</f>
        <v/>
      </c>
      <c r="K59" s="6" t="b" cm="1">
        <f t="array" aca="1" ref="K59" ca="1">IF($J59="",FALSE,NOT(ISNA(MATCH(INDIRECT("OrganizationAccessCasePolicy!D"&amp;$J59)&amp;"|"&amp;$T59,CaseTypeSetMember!$H:$H,0))))</f>
        <v>0</v>
      </c>
      <c r="L59" s="6" t="b" cm="1">
        <f t="array" aca="1" ref="L59" ca="1">IF($J59="",FALSE,AND(INDIRECT("OrganizationAccessCasePolicy!H"&amp;$J59),NOT(ISNA(MATCH(INDIRECT("OrganizationAccessCasePolicy!D"&amp;$J59)&amp;"|"&amp;$T59,CaseTypeSetMember!$H:$H,0)))))</f>
        <v>0</v>
      </c>
      <c r="M59" s="6" t="b" cm="1">
        <f t="array" aca="1" ref="M59" ca="1">IF($J59="",FALSE,AND(INDIRECT("OrganizationAccessCasePolicy!I"&amp;$J59),NOT(ISNA(MATCH(INDIRECT("OrganizationAccessCasePolicy!D"&amp;$J59)&amp;"|"&amp;$T59,CaseTypeSetMember!$H:$H,0)))))</f>
        <v>0</v>
      </c>
      <c r="N59" s="6" t="str">
        <f>IF(ISNA(MATCH($D59&amp;"|"&amp;$X59,UserAccessCasePolicy!$W:$W,0)),"",MATCH($D59&amp;"|"&amp;$X59,UserAccessCasePolicy!$W:$W,0))</f>
        <v/>
      </c>
      <c r="O59" s="6" t="b" cm="1">
        <f t="array" aca="1" ref="O59" ca="1">IF($N59="",FALSE,NOT(ISNA(MATCH(INDIRECT("UserAccessCasePolicy!D"&amp;$N59)&amp;"|"&amp;$T59,CaseTypeSetMember!$H:$H,0))))</f>
        <v>0</v>
      </c>
      <c r="P59" s="6" t="b" cm="1">
        <f t="array" aca="1" ref="P59" ca="1">IF($N59="",FALSE,AND(INDIRECT("UserAccessCasePolicy!G"&amp;$N59),NOT(ISNA(MATCH(INDIRECT("UserAccessCasePolicy!D"&amp;$N59)&amp;"|"&amp;$T59,CaseTypeSetMember!$H:$H,0)))))</f>
        <v>0</v>
      </c>
      <c r="Q59" s="6" t="b" cm="1">
        <f t="array" aca="1" ref="Q59" ca="1">IF($N59="",FALSE,AND(INDIRECT("UserAccessCasePolicy!H"&amp;$N59),NOT(ISNA(MATCH(INDIRECT("UserAccessCasePolicy!D"&amp;$N59)&amp;"|"&amp;$T59,CaseTypeSetMember!$H:$H,0)))))</f>
        <v>0</v>
      </c>
      <c r="R59" t="s">
        <v>999</v>
      </c>
      <c r="S59" s="6" t="str">
        <f>"case"&amp;MATCH($R59,$R$1:$R59,0)-1</f>
        <v>case15</v>
      </c>
      <c r="T59" t="s">
        <v>118</v>
      </c>
      <c r="U59" s="6" t="str">
        <f>INDEX(CaseType!$B:$B,MATCH($T59,CaseType!$A:$A,0))</f>
        <v>case_type2</v>
      </c>
      <c r="V59" s="6" t="b">
        <f>AND(IF($AJ59="",TRUE,$T59=INDEX(CaseTypeCol!$B:$B,MATCH($AJ59,CaseTypeCol!$A:$A,0))),IF($AQ59="",TRUE,$T59=INDEX(CaseTypeCol!$B:$B,MATCH($AQ59,CaseTypeCol!$A:$A,0))),IF($AX59="",TRUE,$T59=INDEX(CaseTypeCol!$B:$B,MATCH($AX59,CaseTypeCol!$A:$A,0))))</f>
        <v>0</v>
      </c>
      <c r="X59" t="s">
        <v>17</v>
      </c>
      <c r="Y59" s="6" t="str">
        <f>INDEX(DataCollection!$B:$B,MATCH($X59,DataCollection!$A:$A,0))</f>
        <v>data_collection2</v>
      </c>
      <c r="AA59" s="6" t="str">
        <f>IF($Z59="","",INDEX(CaseTypeCol!$J:$J,MATCH($Z59,CaseTypeCol!$A:$A,0)))</f>
        <v/>
      </c>
      <c r="AC59" s="6" t="str">
        <f>IF($AB59="","",INDEX(IdentifierIssuer!$B:$B,MATCH($AB59,IdentifierIssuer!$A:$A,0)))</f>
        <v/>
      </c>
      <c r="AE59" s="6" t="str">
        <f>IF($AD59="","",INDEX(SequencingProtocol!$B:$B,MATCH($AD59,SequencingProtocol!$A:$A,0)))</f>
        <v/>
      </c>
      <c r="AG59" s="6" t="str">
        <f>IF($AF59="","",INDEX(AssemblyProtocol!$B:$B,MATCH($AF59,AssemblyProtocol!$A:$A,0)))</f>
        <v/>
      </c>
      <c r="AI59" s="14">
        <v>36526</v>
      </c>
      <c r="AJ59" t="s">
        <v>516</v>
      </c>
      <c r="AK59" t="s">
        <v>972</v>
      </c>
      <c r="AL59" s="6" t="str">
        <f>IF($AJ59="","",INDEX(CaseTypeCol!$J:$J,MATCH($AJ59,CaseTypeCol!$A:$A,0)))</f>
        <v>case_type_col1_7_0_1_TEXT</v>
      </c>
      <c r="AM59" s="6" t="b" cm="1">
        <f t="array" aca="1" ref="AM59" ca="1">IF($AJ59="",TRUE,IF($J59="",FALSE,IF(INDIRECT("OrganizationAccessCasePolicy!J"&amp;$J59)="",FALSE,NOT(ISNA(MATCH(INDIRECT("OrganizationAccessCasePolicy!J"&amp;$J59)&amp;"|"&amp;$AJ59,CaseTypeColSetMember!$H:$H,0))))))</f>
        <v>0</v>
      </c>
      <c r="AN59" s="6" t="b" cm="1">
        <f t="array" aca="1" ref="AN59" ca="1">IF($AJ59="",TRUE,IF($J59="",FALSE,IF(INDIRECT("OrganizationAccessCasePolicy!L"&amp;$J59)="",FALSE,NOT(ISNA(MATCH(INDIRECT("OrganizationAccessCasePolicy!L"&amp;$J59)&amp;"|"&amp;$AJ59,CaseTypeColSetMember!$H:$H,0))))))</f>
        <v>0</v>
      </c>
      <c r="AO59" s="6" t="b" cm="1">
        <f t="array" aca="1" ref="AO59" ca="1">IF($AJ59="",TRUE,IF($N59="",FALSE,IF(INDIRECT("UserAccessCasePolicy!I"&amp;$N59)="",FALSE,NOT(ISNA(MATCH(INDIRECT("UserAccessCasePolicy!I"&amp;$N59)&amp;"|"&amp;$AJ59,CaseTypeColSetMember!$H:$H,0))))))</f>
        <v>0</v>
      </c>
      <c r="AP59" s="6" t="b" cm="1">
        <f t="array" aca="1" ref="AP59" ca="1">IF($AJ59="",TRUE,IF($N59="",FALSE,IF(INDIRECT("UserAccessCasePolicy!K"&amp;$N59)="",FALSE,NOT(ISNA(MATCH(INDIRECT("UserAccessCasePolicy!K"&amp;$N59)&amp;"|"&amp;$AJ59,CaseTypeColSetMember!$H:$H,0))))))</f>
        <v>0</v>
      </c>
      <c r="AS59" s="6" t="str">
        <f>IF($AQ59="","",INDEX(CaseTypeCol!$J:$J,MATCH($AQ59,CaseTypeCol!$A:$A,0)))</f>
        <v/>
      </c>
      <c r="AT59" s="6" t="b" cm="1">
        <f t="array" aca="1" ref="AT59" ca="1">IF($AQ59="",TRUE,IF($J59="",FALSE,IF(INDIRECT("OrganizationAccessCasePolicy!J"&amp;$J59)="",FALSE,NOT(ISNA(MATCH(INDIRECT("OrganizationAccessCasePolicy!J"&amp;$J59)&amp;"|"&amp;$AQ59,CaseTypeColSetMember!$H:$H,0))))))</f>
        <v>1</v>
      </c>
      <c r="AU59" s="6" t="b" cm="1">
        <f t="array" aca="1" ref="AU59" ca="1">IF($AQ59="",TRUE,IF($J59="",FALSE,IF(INDIRECT("OrganizationAccessCasePolicy!L"&amp;$J59)="",FALSE,NOT(ISNA(MATCH(INDIRECT("OrganizationAccessCasePolicy!L"&amp;$J59)&amp;"|"&amp;$AQ59,CaseTypeColSetMember!$H:$H,0))))))</f>
        <v>1</v>
      </c>
      <c r="AV59" s="6" t="b" cm="1">
        <f t="array" aca="1" ref="AV59" ca="1">IF($AQ59="",TRUE,IF($N59="",FALSE,IF(INDIRECT("UserAccessCasePolicy!I"&amp;$N59)="",FALSE,NOT(ISNA(MATCH(INDIRECT("UserAccessCasePolicy!I"&amp;$N59)&amp;"|"&amp;$AQ59,CaseTypeColSetMember!$H:$H,0))))))</f>
        <v>1</v>
      </c>
      <c r="AW59" s="6" t="b" cm="1">
        <f t="array" aca="1" ref="AW59" ca="1">IF($AQ59="",TRUE,IF($N59="",FALSE,IF(INDIRECT("UserAccessCasePolicy!K"&amp;$N59)="",FALSE,NOT(ISNA(MATCH(INDIRECT("UserAccessCasePolicy!K"&amp;$N59)&amp;"|"&amp;$AQ59,CaseTypeColSetMember!$H:$H,0))))))</f>
        <v>1</v>
      </c>
      <c r="AZ59" s="6" t="str">
        <f>IF($AX59="","",INDEX(CaseTypeCol!$J:$J,MATCH($AX59,CaseTypeCol!$A:$A,0)))</f>
        <v/>
      </c>
      <c r="BA59" s="6" t="b" cm="1">
        <f t="array" aca="1" ref="BA59" ca="1">IF($AX59="",TRUE,IF($J59="",FALSE,IF(INDIRECT("OrganizationAccessCasePolicy!J"&amp;$J59)="",FALSE,NOT(ISNA(MATCH(INDIRECT("OrganizationAccessCasePolicy!J"&amp;$J59)&amp;"|"&amp;$AX59,CaseTypeColSetMember!$H:$H,0))))))</f>
        <v>1</v>
      </c>
      <c r="BB59" s="6" t="b" cm="1">
        <f t="array" aca="1" ref="BB59" ca="1">IF($AX59="",TRUE,IF($J59="",FALSE,IF(INDIRECT("OrganizationAccessCasePolicy!L"&amp;$J59)="",FALSE,NOT(ISNA(MATCH(INDIRECT("OrganizationAccessCasePolicy!L"&amp;$J59)&amp;"|"&amp;$AX59,CaseTypeColSetMember!$H:$H,0))))))</f>
        <v>1</v>
      </c>
      <c r="BC59" s="6" t="b" cm="1">
        <f t="array" aca="1" ref="BC59" ca="1">IF($AX59="",TRUE,IF($N59="",FALSE,IF(INDIRECT("UserAccessCasePolicy!I"&amp;$N59)="",FALSE,NOT(ISNA(MATCH(INDIRECT("UserAccessCasePolicy!I"&amp;$N59)&amp;"|"&amp;$AX59,CaseTypeColSetMember!$H:$H,0))))))</f>
        <v>1</v>
      </c>
      <c r="BD59" s="6" t="b" cm="1">
        <f t="array" aca="1" ref="BD59" ca="1">IF($AX59="",TRUE,IF($N59="",FALSE,IF(INDIRECT("UserAccessCasePolicy!K"&amp;$N59)="",FALSE,NOT(ISNA(MATCH(INDIRECT("UserAccessCasePolicy!K"&amp;$N59)&amp;"|"&amp;$AX59,CaseTypeColSetMember!$H:$H,0))))))</f>
        <v>1</v>
      </c>
    </row>
    <row r="60" spans="1:56" ht="15" customHeight="1" x14ac:dyDescent="0.3">
      <c r="A60">
        <v>59</v>
      </c>
      <c r="B60" t="b">
        <v>0</v>
      </c>
      <c r="C60" t="s">
        <v>1066</v>
      </c>
      <c r="D60" t="s">
        <v>13</v>
      </c>
      <c r="E60" s="6" t="str">
        <f>INDEX(User!$D:$D,MATCH($D60,User!$A:$A,0))</f>
        <v>org_user1_3</v>
      </c>
      <c r="F60" t="s">
        <v>982</v>
      </c>
      <c r="G60" s="19" t="b">
        <f ca="1">IF($F60="CREATE",$I60,IF($F60="CREATE_CASES",OR($I60,AND($K60,$L60,$O60,$P60,$AN60,AP60,$AU60,$AW60,$BB60,$BD60)),"TBD"))</f>
        <v>0</v>
      </c>
      <c r="H60" s="6" t="str">
        <f>INDEX(User!$G:$G,MATCH($D60,User!$A:$A,0))</f>
        <v>018d074d-ea0c-e942-07db-a3cc0ba1d653</v>
      </c>
      <c r="I60" s="6" t="b">
        <f>INDEX(User!$M:$M,MATCH($D60,User!$A:$A,0))</f>
        <v>0</v>
      </c>
      <c r="J60" s="6">
        <f>IF(ISNA(MATCH($H60&amp;"|"&amp;$X60,OrganizationAccessCasePolicy!$V:$V,0)),"",MATCH($H60&amp;"|"&amp;$X60,OrganizationAccessCasePolicy!$V:$V,0))</f>
        <v>7</v>
      </c>
      <c r="K60" s="6" t="b" cm="1">
        <f t="array" aca="1" ref="K60" ca="1">IF($J60="",FALSE,NOT(ISNA(MATCH(INDIRECT("OrganizationAccessCasePolicy!D"&amp;$J60)&amp;"|"&amp;$T60,CaseTypeSetMember!$H:$H,0))))</f>
        <v>1</v>
      </c>
      <c r="L60" s="6" t="b" cm="1">
        <f t="array" aca="1" ref="L60" ca="1">IF($J60="",FALSE,AND(INDIRECT("OrganizationAccessCasePolicy!H"&amp;$J60),NOT(ISNA(MATCH(INDIRECT("OrganizationAccessCasePolicy!D"&amp;$J60)&amp;"|"&amp;$T60,CaseTypeSetMember!$H:$H,0)))))</f>
        <v>1</v>
      </c>
      <c r="M60" s="6" t="b" cm="1">
        <f t="array" aca="1" ref="M60" ca="1">IF($J60="",FALSE,AND(INDIRECT("OrganizationAccessCasePolicy!I"&amp;$J60),NOT(ISNA(MATCH(INDIRECT("OrganizationAccessCasePolicy!D"&amp;$J60)&amp;"|"&amp;$T60,CaseTypeSetMember!$H:$H,0)))))</f>
        <v>1</v>
      </c>
      <c r="N60" s="6" t="str">
        <f>IF(ISNA(MATCH($D60&amp;"|"&amp;$X60,UserAccessCasePolicy!$W:$W,0)),"",MATCH($D60&amp;"|"&amp;$X60,UserAccessCasePolicy!$W:$W,0))</f>
        <v/>
      </c>
      <c r="O60" s="6" t="b" cm="1">
        <f t="array" aca="1" ref="O60" ca="1">IF($N60="",FALSE,NOT(ISNA(MATCH(INDIRECT("UserAccessCasePolicy!D"&amp;$N60)&amp;"|"&amp;$T60,CaseTypeSetMember!$H:$H,0))))</f>
        <v>0</v>
      </c>
      <c r="P60" s="6" t="b" cm="1">
        <f t="array" aca="1" ref="P60" ca="1">IF($N60="",FALSE,AND(INDIRECT("UserAccessCasePolicy!G"&amp;$N60),NOT(ISNA(MATCH(INDIRECT("UserAccessCasePolicy!D"&amp;$N60)&amp;"|"&amp;$T60,CaseTypeSetMember!$H:$H,0)))))</f>
        <v>0</v>
      </c>
      <c r="Q60" s="6" t="b" cm="1">
        <f t="array" aca="1" ref="Q60" ca="1">IF($N60="",FALSE,AND(INDIRECT("UserAccessCasePolicy!H"&amp;$N60),NOT(ISNA(MATCH(INDIRECT("UserAccessCasePolicy!D"&amp;$N60)&amp;"|"&amp;$T60,CaseTypeSetMember!$H:$H,0)))))</f>
        <v>0</v>
      </c>
      <c r="R60" t="s">
        <v>1001</v>
      </c>
      <c r="S60" s="6" t="str">
        <f>"case"&amp;MATCH($R60,$R$1:$R60,0)-1</f>
        <v>case16</v>
      </c>
      <c r="T60" t="s">
        <v>115</v>
      </c>
      <c r="U60" s="6" t="str">
        <f>INDEX(CaseType!$B:$B,MATCH($T60,CaseType!$A:$A,0))</f>
        <v>case_type1</v>
      </c>
      <c r="V60" s="6" t="b">
        <f>AND(IF($AJ60="",TRUE,$T60=INDEX(CaseTypeCol!$B:$B,MATCH($AJ60,CaseTypeCol!$A:$A,0))),IF($AQ60="",TRUE,$T60=INDEX(CaseTypeCol!$B:$B,MATCH($AQ60,CaseTypeCol!$A:$A,0))),IF($AX60="",TRUE,$T60=INDEX(CaseTypeCol!$B:$B,MATCH($AX60,CaseTypeCol!$A:$A,0))))</f>
        <v>1</v>
      </c>
      <c r="X60" t="s">
        <v>15</v>
      </c>
      <c r="Y60" s="6" t="str">
        <f>INDEX(DataCollection!$B:$B,MATCH($X60,DataCollection!$A:$A,0))</f>
        <v>data_collection6</v>
      </c>
      <c r="AA60" s="6" t="str">
        <f>IF($Z60="","",INDEX(CaseTypeCol!$J:$J,MATCH($Z60,CaseTypeCol!$A:$A,0)))</f>
        <v/>
      </c>
      <c r="AC60" s="6" t="str">
        <f>IF($AB60="","",INDEX(IdentifierIssuer!$B:$B,MATCH($AB60,IdentifierIssuer!$A:$A,0)))</f>
        <v/>
      </c>
      <c r="AE60" s="6" t="str">
        <f>IF($AD60="","",INDEX(SequencingProtocol!$B:$B,MATCH($AD60,SequencingProtocol!$A:$A,0)))</f>
        <v/>
      </c>
      <c r="AG60" s="6" t="str">
        <f>IF($AF60="","",INDEX(AssemblyProtocol!$B:$B,MATCH($AF60,AssemblyProtocol!$A:$A,0)))</f>
        <v/>
      </c>
      <c r="AI60" s="14">
        <v>36526</v>
      </c>
      <c r="AJ60" t="s">
        <v>516</v>
      </c>
      <c r="AK60" t="s">
        <v>972</v>
      </c>
      <c r="AL60" s="6" t="str">
        <f>IF($AJ60="","",INDEX(CaseTypeCol!$J:$J,MATCH($AJ60,CaseTypeCol!$A:$A,0)))</f>
        <v>case_type_col1_7_0_1_TEXT</v>
      </c>
      <c r="AM60" s="6" t="b" cm="1">
        <f t="array" aca="1" ref="AM60" ca="1">IF($AJ60="",TRUE,IF($J60="",FALSE,IF(INDIRECT("OrganizationAccessCasePolicy!J"&amp;$J60)="",FALSE,NOT(ISNA(MATCH(INDIRECT("OrganizationAccessCasePolicy!J"&amp;$J60)&amp;"|"&amp;$AJ60,CaseTypeColSetMember!$H:$H,0))))))</f>
        <v>1</v>
      </c>
      <c r="AN60" s="6" t="b" cm="1">
        <f t="array" aca="1" ref="AN60" ca="1">IF($AJ60="",TRUE,IF($J60="",FALSE,IF(INDIRECT("OrganizationAccessCasePolicy!L"&amp;$J60)="",FALSE,NOT(ISNA(MATCH(INDIRECT("OrganizationAccessCasePolicy!L"&amp;$J60)&amp;"|"&amp;$AJ60,CaseTypeColSetMember!$H:$H,0))))))</f>
        <v>0</v>
      </c>
      <c r="AO60" s="6" t="b" cm="1">
        <f t="array" aca="1" ref="AO60" ca="1">IF($AJ60="",TRUE,IF($N60="",FALSE,IF(INDIRECT("UserAccessCasePolicy!I"&amp;$N60)="",FALSE,NOT(ISNA(MATCH(INDIRECT("UserAccessCasePolicy!I"&amp;$N60)&amp;"|"&amp;$AJ60,CaseTypeColSetMember!$H:$H,0))))))</f>
        <v>0</v>
      </c>
      <c r="AP60" s="6" t="b" cm="1">
        <f t="array" aca="1" ref="AP60" ca="1">IF($AJ60="",TRUE,IF($N60="",FALSE,IF(INDIRECT("UserAccessCasePolicy!K"&amp;$N60)="",FALSE,NOT(ISNA(MATCH(INDIRECT("UserAccessCasePolicy!K"&amp;$N60)&amp;"|"&amp;$AJ60,CaseTypeColSetMember!$H:$H,0))))))</f>
        <v>0</v>
      </c>
      <c r="AS60" s="6" t="str">
        <f>IF($AQ60="","",INDEX(CaseTypeCol!$J:$J,MATCH($AQ60,CaseTypeCol!$A:$A,0)))</f>
        <v/>
      </c>
      <c r="AT60" s="6" t="b" cm="1">
        <f t="array" aca="1" ref="AT60" ca="1">IF($AQ60="",TRUE,IF($J60="",FALSE,IF(INDIRECT("OrganizationAccessCasePolicy!J"&amp;$J60)="",FALSE,NOT(ISNA(MATCH(INDIRECT("OrganizationAccessCasePolicy!J"&amp;$J60)&amp;"|"&amp;$AQ60,CaseTypeColSetMember!$H:$H,0))))))</f>
        <v>1</v>
      </c>
      <c r="AU60" s="6" t="b" cm="1">
        <f t="array" aca="1" ref="AU60" ca="1">IF($AQ60="",TRUE,IF($J60="",FALSE,IF(INDIRECT("OrganizationAccessCasePolicy!L"&amp;$J60)="",FALSE,NOT(ISNA(MATCH(INDIRECT("OrganizationAccessCasePolicy!L"&amp;$J60)&amp;"|"&amp;$AQ60,CaseTypeColSetMember!$H:$H,0))))))</f>
        <v>1</v>
      </c>
      <c r="AV60" s="6" t="b" cm="1">
        <f t="array" aca="1" ref="AV60" ca="1">IF($AQ60="",TRUE,IF($N60="",FALSE,IF(INDIRECT("UserAccessCasePolicy!I"&amp;$N60)="",FALSE,NOT(ISNA(MATCH(INDIRECT("UserAccessCasePolicy!I"&amp;$N60)&amp;"|"&amp;$AQ60,CaseTypeColSetMember!$H:$H,0))))))</f>
        <v>1</v>
      </c>
      <c r="AW60" s="6" t="b" cm="1">
        <f t="array" aca="1" ref="AW60" ca="1">IF($AQ60="",TRUE,IF($N60="",FALSE,IF(INDIRECT("UserAccessCasePolicy!K"&amp;$N60)="",FALSE,NOT(ISNA(MATCH(INDIRECT("UserAccessCasePolicy!K"&amp;$N60)&amp;"|"&amp;$AQ60,CaseTypeColSetMember!$H:$H,0))))))</f>
        <v>1</v>
      </c>
      <c r="AZ60" s="6" t="str">
        <f>IF($AX60="","",INDEX(CaseTypeCol!$J:$J,MATCH($AX60,CaseTypeCol!$A:$A,0)))</f>
        <v/>
      </c>
      <c r="BA60" s="6" t="b" cm="1">
        <f t="array" aca="1" ref="BA60" ca="1">IF($AX60="",TRUE,IF($J60="",FALSE,IF(INDIRECT("OrganizationAccessCasePolicy!J"&amp;$J60)="",FALSE,NOT(ISNA(MATCH(INDIRECT("OrganizationAccessCasePolicy!J"&amp;$J60)&amp;"|"&amp;$AX60,CaseTypeColSetMember!$H:$H,0))))))</f>
        <v>1</v>
      </c>
      <c r="BB60" s="6" t="b" cm="1">
        <f t="array" aca="1" ref="BB60" ca="1">IF($AX60="",TRUE,IF($J60="",FALSE,IF(INDIRECT("OrganizationAccessCasePolicy!L"&amp;$J60)="",FALSE,NOT(ISNA(MATCH(INDIRECT("OrganizationAccessCasePolicy!L"&amp;$J60)&amp;"|"&amp;$AX60,CaseTypeColSetMember!$H:$H,0))))))</f>
        <v>1</v>
      </c>
      <c r="BC60" s="6" t="b" cm="1">
        <f t="array" aca="1" ref="BC60" ca="1">IF($AX60="",TRUE,IF($N60="",FALSE,IF(INDIRECT("UserAccessCasePolicy!I"&amp;$N60)="",FALSE,NOT(ISNA(MATCH(INDIRECT("UserAccessCasePolicy!I"&amp;$N60)&amp;"|"&amp;$AX60,CaseTypeColSetMember!$H:$H,0))))))</f>
        <v>1</v>
      </c>
      <c r="BD60" s="6" t="b" cm="1">
        <f t="array" aca="1" ref="BD60" ca="1">IF($AX60="",TRUE,IF($N60="",FALSE,IF(INDIRECT("UserAccessCasePolicy!K"&amp;$N60)="",FALSE,NOT(ISNA(MATCH(INDIRECT("UserAccessCasePolicy!K"&amp;$N60)&amp;"|"&amp;$AX60,CaseTypeColSetMember!$H:$H,0))))))</f>
        <v>1</v>
      </c>
    </row>
    <row r="61" spans="1:56" ht="15" customHeight="1" x14ac:dyDescent="0.3">
      <c r="A61">
        <v>60</v>
      </c>
      <c r="B61" t="b">
        <v>0</v>
      </c>
      <c r="C61" t="s">
        <v>1067</v>
      </c>
      <c r="D61" t="s">
        <v>22</v>
      </c>
      <c r="E61" s="6" t="str">
        <f>INDEX(User!$D:$D,MATCH($D61,User!$A:$A,0))</f>
        <v>org_user3_1</v>
      </c>
      <c r="F61" t="s">
        <v>982</v>
      </c>
      <c r="G61" s="19" t="b">
        <f ca="1">IF($F61="CREATE",$I61,IF($F61="CREATE_CASES",OR($I61,AND($K61,$L61,$O61,$P61,$AN61,AP61,$AU61,$AW61,$BB61,$BD61)),"TBD"))</f>
        <v>0</v>
      </c>
      <c r="H61" s="6" t="str">
        <f>INDEX(User!$G:$G,MATCH($D61,User!$A:$A,0))</f>
        <v>0195d18c-1c92-52b3-93e0-43dc1f2aa037</v>
      </c>
      <c r="I61" s="6" t="b">
        <f>INDEX(User!$M:$M,MATCH($D61,User!$A:$A,0))</f>
        <v>0</v>
      </c>
      <c r="J61" s="6">
        <f>IF(ISNA(MATCH($H61&amp;"|"&amp;$X61,OrganizationAccessCasePolicy!$V:$V,0)),"",MATCH($H61&amp;"|"&amp;$X61,OrganizationAccessCasePolicy!$V:$V,0))</f>
        <v>9</v>
      </c>
      <c r="K61" s="6" t="b" cm="1">
        <f t="array" aca="1" ref="K61" ca="1">IF($J61="",FALSE,NOT(ISNA(MATCH(INDIRECT("OrganizationAccessCasePolicy!D"&amp;$J61)&amp;"|"&amp;$T61,CaseTypeSetMember!$H:$H,0))))</f>
        <v>0</v>
      </c>
      <c r="L61" s="6" t="b" cm="1">
        <f t="array" aca="1" ref="L61" ca="1">IF($J61="",FALSE,AND(INDIRECT("OrganizationAccessCasePolicy!H"&amp;$J61),NOT(ISNA(MATCH(INDIRECT("OrganizationAccessCasePolicy!D"&amp;$J61)&amp;"|"&amp;$T61,CaseTypeSetMember!$H:$H,0)))))</f>
        <v>0</v>
      </c>
      <c r="M61" s="6" t="b" cm="1">
        <f t="array" aca="1" ref="M61" ca="1">IF($J61="",FALSE,AND(INDIRECT("OrganizationAccessCasePolicy!I"&amp;$J61),NOT(ISNA(MATCH(INDIRECT("OrganizationAccessCasePolicy!D"&amp;$J61)&amp;"|"&amp;$T61,CaseTypeSetMember!$H:$H,0)))))</f>
        <v>0</v>
      </c>
      <c r="N61" s="6">
        <f>IF(ISNA(MATCH($D61&amp;"|"&amp;$X61,UserAccessCasePolicy!$W:$W,0)),"",MATCH($D61&amp;"|"&amp;$X61,UserAccessCasePolicy!$W:$W,0))</f>
        <v>9</v>
      </c>
      <c r="O61" s="6" t="b" cm="1">
        <f t="array" aca="1" ref="O61" ca="1">IF($N61="",FALSE,NOT(ISNA(MATCH(INDIRECT("UserAccessCasePolicy!D"&amp;$N61)&amp;"|"&amp;$T61,CaseTypeSetMember!$H:$H,0))))</f>
        <v>0</v>
      </c>
      <c r="P61" s="6" t="b" cm="1">
        <f t="array" aca="1" ref="P61" ca="1">IF($N61="",FALSE,AND(INDIRECT("UserAccessCasePolicy!G"&amp;$N61),NOT(ISNA(MATCH(INDIRECT("UserAccessCasePolicy!D"&amp;$N61)&amp;"|"&amp;$T61,CaseTypeSetMember!$H:$H,0)))))</f>
        <v>0</v>
      </c>
      <c r="Q61" s="6" t="b" cm="1">
        <f t="array" aca="1" ref="Q61" ca="1">IF($N61="",FALSE,AND(INDIRECT("UserAccessCasePolicy!H"&amp;$N61),NOT(ISNA(MATCH(INDIRECT("UserAccessCasePolicy!D"&amp;$N61)&amp;"|"&amp;$T61,CaseTypeSetMember!$H:$H,0)))))</f>
        <v>0</v>
      </c>
      <c r="R61" t="s">
        <v>1037</v>
      </c>
      <c r="S61" s="6" t="str">
        <f>"case"&amp;MATCH($R61,$R$1:$R61,0)-1</f>
        <v>case34</v>
      </c>
      <c r="T61" t="s">
        <v>115</v>
      </c>
      <c r="U61" s="6" t="str">
        <f>INDEX(CaseType!$B:$B,MATCH($T61,CaseType!$A:$A,0))</f>
        <v>case_type1</v>
      </c>
      <c r="V61" s="6" t="b">
        <f>AND(IF($AJ61="",TRUE,$T61=INDEX(CaseTypeCol!$B:$B,MATCH($AJ61,CaseTypeCol!$A:$A,0))),IF($AQ61="",TRUE,$T61=INDEX(CaseTypeCol!$B:$B,MATCH($AQ61,CaseTypeCol!$A:$A,0))),IF($AX61="",TRUE,$T61=INDEX(CaseTypeCol!$B:$B,MATCH($AX61,CaseTypeCol!$A:$A,0))))</f>
        <v>1</v>
      </c>
      <c r="X61" t="s">
        <v>27</v>
      </c>
      <c r="Y61" s="6" t="str">
        <f>INDEX(DataCollection!$B:$B,MATCH($X61,DataCollection!$A:$A,0))</f>
        <v>data_collection8</v>
      </c>
      <c r="AA61" s="6" t="str">
        <f>IF($Z61="","",INDEX(CaseTypeCol!$J:$J,MATCH($Z61,CaseTypeCol!$A:$A,0)))</f>
        <v/>
      </c>
      <c r="AC61" s="6" t="str">
        <f>IF($AB61="","",INDEX(IdentifierIssuer!$B:$B,MATCH($AB61,IdentifierIssuer!$A:$A,0)))</f>
        <v/>
      </c>
      <c r="AE61" s="6" t="str">
        <f>IF($AD61="","",INDEX(SequencingProtocol!$B:$B,MATCH($AD61,SequencingProtocol!$A:$A,0)))</f>
        <v/>
      </c>
      <c r="AG61" s="6" t="str">
        <f>IF($AF61="","",INDEX(AssemblyProtocol!$B:$B,MATCH($AF61,AssemblyProtocol!$A:$A,0)))</f>
        <v/>
      </c>
      <c r="AI61" s="14">
        <v>36526</v>
      </c>
      <c r="AJ61" t="s">
        <v>516</v>
      </c>
      <c r="AK61" t="s">
        <v>972</v>
      </c>
      <c r="AL61" s="6" t="str">
        <f>IF($AJ61="","",INDEX(CaseTypeCol!$J:$J,MATCH($AJ61,CaseTypeCol!$A:$A,0)))</f>
        <v>case_type_col1_7_0_1_TEXT</v>
      </c>
      <c r="AM61" s="6" t="b" cm="1">
        <f t="array" aca="1" ref="AM61" ca="1">IF($AJ61="",TRUE,IF($J61="",FALSE,IF(INDIRECT("OrganizationAccessCasePolicy!J"&amp;$J61)="",FALSE,NOT(ISNA(MATCH(INDIRECT("OrganizationAccessCasePolicy!J"&amp;$J61)&amp;"|"&amp;$AJ61,CaseTypeColSetMember!$H:$H,0))))))</f>
        <v>1</v>
      </c>
      <c r="AN61" s="6" t="b" cm="1">
        <f t="array" aca="1" ref="AN61" ca="1">IF($AJ61="",TRUE,IF($J61="",FALSE,IF(INDIRECT("OrganizationAccessCasePolicy!L"&amp;$J61)="",FALSE,NOT(ISNA(MATCH(INDIRECT("OrganizationAccessCasePolicy!L"&amp;$J61)&amp;"|"&amp;$AJ61,CaseTypeColSetMember!$H:$H,0))))))</f>
        <v>0</v>
      </c>
      <c r="AO61" s="6" t="b" cm="1">
        <f t="array" aca="1" ref="AO61" ca="1">IF($AJ61="",TRUE,IF($N61="",FALSE,IF(INDIRECT("UserAccessCasePolicy!I"&amp;$N61)="",FALSE,NOT(ISNA(MATCH(INDIRECT("UserAccessCasePolicy!I"&amp;$N61)&amp;"|"&amp;$AJ61,CaseTypeColSetMember!$H:$H,0))))))</f>
        <v>1</v>
      </c>
      <c r="AP61" s="6" t="b" cm="1">
        <f t="array" aca="1" ref="AP61" ca="1">IF($AJ61="",TRUE,IF($N61="",FALSE,IF(INDIRECT("UserAccessCasePolicy!K"&amp;$N61)="",FALSE,NOT(ISNA(MATCH(INDIRECT("UserAccessCasePolicy!K"&amp;$N61)&amp;"|"&amp;$AJ61,CaseTypeColSetMember!$H:$H,0))))))</f>
        <v>1</v>
      </c>
      <c r="AR61" t="s">
        <v>1047</v>
      </c>
      <c r="AS61" s="6" t="str">
        <f>IF($AQ61="","",INDEX(CaseTypeCol!$J:$J,MATCH($AQ61,CaseTypeCol!$A:$A,0)))</f>
        <v/>
      </c>
      <c r="AT61" s="6" t="b" cm="1">
        <f t="array" aca="1" ref="AT61" ca="1">IF($AQ61="",TRUE,IF($J61="",FALSE,IF(INDIRECT("OrganizationAccessCasePolicy!J"&amp;$J61)="",FALSE,NOT(ISNA(MATCH(INDIRECT("OrganizationAccessCasePolicy!J"&amp;$J61)&amp;"|"&amp;$AQ61,CaseTypeColSetMember!$H:$H,0))))))</f>
        <v>1</v>
      </c>
      <c r="AU61" s="6" t="b" cm="1">
        <f t="array" aca="1" ref="AU61" ca="1">IF($AQ61="",TRUE,IF($J61="",FALSE,IF(INDIRECT("OrganizationAccessCasePolicy!L"&amp;$J61)="",FALSE,NOT(ISNA(MATCH(INDIRECT("OrganizationAccessCasePolicy!L"&amp;$J61)&amp;"|"&amp;$AQ61,CaseTypeColSetMember!$H:$H,0))))))</f>
        <v>1</v>
      </c>
      <c r="AV61" s="6" t="b" cm="1">
        <f t="array" aca="1" ref="AV61" ca="1">IF($AQ61="",TRUE,IF($N61="",FALSE,IF(INDIRECT("UserAccessCasePolicy!I"&amp;$N61)="",FALSE,NOT(ISNA(MATCH(INDIRECT("UserAccessCasePolicy!I"&amp;$N61)&amp;"|"&amp;$AQ61,CaseTypeColSetMember!$H:$H,0))))))</f>
        <v>1</v>
      </c>
      <c r="AW61" s="6" t="b" cm="1">
        <f t="array" aca="1" ref="AW61" ca="1">IF($AQ61="",TRUE,IF($N61="",FALSE,IF(INDIRECT("UserAccessCasePolicy!K"&amp;$N61)="",FALSE,NOT(ISNA(MATCH(INDIRECT("UserAccessCasePolicy!K"&amp;$N61)&amp;"|"&amp;$AQ61,CaseTypeColSetMember!$H:$H,0))))))</f>
        <v>1</v>
      </c>
      <c r="AZ61" s="6" t="str">
        <f>IF($AX61="","",INDEX(CaseTypeCol!$J:$J,MATCH($AX61,CaseTypeCol!$A:$A,0)))</f>
        <v/>
      </c>
      <c r="BA61" s="6" t="b" cm="1">
        <f t="array" aca="1" ref="BA61" ca="1">IF($AX61="",TRUE,IF($J61="",FALSE,IF(INDIRECT("OrganizationAccessCasePolicy!J"&amp;$J61)="",FALSE,NOT(ISNA(MATCH(INDIRECT("OrganizationAccessCasePolicy!J"&amp;$J61)&amp;"|"&amp;$AX61,CaseTypeColSetMember!$H:$H,0))))))</f>
        <v>1</v>
      </c>
      <c r="BB61" s="6" t="b" cm="1">
        <f t="array" aca="1" ref="BB61" ca="1">IF($AX61="",TRUE,IF($J61="",FALSE,IF(INDIRECT("OrganizationAccessCasePolicy!L"&amp;$J61)="",FALSE,NOT(ISNA(MATCH(INDIRECT("OrganizationAccessCasePolicy!L"&amp;$J61)&amp;"|"&amp;$AX61,CaseTypeColSetMember!$H:$H,0))))))</f>
        <v>1</v>
      </c>
      <c r="BC61" s="6" t="b" cm="1">
        <f t="array" aca="1" ref="BC61" ca="1">IF($AX61="",TRUE,IF($N61="",FALSE,IF(INDIRECT("UserAccessCasePolicy!I"&amp;$N61)="",FALSE,NOT(ISNA(MATCH(INDIRECT("UserAccessCasePolicy!I"&amp;$N61)&amp;"|"&amp;$AX61,CaseTypeColSetMember!$H:$H,0))))))</f>
        <v>1</v>
      </c>
      <c r="BD61" s="6" t="b" cm="1">
        <f t="array" aca="1" ref="BD61" ca="1">IF($AX61="",TRUE,IF($N61="",FALSE,IF(INDIRECT("UserAccessCasePolicy!K"&amp;$N61)="",FALSE,NOT(ISNA(MATCH(INDIRECT("UserAccessCasePolicy!K"&amp;$N61)&amp;"|"&amp;$AX61,CaseTypeColSetMember!$H:$H,0))))))</f>
        <v>1</v>
      </c>
    </row>
    <row r="62" spans="1:56" ht="15" customHeight="1" x14ac:dyDescent="0.3">
      <c r="A62">
        <v>61</v>
      </c>
      <c r="B62" t="b">
        <v>0</v>
      </c>
      <c r="C62" t="s">
        <v>1068</v>
      </c>
      <c r="D62" t="s">
        <v>24</v>
      </c>
      <c r="E62" s="6" t="str">
        <f>INDEX(User!$D:$D,MATCH($D62,User!$A:$A,0))</f>
        <v>org_user3_2</v>
      </c>
      <c r="F62" t="s">
        <v>982</v>
      </c>
      <c r="G62" s="19" t="b">
        <f ca="1">IF($F62="CREATE",$I62,IF($F62="CREATE_CASES",OR($I62,AND($K62,$L62,$O62,$P62,$AN62,AP62,$AU62,$AW62,$BB62,$BD62)),"TBD"))</f>
        <v>0</v>
      </c>
      <c r="H62" s="6" t="str">
        <f>INDEX(User!$G:$G,MATCH($D62,User!$A:$A,0))</f>
        <v>0195d18c-1c92-52b3-93e0-43dc1f2aa037</v>
      </c>
      <c r="I62" s="6" t="b">
        <f>INDEX(User!$M:$M,MATCH($D62,User!$A:$A,0))</f>
        <v>0</v>
      </c>
      <c r="J62" s="6">
        <f>IF(ISNA(MATCH($H62&amp;"|"&amp;$X62,OrganizationAccessCasePolicy!$V:$V,0)),"",MATCH($H62&amp;"|"&amp;$X62,OrganizationAccessCasePolicy!$V:$V,0))</f>
        <v>9</v>
      </c>
      <c r="K62" s="6" t="b" cm="1">
        <f t="array" aca="1" ref="K62" ca="1">IF($J62="",FALSE,NOT(ISNA(MATCH(INDIRECT("OrganizationAccessCasePolicy!D"&amp;$J62)&amp;"|"&amp;$T62,CaseTypeSetMember!$H:$H,0))))</f>
        <v>0</v>
      </c>
      <c r="L62" s="6" t="b" cm="1">
        <f t="array" aca="1" ref="L62" ca="1">IF($J62="",FALSE,AND(INDIRECT("OrganizationAccessCasePolicy!H"&amp;$J62),NOT(ISNA(MATCH(INDIRECT("OrganizationAccessCasePolicy!D"&amp;$J62)&amp;"|"&amp;$T62,CaseTypeSetMember!$H:$H,0)))))</f>
        <v>0</v>
      </c>
      <c r="M62" s="6" t="b" cm="1">
        <f t="array" aca="1" ref="M62" ca="1">IF($J62="",FALSE,AND(INDIRECT("OrganizationAccessCasePolicy!I"&amp;$J62),NOT(ISNA(MATCH(INDIRECT("OrganizationAccessCasePolicy!D"&amp;$J62)&amp;"|"&amp;$T62,CaseTypeSetMember!$H:$H,0)))))</f>
        <v>0</v>
      </c>
      <c r="N62" s="6" t="str">
        <f>IF(ISNA(MATCH($D62&amp;"|"&amp;$X62,UserAccessCasePolicy!$W:$W,0)),"",MATCH($D62&amp;"|"&amp;$X62,UserAccessCasePolicy!$W:$W,0))</f>
        <v/>
      </c>
      <c r="O62" s="6" t="b" cm="1">
        <f t="array" aca="1" ref="O62" ca="1">IF($N62="",FALSE,NOT(ISNA(MATCH(INDIRECT("UserAccessCasePolicy!D"&amp;$N62)&amp;"|"&amp;$T62,CaseTypeSetMember!$H:$H,0))))</f>
        <v>0</v>
      </c>
      <c r="P62" s="6" t="b" cm="1">
        <f t="array" aca="1" ref="P62" ca="1">IF($N62="",FALSE,AND(INDIRECT("UserAccessCasePolicy!G"&amp;$N62),NOT(ISNA(MATCH(INDIRECT("UserAccessCasePolicy!D"&amp;$N62)&amp;"|"&amp;$T62,CaseTypeSetMember!$H:$H,0)))))</f>
        <v>0</v>
      </c>
      <c r="Q62" s="6" t="b" cm="1">
        <f t="array" aca="1" ref="Q62" ca="1">IF($N62="",FALSE,AND(INDIRECT("UserAccessCasePolicy!H"&amp;$N62),NOT(ISNA(MATCH(INDIRECT("UserAccessCasePolicy!D"&amp;$N62)&amp;"|"&amp;$T62,CaseTypeSetMember!$H:$H,0)))))</f>
        <v>0</v>
      </c>
      <c r="R62" t="s">
        <v>1037</v>
      </c>
      <c r="S62" s="6" t="str">
        <f>"case"&amp;MATCH($R62,$R$1:$R62,0)-1</f>
        <v>case34</v>
      </c>
      <c r="T62" t="s">
        <v>115</v>
      </c>
      <c r="U62" s="6" t="str">
        <f>INDEX(CaseType!$B:$B,MATCH($T62,CaseType!$A:$A,0))</f>
        <v>case_type1</v>
      </c>
      <c r="V62" s="6" t="b">
        <f>AND(IF($AJ62="",TRUE,$T62=INDEX(CaseTypeCol!$B:$B,MATCH($AJ62,CaseTypeCol!$A:$A,0))),IF($AQ62="",TRUE,$T62=INDEX(CaseTypeCol!$B:$B,MATCH($AQ62,CaseTypeCol!$A:$A,0))),IF($AX62="",TRUE,$T62=INDEX(CaseTypeCol!$B:$B,MATCH($AX62,CaseTypeCol!$A:$A,0))))</f>
        <v>1</v>
      </c>
      <c r="X62" t="s">
        <v>27</v>
      </c>
      <c r="Y62" s="6" t="str">
        <f>INDEX(DataCollection!$B:$B,MATCH($X62,DataCollection!$A:$A,0))</f>
        <v>data_collection8</v>
      </c>
      <c r="AA62" s="6" t="str">
        <f>IF($Z62="","",INDEX(CaseTypeCol!$J:$J,MATCH($Z62,CaseTypeCol!$A:$A,0)))</f>
        <v/>
      </c>
      <c r="AC62" s="6" t="str">
        <f>IF($AB62="","",INDEX(IdentifierIssuer!$B:$B,MATCH($AB62,IdentifierIssuer!$A:$A,0)))</f>
        <v/>
      </c>
      <c r="AE62" s="6" t="str">
        <f>IF($AD62="","",INDEX(SequencingProtocol!$B:$B,MATCH($AD62,SequencingProtocol!$A:$A,0)))</f>
        <v/>
      </c>
      <c r="AG62" s="6" t="str">
        <f>IF($AF62="","",INDEX(AssemblyProtocol!$B:$B,MATCH($AF62,AssemblyProtocol!$A:$A,0)))</f>
        <v/>
      </c>
      <c r="AI62" s="14">
        <v>36526</v>
      </c>
      <c r="AJ62" t="s">
        <v>516</v>
      </c>
      <c r="AK62" t="s">
        <v>972</v>
      </c>
      <c r="AL62" s="6" t="str">
        <f>IF($AJ62="","",INDEX(CaseTypeCol!$J:$J,MATCH($AJ62,CaseTypeCol!$A:$A,0)))</f>
        <v>case_type_col1_7_0_1_TEXT</v>
      </c>
      <c r="AM62" s="6" t="b" cm="1">
        <f t="array" aca="1" ref="AM62" ca="1">IF($AJ62="",TRUE,IF($J62="",FALSE,IF(INDIRECT("OrganizationAccessCasePolicy!J"&amp;$J62)="",FALSE,NOT(ISNA(MATCH(INDIRECT("OrganizationAccessCasePolicy!J"&amp;$J62)&amp;"|"&amp;$AJ62,CaseTypeColSetMember!$H:$H,0))))))</f>
        <v>1</v>
      </c>
      <c r="AN62" s="6" t="b" cm="1">
        <f t="array" aca="1" ref="AN62" ca="1">IF($AJ62="",TRUE,IF($J62="",FALSE,IF(INDIRECT("OrganizationAccessCasePolicy!L"&amp;$J62)="",FALSE,NOT(ISNA(MATCH(INDIRECT("OrganizationAccessCasePolicy!L"&amp;$J62)&amp;"|"&amp;$AJ62,CaseTypeColSetMember!$H:$H,0))))))</f>
        <v>0</v>
      </c>
      <c r="AO62" s="6" t="b" cm="1">
        <f t="array" aca="1" ref="AO62" ca="1">IF($AJ62="",TRUE,IF($N62="",FALSE,IF(INDIRECT("UserAccessCasePolicy!I"&amp;$N62)="",FALSE,NOT(ISNA(MATCH(INDIRECT("UserAccessCasePolicy!I"&amp;$N62)&amp;"|"&amp;$AJ62,CaseTypeColSetMember!$H:$H,0))))))</f>
        <v>0</v>
      </c>
      <c r="AP62" s="6" t="b" cm="1">
        <f t="array" aca="1" ref="AP62" ca="1">IF($AJ62="",TRUE,IF($N62="",FALSE,IF(INDIRECT("UserAccessCasePolicy!K"&amp;$N62)="",FALSE,NOT(ISNA(MATCH(INDIRECT("UserAccessCasePolicy!K"&amp;$N62)&amp;"|"&amp;$AJ62,CaseTypeColSetMember!$H:$H,0))))))</f>
        <v>0</v>
      </c>
      <c r="AR62" t="s">
        <v>1047</v>
      </c>
      <c r="AS62" s="6" t="str">
        <f>IF($AQ62="","",INDEX(CaseTypeCol!$J:$J,MATCH($AQ62,CaseTypeCol!$A:$A,0)))</f>
        <v/>
      </c>
      <c r="AT62" s="6" t="b" cm="1">
        <f t="array" aca="1" ref="AT62" ca="1">IF($AQ62="",TRUE,IF($J62="",FALSE,IF(INDIRECT("OrganizationAccessCasePolicy!J"&amp;$J62)="",FALSE,NOT(ISNA(MATCH(INDIRECT("OrganizationAccessCasePolicy!J"&amp;$J62)&amp;"|"&amp;$AQ62,CaseTypeColSetMember!$H:$H,0))))))</f>
        <v>1</v>
      </c>
      <c r="AU62" s="6" t="b" cm="1">
        <f t="array" aca="1" ref="AU62" ca="1">IF($AQ62="",TRUE,IF($J62="",FALSE,IF(INDIRECT("OrganizationAccessCasePolicy!L"&amp;$J62)="",FALSE,NOT(ISNA(MATCH(INDIRECT("OrganizationAccessCasePolicy!L"&amp;$J62)&amp;"|"&amp;$AQ62,CaseTypeColSetMember!$H:$H,0))))))</f>
        <v>1</v>
      </c>
      <c r="AV62" s="6" t="b" cm="1">
        <f t="array" aca="1" ref="AV62" ca="1">IF($AQ62="",TRUE,IF($N62="",FALSE,IF(INDIRECT("UserAccessCasePolicy!I"&amp;$N62)="",FALSE,NOT(ISNA(MATCH(INDIRECT("UserAccessCasePolicy!I"&amp;$N62)&amp;"|"&amp;$AQ62,CaseTypeColSetMember!$H:$H,0))))))</f>
        <v>1</v>
      </c>
      <c r="AW62" s="6" t="b" cm="1">
        <f t="array" aca="1" ref="AW62" ca="1">IF($AQ62="",TRUE,IF($N62="",FALSE,IF(INDIRECT("UserAccessCasePolicy!K"&amp;$N62)="",FALSE,NOT(ISNA(MATCH(INDIRECT("UserAccessCasePolicy!K"&amp;$N62)&amp;"|"&amp;$AQ62,CaseTypeColSetMember!$H:$H,0))))))</f>
        <v>1</v>
      </c>
      <c r="AZ62" s="6" t="str">
        <f>IF($AX62="","",INDEX(CaseTypeCol!$J:$J,MATCH($AX62,CaseTypeCol!$A:$A,0)))</f>
        <v/>
      </c>
      <c r="BA62" s="6" t="b" cm="1">
        <f t="array" aca="1" ref="BA62" ca="1">IF($AX62="",TRUE,IF($J62="",FALSE,IF(INDIRECT("OrganizationAccessCasePolicy!J"&amp;$J62)="",FALSE,NOT(ISNA(MATCH(INDIRECT("OrganizationAccessCasePolicy!J"&amp;$J62)&amp;"|"&amp;$AX62,CaseTypeColSetMember!$H:$H,0))))))</f>
        <v>1</v>
      </c>
      <c r="BB62" s="6" t="b" cm="1">
        <f t="array" aca="1" ref="BB62" ca="1">IF($AX62="",TRUE,IF($J62="",FALSE,IF(INDIRECT("OrganizationAccessCasePolicy!L"&amp;$J62)="",FALSE,NOT(ISNA(MATCH(INDIRECT("OrganizationAccessCasePolicy!L"&amp;$J62)&amp;"|"&amp;$AX62,CaseTypeColSetMember!$H:$H,0))))))</f>
        <v>1</v>
      </c>
      <c r="BC62" s="6" t="b" cm="1">
        <f t="array" aca="1" ref="BC62" ca="1">IF($AX62="",TRUE,IF($N62="",FALSE,IF(INDIRECT("UserAccessCasePolicy!I"&amp;$N62)="",FALSE,NOT(ISNA(MATCH(INDIRECT("UserAccessCasePolicy!I"&amp;$N62)&amp;"|"&amp;$AX62,CaseTypeColSetMember!$H:$H,0))))))</f>
        <v>1</v>
      </c>
      <c r="BD62" s="6" t="b" cm="1">
        <f t="array" aca="1" ref="BD62" ca="1">IF($AX62="",TRUE,IF($N62="",FALSE,IF(INDIRECT("UserAccessCasePolicy!K"&amp;$N62)="",FALSE,NOT(ISNA(MATCH(INDIRECT("UserAccessCasePolicy!K"&amp;$N62)&amp;"|"&amp;$AX62,CaseTypeColSetMember!$H:$H,0))))))</f>
        <v>1</v>
      </c>
    </row>
    <row r="63" spans="1:56" ht="15" customHeight="1" x14ac:dyDescent="0.3">
      <c r="A63">
        <v>62</v>
      </c>
      <c r="B63" t="b">
        <v>0</v>
      </c>
      <c r="C63" t="s">
        <v>1069</v>
      </c>
      <c r="D63" t="s">
        <v>25</v>
      </c>
      <c r="E63" s="6" t="str">
        <f>INDEX(User!$D:$D,MATCH($D63,User!$A:$A,0))</f>
        <v>org_user3_3</v>
      </c>
      <c r="F63" t="s">
        <v>982</v>
      </c>
      <c r="G63" s="19" t="b">
        <f ca="1">IF($F63="CREATE",$I63,IF($F63="CREATE_CASES",OR($I63,AND($K63,$L63,$O63,$P63,$AN63,AP63,$AU63,$AW63,$BB63,$BD63)),"TBD"))</f>
        <v>0</v>
      </c>
      <c r="H63" s="6" t="str">
        <f>INDEX(User!$G:$G,MATCH($D63,User!$A:$A,0))</f>
        <v>0195d18c-1c92-52b3-93e0-43dc1f2aa037</v>
      </c>
      <c r="I63" s="6" t="b">
        <f>INDEX(User!$M:$M,MATCH($D63,User!$A:$A,0))</f>
        <v>0</v>
      </c>
      <c r="J63" s="6">
        <f>IF(ISNA(MATCH($H63&amp;"|"&amp;$X63,OrganizationAccessCasePolicy!$V:$V,0)),"",MATCH($H63&amp;"|"&amp;$X63,OrganizationAccessCasePolicy!$V:$V,0))</f>
        <v>9</v>
      </c>
      <c r="K63" s="6" t="b" cm="1">
        <f t="array" aca="1" ref="K63" ca="1">IF($J63="",FALSE,NOT(ISNA(MATCH(INDIRECT("OrganizationAccessCasePolicy!D"&amp;$J63)&amp;"|"&amp;$T63,CaseTypeSetMember!$H:$H,0))))</f>
        <v>0</v>
      </c>
      <c r="L63" s="6" t="b" cm="1">
        <f t="array" aca="1" ref="L63" ca="1">IF($J63="",FALSE,AND(INDIRECT("OrganizationAccessCasePolicy!H"&amp;$J63),NOT(ISNA(MATCH(INDIRECT("OrganizationAccessCasePolicy!D"&amp;$J63)&amp;"|"&amp;$T63,CaseTypeSetMember!$H:$H,0)))))</f>
        <v>0</v>
      </c>
      <c r="M63" s="6" t="b" cm="1">
        <f t="array" aca="1" ref="M63" ca="1">IF($J63="",FALSE,AND(INDIRECT("OrganizationAccessCasePolicy!I"&amp;$J63),NOT(ISNA(MATCH(INDIRECT("OrganizationAccessCasePolicy!D"&amp;$J63)&amp;"|"&amp;$T63,CaseTypeSetMember!$H:$H,0)))))</f>
        <v>0</v>
      </c>
      <c r="N63" s="6" t="str">
        <f>IF(ISNA(MATCH($D63&amp;"|"&amp;$X63,UserAccessCasePolicy!$W:$W,0)),"",MATCH($D63&amp;"|"&amp;$X63,UserAccessCasePolicy!$W:$W,0))</f>
        <v/>
      </c>
      <c r="O63" s="6" t="b" cm="1">
        <f t="array" aca="1" ref="O63" ca="1">IF($N63="",FALSE,NOT(ISNA(MATCH(INDIRECT("UserAccessCasePolicy!D"&amp;$N63)&amp;"|"&amp;$T63,CaseTypeSetMember!$H:$H,0))))</f>
        <v>0</v>
      </c>
      <c r="P63" s="6" t="b" cm="1">
        <f t="array" aca="1" ref="P63" ca="1">IF($N63="",FALSE,AND(INDIRECT("UserAccessCasePolicy!G"&amp;$N63),NOT(ISNA(MATCH(INDIRECT("UserAccessCasePolicy!D"&amp;$N63)&amp;"|"&amp;$T63,CaseTypeSetMember!$H:$H,0)))))</f>
        <v>0</v>
      </c>
      <c r="Q63" s="6" t="b" cm="1">
        <f t="array" aca="1" ref="Q63" ca="1">IF($N63="",FALSE,AND(INDIRECT("UserAccessCasePolicy!H"&amp;$N63),NOT(ISNA(MATCH(INDIRECT("UserAccessCasePolicy!D"&amp;$N63)&amp;"|"&amp;$T63,CaseTypeSetMember!$H:$H,0)))))</f>
        <v>0</v>
      </c>
      <c r="R63" t="s">
        <v>1037</v>
      </c>
      <c r="S63" s="6" t="str">
        <f>"case"&amp;MATCH($R63,$R$1:$R63,0)-1</f>
        <v>case34</v>
      </c>
      <c r="T63" t="s">
        <v>115</v>
      </c>
      <c r="U63" s="6" t="str">
        <f>INDEX(CaseType!$B:$B,MATCH($T63,CaseType!$A:$A,0))</f>
        <v>case_type1</v>
      </c>
      <c r="V63" s="6" t="b">
        <f>AND(IF($AJ63="",TRUE,$T63=INDEX(CaseTypeCol!$B:$B,MATCH($AJ63,CaseTypeCol!$A:$A,0))),IF($AQ63="",TRUE,$T63=INDEX(CaseTypeCol!$B:$B,MATCH($AQ63,CaseTypeCol!$A:$A,0))),IF($AX63="",TRUE,$T63=INDEX(CaseTypeCol!$B:$B,MATCH($AX63,CaseTypeCol!$A:$A,0))))</f>
        <v>1</v>
      </c>
      <c r="X63" t="s">
        <v>27</v>
      </c>
      <c r="Y63" s="6" t="str">
        <f>INDEX(DataCollection!$B:$B,MATCH($X63,DataCollection!$A:$A,0))</f>
        <v>data_collection8</v>
      </c>
      <c r="AA63" s="6" t="str">
        <f>IF($Z63="","",INDEX(CaseTypeCol!$J:$J,MATCH($Z63,CaseTypeCol!$A:$A,0)))</f>
        <v/>
      </c>
      <c r="AC63" s="6" t="str">
        <f>IF($AB63="","",INDEX(IdentifierIssuer!$B:$B,MATCH($AB63,IdentifierIssuer!$A:$A,0)))</f>
        <v/>
      </c>
      <c r="AE63" s="6" t="str">
        <f>IF($AD63="","",INDEX(SequencingProtocol!$B:$B,MATCH($AD63,SequencingProtocol!$A:$A,0)))</f>
        <v/>
      </c>
      <c r="AG63" s="6" t="str">
        <f>IF($AF63="","",INDEX(AssemblyProtocol!$B:$B,MATCH($AF63,AssemblyProtocol!$A:$A,0)))</f>
        <v/>
      </c>
      <c r="AI63" s="14">
        <v>36526</v>
      </c>
      <c r="AJ63" t="s">
        <v>516</v>
      </c>
      <c r="AK63" t="s">
        <v>972</v>
      </c>
      <c r="AL63" s="6" t="str">
        <f>IF($AJ63="","",INDEX(CaseTypeCol!$J:$J,MATCH($AJ63,CaseTypeCol!$A:$A,0)))</f>
        <v>case_type_col1_7_0_1_TEXT</v>
      </c>
      <c r="AM63" s="6" t="b" cm="1">
        <f t="array" aca="1" ref="AM63" ca="1">IF($AJ63="",TRUE,IF($J63="",FALSE,IF(INDIRECT("OrganizationAccessCasePolicy!J"&amp;$J63)="",FALSE,NOT(ISNA(MATCH(INDIRECT("OrganizationAccessCasePolicy!J"&amp;$J63)&amp;"|"&amp;$AJ63,CaseTypeColSetMember!$H:$H,0))))))</f>
        <v>1</v>
      </c>
      <c r="AN63" s="6" t="b" cm="1">
        <f t="array" aca="1" ref="AN63" ca="1">IF($AJ63="",TRUE,IF($J63="",FALSE,IF(INDIRECT("OrganizationAccessCasePolicy!L"&amp;$J63)="",FALSE,NOT(ISNA(MATCH(INDIRECT("OrganizationAccessCasePolicy!L"&amp;$J63)&amp;"|"&amp;$AJ63,CaseTypeColSetMember!$H:$H,0))))))</f>
        <v>0</v>
      </c>
      <c r="AO63" s="6" t="b" cm="1">
        <f t="array" aca="1" ref="AO63" ca="1">IF($AJ63="",TRUE,IF($N63="",FALSE,IF(INDIRECT("UserAccessCasePolicy!I"&amp;$N63)="",FALSE,NOT(ISNA(MATCH(INDIRECT("UserAccessCasePolicy!I"&amp;$N63)&amp;"|"&amp;$AJ63,CaseTypeColSetMember!$H:$H,0))))))</f>
        <v>0</v>
      </c>
      <c r="AP63" s="6" t="b" cm="1">
        <f t="array" aca="1" ref="AP63" ca="1">IF($AJ63="",TRUE,IF($N63="",FALSE,IF(INDIRECT("UserAccessCasePolicy!K"&amp;$N63)="",FALSE,NOT(ISNA(MATCH(INDIRECT("UserAccessCasePolicy!K"&amp;$N63)&amp;"|"&amp;$AJ63,CaseTypeColSetMember!$H:$H,0))))))</f>
        <v>0</v>
      </c>
      <c r="AR63" t="s">
        <v>1047</v>
      </c>
      <c r="AS63" s="6" t="str">
        <f>IF($AQ63="","",INDEX(CaseTypeCol!$J:$J,MATCH($AQ63,CaseTypeCol!$A:$A,0)))</f>
        <v/>
      </c>
      <c r="AT63" s="6" t="b" cm="1">
        <f t="array" aca="1" ref="AT63" ca="1">IF($AQ63="",TRUE,IF($J63="",FALSE,IF(INDIRECT("OrganizationAccessCasePolicy!J"&amp;$J63)="",FALSE,NOT(ISNA(MATCH(INDIRECT("OrganizationAccessCasePolicy!J"&amp;$J63)&amp;"|"&amp;$AQ63,CaseTypeColSetMember!$H:$H,0))))))</f>
        <v>1</v>
      </c>
      <c r="AU63" s="6" t="b" cm="1">
        <f t="array" aca="1" ref="AU63" ca="1">IF($AQ63="",TRUE,IF($J63="",FALSE,IF(INDIRECT("OrganizationAccessCasePolicy!L"&amp;$J63)="",FALSE,NOT(ISNA(MATCH(INDIRECT("OrganizationAccessCasePolicy!L"&amp;$J63)&amp;"|"&amp;$AQ63,CaseTypeColSetMember!$H:$H,0))))))</f>
        <v>1</v>
      </c>
      <c r="AV63" s="6" t="b" cm="1">
        <f t="array" aca="1" ref="AV63" ca="1">IF($AQ63="",TRUE,IF($N63="",FALSE,IF(INDIRECT("UserAccessCasePolicy!I"&amp;$N63)="",FALSE,NOT(ISNA(MATCH(INDIRECT("UserAccessCasePolicy!I"&amp;$N63)&amp;"|"&amp;$AQ63,CaseTypeColSetMember!$H:$H,0))))))</f>
        <v>1</v>
      </c>
      <c r="AW63" s="6" t="b" cm="1">
        <f t="array" aca="1" ref="AW63" ca="1">IF($AQ63="",TRUE,IF($N63="",FALSE,IF(INDIRECT("UserAccessCasePolicy!K"&amp;$N63)="",FALSE,NOT(ISNA(MATCH(INDIRECT("UserAccessCasePolicy!K"&amp;$N63)&amp;"|"&amp;$AQ63,CaseTypeColSetMember!$H:$H,0))))))</f>
        <v>1</v>
      </c>
      <c r="AZ63" s="6" t="str">
        <f>IF($AX63="","",INDEX(CaseTypeCol!$J:$J,MATCH($AX63,CaseTypeCol!$A:$A,0)))</f>
        <v/>
      </c>
      <c r="BA63" s="6" t="b" cm="1">
        <f t="array" aca="1" ref="BA63" ca="1">IF($AX63="",TRUE,IF($J63="",FALSE,IF(INDIRECT("OrganizationAccessCasePolicy!J"&amp;$J63)="",FALSE,NOT(ISNA(MATCH(INDIRECT("OrganizationAccessCasePolicy!J"&amp;$J63)&amp;"|"&amp;$AX63,CaseTypeColSetMember!$H:$H,0))))))</f>
        <v>1</v>
      </c>
      <c r="BB63" s="6" t="b" cm="1">
        <f t="array" aca="1" ref="BB63" ca="1">IF($AX63="",TRUE,IF($J63="",FALSE,IF(INDIRECT("OrganizationAccessCasePolicy!L"&amp;$J63)="",FALSE,NOT(ISNA(MATCH(INDIRECT("OrganizationAccessCasePolicy!L"&amp;$J63)&amp;"|"&amp;$AX63,CaseTypeColSetMember!$H:$H,0))))))</f>
        <v>1</v>
      </c>
      <c r="BC63" s="6" t="b" cm="1">
        <f t="array" aca="1" ref="BC63" ca="1">IF($AX63="",TRUE,IF($N63="",FALSE,IF(INDIRECT("UserAccessCasePolicy!I"&amp;$N63)="",FALSE,NOT(ISNA(MATCH(INDIRECT("UserAccessCasePolicy!I"&amp;$N63)&amp;"|"&amp;$AX63,CaseTypeColSetMember!$H:$H,0))))))</f>
        <v>1</v>
      </c>
      <c r="BD63" s="6" t="b" cm="1">
        <f t="array" aca="1" ref="BD63" ca="1">IF($AX63="",TRUE,IF($N63="",FALSE,IF(INDIRECT("UserAccessCasePolicy!K"&amp;$N63)="",FALSE,NOT(ISNA(MATCH(INDIRECT("UserAccessCasePolicy!K"&amp;$N63)&amp;"|"&amp;$AX63,CaseTypeColSetMember!$H:$H,0))))))</f>
        <v>1</v>
      </c>
    </row>
    <row r="64" spans="1:56" ht="15" customHeight="1" x14ac:dyDescent="0.3">
      <c r="A64">
        <v>63</v>
      </c>
      <c r="B64" t="b">
        <v>0</v>
      </c>
      <c r="C64" t="s">
        <v>1070</v>
      </c>
      <c r="D64" t="s">
        <v>26</v>
      </c>
      <c r="E64" s="6" t="str">
        <f>INDEX(User!$D:$D,MATCH($D64,User!$A:$A,0))</f>
        <v>org_user3_4</v>
      </c>
      <c r="F64" t="s">
        <v>982</v>
      </c>
      <c r="G64" s="19" t="b">
        <f ca="1">IF($F64="CREATE",$I64,IF($F64="CREATE_CASES",OR($I64,AND($K64,$L64,$O64,$P64,$AN64,AP64,$AU64,$AW64,$BB64,$BD64)),"TBD"))</f>
        <v>0</v>
      </c>
      <c r="H64" s="6" t="str">
        <f>INDEX(User!$G:$G,MATCH($D64,User!$A:$A,0))</f>
        <v>0195d18c-1c92-52b3-93e0-43dc1f2aa037</v>
      </c>
      <c r="I64" s="6" t="b">
        <f>INDEX(User!$M:$M,MATCH($D64,User!$A:$A,0))</f>
        <v>0</v>
      </c>
      <c r="J64" s="6">
        <f>IF(ISNA(MATCH($H64&amp;"|"&amp;$X64,OrganizationAccessCasePolicy!$V:$V,0)),"",MATCH($H64&amp;"|"&amp;$X64,OrganizationAccessCasePolicy!$V:$V,0))</f>
        <v>9</v>
      </c>
      <c r="K64" s="6" t="b" cm="1">
        <f t="array" aca="1" ref="K64" ca="1">IF($J64="",FALSE,NOT(ISNA(MATCH(INDIRECT("OrganizationAccessCasePolicy!D"&amp;$J64)&amp;"|"&amp;$T64,CaseTypeSetMember!$H:$H,0))))</f>
        <v>0</v>
      </c>
      <c r="L64" s="6" t="b" cm="1">
        <f t="array" aca="1" ref="L64" ca="1">IF($J64="",FALSE,AND(INDIRECT("OrganizationAccessCasePolicy!H"&amp;$J64),NOT(ISNA(MATCH(INDIRECT("OrganizationAccessCasePolicy!D"&amp;$J64)&amp;"|"&amp;$T64,CaseTypeSetMember!$H:$H,0)))))</f>
        <v>0</v>
      </c>
      <c r="M64" s="6" t="b" cm="1">
        <f t="array" aca="1" ref="M64" ca="1">IF($J64="",FALSE,AND(INDIRECT("OrganizationAccessCasePolicy!I"&amp;$J64),NOT(ISNA(MATCH(INDIRECT("OrganizationAccessCasePolicy!D"&amp;$J64)&amp;"|"&amp;$T64,CaseTypeSetMember!$H:$H,0)))))</f>
        <v>0</v>
      </c>
      <c r="N64" s="6" t="str">
        <f>IF(ISNA(MATCH($D64&amp;"|"&amp;$X64,UserAccessCasePolicy!$W:$W,0)),"",MATCH($D64&amp;"|"&amp;$X64,UserAccessCasePolicy!$W:$W,0))</f>
        <v/>
      </c>
      <c r="O64" s="6" t="b" cm="1">
        <f t="array" aca="1" ref="O64" ca="1">IF($N64="",FALSE,NOT(ISNA(MATCH(INDIRECT("UserAccessCasePolicy!D"&amp;$N64)&amp;"|"&amp;$T64,CaseTypeSetMember!$H:$H,0))))</f>
        <v>0</v>
      </c>
      <c r="P64" s="6" t="b" cm="1">
        <f t="array" aca="1" ref="P64" ca="1">IF($N64="",FALSE,AND(INDIRECT("UserAccessCasePolicy!G"&amp;$N64),NOT(ISNA(MATCH(INDIRECT("UserAccessCasePolicy!D"&amp;$N64)&amp;"|"&amp;$T64,CaseTypeSetMember!$H:$H,0)))))</f>
        <v>0</v>
      </c>
      <c r="Q64" s="6" t="b" cm="1">
        <f t="array" aca="1" ref="Q64" ca="1">IF($N64="",FALSE,AND(INDIRECT("UserAccessCasePolicy!H"&amp;$N64),NOT(ISNA(MATCH(INDIRECT("UserAccessCasePolicy!D"&amp;$N64)&amp;"|"&amp;$T64,CaseTypeSetMember!$H:$H,0)))))</f>
        <v>0</v>
      </c>
      <c r="R64" t="s">
        <v>1037</v>
      </c>
      <c r="S64" s="6" t="str">
        <f>"case"&amp;MATCH($R64,$R$1:$R64,0)-1</f>
        <v>case34</v>
      </c>
      <c r="T64" t="s">
        <v>115</v>
      </c>
      <c r="U64" s="6" t="str">
        <f>INDEX(CaseType!$B:$B,MATCH($T64,CaseType!$A:$A,0))</f>
        <v>case_type1</v>
      </c>
      <c r="V64" s="6" t="b">
        <f>AND(IF($AJ64="",TRUE,$T64=INDEX(CaseTypeCol!$B:$B,MATCH($AJ64,CaseTypeCol!$A:$A,0))),IF($AQ64="",TRUE,$T64=INDEX(CaseTypeCol!$B:$B,MATCH($AQ64,CaseTypeCol!$A:$A,0))),IF($AX64="",TRUE,$T64=INDEX(CaseTypeCol!$B:$B,MATCH($AX64,CaseTypeCol!$A:$A,0))))</f>
        <v>1</v>
      </c>
      <c r="X64" t="s">
        <v>27</v>
      </c>
      <c r="Y64" s="6" t="str">
        <f>INDEX(DataCollection!$B:$B,MATCH($X64,DataCollection!$A:$A,0))</f>
        <v>data_collection8</v>
      </c>
      <c r="AA64" s="6" t="str">
        <f>IF($Z64="","",INDEX(CaseTypeCol!$J:$J,MATCH($Z64,CaseTypeCol!$A:$A,0)))</f>
        <v/>
      </c>
      <c r="AC64" s="6" t="str">
        <f>IF($AB64="","",INDEX(IdentifierIssuer!$B:$B,MATCH($AB64,IdentifierIssuer!$A:$A,0)))</f>
        <v/>
      </c>
      <c r="AE64" s="6" t="str">
        <f>IF($AD64="","",INDEX(SequencingProtocol!$B:$B,MATCH($AD64,SequencingProtocol!$A:$A,0)))</f>
        <v/>
      </c>
      <c r="AG64" s="6" t="str">
        <f>IF($AF64="","",INDEX(AssemblyProtocol!$B:$B,MATCH($AF64,AssemblyProtocol!$A:$A,0)))</f>
        <v/>
      </c>
      <c r="AI64" s="14">
        <v>36526</v>
      </c>
      <c r="AJ64" t="s">
        <v>516</v>
      </c>
      <c r="AK64" t="s">
        <v>972</v>
      </c>
      <c r="AL64" s="6" t="str">
        <f>IF($AJ64="","",INDEX(CaseTypeCol!$J:$J,MATCH($AJ64,CaseTypeCol!$A:$A,0)))</f>
        <v>case_type_col1_7_0_1_TEXT</v>
      </c>
      <c r="AM64" s="6" t="b" cm="1">
        <f t="array" aca="1" ref="AM64" ca="1">IF($AJ64="",TRUE,IF($J64="",FALSE,IF(INDIRECT("OrganizationAccessCasePolicy!J"&amp;$J64)="",FALSE,NOT(ISNA(MATCH(INDIRECT("OrganizationAccessCasePolicy!J"&amp;$J64)&amp;"|"&amp;$AJ64,CaseTypeColSetMember!$H:$H,0))))))</f>
        <v>1</v>
      </c>
      <c r="AN64" s="6" t="b" cm="1">
        <f t="array" aca="1" ref="AN64" ca="1">IF($AJ64="",TRUE,IF($J64="",FALSE,IF(INDIRECT("OrganizationAccessCasePolicy!L"&amp;$J64)="",FALSE,NOT(ISNA(MATCH(INDIRECT("OrganizationAccessCasePolicy!L"&amp;$J64)&amp;"|"&amp;$AJ64,CaseTypeColSetMember!$H:$H,0))))))</f>
        <v>0</v>
      </c>
      <c r="AO64" s="6" t="b" cm="1">
        <f t="array" aca="1" ref="AO64" ca="1">IF($AJ64="",TRUE,IF($N64="",FALSE,IF(INDIRECT("UserAccessCasePolicy!I"&amp;$N64)="",FALSE,NOT(ISNA(MATCH(INDIRECT("UserAccessCasePolicy!I"&amp;$N64)&amp;"|"&amp;$AJ64,CaseTypeColSetMember!$H:$H,0))))))</f>
        <v>0</v>
      </c>
      <c r="AP64" s="6" t="b" cm="1">
        <f t="array" aca="1" ref="AP64" ca="1">IF($AJ64="",TRUE,IF($N64="",FALSE,IF(INDIRECT("UserAccessCasePolicy!K"&amp;$N64)="",FALSE,NOT(ISNA(MATCH(INDIRECT("UserAccessCasePolicy!K"&amp;$N64)&amp;"|"&amp;$AJ64,CaseTypeColSetMember!$H:$H,0))))))</f>
        <v>0</v>
      </c>
      <c r="AR64" t="s">
        <v>1047</v>
      </c>
      <c r="AS64" s="6" t="str">
        <f>IF($AQ64="","",INDEX(CaseTypeCol!$J:$J,MATCH($AQ64,CaseTypeCol!$A:$A,0)))</f>
        <v/>
      </c>
      <c r="AT64" s="6" t="b" cm="1">
        <f t="array" aca="1" ref="AT64" ca="1">IF($AQ64="",TRUE,IF($J64="",FALSE,IF(INDIRECT("OrganizationAccessCasePolicy!J"&amp;$J64)="",FALSE,NOT(ISNA(MATCH(INDIRECT("OrganizationAccessCasePolicy!J"&amp;$J64)&amp;"|"&amp;$AQ64,CaseTypeColSetMember!$H:$H,0))))))</f>
        <v>1</v>
      </c>
      <c r="AU64" s="6" t="b" cm="1">
        <f t="array" aca="1" ref="AU64" ca="1">IF($AQ64="",TRUE,IF($J64="",FALSE,IF(INDIRECT("OrganizationAccessCasePolicy!L"&amp;$J64)="",FALSE,NOT(ISNA(MATCH(INDIRECT("OrganizationAccessCasePolicy!L"&amp;$J64)&amp;"|"&amp;$AQ64,CaseTypeColSetMember!$H:$H,0))))))</f>
        <v>1</v>
      </c>
      <c r="AV64" s="6" t="b" cm="1">
        <f t="array" aca="1" ref="AV64" ca="1">IF($AQ64="",TRUE,IF($N64="",FALSE,IF(INDIRECT("UserAccessCasePolicy!I"&amp;$N64)="",FALSE,NOT(ISNA(MATCH(INDIRECT("UserAccessCasePolicy!I"&amp;$N64)&amp;"|"&amp;$AQ64,CaseTypeColSetMember!$H:$H,0))))))</f>
        <v>1</v>
      </c>
      <c r="AW64" s="6" t="b" cm="1">
        <f t="array" aca="1" ref="AW64" ca="1">IF($AQ64="",TRUE,IF($N64="",FALSE,IF(INDIRECT("UserAccessCasePolicy!K"&amp;$N64)="",FALSE,NOT(ISNA(MATCH(INDIRECT("UserAccessCasePolicy!K"&amp;$N64)&amp;"|"&amp;$AQ64,CaseTypeColSetMember!$H:$H,0))))))</f>
        <v>1</v>
      </c>
      <c r="AZ64" s="6" t="str">
        <f>IF($AX64="","",INDEX(CaseTypeCol!$J:$J,MATCH($AX64,CaseTypeCol!$A:$A,0)))</f>
        <v/>
      </c>
      <c r="BA64" s="6" t="b" cm="1">
        <f t="array" aca="1" ref="BA64" ca="1">IF($AX64="",TRUE,IF($J64="",FALSE,IF(INDIRECT("OrganizationAccessCasePolicy!J"&amp;$J64)="",FALSE,NOT(ISNA(MATCH(INDIRECT("OrganizationAccessCasePolicy!J"&amp;$J64)&amp;"|"&amp;$AX64,CaseTypeColSetMember!$H:$H,0))))))</f>
        <v>1</v>
      </c>
      <c r="BB64" s="6" t="b" cm="1">
        <f t="array" aca="1" ref="BB64" ca="1">IF($AX64="",TRUE,IF($J64="",FALSE,IF(INDIRECT("OrganizationAccessCasePolicy!L"&amp;$J64)="",FALSE,NOT(ISNA(MATCH(INDIRECT("OrganizationAccessCasePolicy!L"&amp;$J64)&amp;"|"&amp;$AX64,CaseTypeColSetMember!$H:$H,0))))))</f>
        <v>1</v>
      </c>
      <c r="BC64" s="6" t="b" cm="1">
        <f t="array" aca="1" ref="BC64" ca="1">IF($AX64="",TRUE,IF($N64="",FALSE,IF(INDIRECT("UserAccessCasePolicy!I"&amp;$N64)="",FALSE,NOT(ISNA(MATCH(INDIRECT("UserAccessCasePolicy!I"&amp;$N64)&amp;"|"&amp;$AX64,CaseTypeColSetMember!$H:$H,0))))))</f>
        <v>1</v>
      </c>
      <c r="BD64" s="6" t="b" cm="1">
        <f t="array" aca="1" ref="BD64" ca="1">IF($AX64="",TRUE,IF($N64="",FALSE,IF(INDIRECT("UserAccessCasePolicy!K"&amp;$N64)="",FALSE,NOT(ISNA(MATCH(INDIRECT("UserAccessCasePolicy!K"&amp;$N64)&amp;"|"&amp;$AX64,CaseTypeColSetMember!$H:$H,0))))))</f>
        <v>1</v>
      </c>
    </row>
    <row r="65" spans="1:56" ht="15" customHeight="1" x14ac:dyDescent="0.3">
      <c r="A65">
        <v>64</v>
      </c>
      <c r="B65" t="b">
        <v>0</v>
      </c>
      <c r="C65" t="s">
        <v>1071</v>
      </c>
      <c r="D65" t="s">
        <v>28</v>
      </c>
      <c r="E65" s="6" t="str">
        <f>INDEX(User!$D:$D,MATCH($D65,User!$A:$A,0))</f>
        <v>org_user4_1</v>
      </c>
      <c r="F65" t="s">
        <v>982</v>
      </c>
      <c r="G65" s="19" t="b">
        <f ca="1">IF($F65="CREATE",$I65,IF($F65="CREATE_CASES",OR($I65,AND($K65,$L65,$O65,$P65,$AN65,AP65,$AU65,$AW65,$BB65,$BD65)),"TBD"))</f>
        <v>0</v>
      </c>
      <c r="H65" s="6" t="str">
        <f>INDEX(User!$G:$G,MATCH($D65,User!$A:$A,0))</f>
        <v>0195d18c-1c92-d419-4c71-a570f428499b</v>
      </c>
      <c r="I65" s="6" t="b">
        <f>INDEX(User!$M:$M,MATCH($D65,User!$A:$A,0))</f>
        <v>0</v>
      </c>
      <c r="J65" s="6">
        <f>IF(ISNA(MATCH($H65&amp;"|"&amp;$X65,OrganizationAccessCasePolicy!$V:$V,0)),"",MATCH($H65&amp;"|"&amp;$X65,OrganizationAccessCasePolicy!$V:$V,0))</f>
        <v>10</v>
      </c>
      <c r="K65" s="6" t="b" cm="1">
        <f t="array" aca="1" ref="K65" ca="1">IF($J65="",FALSE,NOT(ISNA(MATCH(INDIRECT("OrganizationAccessCasePolicy!D"&amp;$J65)&amp;"|"&amp;$T65,CaseTypeSetMember!$H:$H,0))))</f>
        <v>0</v>
      </c>
      <c r="L65" s="6" t="b" cm="1">
        <f t="array" aca="1" ref="L65" ca="1">IF($J65="",FALSE,AND(INDIRECT("OrganizationAccessCasePolicy!H"&amp;$J65),NOT(ISNA(MATCH(INDIRECT("OrganizationAccessCasePolicy!D"&amp;$J65)&amp;"|"&amp;$T65,CaseTypeSetMember!$H:$H,0)))))</f>
        <v>0</v>
      </c>
      <c r="M65" s="6" t="b" cm="1">
        <f t="array" aca="1" ref="M65" ca="1">IF($J65="",FALSE,AND(INDIRECT("OrganizationAccessCasePolicy!I"&amp;$J65),NOT(ISNA(MATCH(INDIRECT("OrganizationAccessCasePolicy!D"&amp;$J65)&amp;"|"&amp;$T65,CaseTypeSetMember!$H:$H,0)))))</f>
        <v>0</v>
      </c>
      <c r="N65" s="6">
        <f>IF(ISNA(MATCH($D65&amp;"|"&amp;$X65,UserAccessCasePolicy!$W:$W,0)),"",MATCH($D65&amp;"|"&amp;$X65,UserAccessCasePolicy!$W:$W,0))</f>
        <v>10</v>
      </c>
      <c r="O65" s="6" t="b" cm="1">
        <f t="array" aca="1" ref="O65" ca="1">IF($N65="",FALSE,NOT(ISNA(MATCH(INDIRECT("UserAccessCasePolicy!D"&amp;$N65)&amp;"|"&amp;$T65,CaseTypeSetMember!$H:$H,0))))</f>
        <v>0</v>
      </c>
      <c r="P65" s="6" t="b" cm="1">
        <f t="array" aca="1" ref="P65" ca="1">IF($N65="",FALSE,AND(INDIRECT("UserAccessCasePolicy!G"&amp;$N65),NOT(ISNA(MATCH(INDIRECT("UserAccessCasePolicy!D"&amp;$N65)&amp;"|"&amp;$T65,CaseTypeSetMember!$H:$H,0)))))</f>
        <v>0</v>
      </c>
      <c r="Q65" s="6" t="b" cm="1">
        <f t="array" aca="1" ref="Q65" ca="1">IF($N65="",FALSE,AND(INDIRECT("UserAccessCasePolicy!H"&amp;$N65),NOT(ISNA(MATCH(INDIRECT("UserAccessCasePolicy!D"&amp;$N65)&amp;"|"&amp;$T65,CaseTypeSetMember!$H:$H,0)))))</f>
        <v>0</v>
      </c>
      <c r="R65" t="s">
        <v>1021</v>
      </c>
      <c r="S65" s="6" t="str">
        <f>"case"&amp;MATCH($R65,$R$1:$R65,0)-1</f>
        <v>case26</v>
      </c>
      <c r="T65" t="s">
        <v>115</v>
      </c>
      <c r="U65" s="6" t="str">
        <f>INDEX(CaseType!$B:$B,MATCH($T65,CaseType!$A:$A,0))</f>
        <v>case_type1</v>
      </c>
      <c r="V65" s="6" t="b">
        <f>AND(IF($AJ65="",TRUE,$T65=INDEX(CaseTypeCol!$B:$B,MATCH($AJ65,CaseTypeCol!$A:$A,0))),IF($AQ65="",TRUE,$T65=INDEX(CaseTypeCol!$B:$B,MATCH($AQ65,CaseTypeCol!$A:$A,0))),IF($AX65="",TRUE,$T65=INDEX(CaseTypeCol!$B:$B,MATCH($AX65,CaseTypeCol!$A:$A,0))))</f>
        <v>1</v>
      </c>
      <c r="X65" t="s">
        <v>33</v>
      </c>
      <c r="Y65" s="6" t="str">
        <f>INDEX(DataCollection!$B:$B,MATCH($X65,DataCollection!$A:$A,0))</f>
        <v>data_collection9</v>
      </c>
      <c r="AA65" s="6" t="str">
        <f>IF($Z65="","",INDEX(CaseTypeCol!$J:$J,MATCH($Z65,CaseTypeCol!$A:$A,0)))</f>
        <v/>
      </c>
      <c r="AC65" s="6" t="str">
        <f>IF($AB65="","",INDEX(IdentifierIssuer!$B:$B,MATCH($AB65,IdentifierIssuer!$A:$A,0)))</f>
        <v/>
      </c>
      <c r="AE65" s="6" t="str">
        <f>IF($AD65="","",INDEX(SequencingProtocol!$B:$B,MATCH($AD65,SequencingProtocol!$A:$A,0)))</f>
        <v/>
      </c>
      <c r="AG65" s="6" t="str">
        <f>IF($AF65="","",INDEX(AssemblyProtocol!$B:$B,MATCH($AF65,AssemblyProtocol!$A:$A,0)))</f>
        <v/>
      </c>
      <c r="AI65" s="14">
        <v>36526</v>
      </c>
      <c r="AJ65" t="s">
        <v>516</v>
      </c>
      <c r="AK65" t="s">
        <v>972</v>
      </c>
      <c r="AL65" s="6" t="str">
        <f>IF($AJ65="","",INDEX(CaseTypeCol!$J:$J,MATCH($AJ65,CaseTypeCol!$A:$A,0)))</f>
        <v>case_type_col1_7_0_1_TEXT</v>
      </c>
      <c r="AM65" s="6" t="b" cm="1">
        <f t="array" aca="1" ref="AM65" ca="1">IF($AJ65="",TRUE,IF($J65="",FALSE,IF(INDIRECT("OrganizationAccessCasePolicy!J"&amp;$J65)="",FALSE,NOT(ISNA(MATCH(INDIRECT("OrganizationAccessCasePolicy!J"&amp;$J65)&amp;"|"&amp;$AJ65,CaseTypeColSetMember!$H:$H,0))))))</f>
        <v>1</v>
      </c>
      <c r="AN65" s="6" t="b" cm="1">
        <f t="array" aca="1" ref="AN65" ca="1">IF($AJ65="",TRUE,IF($J65="",FALSE,IF(INDIRECT("OrganizationAccessCasePolicy!L"&amp;$J65)="",FALSE,NOT(ISNA(MATCH(INDIRECT("OrganizationAccessCasePolicy!L"&amp;$J65)&amp;"|"&amp;$AJ65,CaseTypeColSetMember!$H:$H,0))))))</f>
        <v>0</v>
      </c>
      <c r="AO65" s="6" t="b" cm="1">
        <f t="array" aca="1" ref="AO65" ca="1">IF($AJ65="",TRUE,IF($N65="",FALSE,IF(INDIRECT("UserAccessCasePolicy!I"&amp;$N65)="",FALSE,NOT(ISNA(MATCH(INDIRECT("UserAccessCasePolicy!I"&amp;$N65)&amp;"|"&amp;$AJ65,CaseTypeColSetMember!$H:$H,0))))))</f>
        <v>1</v>
      </c>
      <c r="AP65" s="6" t="b" cm="1">
        <f t="array" aca="1" ref="AP65" ca="1">IF($AJ65="",TRUE,IF($N65="",FALSE,IF(INDIRECT("UserAccessCasePolicy!K"&amp;$N65)="",FALSE,NOT(ISNA(MATCH(INDIRECT("UserAccessCasePolicy!K"&amp;$N65)&amp;"|"&amp;$AJ65,CaseTypeColSetMember!$H:$H,0))))))</f>
        <v>1</v>
      </c>
      <c r="AR65" t="s">
        <v>1047</v>
      </c>
      <c r="AS65" s="6" t="str">
        <f>IF($AQ65="","",INDEX(CaseTypeCol!$J:$J,MATCH($AQ65,CaseTypeCol!$A:$A,0)))</f>
        <v/>
      </c>
      <c r="AT65" s="6" t="b" cm="1">
        <f t="array" aca="1" ref="AT65" ca="1">IF($AQ65="",TRUE,IF($J65="",FALSE,IF(INDIRECT("OrganizationAccessCasePolicy!J"&amp;$J65)="",FALSE,NOT(ISNA(MATCH(INDIRECT("OrganizationAccessCasePolicy!J"&amp;$J65)&amp;"|"&amp;$AQ65,CaseTypeColSetMember!$H:$H,0))))))</f>
        <v>1</v>
      </c>
      <c r="AU65" s="6" t="b" cm="1">
        <f t="array" aca="1" ref="AU65" ca="1">IF($AQ65="",TRUE,IF($J65="",FALSE,IF(INDIRECT("OrganizationAccessCasePolicy!L"&amp;$J65)="",FALSE,NOT(ISNA(MATCH(INDIRECT("OrganizationAccessCasePolicy!L"&amp;$J65)&amp;"|"&amp;$AQ65,CaseTypeColSetMember!$H:$H,0))))))</f>
        <v>1</v>
      </c>
      <c r="AV65" s="6" t="b" cm="1">
        <f t="array" aca="1" ref="AV65" ca="1">IF($AQ65="",TRUE,IF($N65="",FALSE,IF(INDIRECT("UserAccessCasePolicy!I"&amp;$N65)="",FALSE,NOT(ISNA(MATCH(INDIRECT("UserAccessCasePolicy!I"&amp;$N65)&amp;"|"&amp;$AQ65,CaseTypeColSetMember!$H:$H,0))))))</f>
        <v>1</v>
      </c>
      <c r="AW65" s="6" t="b" cm="1">
        <f t="array" aca="1" ref="AW65" ca="1">IF($AQ65="",TRUE,IF($N65="",FALSE,IF(INDIRECT("UserAccessCasePolicy!K"&amp;$N65)="",FALSE,NOT(ISNA(MATCH(INDIRECT("UserAccessCasePolicy!K"&amp;$N65)&amp;"|"&amp;$AQ65,CaseTypeColSetMember!$H:$H,0))))))</f>
        <v>1</v>
      </c>
      <c r="AZ65" s="6" t="str">
        <f>IF($AX65="","",INDEX(CaseTypeCol!$J:$J,MATCH($AX65,CaseTypeCol!$A:$A,0)))</f>
        <v/>
      </c>
      <c r="BA65" s="6" t="b" cm="1">
        <f t="array" aca="1" ref="BA65" ca="1">IF($AX65="",TRUE,IF($J65="",FALSE,IF(INDIRECT("OrganizationAccessCasePolicy!J"&amp;$J65)="",FALSE,NOT(ISNA(MATCH(INDIRECT("OrganizationAccessCasePolicy!J"&amp;$J65)&amp;"|"&amp;$AX65,CaseTypeColSetMember!$H:$H,0))))))</f>
        <v>1</v>
      </c>
      <c r="BB65" s="6" t="b" cm="1">
        <f t="array" aca="1" ref="BB65" ca="1">IF($AX65="",TRUE,IF($J65="",FALSE,IF(INDIRECT("OrganizationAccessCasePolicy!L"&amp;$J65)="",FALSE,NOT(ISNA(MATCH(INDIRECT("OrganizationAccessCasePolicy!L"&amp;$J65)&amp;"|"&amp;$AX65,CaseTypeColSetMember!$H:$H,0))))))</f>
        <v>1</v>
      </c>
      <c r="BC65" s="6" t="b" cm="1">
        <f t="array" aca="1" ref="BC65" ca="1">IF($AX65="",TRUE,IF($N65="",FALSE,IF(INDIRECT("UserAccessCasePolicy!I"&amp;$N65)="",FALSE,NOT(ISNA(MATCH(INDIRECT("UserAccessCasePolicy!I"&amp;$N65)&amp;"|"&amp;$AX65,CaseTypeColSetMember!$H:$H,0))))))</f>
        <v>1</v>
      </c>
      <c r="BD65" s="6" t="b" cm="1">
        <f t="array" aca="1" ref="BD65" ca="1">IF($AX65="",TRUE,IF($N65="",FALSE,IF(INDIRECT("UserAccessCasePolicy!K"&amp;$N65)="",FALSE,NOT(ISNA(MATCH(INDIRECT("UserAccessCasePolicy!K"&amp;$N65)&amp;"|"&amp;$AX65,CaseTypeColSetMember!$H:$H,0))))))</f>
        <v>1</v>
      </c>
    </row>
    <row r="66" spans="1:56" ht="15" customHeight="1" x14ac:dyDescent="0.3">
      <c r="A66">
        <v>65</v>
      </c>
      <c r="B66" t="b">
        <v>0</v>
      </c>
      <c r="C66" t="s">
        <v>1072</v>
      </c>
      <c r="D66" t="s">
        <v>30</v>
      </c>
      <c r="E66" s="6" t="str">
        <f>INDEX(User!$D:$D,MATCH($D66,User!$A:$A,0))</f>
        <v>org_user4_2</v>
      </c>
      <c r="F66" t="s">
        <v>982</v>
      </c>
      <c r="G66" s="19" t="b">
        <f ca="1">IF($F66="CREATE",$I66,IF($F66="CREATE_CASES",OR($I66,AND($K66,$L66,$O66,$P66,$AN66,AP66,$AU66,$AW66,$BB66,$BD66)),"TBD"))</f>
        <v>0</v>
      </c>
      <c r="H66" s="6" t="str">
        <f>INDEX(User!$G:$G,MATCH($D66,User!$A:$A,0))</f>
        <v>0195d18c-1c92-d419-4c71-a570f428499b</v>
      </c>
      <c r="I66" s="6" t="b">
        <f>INDEX(User!$M:$M,MATCH($D66,User!$A:$A,0))</f>
        <v>0</v>
      </c>
      <c r="J66" s="6">
        <f>IF(ISNA(MATCH($H66&amp;"|"&amp;$X66,OrganizationAccessCasePolicy!$V:$V,0)),"",MATCH($H66&amp;"|"&amp;$X66,OrganizationAccessCasePolicy!$V:$V,0))</f>
        <v>10</v>
      </c>
      <c r="K66" s="6" t="b" cm="1">
        <f t="array" aca="1" ref="K66" ca="1">IF($J66="",FALSE,NOT(ISNA(MATCH(INDIRECT("OrganizationAccessCasePolicy!D"&amp;$J66)&amp;"|"&amp;$T66,CaseTypeSetMember!$H:$H,0))))</f>
        <v>0</v>
      </c>
      <c r="L66" s="6" t="b" cm="1">
        <f t="array" aca="1" ref="L66" ca="1">IF($J66="",FALSE,AND(INDIRECT("OrganizationAccessCasePolicy!H"&amp;$J66),NOT(ISNA(MATCH(INDIRECT("OrganizationAccessCasePolicy!D"&amp;$J66)&amp;"|"&amp;$T66,CaseTypeSetMember!$H:$H,0)))))</f>
        <v>0</v>
      </c>
      <c r="M66" s="6" t="b" cm="1">
        <f t="array" aca="1" ref="M66" ca="1">IF($J66="",FALSE,AND(INDIRECT("OrganizationAccessCasePolicy!I"&amp;$J66),NOT(ISNA(MATCH(INDIRECT("OrganizationAccessCasePolicy!D"&amp;$J66)&amp;"|"&amp;$T66,CaseTypeSetMember!$H:$H,0)))))</f>
        <v>0</v>
      </c>
      <c r="N66" s="6" t="str">
        <f>IF(ISNA(MATCH($D66&amp;"|"&amp;$X66,UserAccessCasePolicy!$W:$W,0)),"",MATCH($D66&amp;"|"&amp;$X66,UserAccessCasePolicy!$W:$W,0))</f>
        <v/>
      </c>
      <c r="O66" s="6" t="b" cm="1">
        <f t="array" aca="1" ref="O66" ca="1">IF($N66="",FALSE,NOT(ISNA(MATCH(INDIRECT("UserAccessCasePolicy!D"&amp;$N66)&amp;"|"&amp;$T66,CaseTypeSetMember!$H:$H,0))))</f>
        <v>0</v>
      </c>
      <c r="P66" s="6" t="b" cm="1">
        <f t="array" aca="1" ref="P66" ca="1">IF($N66="",FALSE,AND(INDIRECT("UserAccessCasePolicy!G"&amp;$N66),NOT(ISNA(MATCH(INDIRECT("UserAccessCasePolicy!D"&amp;$N66)&amp;"|"&amp;$T66,CaseTypeSetMember!$H:$H,0)))))</f>
        <v>0</v>
      </c>
      <c r="Q66" s="6" t="b" cm="1">
        <f t="array" aca="1" ref="Q66" ca="1">IF($N66="",FALSE,AND(INDIRECT("UserAccessCasePolicy!H"&amp;$N66),NOT(ISNA(MATCH(INDIRECT("UserAccessCasePolicy!D"&amp;$N66)&amp;"|"&amp;$T66,CaseTypeSetMember!$H:$H,0)))))</f>
        <v>0</v>
      </c>
      <c r="R66" t="s">
        <v>1023</v>
      </c>
      <c r="S66" s="6" t="str">
        <f>"case"&amp;MATCH($R66,$R$1:$R66,0)-1</f>
        <v>case27</v>
      </c>
      <c r="T66" t="s">
        <v>115</v>
      </c>
      <c r="U66" s="6" t="str">
        <f>INDEX(CaseType!$B:$B,MATCH($T66,CaseType!$A:$A,0))</f>
        <v>case_type1</v>
      </c>
      <c r="V66" s="6" t="b">
        <f>AND(IF($AJ66="",TRUE,$T66=INDEX(CaseTypeCol!$B:$B,MATCH($AJ66,CaseTypeCol!$A:$A,0))),IF($AQ66="",TRUE,$T66=INDEX(CaseTypeCol!$B:$B,MATCH($AQ66,CaseTypeCol!$A:$A,0))),IF($AX66="",TRUE,$T66=INDEX(CaseTypeCol!$B:$B,MATCH($AX66,CaseTypeCol!$A:$A,0))))</f>
        <v>1</v>
      </c>
      <c r="X66" t="s">
        <v>33</v>
      </c>
      <c r="Y66" s="6" t="str">
        <f>INDEX(DataCollection!$B:$B,MATCH($X66,DataCollection!$A:$A,0))</f>
        <v>data_collection9</v>
      </c>
      <c r="AA66" s="6" t="str">
        <f>IF($Z66="","",INDEX(CaseTypeCol!$J:$J,MATCH($Z66,CaseTypeCol!$A:$A,0)))</f>
        <v/>
      </c>
      <c r="AC66" s="6" t="str">
        <f>IF($AB66="","",INDEX(IdentifierIssuer!$B:$B,MATCH($AB66,IdentifierIssuer!$A:$A,0)))</f>
        <v/>
      </c>
      <c r="AE66" s="6" t="str">
        <f>IF($AD66="","",INDEX(SequencingProtocol!$B:$B,MATCH($AD66,SequencingProtocol!$A:$A,0)))</f>
        <v/>
      </c>
      <c r="AG66" s="6" t="str">
        <f>IF($AF66="","",INDEX(AssemblyProtocol!$B:$B,MATCH($AF66,AssemblyProtocol!$A:$A,0)))</f>
        <v/>
      </c>
      <c r="AI66" s="14">
        <v>36526</v>
      </c>
      <c r="AJ66" t="s">
        <v>516</v>
      </c>
      <c r="AK66" t="s">
        <v>972</v>
      </c>
      <c r="AL66" s="6" t="str">
        <f>IF($AJ66="","",INDEX(CaseTypeCol!$J:$J,MATCH($AJ66,CaseTypeCol!$A:$A,0)))</f>
        <v>case_type_col1_7_0_1_TEXT</v>
      </c>
      <c r="AM66" s="6" t="b" cm="1">
        <f t="array" aca="1" ref="AM66" ca="1">IF($AJ66="",TRUE,IF($J66="",FALSE,IF(INDIRECT("OrganizationAccessCasePolicy!J"&amp;$J66)="",FALSE,NOT(ISNA(MATCH(INDIRECT("OrganizationAccessCasePolicy!J"&amp;$J66)&amp;"|"&amp;$AJ66,CaseTypeColSetMember!$H:$H,0))))))</f>
        <v>1</v>
      </c>
      <c r="AN66" s="6" t="b" cm="1">
        <f t="array" aca="1" ref="AN66" ca="1">IF($AJ66="",TRUE,IF($J66="",FALSE,IF(INDIRECT("OrganizationAccessCasePolicy!L"&amp;$J66)="",FALSE,NOT(ISNA(MATCH(INDIRECT("OrganizationAccessCasePolicy!L"&amp;$J66)&amp;"|"&amp;$AJ66,CaseTypeColSetMember!$H:$H,0))))))</f>
        <v>0</v>
      </c>
      <c r="AO66" s="6" t="b" cm="1">
        <f t="array" aca="1" ref="AO66" ca="1">IF($AJ66="",TRUE,IF($N66="",FALSE,IF(INDIRECT("UserAccessCasePolicy!I"&amp;$N66)="",FALSE,NOT(ISNA(MATCH(INDIRECT("UserAccessCasePolicy!I"&amp;$N66)&amp;"|"&amp;$AJ66,CaseTypeColSetMember!$H:$H,0))))))</f>
        <v>0</v>
      </c>
      <c r="AP66" s="6" t="b" cm="1">
        <f t="array" aca="1" ref="AP66" ca="1">IF($AJ66="",TRUE,IF($N66="",FALSE,IF(INDIRECT("UserAccessCasePolicy!K"&amp;$N66)="",FALSE,NOT(ISNA(MATCH(INDIRECT("UserAccessCasePolicy!K"&amp;$N66)&amp;"|"&amp;$AJ66,CaseTypeColSetMember!$H:$H,0))))))</f>
        <v>0</v>
      </c>
      <c r="AR66" t="s">
        <v>1047</v>
      </c>
      <c r="AS66" s="6" t="str">
        <f>IF($AQ66="","",INDEX(CaseTypeCol!$J:$J,MATCH($AQ66,CaseTypeCol!$A:$A,0)))</f>
        <v/>
      </c>
      <c r="AT66" s="6" t="b" cm="1">
        <f t="array" aca="1" ref="AT66" ca="1">IF($AQ66="",TRUE,IF($J66="",FALSE,IF(INDIRECT("OrganizationAccessCasePolicy!J"&amp;$J66)="",FALSE,NOT(ISNA(MATCH(INDIRECT("OrganizationAccessCasePolicy!J"&amp;$J66)&amp;"|"&amp;$AQ66,CaseTypeColSetMember!$H:$H,0))))))</f>
        <v>1</v>
      </c>
      <c r="AU66" s="6" t="b" cm="1">
        <f t="array" aca="1" ref="AU66" ca="1">IF($AQ66="",TRUE,IF($J66="",FALSE,IF(INDIRECT("OrganizationAccessCasePolicy!L"&amp;$J66)="",FALSE,NOT(ISNA(MATCH(INDIRECT("OrganizationAccessCasePolicy!L"&amp;$J66)&amp;"|"&amp;$AQ66,CaseTypeColSetMember!$H:$H,0))))))</f>
        <v>1</v>
      </c>
      <c r="AV66" s="6" t="b" cm="1">
        <f t="array" aca="1" ref="AV66" ca="1">IF($AQ66="",TRUE,IF($N66="",FALSE,IF(INDIRECT("UserAccessCasePolicy!I"&amp;$N66)="",FALSE,NOT(ISNA(MATCH(INDIRECT("UserAccessCasePolicy!I"&amp;$N66)&amp;"|"&amp;$AQ66,CaseTypeColSetMember!$H:$H,0))))))</f>
        <v>1</v>
      </c>
      <c r="AW66" s="6" t="b" cm="1">
        <f t="array" aca="1" ref="AW66" ca="1">IF($AQ66="",TRUE,IF($N66="",FALSE,IF(INDIRECT("UserAccessCasePolicy!K"&amp;$N66)="",FALSE,NOT(ISNA(MATCH(INDIRECT("UserAccessCasePolicy!K"&amp;$N66)&amp;"|"&amp;$AQ66,CaseTypeColSetMember!$H:$H,0))))))</f>
        <v>1</v>
      </c>
      <c r="AZ66" s="6" t="str">
        <f>IF($AX66="","",INDEX(CaseTypeCol!$J:$J,MATCH($AX66,CaseTypeCol!$A:$A,0)))</f>
        <v/>
      </c>
      <c r="BA66" s="6" t="b" cm="1">
        <f t="array" aca="1" ref="BA66" ca="1">IF($AX66="",TRUE,IF($J66="",FALSE,IF(INDIRECT("OrganizationAccessCasePolicy!J"&amp;$J66)="",FALSE,NOT(ISNA(MATCH(INDIRECT("OrganizationAccessCasePolicy!J"&amp;$J66)&amp;"|"&amp;$AX66,CaseTypeColSetMember!$H:$H,0))))))</f>
        <v>1</v>
      </c>
      <c r="BB66" s="6" t="b" cm="1">
        <f t="array" aca="1" ref="BB66" ca="1">IF($AX66="",TRUE,IF($J66="",FALSE,IF(INDIRECT("OrganizationAccessCasePolicy!L"&amp;$J66)="",FALSE,NOT(ISNA(MATCH(INDIRECT("OrganizationAccessCasePolicy!L"&amp;$J66)&amp;"|"&amp;$AX66,CaseTypeColSetMember!$H:$H,0))))))</f>
        <v>1</v>
      </c>
      <c r="BC66" s="6" t="b" cm="1">
        <f t="array" aca="1" ref="BC66" ca="1">IF($AX66="",TRUE,IF($N66="",FALSE,IF(INDIRECT("UserAccessCasePolicy!I"&amp;$N66)="",FALSE,NOT(ISNA(MATCH(INDIRECT("UserAccessCasePolicy!I"&amp;$N66)&amp;"|"&amp;$AX66,CaseTypeColSetMember!$H:$H,0))))))</f>
        <v>1</v>
      </c>
      <c r="BD66" s="6" t="b" cm="1">
        <f t="array" aca="1" ref="BD66" ca="1">IF($AX66="",TRUE,IF($N66="",FALSE,IF(INDIRECT("UserAccessCasePolicy!K"&amp;$N66)="",FALSE,NOT(ISNA(MATCH(INDIRECT("UserAccessCasePolicy!K"&amp;$N66)&amp;"|"&amp;$AX66,CaseTypeColSetMember!$H:$H,0))))))</f>
        <v>1</v>
      </c>
    </row>
    <row r="67" spans="1:56" ht="15" customHeight="1" x14ac:dyDescent="0.3">
      <c r="A67">
        <v>66</v>
      </c>
      <c r="B67" t="b">
        <v>0</v>
      </c>
      <c r="C67" t="s">
        <v>1073</v>
      </c>
      <c r="D67" t="s">
        <v>31</v>
      </c>
      <c r="E67" s="6" t="str">
        <f>INDEX(User!$D:$D,MATCH($D67,User!$A:$A,0))</f>
        <v>org_user4_3</v>
      </c>
      <c r="F67" t="s">
        <v>982</v>
      </c>
      <c r="G67" s="19" t="b">
        <f ca="1">IF($F67="CREATE",$I67,IF($F67="CREATE_CASES",OR($I67,AND($K67,$L67,$O67,$P67,$AN67,AP67,$AU67,$AW67,$BB67,$BD67)),"TBD"))</f>
        <v>0</v>
      </c>
      <c r="H67" s="6" t="str">
        <f>INDEX(User!$G:$G,MATCH($D67,User!$A:$A,0))</f>
        <v>0195d18c-1c92-d419-4c71-a570f428499b</v>
      </c>
      <c r="I67" s="6" t="b">
        <f>INDEX(User!$M:$M,MATCH($D67,User!$A:$A,0))</f>
        <v>0</v>
      </c>
      <c r="J67" s="6">
        <f>IF(ISNA(MATCH($H67&amp;"|"&amp;$X67,OrganizationAccessCasePolicy!$V:$V,0)),"",MATCH($H67&amp;"|"&amp;$X67,OrganizationAccessCasePolicy!$V:$V,0))</f>
        <v>10</v>
      </c>
      <c r="K67" s="6" t="b" cm="1">
        <f t="array" aca="1" ref="K67" ca="1">IF($J67="",FALSE,NOT(ISNA(MATCH(INDIRECT("OrganizationAccessCasePolicy!D"&amp;$J67)&amp;"|"&amp;$T67,CaseTypeSetMember!$H:$H,0))))</f>
        <v>0</v>
      </c>
      <c r="L67" s="6" t="b" cm="1">
        <f t="array" aca="1" ref="L67" ca="1">IF($J67="",FALSE,AND(INDIRECT("OrganizationAccessCasePolicy!H"&amp;$J67),NOT(ISNA(MATCH(INDIRECT("OrganizationAccessCasePolicy!D"&amp;$J67)&amp;"|"&amp;$T67,CaseTypeSetMember!$H:$H,0)))))</f>
        <v>0</v>
      </c>
      <c r="M67" s="6" t="b" cm="1">
        <f t="array" aca="1" ref="M67" ca="1">IF($J67="",FALSE,AND(INDIRECT("OrganizationAccessCasePolicy!I"&amp;$J67),NOT(ISNA(MATCH(INDIRECT("OrganizationAccessCasePolicy!D"&amp;$J67)&amp;"|"&amp;$T67,CaseTypeSetMember!$H:$H,0)))))</f>
        <v>0</v>
      </c>
      <c r="N67" s="6" t="str">
        <f>IF(ISNA(MATCH($D67&amp;"|"&amp;$X67,UserAccessCasePolicy!$W:$W,0)),"",MATCH($D67&amp;"|"&amp;$X67,UserAccessCasePolicy!$W:$W,0))</f>
        <v/>
      </c>
      <c r="O67" s="6" t="b" cm="1">
        <f t="array" aca="1" ref="O67" ca="1">IF($N67="",FALSE,NOT(ISNA(MATCH(INDIRECT("UserAccessCasePolicy!D"&amp;$N67)&amp;"|"&amp;$T67,CaseTypeSetMember!$H:$H,0))))</f>
        <v>0</v>
      </c>
      <c r="P67" s="6" t="b" cm="1">
        <f t="array" aca="1" ref="P67" ca="1">IF($N67="",FALSE,AND(INDIRECT("UserAccessCasePolicy!G"&amp;$N67),NOT(ISNA(MATCH(INDIRECT("UserAccessCasePolicy!D"&amp;$N67)&amp;"|"&amp;$T67,CaseTypeSetMember!$H:$H,0)))))</f>
        <v>0</v>
      </c>
      <c r="Q67" s="6" t="b" cm="1">
        <f t="array" aca="1" ref="Q67" ca="1">IF($N67="",FALSE,AND(INDIRECT("UserAccessCasePolicy!H"&amp;$N67),NOT(ISNA(MATCH(INDIRECT("UserAccessCasePolicy!D"&amp;$N67)&amp;"|"&amp;$T67,CaseTypeSetMember!$H:$H,0)))))</f>
        <v>0</v>
      </c>
      <c r="R67" t="s">
        <v>1025</v>
      </c>
      <c r="S67" s="6" t="str">
        <f>"case"&amp;MATCH($R67,$R$1:$R67,0)-1</f>
        <v>case28</v>
      </c>
      <c r="T67" t="s">
        <v>115</v>
      </c>
      <c r="U67" s="6" t="str">
        <f>INDEX(CaseType!$B:$B,MATCH($T67,CaseType!$A:$A,0))</f>
        <v>case_type1</v>
      </c>
      <c r="V67" s="6" t="b">
        <f>AND(IF($AJ67="",TRUE,$T67=INDEX(CaseTypeCol!$B:$B,MATCH($AJ67,CaseTypeCol!$A:$A,0))),IF($AQ67="",TRUE,$T67=INDEX(CaseTypeCol!$B:$B,MATCH($AQ67,CaseTypeCol!$A:$A,0))),IF($AX67="",TRUE,$T67=INDEX(CaseTypeCol!$B:$B,MATCH($AX67,CaseTypeCol!$A:$A,0))))</f>
        <v>1</v>
      </c>
      <c r="X67" t="s">
        <v>33</v>
      </c>
      <c r="Y67" s="6" t="str">
        <f>INDEX(DataCollection!$B:$B,MATCH($X67,DataCollection!$A:$A,0))</f>
        <v>data_collection9</v>
      </c>
      <c r="AA67" s="6" t="str">
        <f>IF($Z67="","",INDEX(CaseTypeCol!$J:$J,MATCH($Z67,CaseTypeCol!$A:$A,0)))</f>
        <v/>
      </c>
      <c r="AC67" s="6" t="str">
        <f>IF($AB67="","",INDEX(IdentifierIssuer!$B:$B,MATCH($AB67,IdentifierIssuer!$A:$A,0)))</f>
        <v/>
      </c>
      <c r="AE67" s="6" t="str">
        <f>IF($AD67="","",INDEX(SequencingProtocol!$B:$B,MATCH($AD67,SequencingProtocol!$A:$A,0)))</f>
        <v/>
      </c>
      <c r="AG67" s="6" t="str">
        <f>IF($AF67="","",INDEX(AssemblyProtocol!$B:$B,MATCH($AF67,AssemblyProtocol!$A:$A,0)))</f>
        <v/>
      </c>
      <c r="AI67" s="14">
        <v>36526</v>
      </c>
      <c r="AJ67" t="s">
        <v>516</v>
      </c>
      <c r="AK67" t="s">
        <v>972</v>
      </c>
      <c r="AL67" s="6" t="str">
        <f>IF($AJ67="","",INDEX(CaseTypeCol!$J:$J,MATCH($AJ67,CaseTypeCol!$A:$A,0)))</f>
        <v>case_type_col1_7_0_1_TEXT</v>
      </c>
      <c r="AM67" s="6" t="b" cm="1">
        <f t="array" aca="1" ref="AM67" ca="1">IF($AJ67="",TRUE,IF($J67="",FALSE,IF(INDIRECT("OrganizationAccessCasePolicy!J"&amp;$J67)="",FALSE,NOT(ISNA(MATCH(INDIRECT("OrganizationAccessCasePolicy!J"&amp;$J67)&amp;"|"&amp;$AJ67,CaseTypeColSetMember!$H:$H,0))))))</f>
        <v>1</v>
      </c>
      <c r="AN67" s="6" t="b" cm="1">
        <f t="array" aca="1" ref="AN67" ca="1">IF($AJ67="",TRUE,IF($J67="",FALSE,IF(INDIRECT("OrganizationAccessCasePolicy!L"&amp;$J67)="",FALSE,NOT(ISNA(MATCH(INDIRECT("OrganizationAccessCasePolicy!L"&amp;$J67)&amp;"|"&amp;$AJ67,CaseTypeColSetMember!$H:$H,0))))))</f>
        <v>0</v>
      </c>
      <c r="AO67" s="6" t="b" cm="1">
        <f t="array" aca="1" ref="AO67" ca="1">IF($AJ67="",TRUE,IF($N67="",FALSE,IF(INDIRECT("UserAccessCasePolicy!I"&amp;$N67)="",FALSE,NOT(ISNA(MATCH(INDIRECT("UserAccessCasePolicy!I"&amp;$N67)&amp;"|"&amp;$AJ67,CaseTypeColSetMember!$H:$H,0))))))</f>
        <v>0</v>
      </c>
      <c r="AP67" s="6" t="b" cm="1">
        <f t="array" aca="1" ref="AP67" ca="1">IF($AJ67="",TRUE,IF($N67="",FALSE,IF(INDIRECT("UserAccessCasePolicy!K"&amp;$N67)="",FALSE,NOT(ISNA(MATCH(INDIRECT("UserAccessCasePolicy!K"&amp;$N67)&amp;"|"&amp;$AJ67,CaseTypeColSetMember!$H:$H,0))))))</f>
        <v>0</v>
      </c>
      <c r="AR67" t="s">
        <v>1047</v>
      </c>
      <c r="AS67" s="6" t="str">
        <f>IF($AQ67="","",INDEX(CaseTypeCol!$J:$J,MATCH($AQ67,CaseTypeCol!$A:$A,0)))</f>
        <v/>
      </c>
      <c r="AT67" s="6" t="b" cm="1">
        <f t="array" aca="1" ref="AT67" ca="1">IF($AQ67="",TRUE,IF($J67="",FALSE,IF(INDIRECT("OrganizationAccessCasePolicy!J"&amp;$J67)="",FALSE,NOT(ISNA(MATCH(INDIRECT("OrganizationAccessCasePolicy!J"&amp;$J67)&amp;"|"&amp;$AQ67,CaseTypeColSetMember!$H:$H,0))))))</f>
        <v>1</v>
      </c>
      <c r="AU67" s="6" t="b" cm="1">
        <f t="array" aca="1" ref="AU67" ca="1">IF($AQ67="",TRUE,IF($J67="",FALSE,IF(INDIRECT("OrganizationAccessCasePolicy!L"&amp;$J67)="",FALSE,NOT(ISNA(MATCH(INDIRECT("OrganizationAccessCasePolicy!L"&amp;$J67)&amp;"|"&amp;$AQ67,CaseTypeColSetMember!$H:$H,0))))))</f>
        <v>1</v>
      </c>
      <c r="AV67" s="6" t="b" cm="1">
        <f t="array" aca="1" ref="AV67" ca="1">IF($AQ67="",TRUE,IF($N67="",FALSE,IF(INDIRECT("UserAccessCasePolicy!I"&amp;$N67)="",FALSE,NOT(ISNA(MATCH(INDIRECT("UserAccessCasePolicy!I"&amp;$N67)&amp;"|"&amp;$AQ67,CaseTypeColSetMember!$H:$H,0))))))</f>
        <v>1</v>
      </c>
      <c r="AW67" s="6" t="b" cm="1">
        <f t="array" aca="1" ref="AW67" ca="1">IF($AQ67="",TRUE,IF($N67="",FALSE,IF(INDIRECT("UserAccessCasePolicy!K"&amp;$N67)="",FALSE,NOT(ISNA(MATCH(INDIRECT("UserAccessCasePolicy!K"&amp;$N67)&amp;"|"&amp;$AQ67,CaseTypeColSetMember!$H:$H,0))))))</f>
        <v>1</v>
      </c>
      <c r="AZ67" s="6" t="str">
        <f>IF($AX67="","",INDEX(CaseTypeCol!$J:$J,MATCH($AX67,CaseTypeCol!$A:$A,0)))</f>
        <v/>
      </c>
      <c r="BA67" s="6" t="b" cm="1">
        <f t="array" aca="1" ref="BA67" ca="1">IF($AX67="",TRUE,IF($J67="",FALSE,IF(INDIRECT("OrganizationAccessCasePolicy!J"&amp;$J67)="",FALSE,NOT(ISNA(MATCH(INDIRECT("OrganizationAccessCasePolicy!J"&amp;$J67)&amp;"|"&amp;$AX67,CaseTypeColSetMember!$H:$H,0))))))</f>
        <v>1</v>
      </c>
      <c r="BB67" s="6" t="b" cm="1">
        <f t="array" aca="1" ref="BB67" ca="1">IF($AX67="",TRUE,IF($J67="",FALSE,IF(INDIRECT("OrganizationAccessCasePolicy!L"&amp;$J67)="",FALSE,NOT(ISNA(MATCH(INDIRECT("OrganizationAccessCasePolicy!L"&amp;$J67)&amp;"|"&amp;$AX67,CaseTypeColSetMember!$H:$H,0))))))</f>
        <v>1</v>
      </c>
      <c r="BC67" s="6" t="b" cm="1">
        <f t="array" aca="1" ref="BC67" ca="1">IF($AX67="",TRUE,IF($N67="",FALSE,IF(INDIRECT("UserAccessCasePolicy!I"&amp;$N67)="",FALSE,NOT(ISNA(MATCH(INDIRECT("UserAccessCasePolicy!I"&amp;$N67)&amp;"|"&amp;$AX67,CaseTypeColSetMember!$H:$H,0))))))</f>
        <v>1</v>
      </c>
      <c r="BD67" s="6" t="b" cm="1">
        <f t="array" aca="1" ref="BD67" ca="1">IF($AX67="",TRUE,IF($N67="",FALSE,IF(INDIRECT("UserAccessCasePolicy!K"&amp;$N67)="",FALSE,NOT(ISNA(MATCH(INDIRECT("UserAccessCasePolicy!K"&amp;$N67)&amp;"|"&amp;$AX67,CaseTypeColSetMember!$H:$H,0))))))</f>
        <v>1</v>
      </c>
    </row>
    <row r="68" spans="1:56" ht="15" customHeight="1" x14ac:dyDescent="0.3">
      <c r="A68">
        <v>67</v>
      </c>
      <c r="B68" t="b">
        <v>0</v>
      </c>
      <c r="C68" t="s">
        <v>1074</v>
      </c>
      <c r="D68" t="s">
        <v>32</v>
      </c>
      <c r="E68" s="6" t="str">
        <f>INDEX(User!$D:$D,MATCH($D68,User!$A:$A,0))</f>
        <v>org_user4_4</v>
      </c>
      <c r="F68" t="s">
        <v>982</v>
      </c>
      <c r="G68" s="19" t="b">
        <f ca="1">IF($F68="CREATE",$I68,IF($F68="CREATE_CASES",OR($I68,AND($K68,$L68,$O68,$P68,$AN68,AP68,$AU68,$AW68,$BB68,$BD68)),"TBD"))</f>
        <v>0</v>
      </c>
      <c r="H68" s="6" t="str">
        <f>INDEX(User!$G:$G,MATCH($D68,User!$A:$A,0))</f>
        <v>0195d18c-1c92-d419-4c71-a570f428499b</v>
      </c>
      <c r="I68" s="6" t="b">
        <f>INDEX(User!$M:$M,MATCH($D68,User!$A:$A,0))</f>
        <v>0</v>
      </c>
      <c r="J68" s="6">
        <f>IF(ISNA(MATCH($H68&amp;"|"&amp;$X68,OrganizationAccessCasePolicy!$V:$V,0)),"",MATCH($H68&amp;"|"&amp;$X68,OrganizationAccessCasePolicy!$V:$V,0))</f>
        <v>10</v>
      </c>
      <c r="K68" s="6" t="b" cm="1">
        <f t="array" aca="1" ref="K68" ca="1">IF($J68="",FALSE,NOT(ISNA(MATCH(INDIRECT("OrganizationAccessCasePolicy!D"&amp;$J68)&amp;"|"&amp;$T68,CaseTypeSetMember!$H:$H,0))))</f>
        <v>0</v>
      </c>
      <c r="L68" s="6" t="b" cm="1">
        <f t="array" aca="1" ref="L68" ca="1">IF($J68="",FALSE,AND(INDIRECT("OrganizationAccessCasePolicy!H"&amp;$J68),NOT(ISNA(MATCH(INDIRECT("OrganizationAccessCasePolicy!D"&amp;$J68)&amp;"|"&amp;$T68,CaseTypeSetMember!$H:$H,0)))))</f>
        <v>0</v>
      </c>
      <c r="M68" s="6" t="b" cm="1">
        <f t="array" aca="1" ref="M68" ca="1">IF($J68="",FALSE,AND(INDIRECT("OrganizationAccessCasePolicy!I"&amp;$J68),NOT(ISNA(MATCH(INDIRECT("OrganizationAccessCasePolicy!D"&amp;$J68)&amp;"|"&amp;$T68,CaseTypeSetMember!$H:$H,0)))))</f>
        <v>0</v>
      </c>
      <c r="N68" s="6" t="str">
        <f>IF(ISNA(MATCH($D68&amp;"|"&amp;$X68,UserAccessCasePolicy!$W:$W,0)),"",MATCH($D68&amp;"|"&amp;$X68,UserAccessCasePolicy!$W:$W,0))</f>
        <v/>
      </c>
      <c r="O68" s="6" t="b" cm="1">
        <f t="array" aca="1" ref="O68" ca="1">IF($N68="",FALSE,NOT(ISNA(MATCH(INDIRECT("UserAccessCasePolicy!D"&amp;$N68)&amp;"|"&amp;$T68,CaseTypeSetMember!$H:$H,0))))</f>
        <v>0</v>
      </c>
      <c r="P68" s="6" t="b" cm="1">
        <f t="array" aca="1" ref="P68" ca="1">IF($N68="",FALSE,AND(INDIRECT("UserAccessCasePolicy!G"&amp;$N68),NOT(ISNA(MATCH(INDIRECT("UserAccessCasePolicy!D"&amp;$N68)&amp;"|"&amp;$T68,CaseTypeSetMember!$H:$H,0)))))</f>
        <v>0</v>
      </c>
      <c r="Q68" s="6" t="b" cm="1">
        <f t="array" aca="1" ref="Q68" ca="1">IF($N68="",FALSE,AND(INDIRECT("UserAccessCasePolicy!H"&amp;$N68),NOT(ISNA(MATCH(INDIRECT("UserAccessCasePolicy!D"&amp;$N68)&amp;"|"&amp;$T68,CaseTypeSetMember!$H:$H,0)))))</f>
        <v>0</v>
      </c>
      <c r="R68" t="s">
        <v>1027</v>
      </c>
      <c r="S68" s="6" t="str">
        <f>"case"&amp;MATCH($R68,$R$1:$R68,0)-1</f>
        <v>case29</v>
      </c>
      <c r="T68" t="s">
        <v>115</v>
      </c>
      <c r="U68" s="6" t="str">
        <f>INDEX(CaseType!$B:$B,MATCH($T68,CaseType!$A:$A,0))</f>
        <v>case_type1</v>
      </c>
      <c r="V68" s="6" t="b">
        <f>AND(IF($AJ68="",TRUE,$T68=INDEX(CaseTypeCol!$B:$B,MATCH($AJ68,CaseTypeCol!$A:$A,0))),IF($AQ68="",TRUE,$T68=INDEX(CaseTypeCol!$B:$B,MATCH($AQ68,CaseTypeCol!$A:$A,0))),IF($AX68="",TRUE,$T68=INDEX(CaseTypeCol!$B:$B,MATCH($AX68,CaseTypeCol!$A:$A,0))))</f>
        <v>1</v>
      </c>
      <c r="X68" t="s">
        <v>33</v>
      </c>
      <c r="Y68" s="6" t="str">
        <f>INDEX(DataCollection!$B:$B,MATCH($X68,DataCollection!$A:$A,0))</f>
        <v>data_collection9</v>
      </c>
      <c r="AA68" s="6" t="str">
        <f>IF($Z68="","",INDEX(CaseTypeCol!$J:$J,MATCH($Z68,CaseTypeCol!$A:$A,0)))</f>
        <v/>
      </c>
      <c r="AC68" s="6" t="str">
        <f>IF($AB68="","",INDEX(IdentifierIssuer!$B:$B,MATCH($AB68,IdentifierIssuer!$A:$A,0)))</f>
        <v/>
      </c>
      <c r="AE68" s="6" t="str">
        <f>IF($AD68="","",INDEX(SequencingProtocol!$B:$B,MATCH($AD68,SequencingProtocol!$A:$A,0)))</f>
        <v/>
      </c>
      <c r="AG68" s="6" t="str">
        <f>IF($AF68="","",INDEX(AssemblyProtocol!$B:$B,MATCH($AF68,AssemblyProtocol!$A:$A,0)))</f>
        <v/>
      </c>
      <c r="AI68" s="14">
        <v>36526</v>
      </c>
      <c r="AJ68" t="s">
        <v>516</v>
      </c>
      <c r="AK68" t="s">
        <v>972</v>
      </c>
      <c r="AL68" s="6" t="str">
        <f>IF($AJ68="","",INDEX(CaseTypeCol!$J:$J,MATCH($AJ68,CaseTypeCol!$A:$A,0)))</f>
        <v>case_type_col1_7_0_1_TEXT</v>
      </c>
      <c r="AM68" s="6" t="b" cm="1">
        <f t="array" aca="1" ref="AM68" ca="1">IF($AJ68="",TRUE,IF($J68="",FALSE,IF(INDIRECT("OrganizationAccessCasePolicy!J"&amp;$J68)="",FALSE,NOT(ISNA(MATCH(INDIRECT("OrganizationAccessCasePolicy!J"&amp;$J68)&amp;"|"&amp;$AJ68,CaseTypeColSetMember!$H:$H,0))))))</f>
        <v>1</v>
      </c>
      <c r="AN68" s="6" t="b" cm="1">
        <f t="array" aca="1" ref="AN68" ca="1">IF($AJ68="",TRUE,IF($J68="",FALSE,IF(INDIRECT("OrganizationAccessCasePolicy!L"&amp;$J68)="",FALSE,NOT(ISNA(MATCH(INDIRECT("OrganizationAccessCasePolicy!L"&amp;$J68)&amp;"|"&amp;$AJ68,CaseTypeColSetMember!$H:$H,0))))))</f>
        <v>0</v>
      </c>
      <c r="AO68" s="6" t="b" cm="1">
        <f t="array" aca="1" ref="AO68" ca="1">IF($AJ68="",TRUE,IF($N68="",FALSE,IF(INDIRECT("UserAccessCasePolicy!I"&amp;$N68)="",FALSE,NOT(ISNA(MATCH(INDIRECT("UserAccessCasePolicy!I"&amp;$N68)&amp;"|"&amp;$AJ68,CaseTypeColSetMember!$H:$H,0))))))</f>
        <v>0</v>
      </c>
      <c r="AP68" s="6" t="b" cm="1">
        <f t="array" aca="1" ref="AP68" ca="1">IF($AJ68="",TRUE,IF($N68="",FALSE,IF(INDIRECT("UserAccessCasePolicy!K"&amp;$N68)="",FALSE,NOT(ISNA(MATCH(INDIRECT("UserAccessCasePolicy!K"&amp;$N68)&amp;"|"&amp;$AJ68,CaseTypeColSetMember!$H:$H,0))))))</f>
        <v>0</v>
      </c>
      <c r="AR68" t="s">
        <v>1047</v>
      </c>
      <c r="AS68" s="6" t="str">
        <f>IF($AQ68="","",INDEX(CaseTypeCol!$J:$J,MATCH($AQ68,CaseTypeCol!$A:$A,0)))</f>
        <v/>
      </c>
      <c r="AT68" s="6" t="b" cm="1">
        <f t="array" aca="1" ref="AT68" ca="1">IF($AQ68="",TRUE,IF($J68="",FALSE,IF(INDIRECT("OrganizationAccessCasePolicy!J"&amp;$J68)="",FALSE,NOT(ISNA(MATCH(INDIRECT("OrganizationAccessCasePolicy!J"&amp;$J68)&amp;"|"&amp;$AQ68,CaseTypeColSetMember!$H:$H,0))))))</f>
        <v>1</v>
      </c>
      <c r="AU68" s="6" t="b" cm="1">
        <f t="array" aca="1" ref="AU68" ca="1">IF($AQ68="",TRUE,IF($J68="",FALSE,IF(INDIRECT("OrganizationAccessCasePolicy!L"&amp;$J68)="",FALSE,NOT(ISNA(MATCH(INDIRECT("OrganizationAccessCasePolicy!L"&amp;$J68)&amp;"|"&amp;$AQ68,CaseTypeColSetMember!$H:$H,0))))))</f>
        <v>1</v>
      </c>
      <c r="AV68" s="6" t="b" cm="1">
        <f t="array" aca="1" ref="AV68" ca="1">IF($AQ68="",TRUE,IF($N68="",FALSE,IF(INDIRECT("UserAccessCasePolicy!I"&amp;$N68)="",FALSE,NOT(ISNA(MATCH(INDIRECT("UserAccessCasePolicy!I"&amp;$N68)&amp;"|"&amp;$AQ68,CaseTypeColSetMember!$H:$H,0))))))</f>
        <v>1</v>
      </c>
      <c r="AW68" s="6" t="b" cm="1">
        <f t="array" aca="1" ref="AW68" ca="1">IF($AQ68="",TRUE,IF($N68="",FALSE,IF(INDIRECT("UserAccessCasePolicy!K"&amp;$N68)="",FALSE,NOT(ISNA(MATCH(INDIRECT("UserAccessCasePolicy!K"&amp;$N68)&amp;"|"&amp;$AQ68,CaseTypeColSetMember!$H:$H,0))))))</f>
        <v>1</v>
      </c>
      <c r="AZ68" s="6" t="str">
        <f>IF($AX68="","",INDEX(CaseTypeCol!$J:$J,MATCH($AX68,CaseTypeCol!$A:$A,0)))</f>
        <v/>
      </c>
      <c r="BA68" s="6" t="b" cm="1">
        <f t="array" aca="1" ref="BA68" ca="1">IF($AX68="",TRUE,IF($J68="",FALSE,IF(INDIRECT("OrganizationAccessCasePolicy!J"&amp;$J68)="",FALSE,NOT(ISNA(MATCH(INDIRECT("OrganizationAccessCasePolicy!J"&amp;$J68)&amp;"|"&amp;$AX68,CaseTypeColSetMember!$H:$H,0))))))</f>
        <v>1</v>
      </c>
      <c r="BB68" s="6" t="b" cm="1">
        <f t="array" aca="1" ref="BB68" ca="1">IF($AX68="",TRUE,IF($J68="",FALSE,IF(INDIRECT("OrganizationAccessCasePolicy!L"&amp;$J68)="",FALSE,NOT(ISNA(MATCH(INDIRECT("OrganizationAccessCasePolicy!L"&amp;$J68)&amp;"|"&amp;$AX68,CaseTypeColSetMember!$H:$H,0))))))</f>
        <v>1</v>
      </c>
      <c r="BC68" s="6" t="b" cm="1">
        <f t="array" aca="1" ref="BC68" ca="1">IF($AX68="",TRUE,IF($N68="",FALSE,IF(INDIRECT("UserAccessCasePolicy!I"&amp;$N68)="",FALSE,NOT(ISNA(MATCH(INDIRECT("UserAccessCasePolicy!I"&amp;$N68)&amp;"|"&amp;$AX68,CaseTypeColSetMember!$H:$H,0))))))</f>
        <v>1</v>
      </c>
      <c r="BD68" s="6" t="b" cm="1">
        <f t="array" aca="1" ref="BD68" ca="1">IF($AX68="",TRUE,IF($N68="",FALSE,IF(INDIRECT("UserAccessCasePolicy!K"&amp;$N68)="",FALSE,NOT(ISNA(MATCH(INDIRECT("UserAccessCasePolicy!K"&amp;$N68)&amp;"|"&amp;$AX68,CaseTypeColSetMember!$H:$H,0))))))</f>
        <v>1</v>
      </c>
    </row>
    <row r="69" spans="1:56" ht="15" customHeight="1" x14ac:dyDescent="0.3">
      <c r="A69">
        <v>68</v>
      </c>
      <c r="B69" t="b">
        <v>0</v>
      </c>
      <c r="C69" t="s">
        <v>1075</v>
      </c>
      <c r="D69" t="s">
        <v>34</v>
      </c>
      <c r="E69" s="6" t="str">
        <f>INDEX(User!$D:$D,MATCH($D69,User!$A:$A,0))</f>
        <v>org_user5_1</v>
      </c>
      <c r="F69" t="s">
        <v>982</v>
      </c>
      <c r="G69" s="19" t="b">
        <f ca="1">IF($F69="CREATE",$I69,IF($F69="CREATE_CASES",OR($I69,AND($K69,$L69,$O69,$P69,$AN69,AP69,$AU69,$AW69,$BB69,$BD69)),"TBD"))</f>
        <v>0</v>
      </c>
      <c r="H69" s="6" t="str">
        <f>INDEX(User!$G:$G,MATCH($D69,User!$A:$A,0))</f>
        <v>0195d18c-1c93-02a2-6920-7e4dbfb73ce0</v>
      </c>
      <c r="I69" s="6" t="b">
        <f>INDEX(User!$M:$M,MATCH($D69,User!$A:$A,0))</f>
        <v>0</v>
      </c>
      <c r="J69" s="6">
        <f>IF(ISNA(MATCH($H69&amp;"|"&amp;$X69,OrganizationAccessCasePolicy!$V:$V,0)),"",MATCH($H69&amp;"|"&amp;$X69,OrganizationAccessCasePolicy!$V:$V,0))</f>
        <v>11</v>
      </c>
      <c r="K69" s="6" t="b" cm="1">
        <f t="array" aca="1" ref="K69" ca="1">IF($J69="",FALSE,NOT(ISNA(MATCH(INDIRECT("OrganizationAccessCasePolicy!D"&amp;$J69)&amp;"|"&amp;$T69,CaseTypeSetMember!$H:$H,0))))</f>
        <v>0</v>
      </c>
      <c r="L69" s="6" t="b" cm="1">
        <f t="array" aca="1" ref="L69" ca="1">IF($J69="",FALSE,AND(INDIRECT("OrganizationAccessCasePolicy!H"&amp;$J69),NOT(ISNA(MATCH(INDIRECT("OrganizationAccessCasePolicy!D"&amp;$J69)&amp;"|"&amp;$T69,CaseTypeSetMember!$H:$H,0)))))</f>
        <v>0</v>
      </c>
      <c r="M69" s="6" t="b" cm="1">
        <f t="array" aca="1" ref="M69" ca="1">IF($J69="",FALSE,AND(INDIRECT("OrganizationAccessCasePolicy!I"&amp;$J69),NOT(ISNA(MATCH(INDIRECT("OrganizationAccessCasePolicy!D"&amp;$J69)&amp;"|"&amp;$T69,CaseTypeSetMember!$H:$H,0)))))</f>
        <v>0</v>
      </c>
      <c r="N69" s="6">
        <f>IF(ISNA(MATCH($D69&amp;"|"&amp;$X69,UserAccessCasePolicy!$W:$W,0)),"",MATCH($D69&amp;"|"&amp;$X69,UserAccessCasePolicy!$W:$W,0))</f>
        <v>11</v>
      </c>
      <c r="O69" s="6" t="b" cm="1">
        <f t="array" aca="1" ref="O69" ca="1">IF($N69="",FALSE,NOT(ISNA(MATCH(INDIRECT("UserAccessCasePolicy!D"&amp;$N69)&amp;"|"&amp;$T69,CaseTypeSetMember!$H:$H,0))))</f>
        <v>0</v>
      </c>
      <c r="P69" s="6" t="b" cm="1">
        <f t="array" aca="1" ref="P69" ca="1">IF($N69="",FALSE,AND(INDIRECT("UserAccessCasePolicy!G"&amp;$N69),NOT(ISNA(MATCH(INDIRECT("UserAccessCasePolicy!D"&amp;$N69)&amp;"|"&amp;$T69,CaseTypeSetMember!$H:$H,0)))))</f>
        <v>0</v>
      </c>
      <c r="Q69" s="6" t="b" cm="1">
        <f t="array" aca="1" ref="Q69" ca="1">IF($N69="",FALSE,AND(INDIRECT("UserAccessCasePolicy!H"&amp;$N69),NOT(ISNA(MATCH(INDIRECT("UserAccessCasePolicy!D"&amp;$N69)&amp;"|"&amp;$T69,CaseTypeSetMember!$H:$H,0)))))</f>
        <v>0</v>
      </c>
      <c r="R69" t="s">
        <v>1029</v>
      </c>
      <c r="S69" s="6" t="str">
        <f>"case"&amp;MATCH($R69,$R$1:$R69,0)-1</f>
        <v>case30</v>
      </c>
      <c r="T69" t="s">
        <v>115</v>
      </c>
      <c r="U69" s="6" t="str">
        <f>INDEX(CaseType!$B:$B,MATCH($T69,CaseType!$A:$A,0))</f>
        <v>case_type1</v>
      </c>
      <c r="V69" s="6" t="b">
        <f>AND(IF($AJ69="",TRUE,$T69=INDEX(CaseTypeCol!$B:$B,MATCH($AJ69,CaseTypeCol!$A:$A,0))),IF($AQ69="",TRUE,$T69=INDEX(CaseTypeCol!$B:$B,MATCH($AQ69,CaseTypeCol!$A:$A,0))),IF($AX69="",TRUE,$T69=INDEX(CaseTypeCol!$B:$B,MATCH($AX69,CaseTypeCol!$A:$A,0))))</f>
        <v>1</v>
      </c>
      <c r="X69" t="s">
        <v>39</v>
      </c>
      <c r="Y69" s="6" t="str">
        <f>INDEX(DataCollection!$B:$B,MATCH($X69,DataCollection!$A:$A,0))</f>
        <v>data_collection10</v>
      </c>
      <c r="AA69" s="6" t="str">
        <f>IF($Z69="","",INDEX(CaseTypeCol!$J:$J,MATCH($Z69,CaseTypeCol!$A:$A,0)))</f>
        <v/>
      </c>
      <c r="AC69" s="6" t="str">
        <f>IF($AB69="","",INDEX(IdentifierIssuer!$B:$B,MATCH($AB69,IdentifierIssuer!$A:$A,0)))</f>
        <v/>
      </c>
      <c r="AE69" s="6" t="str">
        <f>IF($AD69="","",INDEX(SequencingProtocol!$B:$B,MATCH($AD69,SequencingProtocol!$A:$A,0)))</f>
        <v/>
      </c>
      <c r="AG69" s="6" t="str">
        <f>IF($AF69="","",INDEX(AssemblyProtocol!$B:$B,MATCH($AF69,AssemblyProtocol!$A:$A,0)))</f>
        <v/>
      </c>
      <c r="AI69" s="14">
        <v>36526</v>
      </c>
      <c r="AJ69" t="s">
        <v>516</v>
      </c>
      <c r="AK69" t="s">
        <v>972</v>
      </c>
      <c r="AL69" s="6" t="str">
        <f>IF($AJ69="","",INDEX(CaseTypeCol!$J:$J,MATCH($AJ69,CaseTypeCol!$A:$A,0)))</f>
        <v>case_type_col1_7_0_1_TEXT</v>
      </c>
      <c r="AM69" s="6" t="b" cm="1">
        <f t="array" aca="1" ref="AM69" ca="1">IF($AJ69="",TRUE,IF($J69="",FALSE,IF(INDIRECT("OrganizationAccessCasePolicy!J"&amp;$J69)="",FALSE,NOT(ISNA(MATCH(INDIRECT("OrganizationAccessCasePolicy!J"&amp;$J69)&amp;"|"&amp;$AJ69,CaseTypeColSetMember!$H:$H,0))))))</f>
        <v>1</v>
      </c>
      <c r="AN69" s="6" t="b" cm="1">
        <f t="array" aca="1" ref="AN69" ca="1">IF($AJ69="",TRUE,IF($J69="",FALSE,IF(INDIRECT("OrganizationAccessCasePolicy!L"&amp;$J69)="",FALSE,NOT(ISNA(MATCH(INDIRECT("OrganizationAccessCasePolicy!L"&amp;$J69)&amp;"|"&amp;$AJ69,CaseTypeColSetMember!$H:$H,0))))))</f>
        <v>0</v>
      </c>
      <c r="AO69" s="6" t="b" cm="1">
        <f t="array" aca="1" ref="AO69" ca="1">IF($AJ69="",TRUE,IF($N69="",FALSE,IF(INDIRECT("UserAccessCasePolicy!I"&amp;$N69)="",FALSE,NOT(ISNA(MATCH(INDIRECT("UserAccessCasePolicy!I"&amp;$N69)&amp;"|"&amp;$AJ69,CaseTypeColSetMember!$H:$H,0))))))</f>
        <v>1</v>
      </c>
      <c r="AP69" s="6" t="b" cm="1">
        <f t="array" aca="1" ref="AP69" ca="1">IF($AJ69="",TRUE,IF($N69="",FALSE,IF(INDIRECT("UserAccessCasePolicy!K"&amp;$N69)="",FALSE,NOT(ISNA(MATCH(INDIRECT("UserAccessCasePolicy!K"&amp;$N69)&amp;"|"&amp;$AJ69,CaseTypeColSetMember!$H:$H,0))))))</f>
        <v>1</v>
      </c>
      <c r="AR69" t="s">
        <v>1047</v>
      </c>
      <c r="AS69" s="6" t="str">
        <f>IF($AQ69="","",INDEX(CaseTypeCol!$J:$J,MATCH($AQ69,CaseTypeCol!$A:$A,0)))</f>
        <v/>
      </c>
      <c r="AT69" s="6" t="b" cm="1">
        <f t="array" aca="1" ref="AT69" ca="1">IF($AQ69="",TRUE,IF($J69="",FALSE,IF(INDIRECT("OrganizationAccessCasePolicy!J"&amp;$J69)="",FALSE,NOT(ISNA(MATCH(INDIRECT("OrganizationAccessCasePolicy!J"&amp;$J69)&amp;"|"&amp;$AQ69,CaseTypeColSetMember!$H:$H,0))))))</f>
        <v>1</v>
      </c>
      <c r="AU69" s="6" t="b" cm="1">
        <f t="array" aca="1" ref="AU69" ca="1">IF($AQ69="",TRUE,IF($J69="",FALSE,IF(INDIRECT("OrganizationAccessCasePolicy!L"&amp;$J69)="",FALSE,NOT(ISNA(MATCH(INDIRECT("OrganizationAccessCasePolicy!L"&amp;$J69)&amp;"|"&amp;$AQ69,CaseTypeColSetMember!$H:$H,0))))))</f>
        <v>1</v>
      </c>
      <c r="AV69" s="6" t="b" cm="1">
        <f t="array" aca="1" ref="AV69" ca="1">IF($AQ69="",TRUE,IF($N69="",FALSE,IF(INDIRECT("UserAccessCasePolicy!I"&amp;$N69)="",FALSE,NOT(ISNA(MATCH(INDIRECT("UserAccessCasePolicy!I"&amp;$N69)&amp;"|"&amp;$AQ69,CaseTypeColSetMember!$H:$H,0))))))</f>
        <v>1</v>
      </c>
      <c r="AW69" s="6" t="b" cm="1">
        <f t="array" aca="1" ref="AW69" ca="1">IF($AQ69="",TRUE,IF($N69="",FALSE,IF(INDIRECT("UserAccessCasePolicy!K"&amp;$N69)="",FALSE,NOT(ISNA(MATCH(INDIRECT("UserAccessCasePolicy!K"&amp;$N69)&amp;"|"&amp;$AQ69,CaseTypeColSetMember!$H:$H,0))))))</f>
        <v>1</v>
      </c>
      <c r="AZ69" s="6" t="str">
        <f>IF($AX69="","",INDEX(CaseTypeCol!$J:$J,MATCH($AX69,CaseTypeCol!$A:$A,0)))</f>
        <v/>
      </c>
      <c r="BA69" s="6" t="b" cm="1">
        <f t="array" aca="1" ref="BA69" ca="1">IF($AX69="",TRUE,IF($J69="",FALSE,IF(INDIRECT("OrganizationAccessCasePolicy!J"&amp;$J69)="",FALSE,NOT(ISNA(MATCH(INDIRECT("OrganizationAccessCasePolicy!J"&amp;$J69)&amp;"|"&amp;$AX69,CaseTypeColSetMember!$H:$H,0))))))</f>
        <v>1</v>
      </c>
      <c r="BB69" s="6" t="b" cm="1">
        <f t="array" aca="1" ref="BB69" ca="1">IF($AX69="",TRUE,IF($J69="",FALSE,IF(INDIRECT("OrganizationAccessCasePolicy!L"&amp;$J69)="",FALSE,NOT(ISNA(MATCH(INDIRECT("OrganizationAccessCasePolicy!L"&amp;$J69)&amp;"|"&amp;$AX69,CaseTypeColSetMember!$H:$H,0))))))</f>
        <v>1</v>
      </c>
      <c r="BC69" s="6" t="b" cm="1">
        <f t="array" aca="1" ref="BC69" ca="1">IF($AX69="",TRUE,IF($N69="",FALSE,IF(INDIRECT("UserAccessCasePolicy!I"&amp;$N69)="",FALSE,NOT(ISNA(MATCH(INDIRECT("UserAccessCasePolicy!I"&amp;$N69)&amp;"|"&amp;$AX69,CaseTypeColSetMember!$H:$H,0))))))</f>
        <v>1</v>
      </c>
      <c r="BD69" s="6" t="b" cm="1">
        <f t="array" aca="1" ref="BD69" ca="1">IF($AX69="",TRUE,IF($N69="",FALSE,IF(INDIRECT("UserAccessCasePolicy!K"&amp;$N69)="",FALSE,NOT(ISNA(MATCH(INDIRECT("UserAccessCasePolicy!K"&amp;$N69)&amp;"|"&amp;$AX69,CaseTypeColSetMember!$H:$H,0))))))</f>
        <v>1</v>
      </c>
    </row>
    <row r="70" spans="1:56" ht="15" customHeight="1" x14ac:dyDescent="0.3">
      <c r="A70">
        <v>69</v>
      </c>
      <c r="B70" t="b">
        <v>0</v>
      </c>
      <c r="C70" t="s">
        <v>1076</v>
      </c>
      <c r="D70" t="s">
        <v>36</v>
      </c>
      <c r="E70" s="6" t="str">
        <f>INDEX(User!$D:$D,MATCH($D70,User!$A:$A,0))</f>
        <v>org_user5_2</v>
      </c>
      <c r="F70" t="s">
        <v>982</v>
      </c>
      <c r="G70" s="19" t="b">
        <f ca="1">IF($F70="CREATE",$I70,IF($F70="CREATE_CASES",OR($I70,AND($K70,$L70,$O70,$P70,$AN70,AP70,$AU70,$AW70,$BB70,$BD70)),"TBD"))</f>
        <v>0</v>
      </c>
      <c r="H70" s="6" t="str">
        <f>INDEX(User!$G:$G,MATCH($D70,User!$A:$A,0))</f>
        <v>0195d18c-1c93-02a2-6920-7e4dbfb73ce0</v>
      </c>
      <c r="I70" s="6" t="b">
        <f>INDEX(User!$M:$M,MATCH($D70,User!$A:$A,0))</f>
        <v>0</v>
      </c>
      <c r="J70" s="6" t="str">
        <f>IF(ISNA(MATCH($H70&amp;"|"&amp;$X70,OrganizationAccessCasePolicy!$V:$V,0)),"",MATCH($H70&amp;"|"&amp;$X70,OrganizationAccessCasePolicy!$V:$V,0))</f>
        <v/>
      </c>
      <c r="K70" s="6" t="b" cm="1">
        <f t="array" aca="1" ref="K70" ca="1">IF($J70="",FALSE,NOT(ISNA(MATCH(INDIRECT("OrganizationAccessCasePolicy!D"&amp;$J70)&amp;"|"&amp;$T70,CaseTypeSetMember!$H:$H,0))))</f>
        <v>0</v>
      </c>
      <c r="L70" s="6" t="b" cm="1">
        <f t="array" aca="1" ref="L70" ca="1">IF($J70="",FALSE,AND(INDIRECT("OrganizationAccessCasePolicy!H"&amp;$J70),NOT(ISNA(MATCH(INDIRECT("OrganizationAccessCasePolicy!D"&amp;$J70)&amp;"|"&amp;$T70,CaseTypeSetMember!$H:$H,0)))))</f>
        <v>0</v>
      </c>
      <c r="M70" s="6" t="b" cm="1">
        <f t="array" aca="1" ref="M70" ca="1">IF($J70="",FALSE,AND(INDIRECT("OrganizationAccessCasePolicy!I"&amp;$J70),NOT(ISNA(MATCH(INDIRECT("OrganizationAccessCasePolicy!D"&amp;$J70)&amp;"|"&amp;$T70,CaseTypeSetMember!$H:$H,0)))))</f>
        <v>0</v>
      </c>
      <c r="N70" s="6" t="str">
        <f>IF(ISNA(MATCH($D70&amp;"|"&amp;$X70,UserAccessCasePolicy!$W:$W,0)),"",MATCH($D70&amp;"|"&amp;$X70,UserAccessCasePolicy!$W:$W,0))</f>
        <v/>
      </c>
      <c r="O70" s="6" t="b" cm="1">
        <f t="array" aca="1" ref="O70" ca="1">IF($N70="",FALSE,NOT(ISNA(MATCH(INDIRECT("UserAccessCasePolicy!D"&amp;$N70)&amp;"|"&amp;$T70,CaseTypeSetMember!$H:$H,0))))</f>
        <v>0</v>
      </c>
      <c r="P70" s="6" t="b" cm="1">
        <f t="array" aca="1" ref="P70" ca="1">IF($N70="",FALSE,AND(INDIRECT("UserAccessCasePolicy!G"&amp;$N70),NOT(ISNA(MATCH(INDIRECT("UserAccessCasePolicy!D"&amp;$N70)&amp;"|"&amp;$T70,CaseTypeSetMember!$H:$H,0)))))</f>
        <v>0</v>
      </c>
      <c r="Q70" s="6" t="b" cm="1">
        <f t="array" aca="1" ref="Q70" ca="1">IF($N70="",FALSE,AND(INDIRECT("UserAccessCasePolicy!H"&amp;$N70),NOT(ISNA(MATCH(INDIRECT("UserAccessCasePolicy!D"&amp;$N70)&amp;"|"&amp;$T70,CaseTypeSetMember!$H:$H,0)))))</f>
        <v>0</v>
      </c>
      <c r="R70" t="s">
        <v>1031</v>
      </c>
      <c r="S70" s="6" t="str">
        <f>"case"&amp;MATCH($R70,$R$1:$R70,0)-1</f>
        <v>case31</v>
      </c>
      <c r="T70" t="s">
        <v>115</v>
      </c>
      <c r="U70" s="6" t="str">
        <f>INDEX(CaseType!$B:$B,MATCH($T70,CaseType!$A:$A,0))</f>
        <v>case_type1</v>
      </c>
      <c r="V70" s="6" t="b">
        <f>AND(IF($AJ70="",TRUE,$T70=INDEX(CaseTypeCol!$B:$B,MATCH($AJ70,CaseTypeCol!$A:$A,0))),IF($AQ70="",TRUE,$T70=INDEX(CaseTypeCol!$B:$B,MATCH($AQ70,CaseTypeCol!$A:$A,0))),IF($AX70="",TRUE,$T70=INDEX(CaseTypeCol!$B:$B,MATCH($AX70,CaseTypeCol!$A:$A,0))))</f>
        <v>1</v>
      </c>
      <c r="X70" t="s">
        <v>21</v>
      </c>
      <c r="Y70" s="6" t="str">
        <f>INDEX(DataCollection!$B:$B,MATCH($X70,DataCollection!$A:$A,0))</f>
        <v>data_collection7</v>
      </c>
      <c r="AA70" s="6" t="str">
        <f>IF($Z70="","",INDEX(CaseTypeCol!$J:$J,MATCH($Z70,CaseTypeCol!$A:$A,0)))</f>
        <v/>
      </c>
      <c r="AC70" s="6" t="str">
        <f>IF($AB70="","",INDEX(IdentifierIssuer!$B:$B,MATCH($AB70,IdentifierIssuer!$A:$A,0)))</f>
        <v/>
      </c>
      <c r="AE70" s="6" t="str">
        <f>IF($AD70="","",INDEX(SequencingProtocol!$B:$B,MATCH($AD70,SequencingProtocol!$A:$A,0)))</f>
        <v/>
      </c>
      <c r="AG70" s="6" t="str">
        <f>IF($AF70="","",INDEX(AssemblyProtocol!$B:$B,MATCH($AF70,AssemblyProtocol!$A:$A,0)))</f>
        <v/>
      </c>
      <c r="AI70" s="14">
        <v>36526</v>
      </c>
      <c r="AJ70" t="s">
        <v>516</v>
      </c>
      <c r="AK70" t="s">
        <v>972</v>
      </c>
      <c r="AL70" s="6" t="str">
        <f>IF($AJ70="","",INDEX(CaseTypeCol!$J:$J,MATCH($AJ70,CaseTypeCol!$A:$A,0)))</f>
        <v>case_type_col1_7_0_1_TEXT</v>
      </c>
      <c r="AM70" s="6" t="b" cm="1">
        <f t="array" aca="1" ref="AM70" ca="1">IF($AJ70="",TRUE,IF($J70="",FALSE,IF(INDIRECT("OrganizationAccessCasePolicy!J"&amp;$J70)="",FALSE,NOT(ISNA(MATCH(INDIRECT("OrganizationAccessCasePolicy!J"&amp;$J70)&amp;"|"&amp;$AJ70,CaseTypeColSetMember!$H:$H,0))))))</f>
        <v>0</v>
      </c>
      <c r="AN70" s="6" t="b" cm="1">
        <f t="array" aca="1" ref="AN70" ca="1">IF($AJ70="",TRUE,IF($J70="",FALSE,IF(INDIRECT("OrganizationAccessCasePolicy!L"&amp;$J70)="",FALSE,NOT(ISNA(MATCH(INDIRECT("OrganizationAccessCasePolicy!L"&amp;$J70)&amp;"|"&amp;$AJ70,CaseTypeColSetMember!$H:$H,0))))))</f>
        <v>0</v>
      </c>
      <c r="AO70" s="6" t="b" cm="1">
        <f t="array" aca="1" ref="AO70" ca="1">IF($AJ70="",TRUE,IF($N70="",FALSE,IF(INDIRECT("UserAccessCasePolicy!I"&amp;$N70)="",FALSE,NOT(ISNA(MATCH(INDIRECT("UserAccessCasePolicy!I"&amp;$N70)&amp;"|"&amp;$AJ70,CaseTypeColSetMember!$H:$H,0))))))</f>
        <v>0</v>
      </c>
      <c r="AP70" s="6" t="b" cm="1">
        <f t="array" aca="1" ref="AP70" ca="1">IF($AJ70="",TRUE,IF($N70="",FALSE,IF(INDIRECT("UserAccessCasePolicy!K"&amp;$N70)="",FALSE,NOT(ISNA(MATCH(INDIRECT("UserAccessCasePolicy!K"&amp;$N70)&amp;"|"&amp;$AJ70,CaseTypeColSetMember!$H:$H,0))))))</f>
        <v>0</v>
      </c>
      <c r="AR70" t="s">
        <v>1047</v>
      </c>
      <c r="AS70" s="6" t="str">
        <f>IF($AQ70="","",INDEX(CaseTypeCol!$J:$J,MATCH($AQ70,CaseTypeCol!$A:$A,0)))</f>
        <v/>
      </c>
      <c r="AT70" s="6" t="b" cm="1">
        <f t="array" aca="1" ref="AT70" ca="1">IF($AQ70="",TRUE,IF($J70="",FALSE,IF(INDIRECT("OrganizationAccessCasePolicy!J"&amp;$J70)="",FALSE,NOT(ISNA(MATCH(INDIRECT("OrganizationAccessCasePolicy!J"&amp;$J70)&amp;"|"&amp;$AQ70,CaseTypeColSetMember!$H:$H,0))))))</f>
        <v>1</v>
      </c>
      <c r="AU70" s="6" t="b" cm="1">
        <f t="array" aca="1" ref="AU70" ca="1">IF($AQ70="",TRUE,IF($J70="",FALSE,IF(INDIRECT("OrganizationAccessCasePolicy!L"&amp;$J70)="",FALSE,NOT(ISNA(MATCH(INDIRECT("OrganizationAccessCasePolicy!L"&amp;$J70)&amp;"|"&amp;$AQ70,CaseTypeColSetMember!$H:$H,0))))))</f>
        <v>1</v>
      </c>
      <c r="AV70" s="6" t="b" cm="1">
        <f t="array" aca="1" ref="AV70" ca="1">IF($AQ70="",TRUE,IF($N70="",FALSE,IF(INDIRECT("UserAccessCasePolicy!I"&amp;$N70)="",FALSE,NOT(ISNA(MATCH(INDIRECT("UserAccessCasePolicy!I"&amp;$N70)&amp;"|"&amp;$AQ70,CaseTypeColSetMember!$H:$H,0))))))</f>
        <v>1</v>
      </c>
      <c r="AW70" s="6" t="b" cm="1">
        <f t="array" aca="1" ref="AW70" ca="1">IF($AQ70="",TRUE,IF($N70="",FALSE,IF(INDIRECT("UserAccessCasePolicy!K"&amp;$N70)="",FALSE,NOT(ISNA(MATCH(INDIRECT("UserAccessCasePolicy!K"&amp;$N70)&amp;"|"&amp;$AQ70,CaseTypeColSetMember!$H:$H,0))))))</f>
        <v>1</v>
      </c>
      <c r="AZ70" s="6" t="str">
        <f>IF($AX70="","",INDEX(CaseTypeCol!$J:$J,MATCH($AX70,CaseTypeCol!$A:$A,0)))</f>
        <v/>
      </c>
      <c r="BA70" s="6" t="b" cm="1">
        <f t="array" aca="1" ref="BA70" ca="1">IF($AX70="",TRUE,IF($J70="",FALSE,IF(INDIRECT("OrganizationAccessCasePolicy!J"&amp;$J70)="",FALSE,NOT(ISNA(MATCH(INDIRECT("OrganizationAccessCasePolicy!J"&amp;$J70)&amp;"|"&amp;$AX70,CaseTypeColSetMember!$H:$H,0))))))</f>
        <v>1</v>
      </c>
      <c r="BB70" s="6" t="b" cm="1">
        <f t="array" aca="1" ref="BB70" ca="1">IF($AX70="",TRUE,IF($J70="",FALSE,IF(INDIRECT("OrganizationAccessCasePolicy!L"&amp;$J70)="",FALSE,NOT(ISNA(MATCH(INDIRECT("OrganizationAccessCasePolicy!L"&amp;$J70)&amp;"|"&amp;$AX70,CaseTypeColSetMember!$H:$H,0))))))</f>
        <v>1</v>
      </c>
      <c r="BC70" s="6" t="b" cm="1">
        <f t="array" aca="1" ref="BC70" ca="1">IF($AX70="",TRUE,IF($N70="",FALSE,IF(INDIRECT("UserAccessCasePolicy!I"&amp;$N70)="",FALSE,NOT(ISNA(MATCH(INDIRECT("UserAccessCasePolicy!I"&amp;$N70)&amp;"|"&amp;$AX70,CaseTypeColSetMember!$H:$H,0))))))</f>
        <v>1</v>
      </c>
      <c r="BD70" s="6" t="b" cm="1">
        <f t="array" aca="1" ref="BD70" ca="1">IF($AX70="",TRUE,IF($N70="",FALSE,IF(INDIRECT("UserAccessCasePolicy!K"&amp;$N70)="",FALSE,NOT(ISNA(MATCH(INDIRECT("UserAccessCasePolicy!K"&amp;$N70)&amp;"|"&amp;$AX70,CaseTypeColSetMember!$H:$H,0))))))</f>
        <v>1</v>
      </c>
    </row>
    <row r="71" spans="1:56" ht="15" customHeight="1" x14ac:dyDescent="0.3">
      <c r="A71">
        <v>70</v>
      </c>
      <c r="B71" t="b">
        <v>0</v>
      </c>
      <c r="C71" t="s">
        <v>1077</v>
      </c>
      <c r="D71" t="s">
        <v>37</v>
      </c>
      <c r="E71" s="6" t="str">
        <f>INDEX(User!$D:$D,MATCH($D71,User!$A:$A,0))</f>
        <v>org_user5_3</v>
      </c>
      <c r="F71" t="s">
        <v>982</v>
      </c>
      <c r="G71" s="19" t="b">
        <f ca="1">IF($F71="CREATE",$I71,IF($F71="CREATE_CASES",OR($I71,AND($K71,$L71,$O71,$P71,$AN71,AP71,$AU71,$AW71,$BB71,$BD71)),"TBD"))</f>
        <v>0</v>
      </c>
      <c r="H71" s="6" t="str">
        <f>INDEX(User!$G:$G,MATCH($D71,User!$A:$A,0))</f>
        <v>0195d18c-1c93-02a2-6920-7e4dbfb73ce0</v>
      </c>
      <c r="I71" s="6" t="b">
        <f>INDEX(User!$M:$M,MATCH($D71,User!$A:$A,0))</f>
        <v>0</v>
      </c>
      <c r="J71" s="6">
        <f>IF(ISNA(MATCH($H71&amp;"|"&amp;$X71,OrganizationAccessCasePolicy!$V:$V,0)),"",MATCH($H71&amp;"|"&amp;$X71,OrganizationAccessCasePolicy!$V:$V,0))</f>
        <v>6</v>
      </c>
      <c r="K71" s="6" t="b" cm="1">
        <f t="array" aca="1" ref="K71" ca="1">IF($J71="",FALSE,NOT(ISNA(MATCH(INDIRECT("OrganizationAccessCasePolicy!D"&amp;$J71)&amp;"|"&amp;$T71,CaseTypeSetMember!$H:$H,0))))</f>
        <v>0</v>
      </c>
      <c r="L71" s="6" t="b" cm="1">
        <f t="array" aca="1" ref="L71" ca="1">IF($J71="",FALSE,AND(INDIRECT("OrganizationAccessCasePolicy!H"&amp;$J71),NOT(ISNA(MATCH(INDIRECT("OrganizationAccessCasePolicy!D"&amp;$J71)&amp;"|"&amp;$T71,CaseTypeSetMember!$H:$H,0)))))</f>
        <v>0</v>
      </c>
      <c r="M71" s="6" t="b" cm="1">
        <f t="array" aca="1" ref="M71" ca="1">IF($J71="",FALSE,AND(INDIRECT("OrganizationAccessCasePolicy!I"&amp;$J71),NOT(ISNA(MATCH(INDIRECT("OrganizationAccessCasePolicy!D"&amp;$J71)&amp;"|"&amp;$T71,CaseTypeSetMember!$H:$H,0)))))</f>
        <v>0</v>
      </c>
      <c r="N71" s="6" t="str">
        <f>IF(ISNA(MATCH($D71&amp;"|"&amp;$X71,UserAccessCasePolicy!$W:$W,0)),"",MATCH($D71&amp;"|"&amp;$X71,UserAccessCasePolicy!$W:$W,0))</f>
        <v/>
      </c>
      <c r="O71" s="6" t="b" cm="1">
        <f t="array" aca="1" ref="O71" ca="1">IF($N71="",FALSE,NOT(ISNA(MATCH(INDIRECT("UserAccessCasePolicy!D"&amp;$N71)&amp;"|"&amp;$T71,CaseTypeSetMember!$H:$H,0))))</f>
        <v>0</v>
      </c>
      <c r="P71" s="6" t="b" cm="1">
        <f t="array" aca="1" ref="P71" ca="1">IF($N71="",FALSE,AND(INDIRECT("UserAccessCasePolicy!G"&amp;$N71),NOT(ISNA(MATCH(INDIRECT("UserAccessCasePolicy!D"&amp;$N71)&amp;"|"&amp;$T71,CaseTypeSetMember!$H:$H,0)))))</f>
        <v>0</v>
      </c>
      <c r="Q71" s="6" t="b" cm="1">
        <f t="array" aca="1" ref="Q71" ca="1">IF($N71="",FALSE,AND(INDIRECT("UserAccessCasePolicy!H"&amp;$N71),NOT(ISNA(MATCH(INDIRECT("UserAccessCasePolicy!D"&amp;$N71)&amp;"|"&amp;$T71,CaseTypeSetMember!$H:$H,0)))))</f>
        <v>0</v>
      </c>
      <c r="R71" t="s">
        <v>1033</v>
      </c>
      <c r="S71" s="6" t="str">
        <f>"case"&amp;MATCH($R71,$R$1:$R71,0)-1</f>
        <v>case32</v>
      </c>
      <c r="T71" t="s">
        <v>115</v>
      </c>
      <c r="U71" s="6" t="str">
        <f>INDEX(CaseType!$B:$B,MATCH($T71,CaseType!$A:$A,0))</f>
        <v>case_type1</v>
      </c>
      <c r="V71" s="6" t="b">
        <f>AND(IF($AJ71="",TRUE,$T71=INDEX(CaseTypeCol!$B:$B,MATCH($AJ71,CaseTypeCol!$A:$A,0))),IF($AQ71="",TRUE,$T71=INDEX(CaseTypeCol!$B:$B,MATCH($AQ71,CaseTypeCol!$A:$A,0))),IF($AX71="",TRUE,$T71=INDEX(CaseTypeCol!$B:$B,MATCH($AX71,CaseTypeCol!$A:$A,0))))</f>
        <v>1</v>
      </c>
      <c r="X71" t="s">
        <v>35</v>
      </c>
      <c r="Y71" s="6" t="str">
        <f>INDEX(DataCollection!$B:$B,MATCH($X71,DataCollection!$A:$A,0))</f>
        <v>data_collection5</v>
      </c>
      <c r="AA71" s="6" t="str">
        <f>IF($Z71="","",INDEX(CaseTypeCol!$J:$J,MATCH($Z71,CaseTypeCol!$A:$A,0)))</f>
        <v/>
      </c>
      <c r="AC71" s="6" t="str">
        <f>IF($AB71="","",INDEX(IdentifierIssuer!$B:$B,MATCH($AB71,IdentifierIssuer!$A:$A,0)))</f>
        <v/>
      </c>
      <c r="AE71" s="6" t="str">
        <f>IF($AD71="","",INDEX(SequencingProtocol!$B:$B,MATCH($AD71,SequencingProtocol!$A:$A,0)))</f>
        <v/>
      </c>
      <c r="AG71" s="6" t="str">
        <f>IF($AF71="","",INDEX(AssemblyProtocol!$B:$B,MATCH($AF71,AssemblyProtocol!$A:$A,0)))</f>
        <v/>
      </c>
      <c r="AI71" s="14">
        <v>36526</v>
      </c>
      <c r="AJ71" t="s">
        <v>516</v>
      </c>
      <c r="AK71" t="s">
        <v>972</v>
      </c>
      <c r="AL71" s="6" t="str">
        <f>IF($AJ71="","",INDEX(CaseTypeCol!$J:$J,MATCH($AJ71,CaseTypeCol!$A:$A,0)))</f>
        <v>case_type_col1_7_0_1_TEXT</v>
      </c>
      <c r="AM71" s="6" t="b" cm="1">
        <f t="array" aca="1" ref="AM71" ca="1">IF($AJ71="",TRUE,IF($J71="",FALSE,IF(INDIRECT("OrganizationAccessCasePolicy!J"&amp;$J71)="",FALSE,NOT(ISNA(MATCH(INDIRECT("OrganizationAccessCasePolicy!J"&amp;$J71)&amp;"|"&amp;$AJ71,CaseTypeColSetMember!$H:$H,0))))))</f>
        <v>1</v>
      </c>
      <c r="AN71" s="6" t="b" cm="1">
        <f t="array" aca="1" ref="AN71" ca="1">IF($AJ71="",TRUE,IF($J71="",FALSE,IF(INDIRECT("OrganizationAccessCasePolicy!L"&amp;$J71)="",FALSE,NOT(ISNA(MATCH(INDIRECT("OrganizationAccessCasePolicy!L"&amp;$J71)&amp;"|"&amp;$AJ71,CaseTypeColSetMember!$H:$H,0))))))</f>
        <v>1</v>
      </c>
      <c r="AO71" s="6" t="b" cm="1">
        <f t="array" aca="1" ref="AO71" ca="1">IF($AJ71="",TRUE,IF($N71="",FALSE,IF(INDIRECT("UserAccessCasePolicy!I"&amp;$N71)="",FALSE,NOT(ISNA(MATCH(INDIRECT("UserAccessCasePolicy!I"&amp;$N71)&amp;"|"&amp;$AJ71,CaseTypeColSetMember!$H:$H,0))))))</f>
        <v>0</v>
      </c>
      <c r="AP71" s="6" t="b" cm="1">
        <f t="array" aca="1" ref="AP71" ca="1">IF($AJ71="",TRUE,IF($N71="",FALSE,IF(INDIRECT("UserAccessCasePolicy!K"&amp;$N71)="",FALSE,NOT(ISNA(MATCH(INDIRECT("UserAccessCasePolicy!K"&amp;$N71)&amp;"|"&amp;$AJ71,CaseTypeColSetMember!$H:$H,0))))))</f>
        <v>0</v>
      </c>
      <c r="AR71" t="s">
        <v>1047</v>
      </c>
      <c r="AS71" s="6" t="str">
        <f>IF($AQ71="","",INDEX(CaseTypeCol!$J:$J,MATCH($AQ71,CaseTypeCol!$A:$A,0)))</f>
        <v/>
      </c>
      <c r="AT71" s="6" t="b" cm="1">
        <f t="array" aca="1" ref="AT71" ca="1">IF($AQ71="",TRUE,IF($J71="",FALSE,IF(INDIRECT("OrganizationAccessCasePolicy!J"&amp;$J71)="",FALSE,NOT(ISNA(MATCH(INDIRECT("OrganizationAccessCasePolicy!J"&amp;$J71)&amp;"|"&amp;$AQ71,CaseTypeColSetMember!$H:$H,0))))))</f>
        <v>1</v>
      </c>
      <c r="AU71" s="6" t="b" cm="1">
        <f t="array" aca="1" ref="AU71" ca="1">IF($AQ71="",TRUE,IF($J71="",FALSE,IF(INDIRECT("OrganizationAccessCasePolicy!L"&amp;$J71)="",FALSE,NOT(ISNA(MATCH(INDIRECT("OrganizationAccessCasePolicy!L"&amp;$J71)&amp;"|"&amp;$AQ71,CaseTypeColSetMember!$H:$H,0))))))</f>
        <v>1</v>
      </c>
      <c r="AV71" s="6" t="b" cm="1">
        <f t="array" aca="1" ref="AV71" ca="1">IF($AQ71="",TRUE,IF($N71="",FALSE,IF(INDIRECT("UserAccessCasePolicy!I"&amp;$N71)="",FALSE,NOT(ISNA(MATCH(INDIRECT("UserAccessCasePolicy!I"&amp;$N71)&amp;"|"&amp;$AQ71,CaseTypeColSetMember!$H:$H,0))))))</f>
        <v>1</v>
      </c>
      <c r="AW71" s="6" t="b" cm="1">
        <f t="array" aca="1" ref="AW71" ca="1">IF($AQ71="",TRUE,IF($N71="",FALSE,IF(INDIRECT("UserAccessCasePolicy!K"&amp;$N71)="",FALSE,NOT(ISNA(MATCH(INDIRECT("UserAccessCasePolicy!K"&amp;$N71)&amp;"|"&amp;$AQ71,CaseTypeColSetMember!$H:$H,0))))))</f>
        <v>1</v>
      </c>
      <c r="AZ71" s="6" t="str">
        <f>IF($AX71="","",INDEX(CaseTypeCol!$J:$J,MATCH($AX71,CaseTypeCol!$A:$A,0)))</f>
        <v/>
      </c>
      <c r="BA71" s="6" t="b" cm="1">
        <f t="array" aca="1" ref="BA71" ca="1">IF($AX71="",TRUE,IF($J71="",FALSE,IF(INDIRECT("OrganizationAccessCasePolicy!J"&amp;$J71)="",FALSE,NOT(ISNA(MATCH(INDIRECT("OrganizationAccessCasePolicy!J"&amp;$J71)&amp;"|"&amp;$AX71,CaseTypeColSetMember!$H:$H,0))))))</f>
        <v>1</v>
      </c>
      <c r="BB71" s="6" t="b" cm="1">
        <f t="array" aca="1" ref="BB71" ca="1">IF($AX71="",TRUE,IF($J71="",FALSE,IF(INDIRECT("OrganizationAccessCasePolicy!L"&amp;$J71)="",FALSE,NOT(ISNA(MATCH(INDIRECT("OrganizationAccessCasePolicy!L"&amp;$J71)&amp;"|"&amp;$AX71,CaseTypeColSetMember!$H:$H,0))))))</f>
        <v>1</v>
      </c>
      <c r="BC71" s="6" t="b" cm="1">
        <f t="array" aca="1" ref="BC71" ca="1">IF($AX71="",TRUE,IF($N71="",FALSE,IF(INDIRECT("UserAccessCasePolicy!I"&amp;$N71)="",FALSE,NOT(ISNA(MATCH(INDIRECT("UserAccessCasePolicy!I"&amp;$N71)&amp;"|"&amp;$AX71,CaseTypeColSetMember!$H:$H,0))))))</f>
        <v>1</v>
      </c>
      <c r="BD71" s="6" t="b" cm="1">
        <f t="array" aca="1" ref="BD71" ca="1">IF($AX71="",TRUE,IF($N71="",FALSE,IF(INDIRECT("UserAccessCasePolicy!K"&amp;$N71)="",FALSE,NOT(ISNA(MATCH(INDIRECT("UserAccessCasePolicy!K"&amp;$N71)&amp;"|"&amp;$AX71,CaseTypeColSetMember!$H:$H,0))))))</f>
        <v>1</v>
      </c>
    </row>
    <row r="72" spans="1:56" ht="15" customHeight="1" x14ac:dyDescent="0.3">
      <c r="A72">
        <v>71</v>
      </c>
      <c r="B72" t="b">
        <v>0</v>
      </c>
      <c r="C72" t="s">
        <v>1078</v>
      </c>
      <c r="D72" t="s">
        <v>38</v>
      </c>
      <c r="E72" s="6" t="str">
        <f>INDEX(User!$D:$D,MATCH($D72,User!$A:$A,0))</f>
        <v>org_user5_4</v>
      </c>
      <c r="F72" t="s">
        <v>982</v>
      </c>
      <c r="G72" s="19" t="b">
        <f ca="1">IF($F72="CREATE",$I72,IF($F72="CREATE_CASES",OR($I72,AND($K72,$L72,$O72,$P72,$AN72,AP72,$AU72,$AW72,$BB72,$BD72)),"TBD"))</f>
        <v>0</v>
      </c>
      <c r="H72" s="6" t="str">
        <f>INDEX(User!$G:$G,MATCH($D72,User!$A:$A,0))</f>
        <v>0195d18c-1c93-02a2-6920-7e4dbfb73ce0</v>
      </c>
      <c r="I72" s="6" t="b">
        <f>INDEX(User!$M:$M,MATCH($D72,User!$A:$A,0))</f>
        <v>0</v>
      </c>
      <c r="J72" s="6" t="str">
        <f>IF(ISNA(MATCH($H72&amp;"|"&amp;$X72,OrganizationAccessCasePolicy!$V:$V,0)),"",MATCH($H72&amp;"|"&amp;$X72,OrganizationAccessCasePolicy!$V:$V,0))</f>
        <v/>
      </c>
      <c r="K72" s="6" t="b" cm="1">
        <f t="array" aca="1" ref="K72" ca="1">IF($J72="",FALSE,NOT(ISNA(MATCH(INDIRECT("OrganizationAccessCasePolicy!D"&amp;$J72)&amp;"|"&amp;$T72,CaseTypeSetMember!$H:$H,0))))</f>
        <v>0</v>
      </c>
      <c r="L72" s="6" t="b" cm="1">
        <f t="array" aca="1" ref="L72" ca="1">IF($J72="",FALSE,AND(INDIRECT("OrganizationAccessCasePolicy!H"&amp;$J72),NOT(ISNA(MATCH(INDIRECT("OrganizationAccessCasePolicy!D"&amp;$J72)&amp;"|"&amp;$T72,CaseTypeSetMember!$H:$H,0)))))</f>
        <v>0</v>
      </c>
      <c r="M72" s="6" t="b" cm="1">
        <f t="array" aca="1" ref="M72" ca="1">IF($J72="",FALSE,AND(INDIRECT("OrganizationAccessCasePolicy!I"&amp;$J72),NOT(ISNA(MATCH(INDIRECT("OrganizationAccessCasePolicy!D"&amp;$J72)&amp;"|"&amp;$T72,CaseTypeSetMember!$H:$H,0)))))</f>
        <v>0</v>
      </c>
      <c r="N72" s="6" t="str">
        <f>IF(ISNA(MATCH($D72&amp;"|"&amp;$X72,UserAccessCasePolicy!$W:$W,0)),"",MATCH($D72&amp;"|"&amp;$X72,UserAccessCasePolicy!$W:$W,0))</f>
        <v/>
      </c>
      <c r="O72" s="6" t="b" cm="1">
        <f t="array" aca="1" ref="O72" ca="1">IF($N72="",FALSE,NOT(ISNA(MATCH(INDIRECT("UserAccessCasePolicy!D"&amp;$N72)&amp;"|"&amp;$T72,CaseTypeSetMember!$H:$H,0))))</f>
        <v>0</v>
      </c>
      <c r="P72" s="6" t="b" cm="1">
        <f t="array" aca="1" ref="P72" ca="1">IF($N72="",FALSE,AND(INDIRECT("UserAccessCasePolicy!G"&amp;$N72),NOT(ISNA(MATCH(INDIRECT("UserAccessCasePolicy!D"&amp;$N72)&amp;"|"&amp;$T72,CaseTypeSetMember!$H:$H,0)))))</f>
        <v>0</v>
      </c>
      <c r="Q72" s="6" t="b" cm="1">
        <f t="array" aca="1" ref="Q72" ca="1">IF($N72="",FALSE,AND(INDIRECT("UserAccessCasePolicy!H"&amp;$N72),NOT(ISNA(MATCH(INDIRECT("UserAccessCasePolicy!D"&amp;$N72)&amp;"|"&amp;$T72,CaseTypeSetMember!$H:$H,0)))))</f>
        <v>0</v>
      </c>
      <c r="R72" t="s">
        <v>1035</v>
      </c>
      <c r="S72" s="6" t="str">
        <f>"case"&amp;MATCH($R72,$R$1:$R72,0)-1</f>
        <v>case33</v>
      </c>
      <c r="T72" t="s">
        <v>115</v>
      </c>
      <c r="U72" s="6" t="str">
        <f>INDEX(CaseType!$B:$B,MATCH($T72,CaseType!$A:$A,0))</f>
        <v>case_type1</v>
      </c>
      <c r="V72" s="6" t="b">
        <f>AND(IF($AJ72="",TRUE,$T72=INDEX(CaseTypeCol!$B:$B,MATCH($AJ72,CaseTypeCol!$A:$A,0))),IF($AQ72="",TRUE,$T72=INDEX(CaseTypeCol!$B:$B,MATCH($AQ72,CaseTypeCol!$A:$A,0))),IF($AX72="",TRUE,$T72=INDEX(CaseTypeCol!$B:$B,MATCH($AX72,CaseTypeCol!$A:$A,0))))</f>
        <v>1</v>
      </c>
      <c r="X72" t="s">
        <v>17</v>
      </c>
      <c r="Y72" s="6" t="str">
        <f>INDEX(DataCollection!$B:$B,MATCH($X72,DataCollection!$A:$A,0))</f>
        <v>data_collection2</v>
      </c>
      <c r="AA72" s="6" t="str">
        <f>IF($Z72="","",INDEX(CaseTypeCol!$J:$J,MATCH($Z72,CaseTypeCol!$A:$A,0)))</f>
        <v/>
      </c>
      <c r="AC72" s="6" t="str">
        <f>IF($AB72="","",INDEX(IdentifierIssuer!$B:$B,MATCH($AB72,IdentifierIssuer!$A:$A,0)))</f>
        <v/>
      </c>
      <c r="AE72" s="6" t="str">
        <f>IF($AD72="","",INDEX(SequencingProtocol!$B:$B,MATCH($AD72,SequencingProtocol!$A:$A,0)))</f>
        <v/>
      </c>
      <c r="AG72" s="6" t="str">
        <f>IF($AF72="","",INDEX(AssemblyProtocol!$B:$B,MATCH($AF72,AssemblyProtocol!$A:$A,0)))</f>
        <v/>
      </c>
      <c r="AI72" s="14">
        <v>36526</v>
      </c>
      <c r="AJ72" t="s">
        <v>516</v>
      </c>
      <c r="AK72" t="s">
        <v>972</v>
      </c>
      <c r="AL72" s="6" t="str">
        <f>IF($AJ72="","",INDEX(CaseTypeCol!$J:$J,MATCH($AJ72,CaseTypeCol!$A:$A,0)))</f>
        <v>case_type_col1_7_0_1_TEXT</v>
      </c>
      <c r="AM72" s="6" t="b" cm="1">
        <f t="array" aca="1" ref="AM72" ca="1">IF($AJ72="",TRUE,IF($J72="",FALSE,IF(INDIRECT("OrganizationAccessCasePolicy!J"&amp;$J72)="",FALSE,NOT(ISNA(MATCH(INDIRECT("OrganizationAccessCasePolicy!J"&amp;$J72)&amp;"|"&amp;$AJ72,CaseTypeColSetMember!$H:$H,0))))))</f>
        <v>0</v>
      </c>
      <c r="AN72" s="6" t="b" cm="1">
        <f t="array" aca="1" ref="AN72" ca="1">IF($AJ72="",TRUE,IF($J72="",FALSE,IF(INDIRECT("OrganizationAccessCasePolicy!L"&amp;$J72)="",FALSE,NOT(ISNA(MATCH(INDIRECT("OrganizationAccessCasePolicy!L"&amp;$J72)&amp;"|"&amp;$AJ72,CaseTypeColSetMember!$H:$H,0))))))</f>
        <v>0</v>
      </c>
      <c r="AO72" s="6" t="b" cm="1">
        <f t="array" aca="1" ref="AO72" ca="1">IF($AJ72="",TRUE,IF($N72="",FALSE,IF(INDIRECT("UserAccessCasePolicy!I"&amp;$N72)="",FALSE,NOT(ISNA(MATCH(INDIRECT("UserAccessCasePolicy!I"&amp;$N72)&amp;"|"&amp;$AJ72,CaseTypeColSetMember!$H:$H,0))))))</f>
        <v>0</v>
      </c>
      <c r="AP72" s="6" t="b" cm="1">
        <f t="array" aca="1" ref="AP72" ca="1">IF($AJ72="",TRUE,IF($N72="",FALSE,IF(INDIRECT("UserAccessCasePolicy!K"&amp;$N72)="",FALSE,NOT(ISNA(MATCH(INDIRECT("UserAccessCasePolicy!K"&amp;$N72)&amp;"|"&amp;$AJ72,CaseTypeColSetMember!$H:$H,0))))))</f>
        <v>0</v>
      </c>
      <c r="AR72" t="s">
        <v>1047</v>
      </c>
      <c r="AS72" s="6" t="str">
        <f>IF($AQ72="","",INDEX(CaseTypeCol!$J:$J,MATCH($AQ72,CaseTypeCol!$A:$A,0)))</f>
        <v/>
      </c>
      <c r="AT72" s="6" t="b" cm="1">
        <f t="array" aca="1" ref="AT72" ca="1">IF($AQ72="",TRUE,IF($J72="",FALSE,IF(INDIRECT("OrganizationAccessCasePolicy!J"&amp;$J72)="",FALSE,NOT(ISNA(MATCH(INDIRECT("OrganizationAccessCasePolicy!J"&amp;$J72)&amp;"|"&amp;$AQ72,CaseTypeColSetMember!$H:$H,0))))))</f>
        <v>1</v>
      </c>
      <c r="AU72" s="6" t="b" cm="1">
        <f t="array" aca="1" ref="AU72" ca="1">IF($AQ72="",TRUE,IF($J72="",FALSE,IF(INDIRECT("OrganizationAccessCasePolicy!L"&amp;$J72)="",FALSE,NOT(ISNA(MATCH(INDIRECT("OrganizationAccessCasePolicy!L"&amp;$J72)&amp;"|"&amp;$AQ72,CaseTypeColSetMember!$H:$H,0))))))</f>
        <v>1</v>
      </c>
      <c r="AV72" s="6" t="b" cm="1">
        <f t="array" aca="1" ref="AV72" ca="1">IF($AQ72="",TRUE,IF($N72="",FALSE,IF(INDIRECT("UserAccessCasePolicy!I"&amp;$N72)="",FALSE,NOT(ISNA(MATCH(INDIRECT("UserAccessCasePolicy!I"&amp;$N72)&amp;"|"&amp;$AQ72,CaseTypeColSetMember!$H:$H,0))))))</f>
        <v>1</v>
      </c>
      <c r="AW72" s="6" t="b" cm="1">
        <f t="array" aca="1" ref="AW72" ca="1">IF($AQ72="",TRUE,IF($N72="",FALSE,IF(INDIRECT("UserAccessCasePolicy!K"&amp;$N72)="",FALSE,NOT(ISNA(MATCH(INDIRECT("UserAccessCasePolicy!K"&amp;$N72)&amp;"|"&amp;$AQ72,CaseTypeColSetMember!$H:$H,0))))))</f>
        <v>1</v>
      </c>
      <c r="AZ72" s="6" t="str">
        <f>IF($AX72="","",INDEX(CaseTypeCol!$J:$J,MATCH($AX72,CaseTypeCol!$A:$A,0)))</f>
        <v/>
      </c>
      <c r="BA72" s="6" t="b" cm="1">
        <f t="array" aca="1" ref="BA72" ca="1">IF($AX72="",TRUE,IF($J72="",FALSE,IF(INDIRECT("OrganizationAccessCasePolicy!J"&amp;$J72)="",FALSE,NOT(ISNA(MATCH(INDIRECT("OrganizationAccessCasePolicy!J"&amp;$J72)&amp;"|"&amp;$AX72,CaseTypeColSetMember!$H:$H,0))))))</f>
        <v>1</v>
      </c>
      <c r="BB72" s="6" t="b" cm="1">
        <f t="array" aca="1" ref="BB72" ca="1">IF($AX72="",TRUE,IF($J72="",FALSE,IF(INDIRECT("OrganizationAccessCasePolicy!L"&amp;$J72)="",FALSE,NOT(ISNA(MATCH(INDIRECT("OrganizationAccessCasePolicy!L"&amp;$J72)&amp;"|"&amp;$AX72,CaseTypeColSetMember!$H:$H,0))))))</f>
        <v>1</v>
      </c>
      <c r="BC72" s="6" t="b" cm="1">
        <f t="array" aca="1" ref="BC72" ca="1">IF($AX72="",TRUE,IF($N72="",FALSE,IF(INDIRECT("UserAccessCasePolicy!I"&amp;$N72)="",FALSE,NOT(ISNA(MATCH(INDIRECT("UserAccessCasePolicy!I"&amp;$N72)&amp;"|"&amp;$AX72,CaseTypeColSetMember!$H:$H,0))))))</f>
        <v>1</v>
      </c>
      <c r="BD72" s="6" t="b" cm="1">
        <f t="array" aca="1" ref="BD72" ca="1">IF($AX72="",TRUE,IF($N72="",FALSE,IF(INDIRECT("UserAccessCasePolicy!K"&amp;$N72)="",FALSE,NOT(ISNA(MATCH(INDIRECT("UserAccessCasePolicy!K"&amp;$N72)&amp;"|"&amp;$AX72,CaseTypeColSetMember!$H:$H,0))))))</f>
        <v>1</v>
      </c>
    </row>
    <row r="73" spans="1:56" ht="15" customHeight="1" x14ac:dyDescent="0.3">
      <c r="A73">
        <v>72</v>
      </c>
      <c r="B73" t="b">
        <v>0</v>
      </c>
      <c r="C73" t="s">
        <v>1079</v>
      </c>
      <c r="D73" t="s">
        <v>16</v>
      </c>
      <c r="E73" s="6" t="str">
        <f>INDEX(User!$D:$D,MATCH($D73,User!$A:$A,0))</f>
        <v>org_user2_1</v>
      </c>
      <c r="F73" t="s">
        <v>982</v>
      </c>
      <c r="G73" s="19" t="b">
        <f ca="1">IF($F73="CREATE",$I73,IF($F73="CREATE_CASES",OR($I73,AND($K73,$L73,$O73,$P73,$AN73,AP73,$AU73,$AW73,$BB73,$BD73)),"TBD"))</f>
        <v>0</v>
      </c>
      <c r="H73" s="6" t="str">
        <f>INDEX(User!$G:$G,MATCH($D73,User!$A:$A,0))</f>
        <v>0195d18c-1c92-0ed4-2e94-b4f66d82baf3</v>
      </c>
      <c r="I73" s="6" t="b">
        <f>INDEX(User!$M:$M,MATCH($D73,User!$A:$A,0))</f>
        <v>0</v>
      </c>
      <c r="J73" s="6">
        <f>IF(ISNA(MATCH($H73&amp;"|"&amp;$X73,OrganizationAccessCasePolicy!$V:$V,0)),"",MATCH($H73&amp;"|"&amp;$X73,OrganizationAccessCasePolicy!$V:$V,0))</f>
        <v>8</v>
      </c>
      <c r="K73" s="6" t="b" cm="1">
        <f t="array" aca="1" ref="K73" ca="1">IF($J73="",FALSE,NOT(ISNA(MATCH(INDIRECT("OrganizationAccessCasePolicy!D"&amp;$J73)&amp;"|"&amp;$T73,CaseTypeSetMember!$H:$H,0))))</f>
        <v>0</v>
      </c>
      <c r="L73" s="6" t="b" cm="1">
        <f t="array" aca="1" ref="L73" ca="1">IF($J73="",FALSE,AND(INDIRECT("OrganizationAccessCasePolicy!H"&amp;$J73),NOT(ISNA(MATCH(INDIRECT("OrganizationAccessCasePolicy!D"&amp;$J73)&amp;"|"&amp;$T73,CaseTypeSetMember!$H:$H,0)))))</f>
        <v>0</v>
      </c>
      <c r="M73" s="6" t="b" cm="1">
        <f t="array" aca="1" ref="M73" ca="1">IF($J73="",FALSE,AND(INDIRECT("OrganizationAccessCasePolicy!I"&amp;$J73),NOT(ISNA(MATCH(INDIRECT("OrganizationAccessCasePolicy!D"&amp;$J73)&amp;"|"&amp;$T73,CaseTypeSetMember!$H:$H,0)))))</f>
        <v>0</v>
      </c>
      <c r="N73" s="6">
        <f>IF(ISNA(MATCH($D73&amp;"|"&amp;$X73,UserAccessCasePolicy!$W:$W,0)),"",MATCH($D73&amp;"|"&amp;$X73,UserAccessCasePolicy!$W:$W,0))</f>
        <v>8</v>
      </c>
      <c r="O73" s="6" t="b" cm="1">
        <f t="array" aca="1" ref="O73" ca="1">IF($N73="",FALSE,NOT(ISNA(MATCH(INDIRECT("UserAccessCasePolicy!D"&amp;$N73)&amp;"|"&amp;$T73,CaseTypeSetMember!$H:$H,0))))</f>
        <v>0</v>
      </c>
      <c r="P73" s="6" t="b" cm="1">
        <f t="array" aca="1" ref="P73" ca="1">IF($N73="",FALSE,AND(INDIRECT("UserAccessCasePolicy!G"&amp;$N73),NOT(ISNA(MATCH(INDIRECT("UserAccessCasePolicy!D"&amp;$N73)&amp;"|"&amp;$T73,CaseTypeSetMember!$H:$H,0)))))</f>
        <v>0</v>
      </c>
      <c r="Q73" s="6" t="b" cm="1">
        <f t="array" aca="1" ref="Q73" ca="1">IF($N73="",FALSE,AND(INDIRECT("UserAccessCasePolicy!H"&amp;$N73),NOT(ISNA(MATCH(INDIRECT("UserAccessCasePolicy!D"&amp;$N73)&amp;"|"&amp;$T73,CaseTypeSetMember!$H:$H,0)))))</f>
        <v>0</v>
      </c>
      <c r="R73" t="s">
        <v>1037</v>
      </c>
      <c r="S73" s="6" t="str">
        <f>"case"&amp;MATCH($R73,$R$1:$R73,0)-1</f>
        <v>case34</v>
      </c>
      <c r="T73" t="s">
        <v>115</v>
      </c>
      <c r="U73" s="6" t="str">
        <f>INDEX(CaseType!$B:$B,MATCH($T73,CaseType!$A:$A,0))</f>
        <v>case_type1</v>
      </c>
      <c r="V73" s="6" t="b">
        <f>AND(IF($AJ73="",TRUE,$T73=INDEX(CaseTypeCol!$B:$B,MATCH($AJ73,CaseTypeCol!$A:$A,0))),IF($AQ73="",TRUE,$T73=INDEX(CaseTypeCol!$B:$B,MATCH($AQ73,CaseTypeCol!$A:$A,0))),IF($AX73="",TRUE,$T73=INDEX(CaseTypeCol!$B:$B,MATCH($AX73,CaseTypeCol!$A:$A,0))))</f>
        <v>1</v>
      </c>
      <c r="X73" t="s">
        <v>21</v>
      </c>
      <c r="Y73" s="6" t="str">
        <f>INDEX(DataCollection!$B:$B,MATCH($X73,DataCollection!$A:$A,0))</f>
        <v>data_collection7</v>
      </c>
      <c r="AA73" s="6" t="str">
        <f>IF($Z73="","",INDEX(CaseTypeCol!$J:$J,MATCH($Z73,CaseTypeCol!$A:$A,0)))</f>
        <v/>
      </c>
      <c r="AC73" s="6" t="str">
        <f>IF($AB73="","",INDEX(IdentifierIssuer!$B:$B,MATCH($AB73,IdentifierIssuer!$A:$A,0)))</f>
        <v/>
      </c>
      <c r="AE73" s="6" t="str">
        <f>IF($AD73="","",INDEX(SequencingProtocol!$B:$B,MATCH($AD73,SequencingProtocol!$A:$A,0)))</f>
        <v/>
      </c>
      <c r="AG73" s="6" t="str">
        <f>IF($AF73="","",INDEX(AssemblyProtocol!$B:$B,MATCH($AF73,AssemblyProtocol!$A:$A,0)))</f>
        <v/>
      </c>
      <c r="AI73" s="14">
        <v>36526</v>
      </c>
      <c r="AJ73" t="s">
        <v>516</v>
      </c>
      <c r="AK73" t="s">
        <v>972</v>
      </c>
      <c r="AL73" s="6" t="str">
        <f>IF($AJ73="","",INDEX(CaseTypeCol!$J:$J,MATCH($AJ73,CaseTypeCol!$A:$A,0)))</f>
        <v>case_type_col1_7_0_1_TEXT</v>
      </c>
      <c r="AM73" s="6" t="b" cm="1">
        <f t="array" aca="1" ref="AM73" ca="1">IF($AJ73="",TRUE,IF($J73="",FALSE,IF(INDIRECT("OrganizationAccessCasePolicy!J"&amp;$J73)="",FALSE,NOT(ISNA(MATCH(INDIRECT("OrganizationAccessCasePolicy!J"&amp;$J73)&amp;"|"&amp;$AJ73,CaseTypeColSetMember!$H:$H,0))))))</f>
        <v>1</v>
      </c>
      <c r="AN73" s="6" t="b" cm="1">
        <f t="array" aca="1" ref="AN73" ca="1">IF($AJ73="",TRUE,IF($J73="",FALSE,IF(INDIRECT("OrganizationAccessCasePolicy!L"&amp;$J73)="",FALSE,NOT(ISNA(MATCH(INDIRECT("OrganizationAccessCasePolicy!L"&amp;$J73)&amp;"|"&amp;$AJ73,CaseTypeColSetMember!$H:$H,0))))))</f>
        <v>0</v>
      </c>
      <c r="AO73" s="6" t="b" cm="1">
        <f t="array" aca="1" ref="AO73" ca="1">IF($AJ73="",TRUE,IF($N73="",FALSE,IF(INDIRECT("UserAccessCasePolicy!I"&amp;$N73)="",FALSE,NOT(ISNA(MATCH(INDIRECT("UserAccessCasePolicy!I"&amp;$N73)&amp;"|"&amp;$AJ73,CaseTypeColSetMember!$H:$H,0))))))</f>
        <v>1</v>
      </c>
      <c r="AP73" s="6" t="b" cm="1">
        <f t="array" aca="1" ref="AP73" ca="1">IF($AJ73="",TRUE,IF($N73="",FALSE,IF(INDIRECT("UserAccessCasePolicy!K"&amp;$N73)="",FALSE,NOT(ISNA(MATCH(INDIRECT("UserAccessCasePolicy!K"&amp;$N73)&amp;"|"&amp;$AJ73,CaseTypeColSetMember!$H:$H,0))))))</f>
        <v>1</v>
      </c>
      <c r="AR73" t="s">
        <v>1047</v>
      </c>
      <c r="AS73" s="6" t="str">
        <f>IF($AQ73="","",INDEX(CaseTypeCol!$J:$J,MATCH($AQ73,CaseTypeCol!$A:$A,0)))</f>
        <v/>
      </c>
      <c r="AT73" s="6" t="b" cm="1">
        <f t="array" aca="1" ref="AT73" ca="1">IF($AQ73="",TRUE,IF($J73="",FALSE,IF(INDIRECT("OrganizationAccessCasePolicy!J"&amp;$J73)="",FALSE,NOT(ISNA(MATCH(INDIRECT("OrganizationAccessCasePolicy!J"&amp;$J73)&amp;"|"&amp;$AQ73,CaseTypeColSetMember!$H:$H,0))))))</f>
        <v>1</v>
      </c>
      <c r="AU73" s="6" t="b" cm="1">
        <f t="array" aca="1" ref="AU73" ca="1">IF($AQ73="",TRUE,IF($J73="",FALSE,IF(INDIRECT("OrganizationAccessCasePolicy!L"&amp;$J73)="",FALSE,NOT(ISNA(MATCH(INDIRECT("OrganizationAccessCasePolicy!L"&amp;$J73)&amp;"|"&amp;$AQ73,CaseTypeColSetMember!$H:$H,0))))))</f>
        <v>1</v>
      </c>
      <c r="AV73" s="6" t="b" cm="1">
        <f t="array" aca="1" ref="AV73" ca="1">IF($AQ73="",TRUE,IF($N73="",FALSE,IF(INDIRECT("UserAccessCasePolicy!I"&amp;$N73)="",FALSE,NOT(ISNA(MATCH(INDIRECT("UserAccessCasePolicy!I"&amp;$N73)&amp;"|"&amp;$AQ73,CaseTypeColSetMember!$H:$H,0))))))</f>
        <v>1</v>
      </c>
      <c r="AW73" s="6" t="b" cm="1">
        <f t="array" aca="1" ref="AW73" ca="1">IF($AQ73="",TRUE,IF($N73="",FALSE,IF(INDIRECT("UserAccessCasePolicy!K"&amp;$N73)="",FALSE,NOT(ISNA(MATCH(INDIRECT("UserAccessCasePolicy!K"&amp;$N73)&amp;"|"&amp;$AQ73,CaseTypeColSetMember!$H:$H,0))))))</f>
        <v>1</v>
      </c>
      <c r="AZ73" s="6" t="str">
        <f>IF($AX73="","",INDEX(CaseTypeCol!$J:$J,MATCH($AX73,CaseTypeCol!$A:$A,0)))</f>
        <v/>
      </c>
      <c r="BA73" s="6" t="b" cm="1">
        <f t="array" aca="1" ref="BA73" ca="1">IF($AX73="",TRUE,IF($J73="",FALSE,IF(INDIRECT("OrganizationAccessCasePolicy!J"&amp;$J73)="",FALSE,NOT(ISNA(MATCH(INDIRECT("OrganizationAccessCasePolicy!J"&amp;$J73)&amp;"|"&amp;$AX73,CaseTypeColSetMember!$H:$H,0))))))</f>
        <v>1</v>
      </c>
      <c r="BB73" s="6" t="b" cm="1">
        <f t="array" aca="1" ref="BB73" ca="1">IF($AX73="",TRUE,IF($J73="",FALSE,IF(INDIRECT("OrganizationAccessCasePolicy!L"&amp;$J73)="",FALSE,NOT(ISNA(MATCH(INDIRECT("OrganizationAccessCasePolicy!L"&amp;$J73)&amp;"|"&amp;$AX73,CaseTypeColSetMember!$H:$H,0))))))</f>
        <v>1</v>
      </c>
      <c r="BC73" s="6" t="b" cm="1">
        <f t="array" aca="1" ref="BC73" ca="1">IF($AX73="",TRUE,IF($N73="",FALSE,IF(INDIRECT("UserAccessCasePolicy!I"&amp;$N73)="",FALSE,NOT(ISNA(MATCH(INDIRECT("UserAccessCasePolicy!I"&amp;$N73)&amp;"|"&amp;$AX73,CaseTypeColSetMember!$H:$H,0))))))</f>
        <v>1</v>
      </c>
      <c r="BD73" s="6" t="b" cm="1">
        <f t="array" aca="1" ref="BD73" ca="1">IF($AX73="",TRUE,IF($N73="",FALSE,IF(INDIRECT("UserAccessCasePolicy!K"&amp;$N73)="",FALSE,NOT(ISNA(MATCH(INDIRECT("UserAccessCasePolicy!K"&amp;$N73)&amp;"|"&amp;$AX73,CaseTypeColSetMember!$H:$H,0))))))</f>
        <v>1</v>
      </c>
    </row>
    <row r="74" spans="1:56" ht="15" customHeight="1" x14ac:dyDescent="0.3">
      <c r="A74">
        <v>73</v>
      </c>
      <c r="B74" t="b">
        <v>0</v>
      </c>
      <c r="C74" t="s">
        <v>1080</v>
      </c>
      <c r="D74" t="s">
        <v>18</v>
      </c>
      <c r="E74" s="6" t="str">
        <f>INDEX(User!$D:$D,MATCH($D74,User!$A:$A,0))</f>
        <v>org_user2_2</v>
      </c>
      <c r="F74" t="s">
        <v>982</v>
      </c>
      <c r="G74" s="19" t="b">
        <f ca="1">IF($F74="CREATE",$I74,IF($F74="CREATE_CASES",OR($I74,AND($K74,$L74,$O74,$P74,$AN74,AP74,$AU74,$AW74,$BB74,$BD74)),"TBD"))</f>
        <v>0</v>
      </c>
      <c r="H74" s="6" t="str">
        <f>INDEX(User!$G:$G,MATCH($D74,User!$A:$A,0))</f>
        <v>0195d18c-1c92-0ed4-2e94-b4f66d82baf3</v>
      </c>
      <c r="I74" s="6" t="b">
        <f>INDEX(User!$M:$M,MATCH($D74,User!$A:$A,0))</f>
        <v>0</v>
      </c>
      <c r="J74" s="6">
        <f>IF(ISNA(MATCH($H74&amp;"|"&amp;$X74,OrganizationAccessCasePolicy!$V:$V,0)),"",MATCH($H74&amp;"|"&amp;$X74,OrganizationAccessCasePolicy!$V:$V,0))</f>
        <v>8</v>
      </c>
      <c r="K74" s="6" t="b" cm="1">
        <f t="array" aca="1" ref="K74" ca="1">IF($J74="",FALSE,NOT(ISNA(MATCH(INDIRECT("OrganizationAccessCasePolicy!D"&amp;$J74)&amp;"|"&amp;$T74,CaseTypeSetMember!$H:$H,0))))</f>
        <v>0</v>
      </c>
      <c r="L74" s="6" t="b" cm="1">
        <f t="array" aca="1" ref="L74" ca="1">IF($J74="",FALSE,AND(INDIRECT("OrganizationAccessCasePolicy!H"&amp;$J74),NOT(ISNA(MATCH(INDIRECT("OrganizationAccessCasePolicy!D"&amp;$J74)&amp;"|"&amp;$T74,CaseTypeSetMember!$H:$H,0)))))</f>
        <v>0</v>
      </c>
      <c r="M74" s="6" t="b" cm="1">
        <f t="array" aca="1" ref="M74" ca="1">IF($J74="",FALSE,AND(INDIRECT("OrganizationAccessCasePolicy!I"&amp;$J74),NOT(ISNA(MATCH(INDIRECT("OrganizationAccessCasePolicy!D"&amp;$J74)&amp;"|"&amp;$T74,CaseTypeSetMember!$H:$H,0)))))</f>
        <v>0</v>
      </c>
      <c r="N74" s="6" t="str">
        <f>IF(ISNA(MATCH($D74&amp;"|"&amp;$X74,UserAccessCasePolicy!$W:$W,0)),"",MATCH($D74&amp;"|"&amp;$X74,UserAccessCasePolicy!$W:$W,0))</f>
        <v/>
      </c>
      <c r="O74" s="6" t="b" cm="1">
        <f t="array" aca="1" ref="O74" ca="1">IF($N74="",FALSE,NOT(ISNA(MATCH(INDIRECT("UserAccessCasePolicy!D"&amp;$N74)&amp;"|"&amp;$T74,CaseTypeSetMember!$H:$H,0))))</f>
        <v>0</v>
      </c>
      <c r="P74" s="6" t="b" cm="1">
        <f t="array" aca="1" ref="P74" ca="1">IF($N74="",FALSE,AND(INDIRECT("UserAccessCasePolicy!G"&amp;$N74),NOT(ISNA(MATCH(INDIRECT("UserAccessCasePolicy!D"&amp;$N74)&amp;"|"&amp;$T74,CaseTypeSetMember!$H:$H,0)))))</f>
        <v>0</v>
      </c>
      <c r="Q74" s="6" t="b" cm="1">
        <f t="array" aca="1" ref="Q74" ca="1">IF($N74="",FALSE,AND(INDIRECT("UserAccessCasePolicy!H"&amp;$N74),NOT(ISNA(MATCH(INDIRECT("UserAccessCasePolicy!D"&amp;$N74)&amp;"|"&amp;$T74,CaseTypeSetMember!$H:$H,0)))))</f>
        <v>0</v>
      </c>
      <c r="R74" t="s">
        <v>1037</v>
      </c>
      <c r="S74" s="6" t="str">
        <f>"case"&amp;MATCH($R74,$R$1:$R74,0)-1</f>
        <v>case34</v>
      </c>
      <c r="T74" t="s">
        <v>118</v>
      </c>
      <c r="U74" s="6" t="str">
        <f>INDEX(CaseType!$B:$B,MATCH($T74,CaseType!$A:$A,0))</f>
        <v>case_type2</v>
      </c>
      <c r="V74" s="6" t="b">
        <f>AND(IF($AJ74="",TRUE,$T74=INDEX(CaseTypeCol!$B:$B,MATCH($AJ74,CaseTypeCol!$A:$A,0))),IF($AQ74="",TRUE,$T74=INDEX(CaseTypeCol!$B:$B,MATCH($AQ74,CaseTypeCol!$A:$A,0))),IF($AX74="",TRUE,$T74=INDEX(CaseTypeCol!$B:$B,MATCH($AX74,CaseTypeCol!$A:$A,0))))</f>
        <v>0</v>
      </c>
      <c r="X74" t="s">
        <v>21</v>
      </c>
      <c r="Y74" s="6" t="str">
        <f>INDEX(DataCollection!$B:$B,MATCH($X74,DataCollection!$A:$A,0))</f>
        <v>data_collection7</v>
      </c>
      <c r="AA74" s="6" t="str">
        <f>IF($Z74="","",INDEX(CaseTypeCol!$J:$J,MATCH($Z74,CaseTypeCol!$A:$A,0)))</f>
        <v/>
      </c>
      <c r="AC74" s="6" t="str">
        <f>IF($AB74="","",INDEX(IdentifierIssuer!$B:$B,MATCH($AB74,IdentifierIssuer!$A:$A,0)))</f>
        <v/>
      </c>
      <c r="AE74" s="6" t="str">
        <f>IF($AD74="","",INDEX(SequencingProtocol!$B:$B,MATCH($AD74,SequencingProtocol!$A:$A,0)))</f>
        <v/>
      </c>
      <c r="AG74" s="6" t="str">
        <f>IF($AF74="","",INDEX(AssemblyProtocol!$B:$B,MATCH($AF74,AssemblyProtocol!$A:$A,0)))</f>
        <v/>
      </c>
      <c r="AI74" s="14">
        <v>36526</v>
      </c>
      <c r="AJ74" t="s">
        <v>516</v>
      </c>
      <c r="AK74" t="s">
        <v>972</v>
      </c>
      <c r="AL74" s="6" t="str">
        <f>IF($AJ74="","",INDEX(CaseTypeCol!$J:$J,MATCH($AJ74,CaseTypeCol!$A:$A,0)))</f>
        <v>case_type_col1_7_0_1_TEXT</v>
      </c>
      <c r="AM74" s="6" t="b" cm="1">
        <f t="array" aca="1" ref="AM74" ca="1">IF($AJ74="",TRUE,IF($J74="",FALSE,IF(INDIRECT("OrganizationAccessCasePolicy!J"&amp;$J74)="",FALSE,NOT(ISNA(MATCH(INDIRECT("OrganizationAccessCasePolicy!J"&amp;$J74)&amp;"|"&amp;$AJ74,CaseTypeColSetMember!$H:$H,0))))))</f>
        <v>1</v>
      </c>
      <c r="AN74" s="6" t="b" cm="1">
        <f t="array" aca="1" ref="AN74" ca="1">IF($AJ74="",TRUE,IF($J74="",FALSE,IF(INDIRECT("OrganizationAccessCasePolicy!L"&amp;$J74)="",FALSE,NOT(ISNA(MATCH(INDIRECT("OrganizationAccessCasePolicy!L"&amp;$J74)&amp;"|"&amp;$AJ74,CaseTypeColSetMember!$H:$H,0))))))</f>
        <v>0</v>
      </c>
      <c r="AO74" s="6" t="b" cm="1">
        <f t="array" aca="1" ref="AO74" ca="1">IF($AJ74="",TRUE,IF($N74="",FALSE,IF(INDIRECT("UserAccessCasePolicy!I"&amp;$N74)="",FALSE,NOT(ISNA(MATCH(INDIRECT("UserAccessCasePolicy!I"&amp;$N74)&amp;"|"&amp;$AJ74,CaseTypeColSetMember!$H:$H,0))))))</f>
        <v>0</v>
      </c>
      <c r="AP74" s="6" t="b" cm="1">
        <f t="array" aca="1" ref="AP74" ca="1">IF($AJ74="",TRUE,IF($N74="",FALSE,IF(INDIRECT("UserAccessCasePolicy!K"&amp;$N74)="",FALSE,NOT(ISNA(MATCH(INDIRECT("UserAccessCasePolicy!K"&amp;$N74)&amp;"|"&amp;$AJ74,CaseTypeColSetMember!$H:$H,0))))))</f>
        <v>0</v>
      </c>
      <c r="AR74" t="s">
        <v>1047</v>
      </c>
      <c r="AS74" s="6" t="str">
        <f>IF($AQ74="","",INDEX(CaseTypeCol!$J:$J,MATCH($AQ74,CaseTypeCol!$A:$A,0)))</f>
        <v/>
      </c>
      <c r="AT74" s="6" t="b" cm="1">
        <f t="array" aca="1" ref="AT74" ca="1">IF($AQ74="",TRUE,IF($J74="",FALSE,IF(INDIRECT("OrganizationAccessCasePolicy!J"&amp;$J74)="",FALSE,NOT(ISNA(MATCH(INDIRECT("OrganizationAccessCasePolicy!J"&amp;$J74)&amp;"|"&amp;$AQ74,CaseTypeColSetMember!$H:$H,0))))))</f>
        <v>1</v>
      </c>
      <c r="AU74" s="6" t="b" cm="1">
        <f t="array" aca="1" ref="AU74" ca="1">IF($AQ74="",TRUE,IF($J74="",FALSE,IF(INDIRECT("OrganizationAccessCasePolicy!L"&amp;$J74)="",FALSE,NOT(ISNA(MATCH(INDIRECT("OrganizationAccessCasePolicy!L"&amp;$J74)&amp;"|"&amp;$AQ74,CaseTypeColSetMember!$H:$H,0))))))</f>
        <v>1</v>
      </c>
      <c r="AV74" s="6" t="b" cm="1">
        <f t="array" aca="1" ref="AV74" ca="1">IF($AQ74="",TRUE,IF($N74="",FALSE,IF(INDIRECT("UserAccessCasePolicy!I"&amp;$N74)="",FALSE,NOT(ISNA(MATCH(INDIRECT("UserAccessCasePolicy!I"&amp;$N74)&amp;"|"&amp;$AQ74,CaseTypeColSetMember!$H:$H,0))))))</f>
        <v>1</v>
      </c>
      <c r="AW74" s="6" t="b" cm="1">
        <f t="array" aca="1" ref="AW74" ca="1">IF($AQ74="",TRUE,IF($N74="",FALSE,IF(INDIRECT("UserAccessCasePolicy!K"&amp;$N74)="",FALSE,NOT(ISNA(MATCH(INDIRECT("UserAccessCasePolicy!K"&amp;$N74)&amp;"|"&amp;$AQ74,CaseTypeColSetMember!$H:$H,0))))))</f>
        <v>1</v>
      </c>
      <c r="AZ74" s="6" t="str">
        <f>IF($AX74="","",INDEX(CaseTypeCol!$J:$J,MATCH($AX74,CaseTypeCol!$A:$A,0)))</f>
        <v/>
      </c>
      <c r="BA74" s="6" t="b" cm="1">
        <f t="array" aca="1" ref="BA74" ca="1">IF($AX74="",TRUE,IF($J74="",FALSE,IF(INDIRECT("OrganizationAccessCasePolicy!J"&amp;$J74)="",FALSE,NOT(ISNA(MATCH(INDIRECT("OrganizationAccessCasePolicy!J"&amp;$J74)&amp;"|"&amp;$AX74,CaseTypeColSetMember!$H:$H,0))))))</f>
        <v>1</v>
      </c>
      <c r="BB74" s="6" t="b" cm="1">
        <f t="array" aca="1" ref="BB74" ca="1">IF($AX74="",TRUE,IF($J74="",FALSE,IF(INDIRECT("OrganizationAccessCasePolicy!L"&amp;$J74)="",FALSE,NOT(ISNA(MATCH(INDIRECT("OrganizationAccessCasePolicy!L"&amp;$J74)&amp;"|"&amp;$AX74,CaseTypeColSetMember!$H:$H,0))))))</f>
        <v>1</v>
      </c>
      <c r="BC74" s="6" t="b" cm="1">
        <f t="array" aca="1" ref="BC74" ca="1">IF($AX74="",TRUE,IF($N74="",FALSE,IF(INDIRECT("UserAccessCasePolicy!I"&amp;$N74)="",FALSE,NOT(ISNA(MATCH(INDIRECT("UserAccessCasePolicy!I"&amp;$N74)&amp;"|"&amp;$AX74,CaseTypeColSetMember!$H:$H,0))))))</f>
        <v>1</v>
      </c>
      <c r="BD74" s="6" t="b" cm="1">
        <f t="array" aca="1" ref="BD74" ca="1">IF($AX74="",TRUE,IF($N74="",FALSE,IF(INDIRECT("UserAccessCasePolicy!K"&amp;$N74)="",FALSE,NOT(ISNA(MATCH(INDIRECT("UserAccessCasePolicy!K"&amp;$N74)&amp;"|"&amp;$AX74,CaseTypeColSetMember!$H:$H,0))))))</f>
        <v>1</v>
      </c>
    </row>
    <row r="75" spans="1:56" ht="15" customHeight="1" x14ac:dyDescent="0.3">
      <c r="A75">
        <v>74</v>
      </c>
      <c r="B75" t="b">
        <v>0</v>
      </c>
      <c r="C75" t="s">
        <v>1081</v>
      </c>
      <c r="D75" t="s">
        <v>19</v>
      </c>
      <c r="E75" s="6" t="str">
        <f>INDEX(User!$D:$D,MATCH($D75,User!$A:$A,0))</f>
        <v>org_user2_3</v>
      </c>
      <c r="F75" t="s">
        <v>982</v>
      </c>
      <c r="G75" s="19" t="b">
        <f ca="1">IF($F75="CREATE",$I75,IF($F75="CREATE_CASES",OR($I75,AND($K75,$L75,$O75,$P75,$AN75,AP75,$AU75,$AW75,$BB75,$BD75)),"TBD"))</f>
        <v>0</v>
      </c>
      <c r="H75" s="6" t="str">
        <f>INDEX(User!$G:$G,MATCH($D75,User!$A:$A,0))</f>
        <v>0195d18c-1c92-0ed4-2e94-b4f66d82baf3</v>
      </c>
      <c r="I75" s="6" t="b">
        <f>INDEX(User!$M:$M,MATCH($D75,User!$A:$A,0))</f>
        <v>0</v>
      </c>
      <c r="J75" s="6" t="str">
        <f>IF(ISNA(MATCH($H75&amp;"|"&amp;$X75,OrganizationAccessCasePolicy!$V:$V,0)),"",MATCH($H75&amp;"|"&amp;$X75,OrganizationAccessCasePolicy!$V:$V,0))</f>
        <v/>
      </c>
      <c r="K75" s="6" t="b" cm="1">
        <f t="array" aca="1" ref="K75" ca="1">IF($J75="",FALSE,NOT(ISNA(MATCH(INDIRECT("OrganizationAccessCasePolicy!D"&amp;$J75)&amp;"|"&amp;$T75,CaseTypeSetMember!$H:$H,0))))</f>
        <v>0</v>
      </c>
      <c r="L75" s="6" t="b" cm="1">
        <f t="array" aca="1" ref="L75" ca="1">IF($J75="",FALSE,AND(INDIRECT("OrganizationAccessCasePolicy!H"&amp;$J75),NOT(ISNA(MATCH(INDIRECT("OrganizationAccessCasePolicy!D"&amp;$J75)&amp;"|"&amp;$T75,CaseTypeSetMember!$H:$H,0)))))</f>
        <v>0</v>
      </c>
      <c r="M75" s="6" t="b" cm="1">
        <f t="array" aca="1" ref="M75" ca="1">IF($J75="",FALSE,AND(INDIRECT("OrganizationAccessCasePolicy!I"&amp;$J75),NOT(ISNA(MATCH(INDIRECT("OrganizationAccessCasePolicy!D"&amp;$J75)&amp;"|"&amp;$T75,CaseTypeSetMember!$H:$H,0)))))</f>
        <v>0</v>
      </c>
      <c r="N75" s="6" t="str">
        <f>IF(ISNA(MATCH($D75&amp;"|"&amp;$X75,UserAccessCasePolicy!$W:$W,0)),"",MATCH($D75&amp;"|"&amp;$X75,UserAccessCasePolicy!$W:$W,0))</f>
        <v/>
      </c>
      <c r="O75" s="6" t="b" cm="1">
        <f t="array" aca="1" ref="O75" ca="1">IF($N75="",FALSE,NOT(ISNA(MATCH(INDIRECT("UserAccessCasePolicy!D"&amp;$N75)&amp;"|"&amp;$T75,CaseTypeSetMember!$H:$H,0))))</f>
        <v>0</v>
      </c>
      <c r="P75" s="6" t="b" cm="1">
        <f t="array" aca="1" ref="P75" ca="1">IF($N75="",FALSE,AND(INDIRECT("UserAccessCasePolicy!G"&amp;$N75),NOT(ISNA(MATCH(INDIRECT("UserAccessCasePolicy!D"&amp;$N75)&amp;"|"&amp;$T75,CaseTypeSetMember!$H:$H,0)))))</f>
        <v>0</v>
      </c>
      <c r="Q75" s="6" t="b" cm="1">
        <f t="array" aca="1" ref="Q75" ca="1">IF($N75="",FALSE,AND(INDIRECT("UserAccessCasePolicy!H"&amp;$N75),NOT(ISNA(MATCH(INDIRECT("UserAccessCasePolicy!D"&amp;$N75)&amp;"|"&amp;$T75,CaseTypeSetMember!$H:$H,0)))))</f>
        <v>0</v>
      </c>
      <c r="R75" t="s">
        <v>1033</v>
      </c>
      <c r="S75" s="6" t="str">
        <f>"case"&amp;MATCH($R75,$R$1:$R75,0)-1</f>
        <v>case32</v>
      </c>
      <c r="T75" t="s">
        <v>115</v>
      </c>
      <c r="U75" s="6" t="str">
        <f>INDEX(CaseType!$B:$B,MATCH($T75,CaseType!$A:$A,0))</f>
        <v>case_type1</v>
      </c>
      <c r="V75" s="6" t="b">
        <f>AND(IF($AJ75="",TRUE,$T75=INDEX(CaseTypeCol!$B:$B,MATCH($AJ75,CaseTypeCol!$A:$A,0))),IF($AQ75="",TRUE,$T75=INDEX(CaseTypeCol!$B:$B,MATCH($AQ75,CaseTypeCol!$A:$A,0))),IF($AX75="",TRUE,$T75=INDEX(CaseTypeCol!$B:$B,MATCH($AX75,CaseTypeCol!$A:$A,0))))</f>
        <v>1</v>
      </c>
      <c r="X75" t="s">
        <v>35</v>
      </c>
      <c r="Y75" s="6" t="str">
        <f>INDEX(DataCollection!$B:$B,MATCH($X75,DataCollection!$A:$A,0))</f>
        <v>data_collection5</v>
      </c>
      <c r="AA75" s="6" t="str">
        <f>IF($Z75="","",INDEX(CaseTypeCol!$J:$J,MATCH($Z75,CaseTypeCol!$A:$A,0)))</f>
        <v/>
      </c>
      <c r="AC75" s="6" t="str">
        <f>IF($AB75="","",INDEX(IdentifierIssuer!$B:$B,MATCH($AB75,IdentifierIssuer!$A:$A,0)))</f>
        <v/>
      </c>
      <c r="AE75" s="6" t="str">
        <f>IF($AD75="","",INDEX(SequencingProtocol!$B:$B,MATCH($AD75,SequencingProtocol!$A:$A,0)))</f>
        <v/>
      </c>
      <c r="AG75" s="6" t="str">
        <f>IF($AF75="","",INDEX(AssemblyProtocol!$B:$B,MATCH($AF75,AssemblyProtocol!$A:$A,0)))</f>
        <v/>
      </c>
      <c r="AI75" s="14">
        <v>36526</v>
      </c>
      <c r="AJ75" t="s">
        <v>516</v>
      </c>
      <c r="AK75" t="s">
        <v>972</v>
      </c>
      <c r="AL75" s="6" t="str">
        <f>IF($AJ75="","",INDEX(CaseTypeCol!$J:$J,MATCH($AJ75,CaseTypeCol!$A:$A,0)))</f>
        <v>case_type_col1_7_0_1_TEXT</v>
      </c>
      <c r="AM75" s="6" t="b" cm="1">
        <f t="array" aca="1" ref="AM75" ca="1">IF($AJ75="",TRUE,IF($J75="",FALSE,IF(INDIRECT("OrganizationAccessCasePolicy!J"&amp;$J75)="",FALSE,NOT(ISNA(MATCH(INDIRECT("OrganizationAccessCasePolicy!J"&amp;$J75)&amp;"|"&amp;$AJ75,CaseTypeColSetMember!$H:$H,0))))))</f>
        <v>0</v>
      </c>
      <c r="AN75" s="6" t="b" cm="1">
        <f t="array" aca="1" ref="AN75" ca="1">IF($AJ75="",TRUE,IF($J75="",FALSE,IF(INDIRECT("OrganizationAccessCasePolicy!L"&amp;$J75)="",FALSE,NOT(ISNA(MATCH(INDIRECT("OrganizationAccessCasePolicy!L"&amp;$J75)&amp;"|"&amp;$AJ75,CaseTypeColSetMember!$H:$H,0))))))</f>
        <v>0</v>
      </c>
      <c r="AO75" s="6" t="b" cm="1">
        <f t="array" aca="1" ref="AO75" ca="1">IF($AJ75="",TRUE,IF($N75="",FALSE,IF(INDIRECT("UserAccessCasePolicy!I"&amp;$N75)="",FALSE,NOT(ISNA(MATCH(INDIRECT("UserAccessCasePolicy!I"&amp;$N75)&amp;"|"&amp;$AJ75,CaseTypeColSetMember!$H:$H,0))))))</f>
        <v>0</v>
      </c>
      <c r="AP75" s="6" t="b" cm="1">
        <f t="array" aca="1" ref="AP75" ca="1">IF($AJ75="",TRUE,IF($N75="",FALSE,IF(INDIRECT("UserAccessCasePolicy!K"&amp;$N75)="",FALSE,NOT(ISNA(MATCH(INDIRECT("UserAccessCasePolicy!K"&amp;$N75)&amp;"|"&amp;$AJ75,CaseTypeColSetMember!$H:$H,0))))))</f>
        <v>0</v>
      </c>
      <c r="AR75" t="s">
        <v>1047</v>
      </c>
      <c r="AS75" s="6" t="str">
        <f>IF($AQ75="","",INDEX(CaseTypeCol!$J:$J,MATCH($AQ75,CaseTypeCol!$A:$A,0)))</f>
        <v/>
      </c>
      <c r="AT75" s="6" t="b" cm="1">
        <f t="array" aca="1" ref="AT75" ca="1">IF($AQ75="",TRUE,IF($J75="",FALSE,IF(INDIRECT("OrganizationAccessCasePolicy!J"&amp;$J75)="",FALSE,NOT(ISNA(MATCH(INDIRECT("OrganizationAccessCasePolicy!J"&amp;$J75)&amp;"|"&amp;$AQ75,CaseTypeColSetMember!$H:$H,0))))))</f>
        <v>1</v>
      </c>
      <c r="AU75" s="6" t="b" cm="1">
        <f t="array" aca="1" ref="AU75" ca="1">IF($AQ75="",TRUE,IF($J75="",FALSE,IF(INDIRECT("OrganizationAccessCasePolicy!L"&amp;$J75)="",FALSE,NOT(ISNA(MATCH(INDIRECT("OrganizationAccessCasePolicy!L"&amp;$J75)&amp;"|"&amp;$AQ75,CaseTypeColSetMember!$H:$H,0))))))</f>
        <v>1</v>
      </c>
      <c r="AV75" s="6" t="b" cm="1">
        <f t="array" aca="1" ref="AV75" ca="1">IF($AQ75="",TRUE,IF($N75="",FALSE,IF(INDIRECT("UserAccessCasePolicy!I"&amp;$N75)="",FALSE,NOT(ISNA(MATCH(INDIRECT("UserAccessCasePolicy!I"&amp;$N75)&amp;"|"&amp;$AQ75,CaseTypeColSetMember!$H:$H,0))))))</f>
        <v>1</v>
      </c>
      <c r="AW75" s="6" t="b" cm="1">
        <f t="array" aca="1" ref="AW75" ca="1">IF($AQ75="",TRUE,IF($N75="",FALSE,IF(INDIRECT("UserAccessCasePolicy!K"&amp;$N75)="",FALSE,NOT(ISNA(MATCH(INDIRECT("UserAccessCasePolicy!K"&amp;$N75)&amp;"|"&amp;$AQ75,CaseTypeColSetMember!$H:$H,0))))))</f>
        <v>1</v>
      </c>
      <c r="AZ75" s="6" t="str">
        <f>IF($AX75="","",INDEX(CaseTypeCol!$J:$J,MATCH($AX75,CaseTypeCol!$A:$A,0)))</f>
        <v/>
      </c>
      <c r="BA75" s="6" t="b" cm="1">
        <f t="array" aca="1" ref="BA75" ca="1">IF($AX75="",TRUE,IF($J75="",FALSE,IF(INDIRECT("OrganizationAccessCasePolicy!J"&amp;$J75)="",FALSE,NOT(ISNA(MATCH(INDIRECT("OrganizationAccessCasePolicy!J"&amp;$J75)&amp;"|"&amp;$AX75,CaseTypeColSetMember!$H:$H,0))))))</f>
        <v>1</v>
      </c>
      <c r="BB75" s="6" t="b" cm="1">
        <f t="array" aca="1" ref="BB75" ca="1">IF($AX75="",TRUE,IF($J75="",FALSE,IF(INDIRECT("OrganizationAccessCasePolicy!L"&amp;$J75)="",FALSE,NOT(ISNA(MATCH(INDIRECT("OrganizationAccessCasePolicy!L"&amp;$J75)&amp;"|"&amp;$AX75,CaseTypeColSetMember!$H:$H,0))))))</f>
        <v>1</v>
      </c>
      <c r="BC75" s="6" t="b" cm="1">
        <f t="array" aca="1" ref="BC75" ca="1">IF($AX75="",TRUE,IF($N75="",FALSE,IF(INDIRECT("UserAccessCasePolicy!I"&amp;$N75)="",FALSE,NOT(ISNA(MATCH(INDIRECT("UserAccessCasePolicy!I"&amp;$N75)&amp;"|"&amp;$AX75,CaseTypeColSetMember!$H:$H,0))))))</f>
        <v>1</v>
      </c>
      <c r="BD75" s="6" t="b" cm="1">
        <f t="array" aca="1" ref="BD75" ca="1">IF($AX75="",TRUE,IF($N75="",FALSE,IF(INDIRECT("UserAccessCasePolicy!K"&amp;$N75)="",FALSE,NOT(ISNA(MATCH(INDIRECT("UserAccessCasePolicy!K"&amp;$N75)&amp;"|"&amp;$AX75,CaseTypeColSetMember!$H:$H,0))))))</f>
        <v>1</v>
      </c>
    </row>
    <row r="76" spans="1:56" ht="15" customHeight="1" x14ac:dyDescent="0.3">
      <c r="A76">
        <v>75</v>
      </c>
      <c r="B76" t="b">
        <v>0</v>
      </c>
      <c r="C76" t="s">
        <v>1082</v>
      </c>
      <c r="D76" t="s">
        <v>20</v>
      </c>
      <c r="E76" s="6" t="str">
        <f>INDEX(User!$D:$D,MATCH($D76,User!$A:$A,0))</f>
        <v>org_user2_4</v>
      </c>
      <c r="F76" t="s">
        <v>982</v>
      </c>
      <c r="G76" s="19" t="b">
        <f ca="1">IF($F76="CREATE",$I76,IF($F76="CREATE_CASES",OR($I76,AND($K76,$L76,$O76,$P76,$AN76,AP76,$AU76,$AW76,$BB76,$BD76)),"TBD"))</f>
        <v>0</v>
      </c>
      <c r="H76" s="6" t="str">
        <f>INDEX(User!$G:$G,MATCH($D76,User!$A:$A,0))</f>
        <v>0195d18c-1c92-0ed4-2e94-b4f66d82baf3</v>
      </c>
      <c r="I76" s="6" t="b">
        <f>INDEX(User!$M:$M,MATCH($D76,User!$A:$A,0))</f>
        <v>0</v>
      </c>
      <c r="J76" s="6" t="str">
        <f>IF(ISNA(MATCH($H76&amp;"|"&amp;$X76,OrganizationAccessCasePolicy!$V:$V,0)),"",MATCH($H76&amp;"|"&amp;$X76,OrganizationAccessCasePolicy!$V:$V,0))</f>
        <v/>
      </c>
      <c r="K76" s="6" t="b" cm="1">
        <f t="array" aca="1" ref="K76" ca="1">IF($J76="",FALSE,NOT(ISNA(MATCH(INDIRECT("OrganizationAccessCasePolicy!D"&amp;$J76)&amp;"|"&amp;$T76,CaseTypeSetMember!$H:$H,0))))</f>
        <v>0</v>
      </c>
      <c r="L76" s="6" t="b" cm="1">
        <f t="array" aca="1" ref="L76" ca="1">IF($J76="",FALSE,AND(INDIRECT("OrganizationAccessCasePolicy!H"&amp;$J76),NOT(ISNA(MATCH(INDIRECT("OrganizationAccessCasePolicy!D"&amp;$J76)&amp;"|"&amp;$T76,CaseTypeSetMember!$H:$H,0)))))</f>
        <v>0</v>
      </c>
      <c r="M76" s="6" t="b" cm="1">
        <f t="array" aca="1" ref="M76" ca="1">IF($J76="",FALSE,AND(INDIRECT("OrganizationAccessCasePolicy!I"&amp;$J76),NOT(ISNA(MATCH(INDIRECT("OrganizationAccessCasePolicy!D"&amp;$J76)&amp;"|"&amp;$T76,CaseTypeSetMember!$H:$H,0)))))</f>
        <v>0</v>
      </c>
      <c r="N76" s="6" t="str">
        <f>IF(ISNA(MATCH($D76&amp;"|"&amp;$X76,UserAccessCasePolicy!$W:$W,0)),"",MATCH($D76&amp;"|"&amp;$X76,UserAccessCasePolicy!$W:$W,0))</f>
        <v/>
      </c>
      <c r="O76" s="6" t="b" cm="1">
        <f t="array" aca="1" ref="O76" ca="1">IF($N76="",FALSE,NOT(ISNA(MATCH(INDIRECT("UserAccessCasePolicy!D"&amp;$N76)&amp;"|"&amp;$T76,CaseTypeSetMember!$H:$H,0))))</f>
        <v>0</v>
      </c>
      <c r="P76" s="6" t="b" cm="1">
        <f t="array" aca="1" ref="P76" ca="1">IF($N76="",FALSE,AND(INDIRECT("UserAccessCasePolicy!G"&amp;$N76),NOT(ISNA(MATCH(INDIRECT("UserAccessCasePolicy!D"&amp;$N76)&amp;"|"&amp;$T76,CaseTypeSetMember!$H:$H,0)))))</f>
        <v>0</v>
      </c>
      <c r="Q76" s="6" t="b" cm="1">
        <f t="array" aca="1" ref="Q76" ca="1">IF($N76="",FALSE,AND(INDIRECT("UserAccessCasePolicy!H"&amp;$N76),NOT(ISNA(MATCH(INDIRECT("UserAccessCasePolicy!D"&amp;$N76)&amp;"|"&amp;$T76,CaseTypeSetMember!$H:$H,0)))))</f>
        <v>0</v>
      </c>
      <c r="R76" t="s">
        <v>1033</v>
      </c>
      <c r="S76" s="6" t="str">
        <f>"case"&amp;MATCH($R76,$R$1:$R76,0)-1</f>
        <v>case32</v>
      </c>
      <c r="T76" t="s">
        <v>115</v>
      </c>
      <c r="U76" s="6" t="str">
        <f>INDEX(CaseType!$B:$B,MATCH($T76,CaseType!$A:$A,0))</f>
        <v>case_type1</v>
      </c>
      <c r="V76" s="6" t="b">
        <f>AND(IF($AJ76="",TRUE,$T76=INDEX(CaseTypeCol!$B:$B,MATCH($AJ76,CaseTypeCol!$A:$A,0))),IF($AQ76="",TRUE,$T76=INDEX(CaseTypeCol!$B:$B,MATCH($AQ76,CaseTypeCol!$A:$A,0))),IF($AX76="",TRUE,$T76=INDEX(CaseTypeCol!$B:$B,MATCH($AX76,CaseTypeCol!$A:$A,0))))</f>
        <v>1</v>
      </c>
      <c r="X76" t="s">
        <v>33</v>
      </c>
      <c r="Y76" s="6" t="str">
        <f>INDEX(DataCollection!$B:$B,MATCH($X76,DataCollection!$A:$A,0))</f>
        <v>data_collection9</v>
      </c>
      <c r="AA76" s="6" t="str">
        <f>IF($Z76="","",INDEX(CaseTypeCol!$J:$J,MATCH($Z76,CaseTypeCol!$A:$A,0)))</f>
        <v/>
      </c>
      <c r="AC76" s="6" t="str">
        <f>IF($AB76="","",INDEX(IdentifierIssuer!$B:$B,MATCH($AB76,IdentifierIssuer!$A:$A,0)))</f>
        <v/>
      </c>
      <c r="AE76" s="6" t="str">
        <f>IF($AD76="","",INDEX(SequencingProtocol!$B:$B,MATCH($AD76,SequencingProtocol!$A:$A,0)))</f>
        <v/>
      </c>
      <c r="AG76" s="6" t="str">
        <f>IF($AF76="","",INDEX(AssemblyProtocol!$B:$B,MATCH($AF76,AssemblyProtocol!$A:$A,0)))</f>
        <v/>
      </c>
      <c r="AI76" s="14">
        <v>36526</v>
      </c>
      <c r="AJ76" t="s">
        <v>516</v>
      </c>
      <c r="AK76" t="s">
        <v>972</v>
      </c>
      <c r="AL76" s="6" t="str">
        <f>IF($AJ76="","",INDEX(CaseTypeCol!$J:$J,MATCH($AJ76,CaseTypeCol!$A:$A,0)))</f>
        <v>case_type_col1_7_0_1_TEXT</v>
      </c>
      <c r="AM76" s="6" t="b" cm="1">
        <f t="array" aca="1" ref="AM76" ca="1">IF($AJ76="",TRUE,IF($J76="",FALSE,IF(INDIRECT("OrganizationAccessCasePolicy!J"&amp;$J76)="",FALSE,NOT(ISNA(MATCH(INDIRECT("OrganizationAccessCasePolicy!J"&amp;$J76)&amp;"|"&amp;$AJ76,CaseTypeColSetMember!$H:$H,0))))))</f>
        <v>0</v>
      </c>
      <c r="AN76" s="6" t="b" cm="1">
        <f t="array" aca="1" ref="AN76" ca="1">IF($AJ76="",TRUE,IF($J76="",FALSE,IF(INDIRECT("OrganizationAccessCasePolicy!L"&amp;$J76)="",FALSE,NOT(ISNA(MATCH(INDIRECT("OrganizationAccessCasePolicy!L"&amp;$J76)&amp;"|"&amp;$AJ76,CaseTypeColSetMember!$H:$H,0))))))</f>
        <v>0</v>
      </c>
      <c r="AO76" s="6" t="b" cm="1">
        <f t="array" aca="1" ref="AO76" ca="1">IF($AJ76="",TRUE,IF($N76="",FALSE,IF(INDIRECT("UserAccessCasePolicy!I"&amp;$N76)="",FALSE,NOT(ISNA(MATCH(INDIRECT("UserAccessCasePolicy!I"&amp;$N76)&amp;"|"&amp;$AJ76,CaseTypeColSetMember!$H:$H,0))))))</f>
        <v>0</v>
      </c>
      <c r="AP76" s="6" t="b" cm="1">
        <f t="array" aca="1" ref="AP76" ca="1">IF($AJ76="",TRUE,IF($N76="",FALSE,IF(INDIRECT("UserAccessCasePolicy!K"&amp;$N76)="",FALSE,NOT(ISNA(MATCH(INDIRECT("UserAccessCasePolicy!K"&amp;$N76)&amp;"|"&amp;$AJ76,CaseTypeColSetMember!$H:$H,0))))))</f>
        <v>0</v>
      </c>
      <c r="AR76" t="s">
        <v>1047</v>
      </c>
      <c r="AS76" s="6" t="str">
        <f>IF($AQ76="","",INDEX(CaseTypeCol!$J:$J,MATCH($AQ76,CaseTypeCol!$A:$A,0)))</f>
        <v/>
      </c>
      <c r="AT76" s="6" t="b" cm="1">
        <f t="array" aca="1" ref="AT76" ca="1">IF($AQ76="",TRUE,IF($J76="",FALSE,IF(INDIRECT("OrganizationAccessCasePolicy!J"&amp;$J76)="",FALSE,NOT(ISNA(MATCH(INDIRECT("OrganizationAccessCasePolicy!J"&amp;$J76)&amp;"|"&amp;$AQ76,CaseTypeColSetMember!$H:$H,0))))))</f>
        <v>1</v>
      </c>
      <c r="AU76" s="6" t="b" cm="1">
        <f t="array" aca="1" ref="AU76" ca="1">IF($AQ76="",TRUE,IF($J76="",FALSE,IF(INDIRECT("OrganizationAccessCasePolicy!L"&amp;$J76)="",FALSE,NOT(ISNA(MATCH(INDIRECT("OrganizationAccessCasePolicy!L"&amp;$J76)&amp;"|"&amp;$AQ76,CaseTypeColSetMember!$H:$H,0))))))</f>
        <v>1</v>
      </c>
      <c r="AV76" s="6" t="b" cm="1">
        <f t="array" aca="1" ref="AV76" ca="1">IF($AQ76="",TRUE,IF($N76="",FALSE,IF(INDIRECT("UserAccessCasePolicy!I"&amp;$N76)="",FALSE,NOT(ISNA(MATCH(INDIRECT("UserAccessCasePolicy!I"&amp;$N76)&amp;"|"&amp;$AQ76,CaseTypeColSetMember!$H:$H,0))))))</f>
        <v>1</v>
      </c>
      <c r="AW76" s="6" t="b" cm="1">
        <f t="array" aca="1" ref="AW76" ca="1">IF($AQ76="",TRUE,IF($N76="",FALSE,IF(INDIRECT("UserAccessCasePolicy!K"&amp;$N76)="",FALSE,NOT(ISNA(MATCH(INDIRECT("UserAccessCasePolicy!K"&amp;$N76)&amp;"|"&amp;$AQ76,CaseTypeColSetMember!$H:$H,0))))))</f>
        <v>1</v>
      </c>
      <c r="AZ76" s="6" t="str">
        <f>IF($AX76="","",INDEX(CaseTypeCol!$J:$J,MATCH($AX76,CaseTypeCol!$A:$A,0)))</f>
        <v/>
      </c>
      <c r="BA76" s="6" t="b" cm="1">
        <f t="array" aca="1" ref="BA76" ca="1">IF($AX76="",TRUE,IF($J76="",FALSE,IF(INDIRECT("OrganizationAccessCasePolicy!J"&amp;$J76)="",FALSE,NOT(ISNA(MATCH(INDIRECT("OrganizationAccessCasePolicy!J"&amp;$J76)&amp;"|"&amp;$AX76,CaseTypeColSetMember!$H:$H,0))))))</f>
        <v>1</v>
      </c>
      <c r="BB76" s="6" t="b" cm="1">
        <f t="array" aca="1" ref="BB76" ca="1">IF($AX76="",TRUE,IF($J76="",FALSE,IF(INDIRECT("OrganizationAccessCasePolicy!L"&amp;$J76)="",FALSE,NOT(ISNA(MATCH(INDIRECT("OrganizationAccessCasePolicy!L"&amp;$J76)&amp;"|"&amp;$AX76,CaseTypeColSetMember!$H:$H,0))))))</f>
        <v>1</v>
      </c>
      <c r="BC76" s="6" t="b" cm="1">
        <f t="array" aca="1" ref="BC76" ca="1">IF($AX76="",TRUE,IF($N76="",FALSE,IF(INDIRECT("UserAccessCasePolicy!I"&amp;$N76)="",FALSE,NOT(ISNA(MATCH(INDIRECT("UserAccessCasePolicy!I"&amp;$N76)&amp;"|"&amp;$AX76,CaseTypeColSetMember!$H:$H,0))))))</f>
        <v>1</v>
      </c>
      <c r="BD76" s="6" t="b" cm="1">
        <f t="array" aca="1" ref="BD76" ca="1">IF($AX76="",TRUE,IF($N76="",FALSE,IF(INDIRECT("UserAccessCasePolicy!K"&amp;$N76)="",FALSE,NOT(ISNA(MATCH(INDIRECT("UserAccessCasePolicy!K"&amp;$N76)&amp;"|"&amp;$AX76,CaseTypeColSetMember!$H:$H,0))))))</f>
        <v>1</v>
      </c>
    </row>
  </sheetData>
  <autoFilter ref="A1:BD34" xr:uid="{8E0C7C33-6768-4AAE-A57E-F80585DED472}"/>
  <conditionalFormatting sqref="V2:V76">
    <cfRule type="expression" dxfId="0" priority="1">
      <formula>V2=FALSE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125C-81FE-4138-8EC4-E1383D9E02A9}">
  <dimension ref="A1:I3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35.6640625" bestFit="1" customWidth="1"/>
    <col min="2" max="3" width="35.6640625" customWidth="1"/>
    <col min="4" max="4" width="35.6640625" style="6" customWidth="1"/>
    <col min="5" max="6" width="35.6640625" customWidth="1"/>
    <col min="7" max="7" width="35.6640625" style="6" customWidth="1"/>
    <col min="8" max="8" width="10" style="6" bestFit="1" customWidth="1"/>
    <col min="9" max="9" width="20.77734375" style="6" bestFit="1" customWidth="1"/>
  </cols>
  <sheetData>
    <row r="1" spans="1:9" s="22" customFormat="1" x14ac:dyDescent="0.3">
      <c r="A1" s="22" t="s">
        <v>0</v>
      </c>
      <c r="B1" s="22" t="s">
        <v>133</v>
      </c>
      <c r="C1" s="22" t="s">
        <v>691</v>
      </c>
      <c r="D1" s="24" t="s">
        <v>692</v>
      </c>
      <c r="E1" s="22" t="s">
        <v>695</v>
      </c>
      <c r="F1" s="22" t="s">
        <v>696</v>
      </c>
      <c r="G1" s="24" t="s">
        <v>766</v>
      </c>
      <c r="H1" s="24" t="s">
        <v>276</v>
      </c>
      <c r="I1" s="24" t="s">
        <v>767</v>
      </c>
    </row>
    <row r="2" spans="1:9" x14ac:dyDescent="0.3">
      <c r="A2" t="s">
        <v>667</v>
      </c>
      <c r="B2" t="s">
        <v>115</v>
      </c>
      <c r="C2" t="s">
        <v>11</v>
      </c>
      <c r="D2" s="6" t="str">
        <f>INDEX(DataCollection!$B:$B,MATCH($C2,DataCollection!$A:$A,0))</f>
        <v>data_collection1</v>
      </c>
      <c r="F2" s="14">
        <v>36526</v>
      </c>
      <c r="G2" s="6" t="str">
        <f>INDEX(CaseType!$B:$B,MATCH($B2,CaseType!$A:$A,0))</f>
        <v>case_type1</v>
      </c>
      <c r="H2" s="6" t="b">
        <f>AND($I2)</f>
        <v>1</v>
      </c>
      <c r="I2" s="6" t="b">
        <f>COUNTIFS(_CaseContentData!$A:$A,$A2,_CaseContentData!$H:$H,FALSE)=0</f>
        <v>1</v>
      </c>
    </row>
    <row r="3" spans="1:9" x14ac:dyDescent="0.3">
      <c r="A3" t="s">
        <v>689</v>
      </c>
      <c r="B3" t="s">
        <v>118</v>
      </c>
      <c r="C3" t="s">
        <v>11</v>
      </c>
      <c r="D3" s="6" t="str">
        <f>INDEX(DataCollection!$B:$B,MATCH($C3,DataCollection!$A:$A,0))</f>
        <v>data_collection1</v>
      </c>
      <c r="F3" s="14">
        <v>36526</v>
      </c>
      <c r="G3" s="6" t="str">
        <f>INDEX(CaseType!$B:$B,MATCH($B3,CaseType!$A:$A,0))</f>
        <v>case_type2</v>
      </c>
      <c r="H3" s="6" t="b">
        <f>AND($I3)</f>
        <v>1</v>
      </c>
      <c r="I3" s="6" t="b">
        <f>COUNTIFS(_CaseContentData!$A:$A,$A3,_CaseContentData!$H:$H,FALSE)=0</f>
        <v>1</v>
      </c>
    </row>
  </sheetData>
  <autoFilter ref="A1:A33" xr:uid="{8E0C7C33-6768-4AAE-A57E-F80585DED472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D083-FC70-48A6-9216-CB6293E1F295}">
  <dimension ref="A1:X58"/>
  <sheetViews>
    <sheetView topLeftCell="C1" zoomScale="110" zoomScaleNormal="110" workbookViewId="0">
      <pane ySplit="1" topLeftCell="A2" activePane="bottomLeft" state="frozen"/>
      <selection pane="bottomLeft" activeCell="G2" sqref="G2"/>
    </sheetView>
  </sheetViews>
  <sheetFormatPr defaultColWidth="8.77734375" defaultRowHeight="14.4" x14ac:dyDescent="0.3"/>
  <cols>
    <col min="1" max="1" width="35.6640625" bestFit="1" customWidth="1"/>
    <col min="2" max="2" width="25.109375" style="6" bestFit="1" customWidth="1"/>
    <col min="3" max="3" width="36.109375" bestFit="1" customWidth="1"/>
    <col min="4" max="4" width="65.21875" style="6" bestFit="1" customWidth="1"/>
    <col min="5" max="5" width="36.109375" bestFit="1" customWidth="1"/>
    <col min="6" max="6" width="19.21875" customWidth="1"/>
    <col min="7" max="7" width="36.109375" style="6" bestFit="1" customWidth="1"/>
    <col min="8" max="8" width="19.21875" style="6" customWidth="1"/>
    <col min="9" max="9" width="20.5546875" bestFit="1" customWidth="1"/>
    <col min="10" max="10" width="19.21875" style="6" customWidth="1"/>
    <col min="11" max="11" width="36" style="6" bestFit="1" customWidth="1"/>
    <col min="12" max="12" width="34.44140625" style="6" bestFit="1" customWidth="1"/>
    <col min="13" max="13" width="36.109375" style="6" bestFit="1" customWidth="1"/>
    <col min="14" max="14" width="29" style="6" bestFit="1" customWidth="1"/>
    <col min="15" max="16" width="36.109375" style="6" bestFit="1" customWidth="1"/>
    <col min="17" max="18" width="36" style="6" bestFit="1" customWidth="1"/>
    <col min="19" max="20" width="36" style="6" customWidth="1"/>
    <col min="21" max="22" width="27.88671875" style="6" bestFit="1" customWidth="1"/>
    <col min="23" max="23" width="29" bestFit="1" customWidth="1"/>
    <col min="24" max="24" width="25" bestFit="1" customWidth="1"/>
  </cols>
  <sheetData>
    <row r="1" spans="1:24" x14ac:dyDescent="0.3">
      <c r="A1" t="s">
        <v>762</v>
      </c>
      <c r="B1" s="6" t="s">
        <v>765</v>
      </c>
      <c r="C1" t="s">
        <v>130</v>
      </c>
      <c r="D1" s="6" t="s">
        <v>764</v>
      </c>
      <c r="E1" t="s">
        <v>666</v>
      </c>
      <c r="F1" t="s">
        <v>688</v>
      </c>
      <c r="G1" s="6" t="s">
        <v>816</v>
      </c>
      <c r="H1" s="6" t="s">
        <v>276</v>
      </c>
      <c r="I1" t="s">
        <v>763</v>
      </c>
      <c r="J1" s="6" t="s">
        <v>697</v>
      </c>
      <c r="K1" s="6" t="s">
        <v>693</v>
      </c>
      <c r="L1" s="6" t="s">
        <v>694</v>
      </c>
      <c r="M1" s="6" t="s">
        <v>800</v>
      </c>
      <c r="N1" s="6" t="s">
        <v>815</v>
      </c>
      <c r="O1" s="6" t="s">
        <v>801</v>
      </c>
      <c r="P1" s="6" t="s">
        <v>802</v>
      </c>
      <c r="Q1" s="6" t="s">
        <v>812</v>
      </c>
      <c r="R1" s="6" t="s">
        <v>813</v>
      </c>
      <c r="S1" s="6" t="s">
        <v>779</v>
      </c>
      <c r="T1" s="6" t="s">
        <v>822</v>
      </c>
      <c r="U1" s="6" t="s">
        <v>823</v>
      </c>
      <c r="V1" s="6" t="s">
        <v>824</v>
      </c>
      <c r="W1" t="s">
        <v>817</v>
      </c>
      <c r="X1" t="s">
        <v>818</v>
      </c>
    </row>
    <row r="2" spans="1:24" x14ac:dyDescent="0.3">
      <c r="A2" t="s">
        <v>667</v>
      </c>
      <c r="B2" s="6" t="str">
        <f>INDEX(_CaseData!$G:$G,MATCH($A2,_CaseData!$A:$A,0))</f>
        <v>case_type1</v>
      </c>
      <c r="C2" t="s">
        <v>510</v>
      </c>
      <c r="D2" s="6" t="str">
        <f>INDEX(CaseTypeCol!$H:$H,MATCH($C2,CaseTypeCol!$A:$A,0))</f>
        <v>1_1_0_1</v>
      </c>
      <c r="E2" t="s">
        <v>342</v>
      </c>
      <c r="G2" s="6" t="str">
        <f>IF($W2,$X2,IF($E2="","",IF($N2="REGULAR_LANGUAGE",$E2,IF(OR($N2="NOMINAL",$N2="ORDINAL",$N2="INTERVAL"),$Q2,IF($N2="GEO_REGION",$R2,IF($N2="ORGANIZATION",$S2,$E2))))))</f>
        <v>0198ef6d-8543-1558-187c-47880d4b485e</v>
      </c>
      <c r="H2" s="6" t="b">
        <f>AND($I2:$J2)</f>
        <v>1</v>
      </c>
      <c r="I2" t="b">
        <v>1</v>
      </c>
      <c r="J2" s="6" t="b">
        <f>K2=L2</f>
        <v>1</v>
      </c>
      <c r="K2" s="6" t="str">
        <f>INDEX(_CaseData!$B:$B,MATCH($A2,_CaseData!$A:$A,0))</f>
        <v>0195d18c-1ca6-fd99-9d76-fcfa0c0cf400</v>
      </c>
      <c r="L2" s="6" t="str">
        <f>INDEX(CaseTypeCol!$B:$B,MATCH($C2,CaseTypeCol!$A:$A,0))</f>
        <v>0195d18c-1ca6-fd99-9d76-fcfa0c0cf400</v>
      </c>
      <c r="M2" s="6" t="str">
        <f>INDEX(CaseTypeCol!$D:$D,MATCH($C2,CaseTypeCol!$A:$A,0))</f>
        <v>0198ef6d-8543-eb2b-e8cd-6ad2e7ad4523</v>
      </c>
      <c r="N2" s="6" t="str">
        <f>INDEX(Col!$H:$H,MATCH($M2,Col!$A:$A,0))</f>
        <v>NOMINAL</v>
      </c>
      <c r="O2" s="6" t="str">
        <f>IF(INDEX(Col!$I:$I,MATCH($M2,Col!$A:$A,0))="","",INDEX(Col!$I:$I,MATCH($M2,Col!$A:$A,0)))</f>
        <v>0198ef6d-8543-90a8-a647-ae05912c77ba</v>
      </c>
      <c r="P2" s="6" t="str">
        <f>IF(INDEX(Col!$K:$K,MATCH($M2,Col!$A:$A,0))="","",INDEX(Col!$K:$K,MATCH($M2,Col!$A:$A,0)))</f>
        <v/>
      </c>
      <c r="Q2" s="6" t="str">
        <f>IF($O2="","",IF(NOT(ISNA(MATCH(LOWER($O2&amp;"|"&amp;$E2),Concept!$K:$K,0))),INDEX(Concept!$A:$A,MATCH(LOWER($O2&amp;"|"&amp;$E2),Concept!$K:$K,0)),IF(NOT(ISNA(MATCH(LOWER($O2&amp;"|"&amp;$E2),Concept!$L:$L,0))),INDEX(Concept!$A:$A,MATCH(LOWER($O2&amp;"|"&amp;$E2),Concept!$L:$L,0)),IF(NOT(ISNA(MATCH(LOWER($O2&amp;"|"&amp;$E2),Concept!$M:$M,0))),INDEX(Concept!$A:$A,MATCH(LOWER($O2&amp;"|"&amp;$E2),Concept!$M:$M,0)),""))))</f>
        <v>0198ef6d-8543-1558-187c-47880d4b485e</v>
      </c>
      <c r="R2" s="6" t="str">
        <f>IF($P2="","",IF(NOT(ISNA(MATCH(LOWER($P2&amp;"|"&amp;$E2),Region!$J:$J,0))),INDEX(Region!$A:$A,MATCH(LOWER($P2&amp;"|"&amp;$E2),Region!$J:$J,0)),IF(NOT(ISNA(MATCH(LOWER($P2&amp;"|"&amp;$E2),Region!$K:$K,0))),INDEX(Region!$A:$A,MATCH(LOWER($P2&amp;"|"&amp;$E2),Region!$K:$K,0)),"")))</f>
        <v/>
      </c>
      <c r="S2" s="6" t="str">
        <f>IF($N2&lt;&gt;"ORGANIZATION","",IF(NOT(ISNA(MATCH($E2,Organization!$A:$A,0))),INDEX(Organization!$A:$A,MATCH($E2,Organization!$A:$A,0)),IF(NOT(ISNA(MATCH($E2,Organization!$B:$B,0))),INDEX(Organization!$A:$A,MATCH($E2,Organization!$B:$B,0)),IF(NOT(ISNA(MATCH($E2,Organization!$A:$A,0))),INDEX(Organization!$C:$C,MATCH($E2,Organization!$C:$C,0)),""))))</f>
        <v/>
      </c>
      <c r="T2" s="6" t="str">
        <f>INDEX(Col!$B:$B,MATCH($M2,Col!$A:$A,0))</f>
        <v>0198ef6d-8543-8d7e-a786-a78961958b68</v>
      </c>
      <c r="U2" s="6" t="str">
        <f>INDEX(Dim!$C:$C,MATCH($T2,Dim!$A:$A,0))</f>
        <v>dim1</v>
      </c>
      <c r="V2" s="6" t="str">
        <f>INDEX(Dim!$B:$B,MATCH($T2,Dim!$A:$A,0))</f>
        <v>TEXT</v>
      </c>
      <c r="W2" t="b">
        <v>0</v>
      </c>
    </row>
    <row r="3" spans="1:24" x14ac:dyDescent="0.3">
      <c r="A3" t="s">
        <v>667</v>
      </c>
      <c r="B3" s="6" t="str">
        <f>INDEX(_CaseData!$G:$G,MATCH($A3,_CaseData!$A:$A,0))</f>
        <v>case_type1</v>
      </c>
      <c r="C3" t="s">
        <v>511</v>
      </c>
      <c r="D3" s="6" t="str">
        <f>INDEX(CaseTypeCol!$H:$H,MATCH($C3,CaseTypeCol!$A:$A,0))</f>
        <v>1_2_0_1</v>
      </c>
      <c r="E3" t="s">
        <v>668</v>
      </c>
      <c r="G3" s="6" t="str">
        <f t="shared" ref="G3:G58" si="0">IF($W3,$X3,IF($E3="","",IF($N3="REGULAR_LANGUAGE",$E3,IF(OR($N3="NOMINAL",$N3="ORDINAL",$N3="INTERVAL"),$Q3,IF($N3="GEO_REGION",$R3,IF($N3="ORGANIZATION",$S3,$E3))))))</f>
        <v>0198ef6d-8543-6ac9-4915-b0f74393baa3</v>
      </c>
      <c r="H3" s="6" t="b">
        <f t="shared" ref="H3:H58" si="1">AND($I3:$J3)</f>
        <v>1</v>
      </c>
      <c r="I3" t="b">
        <v>1</v>
      </c>
      <c r="J3" s="6" t="b">
        <f t="shared" ref="J3:J58" si="2">K3=L3</f>
        <v>1</v>
      </c>
      <c r="K3" s="6" t="str">
        <f>INDEX(_CaseData!$B:$B,MATCH($A3,_CaseData!$A:$A,0))</f>
        <v>0195d18c-1ca6-fd99-9d76-fcfa0c0cf400</v>
      </c>
      <c r="L3" s="6" t="str">
        <f>INDEX(CaseTypeCol!$B:$B,MATCH($C3,CaseTypeCol!$A:$A,0))</f>
        <v>0195d18c-1ca6-fd99-9d76-fcfa0c0cf400</v>
      </c>
      <c r="M3" s="6" t="str">
        <f>INDEX(CaseTypeCol!$D:$D,MATCH($C3,CaseTypeCol!$A:$A,0))</f>
        <v>0198ef6d-8543-1234-cbf1-9947a51d56ff</v>
      </c>
      <c r="N3" s="6" t="str">
        <f>INDEX(Col!$H:$H,MATCH($M3,Col!$A:$A,0))</f>
        <v>NOMINAL</v>
      </c>
      <c r="O3" s="6" t="str">
        <f>IF(INDEX(Col!$I:$I,MATCH($M3,Col!$A:$A,0))="","",INDEX(Col!$I:$I,MATCH($M3,Col!$A:$A,0)))</f>
        <v>0198ef6d-8543-2a99-b3be-b0d2583cb604</v>
      </c>
      <c r="P3" s="6" t="str">
        <f>IF(INDEX(Col!$K:$K,MATCH($M3,Col!$A:$A,0))="","",INDEX(Col!$K:$K,MATCH($M3,Col!$A:$A,0)))</f>
        <v/>
      </c>
      <c r="Q3" s="6" t="str">
        <f>IF($O3="","",IF(NOT(ISNA(MATCH(LOWER($O3&amp;"|"&amp;$E3),Concept!$K:$K,0))),INDEX(Concept!$A:$A,MATCH(LOWER($O3&amp;"|"&amp;$E3),Concept!$K:$K,0)),IF(NOT(ISNA(MATCH(LOWER($O3&amp;"|"&amp;$E3),Concept!$L:$L,0))),INDEX(Concept!$A:$A,MATCH(LOWER($O3&amp;"|"&amp;$E3),Concept!$L:$L,0)),IF(NOT(ISNA(MATCH(LOWER($O3&amp;"|"&amp;$E3),Concept!$M:$M,0))),INDEX(Concept!$A:$A,MATCH(LOWER($O3&amp;"|"&amp;$E3),Concept!$M:$M,0)),""))))</f>
        <v>0198ef6d-8543-6ac9-4915-b0f74393baa3</v>
      </c>
      <c r="R3" s="6" t="str">
        <f>IF($P3="","",IF(NOT(ISNA(MATCH(LOWER($P3&amp;"|"&amp;$E3),Region!$J:$J,0))),INDEX(Region!$A:$A,MATCH(LOWER($P3&amp;"|"&amp;$E3),Region!$J:$J,0)),IF(NOT(ISNA(MATCH(LOWER($P3&amp;"|"&amp;$E3),Region!$K:$K,0))),INDEX(Region!$A:$A,MATCH(LOWER($P3&amp;"|"&amp;$E3),Region!$K:$K,0)),"")))</f>
        <v/>
      </c>
      <c r="S3" s="6" t="str">
        <f>IF($N3&lt;&gt;"ORGANIZATION","",IF(NOT(ISNA(MATCH($E3,Organization!$A:$A,0))),INDEX(Organization!$A:$A,MATCH($E3,Organization!$A:$A,0)),IF(NOT(ISNA(MATCH($E3,Organization!$B:$B,0))),INDEX(Organization!$A:$A,MATCH($E3,Organization!$B:$B,0)),IF(NOT(ISNA(MATCH($E3,Organization!$A:$A,0))),INDEX(Organization!$C:$C,MATCH($E3,Organization!$C:$C,0)),""))))</f>
        <v/>
      </c>
      <c r="T3" s="6" t="str">
        <f>INDEX(Col!$B:$B,MATCH($M3,Col!$A:$A,0))</f>
        <v>0198ef6d-8543-4e10-dadc-606a590cbf81</v>
      </c>
      <c r="U3" s="6" t="str">
        <f>INDEX(Dim!$C:$C,MATCH($T3,Dim!$A:$A,0))</f>
        <v>dim2</v>
      </c>
      <c r="V3" s="6" t="str">
        <f>INDEX(Dim!$B:$B,MATCH($T3,Dim!$A:$A,0))</f>
        <v>TEXT</v>
      </c>
      <c r="W3" t="b">
        <v>0</v>
      </c>
    </row>
    <row r="4" spans="1:24" x14ac:dyDescent="0.3">
      <c r="A4" t="s">
        <v>667</v>
      </c>
      <c r="B4" s="6" t="str">
        <f>INDEX(_CaseData!$G:$G,MATCH($A4,_CaseData!$A:$A,0))</f>
        <v>case_type1</v>
      </c>
      <c r="C4" t="s">
        <v>512</v>
      </c>
      <c r="D4" s="6" t="str">
        <f>INDEX(CaseTypeCol!$H:$H,MATCH($C4,CaseTypeCol!$A:$A,0))</f>
        <v>1_3_0_1</v>
      </c>
      <c r="E4" t="s">
        <v>669</v>
      </c>
      <c r="G4" s="6" t="str">
        <f t="shared" si="0"/>
        <v>0198ef6d-8543-73c8-d3af-92aa66e44b8c</v>
      </c>
      <c r="H4" s="6" t="b">
        <f t="shared" si="1"/>
        <v>1</v>
      </c>
      <c r="I4" t="b">
        <v>1</v>
      </c>
      <c r="J4" s="6" t="b">
        <f t="shared" si="2"/>
        <v>1</v>
      </c>
      <c r="K4" s="6" t="str">
        <f>INDEX(_CaseData!$B:$B,MATCH($A4,_CaseData!$A:$A,0))</f>
        <v>0195d18c-1ca6-fd99-9d76-fcfa0c0cf400</v>
      </c>
      <c r="L4" s="6" t="str">
        <f>INDEX(CaseTypeCol!$B:$B,MATCH($C4,CaseTypeCol!$A:$A,0))</f>
        <v>0195d18c-1ca6-fd99-9d76-fcfa0c0cf400</v>
      </c>
      <c r="M4" s="6" t="str">
        <f>INDEX(CaseTypeCol!$D:$D,MATCH($C4,CaseTypeCol!$A:$A,0))</f>
        <v>0198ef6d-8543-50ea-8c7a-9f5c1a8041c4</v>
      </c>
      <c r="N4" s="6" t="str">
        <f>INDEX(Col!$H:$H,MATCH($M4,Col!$A:$A,0))</f>
        <v>ORDINAL</v>
      </c>
      <c r="O4" s="6" t="str">
        <f>IF(INDEX(Col!$I:$I,MATCH($M4,Col!$A:$A,0))="","",INDEX(Col!$I:$I,MATCH($M4,Col!$A:$A,0)))</f>
        <v>0198ef6d-8543-b279-03a6-da9684b42b08</v>
      </c>
      <c r="P4" s="6" t="str">
        <f>IF(INDEX(Col!$K:$K,MATCH($M4,Col!$A:$A,0))="","",INDEX(Col!$K:$K,MATCH($M4,Col!$A:$A,0)))</f>
        <v/>
      </c>
      <c r="Q4" s="6" t="str">
        <f>IF($O4="","",IF(NOT(ISNA(MATCH(LOWER($O4&amp;"|"&amp;$E4),Concept!$K:$K,0))),INDEX(Concept!$A:$A,MATCH(LOWER($O4&amp;"|"&amp;$E4),Concept!$K:$K,0)),IF(NOT(ISNA(MATCH(LOWER($O4&amp;"|"&amp;$E4),Concept!$L:$L,0))),INDEX(Concept!$A:$A,MATCH(LOWER($O4&amp;"|"&amp;$E4),Concept!$L:$L,0)),IF(NOT(ISNA(MATCH(LOWER($O4&amp;"|"&amp;$E4),Concept!$M:$M,0))),INDEX(Concept!$A:$A,MATCH(LOWER($O4&amp;"|"&amp;$E4),Concept!$M:$M,0)),""))))</f>
        <v>0198ef6d-8543-73c8-d3af-92aa66e44b8c</v>
      </c>
      <c r="R4" s="6" t="str">
        <f>IF($P4="","",IF(NOT(ISNA(MATCH(LOWER($P4&amp;"|"&amp;$E4),Region!$J:$J,0))),INDEX(Region!$A:$A,MATCH(LOWER($P4&amp;"|"&amp;$E4),Region!$J:$J,0)),IF(NOT(ISNA(MATCH(LOWER($P4&amp;"|"&amp;$E4),Region!$K:$K,0))),INDEX(Region!$A:$A,MATCH(LOWER($P4&amp;"|"&amp;$E4),Region!$K:$K,0)),"")))</f>
        <v/>
      </c>
      <c r="S4" s="6" t="str">
        <f>IF($N4&lt;&gt;"ORGANIZATION","",IF(NOT(ISNA(MATCH($E4,Organization!$A:$A,0))),INDEX(Organization!$A:$A,MATCH($E4,Organization!$A:$A,0)),IF(NOT(ISNA(MATCH($E4,Organization!$B:$B,0))),INDEX(Organization!$A:$A,MATCH($E4,Organization!$B:$B,0)),IF(NOT(ISNA(MATCH($E4,Organization!$A:$A,0))),INDEX(Organization!$C:$C,MATCH($E4,Organization!$C:$C,0)),""))))</f>
        <v/>
      </c>
      <c r="T4" s="6" t="str">
        <f>INDEX(Col!$B:$B,MATCH($M4,Col!$A:$A,0))</f>
        <v>0198ef6d-8543-4b57-ccc7-1e34bcca2de1</v>
      </c>
      <c r="U4" s="6" t="str">
        <f>INDEX(Dim!$C:$C,MATCH($T4,Dim!$A:$A,0))</f>
        <v>dim3</v>
      </c>
      <c r="V4" s="6" t="str">
        <f>INDEX(Dim!$B:$B,MATCH($T4,Dim!$A:$A,0))</f>
        <v>TEXT</v>
      </c>
      <c r="W4" t="b">
        <v>0</v>
      </c>
    </row>
    <row r="5" spans="1:24" x14ac:dyDescent="0.3">
      <c r="A5" t="s">
        <v>667</v>
      </c>
      <c r="B5" s="6" t="str">
        <f>INDEX(_CaseData!$G:$G,MATCH($A5,_CaseData!$A:$A,0))</f>
        <v>case_type1</v>
      </c>
      <c r="C5" t="s">
        <v>513</v>
      </c>
      <c r="D5" s="6" t="str">
        <f>INDEX(CaseTypeCol!$H:$H,MATCH($C5,CaseTypeCol!$A:$A,0))</f>
        <v>1_4_0_1</v>
      </c>
      <c r="E5" t="s">
        <v>814</v>
      </c>
      <c r="G5" s="6" t="str">
        <f t="shared" si="0"/>
        <v>0198ef6d-8543-1842-1575-0be542168d82</v>
      </c>
      <c r="H5" s="6" t="b">
        <f t="shared" si="1"/>
        <v>1</v>
      </c>
      <c r="I5" t="b">
        <v>1</v>
      </c>
      <c r="J5" s="6" t="b">
        <f t="shared" si="2"/>
        <v>1</v>
      </c>
      <c r="K5" s="6" t="str">
        <f>INDEX(_CaseData!$B:$B,MATCH($A5,_CaseData!$A:$A,0))</f>
        <v>0195d18c-1ca6-fd99-9d76-fcfa0c0cf400</v>
      </c>
      <c r="L5" s="6" t="str">
        <f>INDEX(CaseTypeCol!$B:$B,MATCH($C5,CaseTypeCol!$A:$A,0))</f>
        <v>0195d18c-1ca6-fd99-9d76-fcfa0c0cf400</v>
      </c>
      <c r="M5" s="6" t="str">
        <f>INDEX(CaseTypeCol!$D:$D,MATCH($C5,CaseTypeCol!$A:$A,0))</f>
        <v>0198ef6d-8543-76c4-4fb4-25f7403d7972</v>
      </c>
      <c r="N5" s="6" t="str">
        <f>INDEX(Col!$H:$H,MATCH($M5,Col!$A:$A,0))</f>
        <v>ORDINAL</v>
      </c>
      <c r="O5" s="6" t="str">
        <f>IF(INDEX(Col!$I:$I,MATCH($M5,Col!$A:$A,0))="","",INDEX(Col!$I:$I,MATCH($M5,Col!$A:$A,0)))</f>
        <v>0198ef6d-8543-d076-3da0-dd48921087f9</v>
      </c>
      <c r="P5" s="6" t="str">
        <f>IF(INDEX(Col!$K:$K,MATCH($M5,Col!$A:$A,0))="","",INDEX(Col!$K:$K,MATCH($M5,Col!$A:$A,0)))</f>
        <v/>
      </c>
      <c r="Q5" s="6" t="str">
        <f>IF($O5="","",IF(NOT(ISNA(MATCH(LOWER($O5&amp;"|"&amp;$E5),Concept!$K:$K,0))),INDEX(Concept!$A:$A,MATCH(LOWER($O5&amp;"|"&amp;$E5),Concept!$K:$K,0)),IF(NOT(ISNA(MATCH(LOWER($O5&amp;"|"&amp;$E5),Concept!$L:$L,0))),INDEX(Concept!$A:$A,MATCH(LOWER($O5&amp;"|"&amp;$E5),Concept!$L:$L,0)),IF(NOT(ISNA(MATCH(LOWER($O5&amp;"|"&amp;$E5),Concept!$M:$M,0))),INDEX(Concept!$A:$A,MATCH(LOWER($O5&amp;"|"&amp;$E5),Concept!$M:$M,0)),""))))</f>
        <v>0198ef6d-8543-1842-1575-0be542168d82</v>
      </c>
      <c r="R5" s="6" t="str">
        <f>IF($P5="","",IF(NOT(ISNA(MATCH(LOWER($P5&amp;"|"&amp;$E5),Region!$J:$J,0))),INDEX(Region!$A:$A,MATCH(LOWER($P5&amp;"|"&amp;$E5),Region!$J:$J,0)),IF(NOT(ISNA(MATCH(LOWER($P5&amp;"|"&amp;$E5),Region!$K:$K,0))),INDEX(Region!$A:$A,MATCH(LOWER($P5&amp;"|"&amp;$E5),Region!$K:$K,0)),"")))</f>
        <v/>
      </c>
      <c r="S5" s="6" t="str">
        <f>IF($N5&lt;&gt;"ORGANIZATION","",IF(NOT(ISNA(MATCH($E5,Organization!$A:$A,0))),INDEX(Organization!$A:$A,MATCH($E5,Organization!$A:$A,0)),IF(NOT(ISNA(MATCH($E5,Organization!$B:$B,0))),INDEX(Organization!$A:$A,MATCH($E5,Organization!$B:$B,0)),IF(NOT(ISNA(MATCH($E5,Organization!$A:$A,0))),INDEX(Organization!$C:$C,MATCH($E5,Organization!$C:$C,0)),""))))</f>
        <v/>
      </c>
      <c r="T5" s="6" t="str">
        <f>INDEX(Col!$B:$B,MATCH($M5,Col!$A:$A,0))</f>
        <v>0198ef6d-8543-9c78-54a7-6b4c2ca6ce88</v>
      </c>
      <c r="U5" s="6" t="str">
        <f>INDEX(Dim!$C:$C,MATCH($T5,Dim!$A:$A,0))</f>
        <v>dim4</v>
      </c>
      <c r="V5" s="6" t="str">
        <f>INDEX(Dim!$B:$B,MATCH($T5,Dim!$A:$A,0))</f>
        <v>TEXT</v>
      </c>
      <c r="W5" t="b">
        <v>0</v>
      </c>
    </row>
    <row r="6" spans="1:24" x14ac:dyDescent="0.3">
      <c r="A6" t="s">
        <v>667</v>
      </c>
      <c r="B6" s="6" t="str">
        <f>INDEX(_CaseData!$G:$G,MATCH($A6,_CaseData!$A:$A,0))</f>
        <v>case_type1</v>
      </c>
      <c r="C6" t="s">
        <v>514</v>
      </c>
      <c r="D6" s="6" t="str">
        <f>INDEX(CaseTypeCol!$H:$H,MATCH($C6,CaseTypeCol!$A:$A,0))</f>
        <v>1_5_0_1</v>
      </c>
      <c r="E6" t="s">
        <v>670</v>
      </c>
      <c r="G6" s="6" t="str">
        <f t="shared" si="0"/>
        <v>A1</v>
      </c>
      <c r="H6" s="6" t="b">
        <f t="shared" si="1"/>
        <v>1</v>
      </c>
      <c r="I6" t="b">
        <v>1</v>
      </c>
      <c r="J6" s="6" t="b">
        <f t="shared" si="2"/>
        <v>1</v>
      </c>
      <c r="K6" s="6" t="str">
        <f>INDEX(_CaseData!$B:$B,MATCH($A6,_CaseData!$A:$A,0))</f>
        <v>0195d18c-1ca6-fd99-9d76-fcfa0c0cf400</v>
      </c>
      <c r="L6" s="6" t="str">
        <f>INDEX(CaseTypeCol!$B:$B,MATCH($C6,CaseTypeCol!$A:$A,0))</f>
        <v>0195d18c-1ca6-fd99-9d76-fcfa0c0cf400</v>
      </c>
      <c r="M6" s="6" t="str">
        <f>INDEX(CaseTypeCol!$D:$D,MATCH($C6,CaseTypeCol!$A:$A,0))</f>
        <v>0198ef6d-8543-479e-1e7a-3428fa97ebc7</v>
      </c>
      <c r="N6" s="6" t="str">
        <f>INDEX(Col!$H:$H,MATCH($M6,Col!$A:$A,0))</f>
        <v>REGULAR_LANGUAGE</v>
      </c>
      <c r="O6" s="6" t="str">
        <f>IF(INDEX(Col!$I:$I,MATCH($M6,Col!$A:$A,0))="","",INDEX(Col!$I:$I,MATCH($M6,Col!$A:$A,0)))</f>
        <v>0198ef6d-8543-a151-ab47-0394a80e2a05</v>
      </c>
      <c r="P6" s="6" t="str">
        <f>IF(INDEX(Col!$K:$K,MATCH($M6,Col!$A:$A,0))="","",INDEX(Col!$K:$K,MATCH($M6,Col!$A:$A,0)))</f>
        <v/>
      </c>
      <c r="Q6" s="6" t="str">
        <f>IF($O6="","",IF(NOT(ISNA(MATCH(LOWER($O6&amp;"|"&amp;$E6),Concept!$K:$K,0))),INDEX(Concept!$A:$A,MATCH(LOWER($O6&amp;"|"&amp;$E6),Concept!$K:$K,0)),IF(NOT(ISNA(MATCH(LOWER($O6&amp;"|"&amp;$E6),Concept!$L:$L,0))),INDEX(Concept!$A:$A,MATCH(LOWER($O6&amp;"|"&amp;$E6),Concept!$L:$L,0)),IF(NOT(ISNA(MATCH(LOWER($O6&amp;"|"&amp;$E6),Concept!$M:$M,0))),INDEX(Concept!$A:$A,MATCH(LOWER($O6&amp;"|"&amp;$E6),Concept!$M:$M,0)),""))))</f>
        <v/>
      </c>
      <c r="R6" s="6" t="str">
        <f>IF($P6="","",IF(NOT(ISNA(MATCH(LOWER($P6&amp;"|"&amp;$E6),Region!$J:$J,0))),INDEX(Region!$A:$A,MATCH(LOWER($P6&amp;"|"&amp;$E6),Region!$J:$J,0)),IF(NOT(ISNA(MATCH(LOWER($P6&amp;"|"&amp;$E6),Region!$K:$K,0))),INDEX(Region!$A:$A,MATCH(LOWER($P6&amp;"|"&amp;$E6),Region!$K:$K,0)),"")))</f>
        <v/>
      </c>
      <c r="S6" s="6" t="str">
        <f>IF($N6&lt;&gt;"ORGANIZATION","",IF(NOT(ISNA(MATCH($E6,Organization!$A:$A,0))),INDEX(Organization!$A:$A,MATCH($E6,Organization!$A:$A,0)),IF(NOT(ISNA(MATCH($E6,Organization!$B:$B,0))),INDEX(Organization!$A:$A,MATCH($E6,Organization!$B:$B,0)),IF(NOT(ISNA(MATCH($E6,Organization!$A:$A,0))),INDEX(Organization!$C:$C,MATCH($E6,Organization!$C:$C,0)),""))))</f>
        <v/>
      </c>
      <c r="T6" s="6" t="str">
        <f>INDEX(Col!$B:$B,MATCH($M6,Col!$A:$A,0))</f>
        <v>0198ef6d-8543-6a7f-4553-b7280cc2ab9b</v>
      </c>
      <c r="U6" s="6" t="str">
        <f>INDEX(Dim!$C:$C,MATCH($T6,Dim!$A:$A,0))</f>
        <v>dim5</v>
      </c>
      <c r="V6" s="6" t="str">
        <f>INDEX(Dim!$B:$B,MATCH($T6,Dim!$A:$A,0))</f>
        <v>TEXT</v>
      </c>
      <c r="W6" t="b">
        <v>0</v>
      </c>
    </row>
    <row r="7" spans="1:24" x14ac:dyDescent="0.3">
      <c r="A7" t="s">
        <v>667</v>
      </c>
      <c r="B7" s="6" t="str">
        <f>INDEX(_CaseData!$G:$G,MATCH($A7,_CaseData!$A:$A,0))</f>
        <v>case_type1</v>
      </c>
      <c r="C7" t="s">
        <v>515</v>
      </c>
      <c r="D7" s="6" t="str">
        <f>INDEX(CaseTypeCol!$H:$H,MATCH($C7,CaseTypeCol!$A:$A,0))</f>
        <v>1_6_0_1</v>
      </c>
      <c r="E7" t="s">
        <v>671</v>
      </c>
      <c r="G7" s="6" t="str">
        <f t="shared" si="0"/>
        <v>B1</v>
      </c>
      <c r="H7" s="6" t="b">
        <f t="shared" si="1"/>
        <v>1</v>
      </c>
      <c r="I7" t="b">
        <v>1</v>
      </c>
      <c r="J7" s="6" t="b">
        <f t="shared" si="2"/>
        <v>1</v>
      </c>
      <c r="K7" s="6" t="str">
        <f>INDEX(_CaseData!$B:$B,MATCH($A7,_CaseData!$A:$A,0))</f>
        <v>0195d18c-1ca6-fd99-9d76-fcfa0c0cf400</v>
      </c>
      <c r="L7" s="6" t="str">
        <f>INDEX(CaseTypeCol!$B:$B,MATCH($C7,CaseTypeCol!$A:$A,0))</f>
        <v>0195d18c-1ca6-fd99-9d76-fcfa0c0cf400</v>
      </c>
      <c r="M7" s="6" t="str">
        <f>INDEX(CaseTypeCol!$D:$D,MATCH($C7,CaseTypeCol!$A:$A,0))</f>
        <v>0198ef6d-8543-0924-3aca-6065227cd9ef</v>
      </c>
      <c r="N7" s="6" t="str">
        <f>INDEX(Col!$H:$H,MATCH($M7,Col!$A:$A,0))</f>
        <v>REGULAR_LANGUAGE</v>
      </c>
      <c r="O7" s="6" t="str">
        <f>IF(INDEX(Col!$I:$I,MATCH($M7,Col!$A:$A,0))="","",INDEX(Col!$I:$I,MATCH($M7,Col!$A:$A,0)))</f>
        <v>0198ef6d-8543-6df8-9098-78280604c758</v>
      </c>
      <c r="P7" s="6" t="str">
        <f>IF(INDEX(Col!$K:$K,MATCH($M7,Col!$A:$A,0))="","",INDEX(Col!$K:$K,MATCH($M7,Col!$A:$A,0)))</f>
        <v/>
      </c>
      <c r="Q7" s="6" t="str">
        <f>IF($O7="","",IF(NOT(ISNA(MATCH(LOWER($O7&amp;"|"&amp;$E7),Concept!$K:$K,0))),INDEX(Concept!$A:$A,MATCH(LOWER($O7&amp;"|"&amp;$E7),Concept!$K:$K,0)),IF(NOT(ISNA(MATCH(LOWER($O7&amp;"|"&amp;$E7),Concept!$L:$L,0))),INDEX(Concept!$A:$A,MATCH(LOWER($O7&amp;"|"&amp;$E7),Concept!$L:$L,0)),IF(NOT(ISNA(MATCH(LOWER($O7&amp;"|"&amp;$E7),Concept!$M:$M,0))),INDEX(Concept!$A:$A,MATCH(LOWER($O7&amp;"|"&amp;$E7),Concept!$M:$M,0)),""))))</f>
        <v/>
      </c>
      <c r="R7" s="6" t="str">
        <f>IF($P7="","",IF(NOT(ISNA(MATCH(LOWER($P7&amp;"|"&amp;$E7),Region!$J:$J,0))),INDEX(Region!$A:$A,MATCH(LOWER($P7&amp;"|"&amp;$E7),Region!$J:$J,0)),IF(NOT(ISNA(MATCH(LOWER($P7&amp;"|"&amp;$E7),Region!$K:$K,0))),INDEX(Region!$A:$A,MATCH(LOWER($P7&amp;"|"&amp;$E7),Region!$K:$K,0)),"")))</f>
        <v/>
      </c>
      <c r="S7" s="6" t="str">
        <f>IF($N7&lt;&gt;"ORGANIZATION","",IF(NOT(ISNA(MATCH($E7,Organization!$A:$A,0))),INDEX(Organization!$A:$A,MATCH($E7,Organization!$A:$A,0)),IF(NOT(ISNA(MATCH($E7,Organization!$B:$B,0))),INDEX(Organization!$A:$A,MATCH($E7,Organization!$B:$B,0)),IF(NOT(ISNA(MATCH($E7,Organization!$A:$A,0))),INDEX(Organization!$C:$C,MATCH($E7,Organization!$C:$C,0)),""))))</f>
        <v/>
      </c>
      <c r="T7" s="6" t="str">
        <f>INDEX(Col!$B:$B,MATCH($M7,Col!$A:$A,0))</f>
        <v>0198ef6d-8543-5e3c-cec3-8db0ccbd38fa</v>
      </c>
      <c r="U7" s="6" t="str">
        <f>INDEX(Dim!$C:$C,MATCH($T7,Dim!$A:$A,0))</f>
        <v>dim6</v>
      </c>
      <c r="V7" s="6" t="str">
        <f>INDEX(Dim!$B:$B,MATCH($T7,Dim!$A:$A,0))</f>
        <v>TEXT</v>
      </c>
      <c r="W7" t="b">
        <v>0</v>
      </c>
    </row>
    <row r="8" spans="1:24" x14ac:dyDescent="0.3">
      <c r="A8" t="s">
        <v>667</v>
      </c>
      <c r="B8" s="6" t="str">
        <f>INDEX(_CaseData!$G:$G,MATCH($A8,_CaseData!$A:$A,0))</f>
        <v>case_type1</v>
      </c>
      <c r="C8" t="s">
        <v>516</v>
      </c>
      <c r="D8" s="6" t="str">
        <f>INDEX(CaseTypeCol!$H:$H,MATCH($C8,CaseTypeCol!$A:$A,0))</f>
        <v>1_7_0_1</v>
      </c>
      <c r="E8" t="s">
        <v>672</v>
      </c>
      <c r="G8" s="6" t="str">
        <f t="shared" si="0"/>
        <v>X</v>
      </c>
      <c r="H8" s="6" t="b">
        <f t="shared" si="1"/>
        <v>1</v>
      </c>
      <c r="I8" t="b">
        <v>1</v>
      </c>
      <c r="J8" s="6" t="b">
        <f t="shared" si="2"/>
        <v>1</v>
      </c>
      <c r="K8" s="6" t="str">
        <f>INDEX(_CaseData!$B:$B,MATCH($A8,_CaseData!$A:$A,0))</f>
        <v>0195d18c-1ca6-fd99-9d76-fcfa0c0cf400</v>
      </c>
      <c r="L8" s="6" t="str">
        <f>INDEX(CaseTypeCol!$B:$B,MATCH($C8,CaseTypeCol!$A:$A,0))</f>
        <v>0195d18c-1ca6-fd99-9d76-fcfa0c0cf400</v>
      </c>
      <c r="M8" s="6" t="str">
        <f>INDEX(CaseTypeCol!$D:$D,MATCH($C8,CaseTypeCol!$A:$A,0))</f>
        <v>0198ef6d-8543-78ba-e607-ac65487d273b</v>
      </c>
      <c r="N8" s="6" t="str">
        <f>INDEX(Col!$H:$H,MATCH($M8,Col!$A:$A,0))</f>
        <v>TEXT</v>
      </c>
      <c r="O8" s="6" t="str">
        <f>IF(INDEX(Col!$I:$I,MATCH($M8,Col!$A:$A,0))="","",INDEX(Col!$I:$I,MATCH($M8,Col!$A:$A,0)))</f>
        <v/>
      </c>
      <c r="P8" s="6" t="str">
        <f>IF(INDEX(Col!$K:$K,MATCH($M8,Col!$A:$A,0))="","",INDEX(Col!$K:$K,MATCH($M8,Col!$A:$A,0)))</f>
        <v/>
      </c>
      <c r="Q8" s="6" t="str">
        <f>IF($O8="","",IF(NOT(ISNA(MATCH(LOWER($O8&amp;"|"&amp;$E8),Concept!$K:$K,0))),INDEX(Concept!$A:$A,MATCH(LOWER($O8&amp;"|"&amp;$E8),Concept!$K:$K,0)),IF(NOT(ISNA(MATCH(LOWER($O8&amp;"|"&amp;$E8),Concept!$L:$L,0))),INDEX(Concept!$A:$A,MATCH(LOWER($O8&amp;"|"&amp;$E8),Concept!$L:$L,0)),IF(NOT(ISNA(MATCH(LOWER($O8&amp;"|"&amp;$E8),Concept!$M:$M,0))),INDEX(Concept!$A:$A,MATCH(LOWER($O8&amp;"|"&amp;$E8),Concept!$M:$M,0)),""))))</f>
        <v/>
      </c>
      <c r="R8" s="6" t="str">
        <f>IF($P8="","",IF(NOT(ISNA(MATCH(LOWER($P8&amp;"|"&amp;$E8),Region!$J:$J,0))),INDEX(Region!$A:$A,MATCH(LOWER($P8&amp;"|"&amp;$E8),Region!$J:$J,0)),IF(NOT(ISNA(MATCH(LOWER($P8&amp;"|"&amp;$E8),Region!$K:$K,0))),INDEX(Region!$A:$A,MATCH(LOWER($P8&amp;"|"&amp;$E8),Region!$K:$K,0)),"")))</f>
        <v/>
      </c>
      <c r="S8" s="6" t="str">
        <f>IF($N8&lt;&gt;"ORGANIZATION","",IF(NOT(ISNA(MATCH($E8,Organization!$A:$A,0))),INDEX(Organization!$A:$A,MATCH($E8,Organization!$A:$A,0)),IF(NOT(ISNA(MATCH($E8,Organization!$B:$B,0))),INDEX(Organization!$A:$A,MATCH($E8,Organization!$B:$B,0)),IF(NOT(ISNA(MATCH($E8,Organization!$A:$A,0))),INDEX(Organization!$C:$C,MATCH($E8,Organization!$C:$C,0)),""))))</f>
        <v/>
      </c>
      <c r="T8" s="6" t="str">
        <f>INDEX(Col!$B:$B,MATCH($M8,Col!$A:$A,0))</f>
        <v>0198ef6d-8543-0b52-87e5-431792f951a2</v>
      </c>
      <c r="U8" s="6" t="str">
        <f>INDEX(Dim!$C:$C,MATCH($T8,Dim!$A:$A,0))</f>
        <v>dim7</v>
      </c>
      <c r="V8" s="6" t="str">
        <f>INDEX(Dim!$B:$B,MATCH($T8,Dim!$A:$A,0))</f>
        <v>TEXT</v>
      </c>
      <c r="W8" t="b">
        <v>0</v>
      </c>
    </row>
    <row r="9" spans="1:24" x14ac:dyDescent="0.3">
      <c r="A9" t="s">
        <v>667</v>
      </c>
      <c r="B9" s="6" t="str">
        <f>INDEX(_CaseData!$G:$G,MATCH($A9,_CaseData!$A:$A,0))</f>
        <v>case_type1</v>
      </c>
      <c r="C9" t="s">
        <v>517</v>
      </c>
      <c r="D9" s="6" t="str">
        <f>INDEX(CaseTypeCol!$H:$H,MATCH($C9,CaseTypeCol!$A:$A,0))</f>
        <v>1_8_0_1</v>
      </c>
      <c r="E9" t="s">
        <v>306</v>
      </c>
      <c r="G9" s="6" t="str">
        <f t="shared" si="0"/>
        <v>Y</v>
      </c>
      <c r="H9" s="6" t="b">
        <f t="shared" si="1"/>
        <v>1</v>
      </c>
      <c r="I9" t="b">
        <v>1</v>
      </c>
      <c r="J9" s="6" t="b">
        <f t="shared" si="2"/>
        <v>1</v>
      </c>
      <c r="K9" s="6" t="str">
        <f>INDEX(_CaseData!$B:$B,MATCH($A9,_CaseData!$A:$A,0))</f>
        <v>0195d18c-1ca6-fd99-9d76-fcfa0c0cf400</v>
      </c>
      <c r="L9" s="6" t="str">
        <f>INDEX(CaseTypeCol!$B:$B,MATCH($C9,CaseTypeCol!$A:$A,0))</f>
        <v>0195d18c-1ca6-fd99-9d76-fcfa0c0cf400</v>
      </c>
      <c r="M9" s="6" t="str">
        <f>INDEX(CaseTypeCol!$D:$D,MATCH($C9,CaseTypeCol!$A:$A,0))</f>
        <v>0198ef6d-8543-2d1c-8ae5-fde6579f02e4</v>
      </c>
      <c r="N9" s="6" t="str">
        <f>INDEX(Col!$H:$H,MATCH($M9,Col!$A:$A,0))</f>
        <v>TEXT</v>
      </c>
      <c r="O9" s="6" t="str">
        <f>IF(INDEX(Col!$I:$I,MATCH($M9,Col!$A:$A,0))="","",INDEX(Col!$I:$I,MATCH($M9,Col!$A:$A,0)))</f>
        <v/>
      </c>
      <c r="P9" s="6" t="str">
        <f>IF(INDEX(Col!$K:$K,MATCH($M9,Col!$A:$A,0))="","",INDEX(Col!$K:$K,MATCH($M9,Col!$A:$A,0)))</f>
        <v/>
      </c>
      <c r="Q9" s="6" t="str">
        <f>IF($O9="","",IF(NOT(ISNA(MATCH(LOWER($O9&amp;"|"&amp;$E9),Concept!$K:$K,0))),INDEX(Concept!$A:$A,MATCH(LOWER($O9&amp;"|"&amp;$E9),Concept!$K:$K,0)),IF(NOT(ISNA(MATCH(LOWER($O9&amp;"|"&amp;$E9),Concept!$L:$L,0))),INDEX(Concept!$A:$A,MATCH(LOWER($O9&amp;"|"&amp;$E9),Concept!$L:$L,0)),IF(NOT(ISNA(MATCH(LOWER($O9&amp;"|"&amp;$E9),Concept!$M:$M,0))),INDEX(Concept!$A:$A,MATCH(LOWER($O9&amp;"|"&amp;$E9),Concept!$M:$M,0)),""))))</f>
        <v/>
      </c>
      <c r="R9" s="6" t="str">
        <f>IF($P9="","",IF(NOT(ISNA(MATCH(LOWER($P9&amp;"|"&amp;$E9),Region!$J:$J,0))),INDEX(Region!$A:$A,MATCH(LOWER($P9&amp;"|"&amp;$E9),Region!$J:$J,0)),IF(NOT(ISNA(MATCH(LOWER($P9&amp;"|"&amp;$E9),Region!$K:$K,0))),INDEX(Region!$A:$A,MATCH(LOWER($P9&amp;"|"&amp;$E9),Region!$K:$K,0)),"")))</f>
        <v/>
      </c>
      <c r="S9" s="6" t="str">
        <f>IF($N9&lt;&gt;"ORGANIZATION","",IF(NOT(ISNA(MATCH($E9,Organization!$A:$A,0))),INDEX(Organization!$A:$A,MATCH($E9,Organization!$A:$A,0)),IF(NOT(ISNA(MATCH($E9,Organization!$B:$B,0))),INDEX(Organization!$A:$A,MATCH($E9,Organization!$B:$B,0)),IF(NOT(ISNA(MATCH($E9,Organization!$A:$A,0))),INDEX(Organization!$C:$C,MATCH($E9,Organization!$C:$C,0)),""))))</f>
        <v/>
      </c>
      <c r="T9" s="6" t="str">
        <f>INDEX(Col!$B:$B,MATCH($M9,Col!$A:$A,0))</f>
        <v>0198ef6d-8543-e0a4-1718-6ae19c4f6090</v>
      </c>
      <c r="U9" s="6" t="str">
        <f>INDEX(Dim!$C:$C,MATCH($T9,Dim!$A:$A,0))</f>
        <v>dim8</v>
      </c>
      <c r="V9" s="6" t="str">
        <f>INDEX(Dim!$B:$B,MATCH($T9,Dim!$A:$A,0))</f>
        <v>TEXT</v>
      </c>
      <c r="W9" t="b">
        <v>0</v>
      </c>
    </row>
    <row r="10" spans="1:24" x14ac:dyDescent="0.3">
      <c r="A10" t="s">
        <v>667</v>
      </c>
      <c r="B10" s="6" t="str">
        <f>INDEX(_CaseData!$G:$G,MATCH($A10,_CaseData!$A:$A,0))</f>
        <v>case_type1</v>
      </c>
      <c r="C10" t="s">
        <v>518</v>
      </c>
      <c r="D10" s="6" t="str">
        <f>INDEX(CaseTypeCol!$H:$H,MATCH($C10,CaseTypeCol!$A:$A,0))</f>
        <v>1_9_0_1</v>
      </c>
      <c r="E10" t="s">
        <v>43</v>
      </c>
      <c r="G10" s="6" t="str">
        <f t="shared" si="0"/>
        <v>018d074d-ea0c-e942-07db-a3cc0ba1d653</v>
      </c>
      <c r="H10" s="6" t="b">
        <f t="shared" si="1"/>
        <v>1</v>
      </c>
      <c r="I10" t="b">
        <v>1</v>
      </c>
      <c r="J10" s="6" t="b">
        <f t="shared" si="2"/>
        <v>1</v>
      </c>
      <c r="K10" s="6" t="str">
        <f>INDEX(_CaseData!$B:$B,MATCH($A10,_CaseData!$A:$A,0))</f>
        <v>0195d18c-1ca6-fd99-9d76-fcfa0c0cf400</v>
      </c>
      <c r="L10" s="6" t="str">
        <f>INDEX(CaseTypeCol!$B:$B,MATCH($C10,CaseTypeCol!$A:$A,0))</f>
        <v>0195d18c-1ca6-fd99-9d76-fcfa0c0cf400</v>
      </c>
      <c r="M10" s="6" t="str">
        <f>INDEX(CaseTypeCol!$D:$D,MATCH($C10,CaseTypeCol!$A:$A,0))</f>
        <v>0198ef6d-8543-9c02-f715-88d1935aca9a</v>
      </c>
      <c r="N10" s="6" t="str">
        <f>INDEX(Col!$H:$H,MATCH($M10,Col!$A:$A,0))</f>
        <v>ORGANIZATION</v>
      </c>
      <c r="O10" s="6" t="str">
        <f>IF(INDEX(Col!$I:$I,MATCH($M10,Col!$A:$A,0))="","",INDEX(Col!$I:$I,MATCH($M10,Col!$A:$A,0)))</f>
        <v/>
      </c>
      <c r="P10" s="6" t="str">
        <f>IF(INDEX(Col!$K:$K,MATCH($M10,Col!$A:$A,0))="","",INDEX(Col!$K:$K,MATCH($M10,Col!$A:$A,0)))</f>
        <v/>
      </c>
      <c r="Q10" s="6" t="str">
        <f>IF($O10="","",IF(NOT(ISNA(MATCH(LOWER($O10&amp;"|"&amp;$E10),Concept!$K:$K,0))),INDEX(Concept!$A:$A,MATCH(LOWER($O10&amp;"|"&amp;$E10),Concept!$K:$K,0)),IF(NOT(ISNA(MATCH(LOWER($O10&amp;"|"&amp;$E10),Concept!$L:$L,0))),INDEX(Concept!$A:$A,MATCH(LOWER($O10&amp;"|"&amp;$E10),Concept!$L:$L,0)),IF(NOT(ISNA(MATCH(LOWER($O10&amp;"|"&amp;$E10),Concept!$M:$M,0))),INDEX(Concept!$A:$A,MATCH(LOWER($O10&amp;"|"&amp;$E10),Concept!$M:$M,0)),""))))</f>
        <v/>
      </c>
      <c r="R10" s="6" t="str">
        <f>IF($P10="","",IF(NOT(ISNA(MATCH(LOWER($P10&amp;"|"&amp;$E10),Region!$J:$J,0))),INDEX(Region!$A:$A,MATCH(LOWER($P10&amp;"|"&amp;$E10),Region!$J:$J,0)),IF(NOT(ISNA(MATCH(LOWER($P10&amp;"|"&amp;$E10),Region!$K:$K,0))),INDEX(Region!$A:$A,MATCH(LOWER($P10&amp;"|"&amp;$E10),Region!$K:$K,0)),"")))</f>
        <v/>
      </c>
      <c r="S10" s="6" t="str">
        <f>IF($N10&lt;&gt;"ORGANIZATION","",IF(NOT(ISNA(MATCH($E10,Organization!$A:$A,0))),INDEX(Organization!$A:$A,MATCH($E10,Organization!$A:$A,0)),IF(NOT(ISNA(MATCH($E10,Organization!$B:$B,0))),INDEX(Organization!$A:$A,MATCH($E10,Organization!$B:$B,0)),IF(NOT(ISNA(MATCH($E10,Organization!$A:$A,0))),INDEX(Organization!$C:$C,MATCH($E10,Organization!$C:$C,0)),""))))</f>
        <v>018d074d-ea0c-e942-07db-a3cc0ba1d653</v>
      </c>
      <c r="T10" s="6" t="str">
        <f>INDEX(Col!$B:$B,MATCH($M10,Col!$A:$A,0))</f>
        <v>0198ef6d-8543-b0f3-f8b0-c502bee720e9</v>
      </c>
      <c r="U10" s="6" t="str">
        <f>INDEX(Dim!$C:$C,MATCH($T10,Dim!$A:$A,0))</f>
        <v>dim9</v>
      </c>
      <c r="V10" s="6" t="str">
        <f>INDEX(Dim!$B:$B,MATCH($T10,Dim!$A:$A,0))</f>
        <v>ORGANIZATION</v>
      </c>
      <c r="W10" t="b">
        <v>0</v>
      </c>
    </row>
    <row r="11" spans="1:24" x14ac:dyDescent="0.3">
      <c r="A11" t="s">
        <v>667</v>
      </c>
      <c r="B11" s="6" t="str">
        <f>INDEX(_CaseData!$G:$G,MATCH($A11,_CaseData!$A:$A,0))</f>
        <v>case_type1</v>
      </c>
      <c r="C11" t="s">
        <v>519</v>
      </c>
      <c r="D11" s="6" t="str">
        <f>INDEX(CaseTypeCol!$H:$H,MATCH($C11,CaseTypeCol!$A:$A,0))</f>
        <v>1_10_0_1</v>
      </c>
      <c r="E11" t="s">
        <v>202</v>
      </c>
      <c r="G11" s="6" t="str">
        <f t="shared" si="0"/>
        <v>0195d18c-1c92-0ed4-2e94-b4f66d82baf3</v>
      </c>
      <c r="H11" s="6" t="b">
        <f t="shared" si="1"/>
        <v>1</v>
      </c>
      <c r="I11" t="b">
        <v>1</v>
      </c>
      <c r="J11" s="6" t="b">
        <f t="shared" si="2"/>
        <v>1</v>
      </c>
      <c r="K11" s="6" t="str">
        <f>INDEX(_CaseData!$B:$B,MATCH($A11,_CaseData!$A:$A,0))</f>
        <v>0195d18c-1ca6-fd99-9d76-fcfa0c0cf400</v>
      </c>
      <c r="L11" s="6" t="str">
        <f>INDEX(CaseTypeCol!$B:$B,MATCH($C11,CaseTypeCol!$A:$A,0))</f>
        <v>0195d18c-1ca6-fd99-9d76-fcfa0c0cf400</v>
      </c>
      <c r="M11" s="6" t="str">
        <f>INDEX(CaseTypeCol!$D:$D,MATCH($C11,CaseTypeCol!$A:$A,0))</f>
        <v>0198ef6d-8543-5be8-beb1-cbc53a476302</v>
      </c>
      <c r="N11" s="6" t="str">
        <f>INDEX(Col!$H:$H,MATCH($M11,Col!$A:$A,0))</f>
        <v>ORGANIZATION</v>
      </c>
      <c r="O11" s="6" t="str">
        <f>IF(INDEX(Col!$I:$I,MATCH($M11,Col!$A:$A,0))="","",INDEX(Col!$I:$I,MATCH($M11,Col!$A:$A,0)))</f>
        <v/>
      </c>
      <c r="P11" s="6" t="str">
        <f>IF(INDEX(Col!$K:$K,MATCH($M11,Col!$A:$A,0))="","",INDEX(Col!$K:$K,MATCH($M11,Col!$A:$A,0)))</f>
        <v/>
      </c>
      <c r="Q11" s="6" t="str">
        <f>IF($O11="","",IF(NOT(ISNA(MATCH(LOWER($O11&amp;"|"&amp;$E11),Concept!$K:$K,0))),INDEX(Concept!$A:$A,MATCH(LOWER($O11&amp;"|"&amp;$E11),Concept!$K:$K,0)),IF(NOT(ISNA(MATCH(LOWER($O11&amp;"|"&amp;$E11),Concept!$L:$L,0))),INDEX(Concept!$A:$A,MATCH(LOWER($O11&amp;"|"&amp;$E11),Concept!$L:$L,0)),IF(NOT(ISNA(MATCH(LOWER($O11&amp;"|"&amp;$E11),Concept!$M:$M,0))),INDEX(Concept!$A:$A,MATCH(LOWER($O11&amp;"|"&amp;$E11),Concept!$M:$M,0)),""))))</f>
        <v/>
      </c>
      <c r="R11" s="6" t="str">
        <f>IF($P11="","",IF(NOT(ISNA(MATCH(LOWER($P11&amp;"|"&amp;$E11),Region!$J:$J,0))),INDEX(Region!$A:$A,MATCH(LOWER($P11&amp;"|"&amp;$E11),Region!$J:$J,0)),IF(NOT(ISNA(MATCH(LOWER($P11&amp;"|"&amp;$E11),Region!$K:$K,0))),INDEX(Region!$A:$A,MATCH(LOWER($P11&amp;"|"&amp;$E11),Region!$K:$K,0)),"")))</f>
        <v/>
      </c>
      <c r="S11" s="6" t="str">
        <f>IF($N11&lt;&gt;"ORGANIZATION","",IF(NOT(ISNA(MATCH($E11,Organization!$A:$A,0))),INDEX(Organization!$A:$A,MATCH($E11,Organization!$A:$A,0)),IF(NOT(ISNA(MATCH($E11,Organization!$B:$B,0))),INDEX(Organization!$A:$A,MATCH($E11,Organization!$B:$B,0)),IF(NOT(ISNA(MATCH($E11,Organization!$A:$A,0))),INDEX(Organization!$C:$C,MATCH($E11,Organization!$C:$C,0)),""))))</f>
        <v>0195d18c-1c92-0ed4-2e94-b4f66d82baf3</v>
      </c>
      <c r="T11" s="6" t="str">
        <f>INDEX(Col!$B:$B,MATCH($M11,Col!$A:$A,0))</f>
        <v>0198ef6d-8543-5ea8-9f20-a8177b2d28d2</v>
      </c>
      <c r="U11" s="6" t="str">
        <f>INDEX(Dim!$C:$C,MATCH($T11,Dim!$A:$A,0))</f>
        <v>dim10</v>
      </c>
      <c r="V11" s="6" t="str">
        <f>INDEX(Dim!$B:$B,MATCH($T11,Dim!$A:$A,0))</f>
        <v>ORGANIZATION</v>
      </c>
      <c r="W11" t="b">
        <v>0</v>
      </c>
    </row>
    <row r="12" spans="1:24" x14ac:dyDescent="0.3">
      <c r="A12" t="s">
        <v>667</v>
      </c>
      <c r="B12" s="6" t="str">
        <f>INDEX(_CaseData!$G:$G,MATCH($A12,_CaseData!$A:$A,0))</f>
        <v>case_type1</v>
      </c>
      <c r="C12" t="s">
        <v>520</v>
      </c>
      <c r="D12" s="6" t="str">
        <f>INDEX(CaseTypeCol!$H:$H,MATCH($C12,CaseTypeCol!$A:$A,0))</f>
        <v>1_11_0_1</v>
      </c>
      <c r="E12" s="11" t="s">
        <v>385</v>
      </c>
      <c r="G12" s="6" t="str">
        <f t="shared" si="0"/>
        <v>0198ef6d-8543-98d5-9df4-4ac64d603502</v>
      </c>
      <c r="H12" s="6" t="b">
        <f t="shared" si="1"/>
        <v>1</v>
      </c>
      <c r="I12" t="b">
        <v>1</v>
      </c>
      <c r="J12" s="6" t="b">
        <f t="shared" si="2"/>
        <v>1</v>
      </c>
      <c r="K12" s="6" t="str">
        <f>INDEX(_CaseData!$B:$B,MATCH($A12,_CaseData!$A:$A,0))</f>
        <v>0195d18c-1ca6-fd99-9d76-fcfa0c0cf400</v>
      </c>
      <c r="L12" s="6" t="str">
        <f>INDEX(CaseTypeCol!$B:$B,MATCH($C12,CaseTypeCol!$A:$A,0))</f>
        <v>0195d18c-1ca6-fd99-9d76-fcfa0c0cf400</v>
      </c>
      <c r="M12" s="6" t="str">
        <f>INDEX(CaseTypeCol!$D:$D,MATCH($C12,CaseTypeCol!$A:$A,0))</f>
        <v>0198ef6d-8543-13b8-702c-f36c6968d08f</v>
      </c>
      <c r="N12" s="6" t="str">
        <f>INDEX(Col!$H:$H,MATCH($M12,Col!$A:$A,0))</f>
        <v>GEO_REGION</v>
      </c>
      <c r="O12" s="6" t="str">
        <f>IF(INDEX(Col!$I:$I,MATCH($M12,Col!$A:$A,0))="","",INDEX(Col!$I:$I,MATCH($M12,Col!$A:$A,0)))</f>
        <v/>
      </c>
      <c r="P12" s="6" t="str">
        <f>IF(INDEX(Col!$K:$K,MATCH($M12,Col!$A:$A,0))="","",INDEX(Col!$K:$K,MATCH($M12,Col!$A:$A,0)))</f>
        <v>0198ef6d-8543-92bb-3d7b-9a6b17e52c7d</v>
      </c>
      <c r="Q12" s="6" t="str">
        <f>IF($O12="","",IF(NOT(ISNA(MATCH(LOWER($O12&amp;"|"&amp;$E12),Concept!$K:$K,0))),INDEX(Concept!$A:$A,MATCH(LOWER($O12&amp;"|"&amp;$E12),Concept!$K:$K,0)),IF(NOT(ISNA(MATCH(LOWER($O12&amp;"|"&amp;$E12),Concept!$L:$L,0))),INDEX(Concept!$A:$A,MATCH(LOWER($O12&amp;"|"&amp;$E12),Concept!$L:$L,0)),IF(NOT(ISNA(MATCH(LOWER($O12&amp;"|"&amp;$E12),Concept!$M:$M,0))),INDEX(Concept!$A:$A,MATCH(LOWER($O12&amp;"|"&amp;$E12),Concept!$M:$M,0)),""))))</f>
        <v/>
      </c>
      <c r="R12" s="6" t="str">
        <f>IF($P12="","",IF(NOT(ISNA(MATCH(LOWER($P12&amp;"|"&amp;$E12),Region!$J:$J,0))),INDEX(Region!$A:$A,MATCH(LOWER($P12&amp;"|"&amp;$E12),Region!$J:$J,0)),IF(NOT(ISNA(MATCH(LOWER($P12&amp;"|"&amp;$E12),Region!$K:$K,0))),INDEX(Region!$A:$A,MATCH(LOWER($P12&amp;"|"&amp;$E12),Region!$K:$K,0)),"")))</f>
        <v>0198ef6d-8543-98d5-9df4-4ac64d603502</v>
      </c>
      <c r="S12" s="6" t="str">
        <f>IF($N12&lt;&gt;"ORGANIZATION","",IF(NOT(ISNA(MATCH($E12,Organization!$A:$A,0))),INDEX(Organization!$A:$A,MATCH($E12,Organization!$A:$A,0)),IF(NOT(ISNA(MATCH($E12,Organization!$B:$B,0))),INDEX(Organization!$A:$A,MATCH($E12,Organization!$B:$B,0)),IF(NOT(ISNA(MATCH($E12,Organization!$A:$A,0))),INDEX(Organization!$C:$C,MATCH($E12,Organization!$C:$C,0)),""))))</f>
        <v/>
      </c>
      <c r="T12" s="6" t="str">
        <f>INDEX(Col!$B:$B,MATCH($M12,Col!$A:$A,0))</f>
        <v>0198ef6d-8543-d4cb-e9cb-2c352f1baa30</v>
      </c>
      <c r="U12" s="6" t="str">
        <f>INDEX(Dim!$C:$C,MATCH($T12,Dim!$A:$A,0))</f>
        <v>dim11</v>
      </c>
      <c r="V12" s="6" t="str">
        <f>INDEX(Dim!$B:$B,MATCH($T12,Dim!$A:$A,0))</f>
        <v>GEO</v>
      </c>
      <c r="W12" t="b">
        <v>0</v>
      </c>
    </row>
    <row r="13" spans="1:24" x14ac:dyDescent="0.3">
      <c r="A13" t="s">
        <v>667</v>
      </c>
      <c r="B13" s="6" t="str">
        <f>INDEX(_CaseData!$G:$G,MATCH($A13,_CaseData!$A:$A,0))</f>
        <v>case_type1</v>
      </c>
      <c r="C13" t="s">
        <v>521</v>
      </c>
      <c r="D13" s="6" t="str">
        <f>INDEX(CaseTypeCol!$H:$H,MATCH($C13,CaseTypeCol!$A:$A,0))</f>
        <v>1_11_0_2</v>
      </c>
      <c r="E13" s="11" t="s">
        <v>391</v>
      </c>
      <c r="G13" s="6" t="str">
        <f t="shared" si="0"/>
        <v>0198ef6d-8543-dcdc-9496-52bc01e1c56d</v>
      </c>
      <c r="H13" s="6" t="b">
        <f t="shared" si="1"/>
        <v>1</v>
      </c>
      <c r="I13" t="b">
        <v>1</v>
      </c>
      <c r="J13" s="6" t="b">
        <f t="shared" si="2"/>
        <v>1</v>
      </c>
      <c r="K13" s="6" t="str">
        <f>INDEX(_CaseData!$B:$B,MATCH($A13,_CaseData!$A:$A,0))</f>
        <v>0195d18c-1ca6-fd99-9d76-fcfa0c0cf400</v>
      </c>
      <c r="L13" s="6" t="str">
        <f>INDEX(CaseTypeCol!$B:$B,MATCH($C13,CaseTypeCol!$A:$A,0))</f>
        <v>0195d18c-1ca6-fd99-9d76-fcfa0c0cf400</v>
      </c>
      <c r="M13" s="6" t="str">
        <f>INDEX(CaseTypeCol!$D:$D,MATCH($C13,CaseTypeCol!$A:$A,0))</f>
        <v>0198ef6d-8543-74d1-8cf2-4f5da375834f</v>
      </c>
      <c r="N13" s="6" t="str">
        <f>INDEX(Col!$H:$H,MATCH($M13,Col!$A:$A,0))</f>
        <v>GEO_REGION</v>
      </c>
      <c r="O13" s="6" t="str">
        <f>IF(INDEX(Col!$I:$I,MATCH($M13,Col!$A:$A,0))="","",INDEX(Col!$I:$I,MATCH($M13,Col!$A:$A,0)))</f>
        <v/>
      </c>
      <c r="P13" s="6" t="str">
        <f>IF(INDEX(Col!$K:$K,MATCH($M13,Col!$A:$A,0))="","",INDEX(Col!$K:$K,MATCH($M13,Col!$A:$A,0)))</f>
        <v>0198ef6d-8543-0ad2-6a86-701cc690b0a4</v>
      </c>
      <c r="Q13" s="6" t="str">
        <f>IF($O13="","",IF(NOT(ISNA(MATCH(LOWER($O13&amp;"|"&amp;$E13),Concept!$K:$K,0))),INDEX(Concept!$A:$A,MATCH(LOWER($O13&amp;"|"&amp;$E13),Concept!$K:$K,0)),IF(NOT(ISNA(MATCH(LOWER($O13&amp;"|"&amp;$E13),Concept!$L:$L,0))),INDEX(Concept!$A:$A,MATCH(LOWER($O13&amp;"|"&amp;$E13),Concept!$L:$L,0)),IF(NOT(ISNA(MATCH(LOWER($O13&amp;"|"&amp;$E13),Concept!$M:$M,0))),INDEX(Concept!$A:$A,MATCH(LOWER($O13&amp;"|"&amp;$E13),Concept!$M:$M,0)),""))))</f>
        <v/>
      </c>
      <c r="R13" s="6" t="str">
        <f>IF($P13="","",IF(NOT(ISNA(MATCH(LOWER($P13&amp;"|"&amp;$E13),Region!$J:$J,0))),INDEX(Region!$A:$A,MATCH(LOWER($P13&amp;"|"&amp;$E13),Region!$J:$J,0)),IF(NOT(ISNA(MATCH(LOWER($P13&amp;"|"&amp;$E13),Region!$K:$K,0))),INDEX(Region!$A:$A,MATCH(LOWER($P13&amp;"|"&amp;$E13),Region!$K:$K,0)),"")))</f>
        <v>0198ef6d-8543-dcdc-9496-52bc01e1c56d</v>
      </c>
      <c r="S13" s="6" t="str">
        <f>IF($N13&lt;&gt;"ORGANIZATION","",IF(NOT(ISNA(MATCH($E13,Organization!$A:$A,0))),INDEX(Organization!$A:$A,MATCH($E13,Organization!$A:$A,0)),IF(NOT(ISNA(MATCH($E13,Organization!$B:$B,0))),INDEX(Organization!$A:$A,MATCH($E13,Organization!$B:$B,0)),IF(NOT(ISNA(MATCH($E13,Organization!$A:$A,0))),INDEX(Organization!$C:$C,MATCH($E13,Organization!$C:$C,0)),""))))</f>
        <v/>
      </c>
      <c r="T13" s="6" t="str">
        <f>INDEX(Col!$B:$B,MATCH($M13,Col!$A:$A,0))</f>
        <v>0198ef6d-8543-d4cb-e9cb-2c352f1baa30</v>
      </c>
      <c r="U13" s="6" t="str">
        <f>INDEX(Dim!$C:$C,MATCH($T13,Dim!$A:$A,0))</f>
        <v>dim11</v>
      </c>
      <c r="V13" s="6" t="str">
        <f>INDEX(Dim!$B:$B,MATCH($T13,Dim!$A:$A,0))</f>
        <v>GEO</v>
      </c>
      <c r="W13" t="b">
        <v>0</v>
      </c>
    </row>
    <row r="14" spans="1:24" x14ac:dyDescent="0.3">
      <c r="A14" t="s">
        <v>667</v>
      </c>
      <c r="B14" s="6" t="str">
        <f>INDEX(_CaseData!$G:$G,MATCH($A14,_CaseData!$A:$A,0))</f>
        <v>case_type1</v>
      </c>
      <c r="C14" t="s">
        <v>522</v>
      </c>
      <c r="D14" s="6" t="str">
        <f>INDEX(CaseTypeCol!$H:$H,MATCH($C14,CaseTypeCol!$A:$A,0))</f>
        <v>1_11_0_3</v>
      </c>
      <c r="E14" t="s">
        <v>718</v>
      </c>
      <c r="G14" s="6" t="str">
        <f t="shared" si="0"/>
        <v>0198ef6d-8543-83bf-6a77-33c7baa8eca4</v>
      </c>
      <c r="H14" s="6" t="b">
        <f t="shared" si="1"/>
        <v>1</v>
      </c>
      <c r="I14" t="b">
        <v>1</v>
      </c>
      <c r="J14" s="6" t="b">
        <f t="shared" si="2"/>
        <v>1</v>
      </c>
      <c r="K14" s="6" t="str">
        <f>INDEX(_CaseData!$B:$B,MATCH($A14,_CaseData!$A:$A,0))</f>
        <v>0195d18c-1ca6-fd99-9d76-fcfa0c0cf400</v>
      </c>
      <c r="L14" s="6" t="str">
        <f>INDEX(CaseTypeCol!$B:$B,MATCH($C14,CaseTypeCol!$A:$A,0))</f>
        <v>0195d18c-1ca6-fd99-9d76-fcfa0c0cf400</v>
      </c>
      <c r="M14" s="6" t="str">
        <f>INDEX(CaseTypeCol!$D:$D,MATCH($C14,CaseTypeCol!$A:$A,0))</f>
        <v>0198ef6d-8543-b7d9-c034-47ae7fb11c50</v>
      </c>
      <c r="N14" s="6" t="str">
        <f>INDEX(Col!$H:$H,MATCH($M14,Col!$A:$A,0))</f>
        <v>GEO_REGION</v>
      </c>
      <c r="O14" s="6" t="str">
        <f>IF(INDEX(Col!$I:$I,MATCH($M14,Col!$A:$A,0))="","",INDEX(Col!$I:$I,MATCH($M14,Col!$A:$A,0)))</f>
        <v/>
      </c>
      <c r="P14" s="6" t="str">
        <f>IF(INDEX(Col!$K:$K,MATCH($M14,Col!$A:$A,0))="","",INDEX(Col!$K:$K,MATCH($M14,Col!$A:$A,0)))</f>
        <v>0198ef6d-8543-5e3f-5ed0-dd932e32c2aa</v>
      </c>
      <c r="Q14" s="6" t="str">
        <f>IF($O14="","",IF(NOT(ISNA(MATCH(LOWER($O14&amp;"|"&amp;$E14),Concept!$K:$K,0))),INDEX(Concept!$A:$A,MATCH(LOWER($O14&amp;"|"&amp;$E14),Concept!$K:$K,0)),IF(NOT(ISNA(MATCH(LOWER($O14&amp;"|"&amp;$E14),Concept!$L:$L,0))),INDEX(Concept!$A:$A,MATCH(LOWER($O14&amp;"|"&amp;$E14),Concept!$L:$L,0)),IF(NOT(ISNA(MATCH(LOWER($O14&amp;"|"&amp;$E14),Concept!$M:$M,0))),INDEX(Concept!$A:$A,MATCH(LOWER($O14&amp;"|"&amp;$E14),Concept!$M:$M,0)),""))))</f>
        <v/>
      </c>
      <c r="R14" s="6" t="str">
        <f>IF($P14="","",IF(NOT(ISNA(MATCH(LOWER($P14&amp;"|"&amp;$E14),Region!$J:$J,0))),INDEX(Region!$A:$A,MATCH(LOWER($P14&amp;"|"&amp;$E14),Region!$J:$J,0)),IF(NOT(ISNA(MATCH(LOWER($P14&amp;"|"&amp;$E14),Region!$K:$K,0))),INDEX(Region!$A:$A,MATCH(LOWER($P14&amp;"|"&amp;$E14),Region!$K:$K,0)),"")))</f>
        <v>0198ef6d-8543-83bf-6a77-33c7baa8eca4</v>
      </c>
      <c r="S14" s="6" t="str">
        <f>IF($N14&lt;&gt;"ORGANIZATION","",IF(NOT(ISNA(MATCH($E14,Organization!$A:$A,0))),INDEX(Organization!$A:$A,MATCH($E14,Organization!$A:$A,0)),IF(NOT(ISNA(MATCH($E14,Organization!$B:$B,0))),INDEX(Organization!$A:$A,MATCH($E14,Organization!$B:$B,0)),IF(NOT(ISNA(MATCH($E14,Organization!$A:$A,0))),INDEX(Organization!$C:$C,MATCH($E14,Organization!$C:$C,0)),""))))</f>
        <v/>
      </c>
      <c r="T14" s="6" t="str">
        <f>INDEX(Col!$B:$B,MATCH($M14,Col!$A:$A,0))</f>
        <v>0198ef6d-8543-d4cb-e9cb-2c352f1baa30</v>
      </c>
      <c r="U14" s="6" t="str">
        <f>INDEX(Dim!$C:$C,MATCH($T14,Dim!$A:$A,0))</f>
        <v>dim11</v>
      </c>
      <c r="V14" s="6" t="str">
        <f>INDEX(Dim!$B:$B,MATCH($T14,Dim!$A:$A,0))</f>
        <v>GEO</v>
      </c>
      <c r="W14" t="b">
        <v>0</v>
      </c>
    </row>
    <row r="15" spans="1:24" x14ac:dyDescent="0.3">
      <c r="A15" t="s">
        <v>667</v>
      </c>
      <c r="B15" s="6" t="str">
        <f>INDEX(_CaseData!$G:$G,MATCH($A15,_CaseData!$A:$A,0))</f>
        <v>case_type1</v>
      </c>
      <c r="C15" t="s">
        <v>523</v>
      </c>
      <c r="D15" s="6" t="str">
        <f>INDEX(CaseTypeCol!$H:$H,MATCH($C15,CaseTypeCol!$A:$A,0))</f>
        <v>1_11_0_4</v>
      </c>
      <c r="E15" t="s">
        <v>721</v>
      </c>
      <c r="G15" s="6" t="str">
        <f t="shared" si="0"/>
        <v>0198ef6d-8543-2881-ac87-bb85405cfd45</v>
      </c>
      <c r="H15" s="6" t="b">
        <f t="shared" si="1"/>
        <v>1</v>
      </c>
      <c r="I15" t="b">
        <v>1</v>
      </c>
      <c r="J15" s="6" t="b">
        <f t="shared" si="2"/>
        <v>1</v>
      </c>
      <c r="K15" s="6" t="str">
        <f>INDEX(_CaseData!$B:$B,MATCH($A15,_CaseData!$A:$A,0))</f>
        <v>0195d18c-1ca6-fd99-9d76-fcfa0c0cf400</v>
      </c>
      <c r="L15" s="6" t="str">
        <f>INDEX(CaseTypeCol!$B:$B,MATCH($C15,CaseTypeCol!$A:$A,0))</f>
        <v>0195d18c-1ca6-fd99-9d76-fcfa0c0cf400</v>
      </c>
      <c r="M15" s="6" t="str">
        <f>INDEX(CaseTypeCol!$D:$D,MATCH($C15,CaseTypeCol!$A:$A,0))</f>
        <v>0198ef6d-8543-61aa-6bef-ab847c75d5f6</v>
      </c>
      <c r="N15" s="6" t="str">
        <f>INDEX(Col!$H:$H,MATCH($M15,Col!$A:$A,0))</f>
        <v>GEO_REGION</v>
      </c>
      <c r="O15" s="6" t="str">
        <f>IF(INDEX(Col!$I:$I,MATCH($M15,Col!$A:$A,0))="","",INDEX(Col!$I:$I,MATCH($M15,Col!$A:$A,0)))</f>
        <v/>
      </c>
      <c r="P15" s="6" t="str">
        <f>IF(INDEX(Col!$K:$K,MATCH($M15,Col!$A:$A,0))="","",INDEX(Col!$K:$K,MATCH($M15,Col!$A:$A,0)))</f>
        <v>0198ef6d-8543-ca21-8fc9-aac9c10fe055</v>
      </c>
      <c r="Q15" s="6" t="str">
        <f>IF($O15="","",IF(NOT(ISNA(MATCH(LOWER($O15&amp;"|"&amp;$E15),Concept!$K:$K,0))),INDEX(Concept!$A:$A,MATCH(LOWER($O15&amp;"|"&amp;$E15),Concept!$K:$K,0)),IF(NOT(ISNA(MATCH(LOWER($O15&amp;"|"&amp;$E15),Concept!$L:$L,0))),INDEX(Concept!$A:$A,MATCH(LOWER($O15&amp;"|"&amp;$E15),Concept!$L:$L,0)),IF(NOT(ISNA(MATCH(LOWER($O15&amp;"|"&amp;$E15),Concept!$M:$M,0))),INDEX(Concept!$A:$A,MATCH(LOWER($O15&amp;"|"&amp;$E15),Concept!$M:$M,0)),""))))</f>
        <v/>
      </c>
      <c r="R15" s="6" t="str">
        <f>IF($P15="","",IF(NOT(ISNA(MATCH(LOWER($P15&amp;"|"&amp;$E15),Region!$J:$J,0))),INDEX(Region!$A:$A,MATCH(LOWER($P15&amp;"|"&amp;$E15),Region!$J:$J,0)),IF(NOT(ISNA(MATCH(LOWER($P15&amp;"|"&amp;$E15),Region!$K:$K,0))),INDEX(Region!$A:$A,MATCH(LOWER($P15&amp;"|"&amp;$E15),Region!$K:$K,0)),"")))</f>
        <v>0198ef6d-8543-2881-ac87-bb85405cfd45</v>
      </c>
      <c r="S15" s="6" t="str">
        <f>IF($N15&lt;&gt;"ORGANIZATION","",IF(NOT(ISNA(MATCH($E15,Organization!$A:$A,0))),INDEX(Organization!$A:$A,MATCH($E15,Organization!$A:$A,0)),IF(NOT(ISNA(MATCH($E15,Organization!$B:$B,0))),INDEX(Organization!$A:$A,MATCH($E15,Organization!$B:$B,0)),IF(NOT(ISNA(MATCH($E15,Organization!$A:$A,0))),INDEX(Organization!$C:$C,MATCH($E15,Organization!$C:$C,0)),""))))</f>
        <v/>
      </c>
      <c r="T15" s="6" t="str">
        <f>INDEX(Col!$B:$B,MATCH($M15,Col!$A:$A,0))</f>
        <v>0198ef6d-8543-d4cb-e9cb-2c352f1baa30</v>
      </c>
      <c r="U15" s="6" t="str">
        <f>INDEX(Dim!$C:$C,MATCH($T15,Dim!$A:$A,0))</f>
        <v>dim11</v>
      </c>
      <c r="V15" s="6" t="str">
        <f>INDEX(Dim!$B:$B,MATCH($T15,Dim!$A:$A,0))</f>
        <v>GEO</v>
      </c>
      <c r="W15" t="b">
        <v>0</v>
      </c>
    </row>
    <row r="16" spans="1:24" x14ac:dyDescent="0.3">
      <c r="A16" t="s">
        <v>667</v>
      </c>
      <c r="B16" s="6" t="str">
        <f>INDEX(_CaseData!$G:$G,MATCH($A16,_CaseData!$A:$A,0))</f>
        <v>case_type1</v>
      </c>
      <c r="C16" t="s">
        <v>524</v>
      </c>
      <c r="D16" s="6" t="str">
        <f>INDEX(CaseTypeCol!$H:$H,MATCH($C16,CaseTypeCol!$A:$A,0))</f>
        <v>1_12_0_1</v>
      </c>
      <c r="E16" s="11" t="s">
        <v>387</v>
      </c>
      <c r="G16" s="6" t="str">
        <f t="shared" si="0"/>
        <v>0198ef6d-8543-a364-ca72-6ec6f635451c</v>
      </c>
      <c r="H16" s="6" t="b">
        <f t="shared" si="1"/>
        <v>1</v>
      </c>
      <c r="I16" t="b">
        <v>1</v>
      </c>
      <c r="J16" s="6" t="b">
        <f t="shared" si="2"/>
        <v>1</v>
      </c>
      <c r="K16" s="6" t="str">
        <f>INDEX(_CaseData!$B:$B,MATCH($A16,_CaseData!$A:$A,0))</f>
        <v>0195d18c-1ca6-fd99-9d76-fcfa0c0cf400</v>
      </c>
      <c r="L16" s="6" t="str">
        <f>INDEX(CaseTypeCol!$B:$B,MATCH($C16,CaseTypeCol!$A:$A,0))</f>
        <v>0195d18c-1ca6-fd99-9d76-fcfa0c0cf400</v>
      </c>
      <c r="M16" s="6" t="str">
        <f>INDEX(CaseTypeCol!$D:$D,MATCH($C16,CaseTypeCol!$A:$A,0))</f>
        <v>0198ef6d-8543-c6b8-13b1-618c88c659c4</v>
      </c>
      <c r="N16" s="6" t="str">
        <f>INDEX(Col!$H:$H,MATCH($M16,Col!$A:$A,0))</f>
        <v>GEO_REGION</v>
      </c>
      <c r="O16" s="6" t="str">
        <f>IF(INDEX(Col!$I:$I,MATCH($M16,Col!$A:$A,0))="","",INDEX(Col!$I:$I,MATCH($M16,Col!$A:$A,0)))</f>
        <v/>
      </c>
      <c r="P16" s="6" t="str">
        <f>IF(INDEX(Col!$K:$K,MATCH($M16,Col!$A:$A,0))="","",INDEX(Col!$K:$K,MATCH($M16,Col!$A:$A,0)))</f>
        <v>0198ef6d-8543-92bb-3d7b-9a6b17e52c7d</v>
      </c>
      <c r="Q16" s="6" t="str">
        <f>IF($O16="","",IF(NOT(ISNA(MATCH(LOWER($O16&amp;"|"&amp;$E16),Concept!$K:$K,0))),INDEX(Concept!$A:$A,MATCH(LOWER($O16&amp;"|"&amp;$E16),Concept!$K:$K,0)),IF(NOT(ISNA(MATCH(LOWER($O16&amp;"|"&amp;$E16),Concept!$L:$L,0))),INDEX(Concept!$A:$A,MATCH(LOWER($O16&amp;"|"&amp;$E16),Concept!$L:$L,0)),IF(NOT(ISNA(MATCH(LOWER($O16&amp;"|"&amp;$E16),Concept!$M:$M,0))),INDEX(Concept!$A:$A,MATCH(LOWER($O16&amp;"|"&amp;$E16),Concept!$M:$M,0)),""))))</f>
        <v/>
      </c>
      <c r="R16" s="6" t="str">
        <f>IF($P16="","",IF(NOT(ISNA(MATCH(LOWER($P16&amp;"|"&amp;$E16),Region!$J:$J,0))),INDEX(Region!$A:$A,MATCH(LOWER($P16&amp;"|"&amp;$E16),Region!$J:$J,0)),IF(NOT(ISNA(MATCH(LOWER($P16&amp;"|"&amp;$E16),Region!$K:$K,0))),INDEX(Region!$A:$A,MATCH(LOWER($P16&amp;"|"&amp;$E16),Region!$K:$K,0)),"")))</f>
        <v>0198ef6d-8543-a364-ca72-6ec6f635451c</v>
      </c>
      <c r="S16" s="6" t="str">
        <f>IF($N16&lt;&gt;"ORGANIZATION","",IF(NOT(ISNA(MATCH($E16,Organization!$A:$A,0))),INDEX(Organization!$A:$A,MATCH($E16,Organization!$A:$A,0)),IF(NOT(ISNA(MATCH($E16,Organization!$B:$B,0))),INDEX(Organization!$A:$A,MATCH($E16,Organization!$B:$B,0)),IF(NOT(ISNA(MATCH($E16,Organization!$A:$A,0))),INDEX(Organization!$C:$C,MATCH($E16,Organization!$C:$C,0)),""))))</f>
        <v/>
      </c>
      <c r="T16" s="6" t="str">
        <f>INDEX(Col!$B:$B,MATCH($M16,Col!$A:$A,0))</f>
        <v>0198ef6d-8543-08a5-b8d2-bad85d28ce19</v>
      </c>
      <c r="U16" s="6" t="str">
        <f>INDEX(Dim!$C:$C,MATCH($T16,Dim!$A:$A,0))</f>
        <v>dim12</v>
      </c>
      <c r="V16" s="6" t="str">
        <f>INDEX(Dim!$B:$B,MATCH($T16,Dim!$A:$A,0))</f>
        <v>GEO</v>
      </c>
      <c r="W16" t="b">
        <v>0</v>
      </c>
    </row>
    <row r="17" spans="1:23" x14ac:dyDescent="0.3">
      <c r="A17" t="s">
        <v>667</v>
      </c>
      <c r="B17" s="6" t="str">
        <f>INDEX(_CaseData!$G:$G,MATCH($A17,_CaseData!$A:$A,0))</f>
        <v>case_type1</v>
      </c>
      <c r="C17" t="s">
        <v>525</v>
      </c>
      <c r="D17" s="6" t="str">
        <f>INDEX(CaseTypeCol!$H:$H,MATCH($C17,CaseTypeCol!$A:$A,0))</f>
        <v>1_12_0_2</v>
      </c>
      <c r="E17" s="11" t="s">
        <v>392</v>
      </c>
      <c r="G17" s="6" t="str">
        <f t="shared" si="0"/>
        <v>0198ef6d-8543-633c-9a80-b3ee43366dab</v>
      </c>
      <c r="H17" s="6" t="b">
        <f t="shared" si="1"/>
        <v>1</v>
      </c>
      <c r="I17" t="b">
        <v>1</v>
      </c>
      <c r="J17" s="6" t="b">
        <f t="shared" si="2"/>
        <v>1</v>
      </c>
      <c r="K17" s="6" t="str">
        <f>INDEX(_CaseData!$B:$B,MATCH($A17,_CaseData!$A:$A,0))</f>
        <v>0195d18c-1ca6-fd99-9d76-fcfa0c0cf400</v>
      </c>
      <c r="L17" s="6" t="str">
        <f>INDEX(CaseTypeCol!$B:$B,MATCH($C17,CaseTypeCol!$A:$A,0))</f>
        <v>0195d18c-1ca6-fd99-9d76-fcfa0c0cf400</v>
      </c>
      <c r="M17" s="6" t="str">
        <f>INDEX(CaseTypeCol!$D:$D,MATCH($C17,CaseTypeCol!$A:$A,0))</f>
        <v>0198ef6d-8543-1f4e-e4ff-26b349afa1da</v>
      </c>
      <c r="N17" s="6" t="str">
        <f>INDEX(Col!$H:$H,MATCH($M17,Col!$A:$A,0))</f>
        <v>GEO_REGION</v>
      </c>
      <c r="O17" s="6" t="str">
        <f>IF(INDEX(Col!$I:$I,MATCH($M17,Col!$A:$A,0))="","",INDEX(Col!$I:$I,MATCH($M17,Col!$A:$A,0)))</f>
        <v/>
      </c>
      <c r="P17" s="6" t="str">
        <f>IF(INDEX(Col!$K:$K,MATCH($M17,Col!$A:$A,0))="","",INDEX(Col!$K:$K,MATCH($M17,Col!$A:$A,0)))</f>
        <v>0198ef6d-8543-0ad2-6a86-701cc690b0a4</v>
      </c>
      <c r="Q17" s="6" t="str">
        <f>IF($O17="","",IF(NOT(ISNA(MATCH(LOWER($O17&amp;"|"&amp;$E17),Concept!$K:$K,0))),INDEX(Concept!$A:$A,MATCH(LOWER($O17&amp;"|"&amp;$E17),Concept!$K:$K,0)),IF(NOT(ISNA(MATCH(LOWER($O17&amp;"|"&amp;$E17),Concept!$L:$L,0))),INDEX(Concept!$A:$A,MATCH(LOWER($O17&amp;"|"&amp;$E17),Concept!$L:$L,0)),IF(NOT(ISNA(MATCH(LOWER($O17&amp;"|"&amp;$E17),Concept!$M:$M,0))),INDEX(Concept!$A:$A,MATCH(LOWER($O17&amp;"|"&amp;$E17),Concept!$M:$M,0)),""))))</f>
        <v/>
      </c>
      <c r="R17" s="6" t="str">
        <f>IF($P17="","",IF(NOT(ISNA(MATCH(LOWER($P17&amp;"|"&amp;$E17),Region!$J:$J,0))),INDEX(Region!$A:$A,MATCH(LOWER($P17&amp;"|"&amp;$E17),Region!$J:$J,0)),IF(NOT(ISNA(MATCH(LOWER($P17&amp;"|"&amp;$E17),Region!$K:$K,0))),INDEX(Region!$A:$A,MATCH(LOWER($P17&amp;"|"&amp;$E17),Region!$K:$K,0)),"")))</f>
        <v>0198ef6d-8543-633c-9a80-b3ee43366dab</v>
      </c>
      <c r="S17" s="6" t="str">
        <f>IF($N17&lt;&gt;"ORGANIZATION","",IF(NOT(ISNA(MATCH($E17,Organization!$A:$A,0))),INDEX(Organization!$A:$A,MATCH($E17,Organization!$A:$A,0)),IF(NOT(ISNA(MATCH($E17,Organization!$B:$B,0))),INDEX(Organization!$A:$A,MATCH($E17,Organization!$B:$B,0)),IF(NOT(ISNA(MATCH($E17,Organization!$A:$A,0))),INDEX(Organization!$C:$C,MATCH($E17,Organization!$C:$C,0)),""))))</f>
        <v/>
      </c>
      <c r="T17" s="6" t="str">
        <f>INDEX(Col!$B:$B,MATCH($M17,Col!$A:$A,0))</f>
        <v>0198ef6d-8543-08a5-b8d2-bad85d28ce19</v>
      </c>
      <c r="U17" s="6" t="str">
        <f>INDEX(Dim!$C:$C,MATCH($T17,Dim!$A:$A,0))</f>
        <v>dim12</v>
      </c>
      <c r="V17" s="6" t="str">
        <f>INDEX(Dim!$B:$B,MATCH($T17,Dim!$A:$A,0))</f>
        <v>GEO</v>
      </c>
      <c r="W17" t="b">
        <v>0</v>
      </c>
    </row>
    <row r="18" spans="1:23" x14ac:dyDescent="0.3">
      <c r="A18" t="s">
        <v>667</v>
      </c>
      <c r="B18" s="6" t="str">
        <f>INDEX(_CaseData!$G:$G,MATCH($A18,_CaseData!$A:$A,0))</f>
        <v>case_type1</v>
      </c>
      <c r="C18" t="s">
        <v>526</v>
      </c>
      <c r="D18" s="6" t="str">
        <f>INDEX(CaseTypeCol!$H:$H,MATCH($C18,CaseTypeCol!$A:$A,0))</f>
        <v>1_12_0_3</v>
      </c>
      <c r="E18" t="s">
        <v>719</v>
      </c>
      <c r="G18" s="6" t="str">
        <f t="shared" si="0"/>
        <v>0198ef6d-8543-5e67-2557-0e2746373e1d</v>
      </c>
      <c r="H18" s="6" t="b">
        <f t="shared" si="1"/>
        <v>1</v>
      </c>
      <c r="I18" t="b">
        <v>1</v>
      </c>
      <c r="J18" s="6" t="b">
        <f t="shared" si="2"/>
        <v>1</v>
      </c>
      <c r="K18" s="6" t="str">
        <f>INDEX(_CaseData!$B:$B,MATCH($A18,_CaseData!$A:$A,0))</f>
        <v>0195d18c-1ca6-fd99-9d76-fcfa0c0cf400</v>
      </c>
      <c r="L18" s="6" t="str">
        <f>INDEX(CaseTypeCol!$B:$B,MATCH($C18,CaseTypeCol!$A:$A,0))</f>
        <v>0195d18c-1ca6-fd99-9d76-fcfa0c0cf400</v>
      </c>
      <c r="M18" s="6" t="str">
        <f>INDEX(CaseTypeCol!$D:$D,MATCH($C18,CaseTypeCol!$A:$A,0))</f>
        <v>0198ef6d-8543-1d52-5bac-f77d1900a8dd</v>
      </c>
      <c r="N18" s="6" t="str">
        <f>INDEX(Col!$H:$H,MATCH($M18,Col!$A:$A,0))</f>
        <v>GEO_REGION</v>
      </c>
      <c r="O18" s="6" t="str">
        <f>IF(INDEX(Col!$I:$I,MATCH($M18,Col!$A:$A,0))="","",INDEX(Col!$I:$I,MATCH($M18,Col!$A:$A,0)))</f>
        <v/>
      </c>
      <c r="P18" s="6" t="str">
        <f>IF(INDEX(Col!$K:$K,MATCH($M18,Col!$A:$A,0))="","",INDEX(Col!$K:$K,MATCH($M18,Col!$A:$A,0)))</f>
        <v>0198ef6d-8543-5e3f-5ed0-dd932e32c2aa</v>
      </c>
      <c r="Q18" s="6" t="str">
        <f>IF($O18="","",IF(NOT(ISNA(MATCH(LOWER($O18&amp;"|"&amp;$E18),Concept!$K:$K,0))),INDEX(Concept!$A:$A,MATCH(LOWER($O18&amp;"|"&amp;$E18),Concept!$K:$K,0)),IF(NOT(ISNA(MATCH(LOWER($O18&amp;"|"&amp;$E18),Concept!$L:$L,0))),INDEX(Concept!$A:$A,MATCH(LOWER($O18&amp;"|"&amp;$E18),Concept!$L:$L,0)),IF(NOT(ISNA(MATCH(LOWER($O18&amp;"|"&amp;$E18),Concept!$M:$M,0))),INDEX(Concept!$A:$A,MATCH(LOWER($O18&amp;"|"&amp;$E18),Concept!$M:$M,0)),""))))</f>
        <v/>
      </c>
      <c r="R18" s="6" t="str">
        <f>IF($P18="","",IF(NOT(ISNA(MATCH(LOWER($P18&amp;"|"&amp;$E18),Region!$J:$J,0))),INDEX(Region!$A:$A,MATCH(LOWER($P18&amp;"|"&amp;$E18),Region!$J:$J,0)),IF(NOT(ISNA(MATCH(LOWER($P18&amp;"|"&amp;$E18),Region!$K:$K,0))),INDEX(Region!$A:$A,MATCH(LOWER($P18&amp;"|"&amp;$E18),Region!$K:$K,0)),"")))</f>
        <v>0198ef6d-8543-5e67-2557-0e2746373e1d</v>
      </c>
      <c r="S18" s="6" t="str">
        <f>IF($N18&lt;&gt;"ORGANIZATION","",IF(NOT(ISNA(MATCH($E18,Organization!$A:$A,0))),INDEX(Organization!$A:$A,MATCH($E18,Organization!$A:$A,0)),IF(NOT(ISNA(MATCH($E18,Organization!$B:$B,0))),INDEX(Organization!$A:$A,MATCH($E18,Organization!$B:$B,0)),IF(NOT(ISNA(MATCH($E18,Organization!$A:$A,0))),INDEX(Organization!$C:$C,MATCH($E18,Organization!$C:$C,0)),""))))</f>
        <v/>
      </c>
      <c r="T18" s="6" t="str">
        <f>INDEX(Col!$B:$B,MATCH($M18,Col!$A:$A,0))</f>
        <v>0198ef6d-8543-08a5-b8d2-bad85d28ce19</v>
      </c>
      <c r="U18" s="6" t="str">
        <f>INDEX(Dim!$C:$C,MATCH($T18,Dim!$A:$A,0))</f>
        <v>dim12</v>
      </c>
      <c r="V18" s="6" t="str">
        <f>INDEX(Dim!$B:$B,MATCH($T18,Dim!$A:$A,0))</f>
        <v>GEO</v>
      </c>
      <c r="W18" t="b">
        <v>0</v>
      </c>
    </row>
    <row r="19" spans="1:23" x14ac:dyDescent="0.3">
      <c r="A19" t="s">
        <v>667</v>
      </c>
      <c r="B19" s="6" t="str">
        <f>INDEX(_CaseData!$G:$G,MATCH($A19,_CaseData!$A:$A,0))</f>
        <v>case_type1</v>
      </c>
      <c r="C19" t="s">
        <v>527</v>
      </c>
      <c r="D19" s="6" t="str">
        <f>INDEX(CaseTypeCol!$H:$H,MATCH($C19,CaseTypeCol!$A:$A,0))</f>
        <v>1_12_0_4</v>
      </c>
      <c r="E19" t="s">
        <v>721</v>
      </c>
      <c r="G19" s="6" t="str">
        <f t="shared" si="0"/>
        <v>0198ef6d-8543-2881-ac87-bb85405cfd45</v>
      </c>
      <c r="H19" s="6" t="b">
        <f t="shared" si="1"/>
        <v>1</v>
      </c>
      <c r="I19" t="b">
        <v>1</v>
      </c>
      <c r="J19" s="6" t="b">
        <f t="shared" si="2"/>
        <v>1</v>
      </c>
      <c r="K19" s="6" t="str">
        <f>INDEX(_CaseData!$B:$B,MATCH($A19,_CaseData!$A:$A,0))</f>
        <v>0195d18c-1ca6-fd99-9d76-fcfa0c0cf400</v>
      </c>
      <c r="L19" s="6" t="str">
        <f>INDEX(CaseTypeCol!$B:$B,MATCH($C19,CaseTypeCol!$A:$A,0))</f>
        <v>0195d18c-1ca6-fd99-9d76-fcfa0c0cf400</v>
      </c>
      <c r="M19" s="6" t="str">
        <f>INDEX(CaseTypeCol!$D:$D,MATCH($C19,CaseTypeCol!$A:$A,0))</f>
        <v>0198ef6d-8543-d807-f0b2-816adb66b0e2</v>
      </c>
      <c r="N19" s="6" t="str">
        <f>INDEX(Col!$H:$H,MATCH($M19,Col!$A:$A,0))</f>
        <v>GEO_REGION</v>
      </c>
      <c r="O19" s="6" t="str">
        <f>IF(INDEX(Col!$I:$I,MATCH($M19,Col!$A:$A,0))="","",INDEX(Col!$I:$I,MATCH($M19,Col!$A:$A,0)))</f>
        <v/>
      </c>
      <c r="P19" s="6" t="str">
        <f>IF(INDEX(Col!$K:$K,MATCH($M19,Col!$A:$A,0))="","",INDEX(Col!$K:$K,MATCH($M19,Col!$A:$A,0)))</f>
        <v>0198ef6d-8543-ca21-8fc9-aac9c10fe055</v>
      </c>
      <c r="Q19" s="6" t="str">
        <f>IF($O19="","",IF(NOT(ISNA(MATCH(LOWER($O19&amp;"|"&amp;$E19),Concept!$K:$K,0))),INDEX(Concept!$A:$A,MATCH(LOWER($O19&amp;"|"&amp;$E19),Concept!$K:$K,0)),IF(NOT(ISNA(MATCH(LOWER($O19&amp;"|"&amp;$E19),Concept!$L:$L,0))),INDEX(Concept!$A:$A,MATCH(LOWER($O19&amp;"|"&amp;$E19),Concept!$L:$L,0)),IF(NOT(ISNA(MATCH(LOWER($O19&amp;"|"&amp;$E19),Concept!$M:$M,0))),INDEX(Concept!$A:$A,MATCH(LOWER($O19&amp;"|"&amp;$E19),Concept!$M:$M,0)),""))))</f>
        <v/>
      </c>
      <c r="R19" s="6" t="str">
        <f>IF($P19="","",IF(NOT(ISNA(MATCH(LOWER($P19&amp;"|"&amp;$E19),Region!$J:$J,0))),INDEX(Region!$A:$A,MATCH(LOWER($P19&amp;"|"&amp;$E19),Region!$J:$J,0)),IF(NOT(ISNA(MATCH(LOWER($P19&amp;"|"&amp;$E19),Region!$K:$K,0))),INDEX(Region!$A:$A,MATCH(LOWER($P19&amp;"|"&amp;$E19),Region!$K:$K,0)),"")))</f>
        <v>0198ef6d-8543-2881-ac87-bb85405cfd45</v>
      </c>
      <c r="S19" s="6" t="str">
        <f>IF($N19&lt;&gt;"ORGANIZATION","",IF(NOT(ISNA(MATCH($E19,Organization!$A:$A,0))),INDEX(Organization!$A:$A,MATCH($E19,Organization!$A:$A,0)),IF(NOT(ISNA(MATCH($E19,Organization!$B:$B,0))),INDEX(Organization!$A:$A,MATCH($E19,Organization!$B:$B,0)),IF(NOT(ISNA(MATCH($E19,Organization!$A:$A,0))),INDEX(Organization!$C:$C,MATCH($E19,Organization!$C:$C,0)),""))))</f>
        <v/>
      </c>
      <c r="T19" s="6" t="str">
        <f>INDEX(Col!$B:$B,MATCH($M19,Col!$A:$A,0))</f>
        <v>0198ef6d-8543-08a5-b8d2-bad85d28ce19</v>
      </c>
      <c r="U19" s="6" t="str">
        <f>INDEX(Dim!$C:$C,MATCH($T19,Dim!$A:$A,0))</f>
        <v>dim12</v>
      </c>
      <c r="V19" s="6" t="str">
        <f>INDEX(Dim!$B:$B,MATCH($T19,Dim!$A:$A,0))</f>
        <v>GEO</v>
      </c>
      <c r="W19" t="b">
        <v>0</v>
      </c>
    </row>
    <row r="20" spans="1:23" x14ac:dyDescent="0.3">
      <c r="A20" t="s">
        <v>667</v>
      </c>
      <c r="B20" s="6" t="str">
        <f>INDEX(_CaseData!$G:$G,MATCH($A20,_CaseData!$A:$A,0))</f>
        <v>case_type1</v>
      </c>
      <c r="C20" t="s">
        <v>528</v>
      </c>
      <c r="D20" s="6" t="str">
        <f>INDEX(CaseTypeCol!$H:$H,MATCH($C20,CaseTypeCol!$A:$A,0))</f>
        <v>1_13_0_1</v>
      </c>
      <c r="E20" s="11" t="s">
        <v>673</v>
      </c>
      <c r="G20" s="6" t="str">
        <f t="shared" si="0"/>
        <v>2024-01-01</v>
      </c>
      <c r="H20" s="6" t="b">
        <f t="shared" si="1"/>
        <v>1</v>
      </c>
      <c r="I20" t="b">
        <v>1</v>
      </c>
      <c r="J20" s="6" t="b">
        <f t="shared" si="2"/>
        <v>1</v>
      </c>
      <c r="K20" s="6" t="str">
        <f>INDEX(_CaseData!$B:$B,MATCH($A20,_CaseData!$A:$A,0))</f>
        <v>0195d18c-1ca6-fd99-9d76-fcfa0c0cf400</v>
      </c>
      <c r="L20" s="6" t="str">
        <f>INDEX(CaseTypeCol!$B:$B,MATCH($C20,CaseTypeCol!$A:$A,0))</f>
        <v>0195d18c-1ca6-fd99-9d76-fcfa0c0cf400</v>
      </c>
      <c r="M20" s="6" t="str">
        <f>INDEX(CaseTypeCol!$D:$D,MATCH($C20,CaseTypeCol!$A:$A,0))</f>
        <v>0198ef6d-8543-1ccc-3ca5-8e5804b351d7</v>
      </c>
      <c r="N20" s="6" t="str">
        <f>INDEX(Col!$H:$H,MATCH($M20,Col!$A:$A,0))</f>
        <v>TIME_DAY</v>
      </c>
      <c r="O20" s="6" t="str">
        <f>IF(INDEX(Col!$I:$I,MATCH($M20,Col!$A:$A,0))="","",INDEX(Col!$I:$I,MATCH($M20,Col!$A:$A,0)))</f>
        <v/>
      </c>
      <c r="P20" s="6" t="str">
        <f>IF(INDEX(Col!$K:$K,MATCH($M20,Col!$A:$A,0))="","",INDEX(Col!$K:$K,MATCH($M20,Col!$A:$A,0)))</f>
        <v/>
      </c>
      <c r="Q20" s="6" t="str">
        <f>IF($O20="","",IF(NOT(ISNA(MATCH(LOWER($O20&amp;"|"&amp;$E20),Concept!$K:$K,0))),INDEX(Concept!$A:$A,MATCH(LOWER($O20&amp;"|"&amp;$E20),Concept!$K:$K,0)),IF(NOT(ISNA(MATCH(LOWER($O20&amp;"|"&amp;$E20),Concept!$L:$L,0))),INDEX(Concept!$A:$A,MATCH(LOWER($O20&amp;"|"&amp;$E20),Concept!$L:$L,0)),IF(NOT(ISNA(MATCH(LOWER($O20&amp;"|"&amp;$E20),Concept!$M:$M,0))),INDEX(Concept!$A:$A,MATCH(LOWER($O20&amp;"|"&amp;$E20),Concept!$M:$M,0)),""))))</f>
        <v/>
      </c>
      <c r="R20" s="6" t="str">
        <f>IF($P20="","",IF(NOT(ISNA(MATCH(LOWER($P20&amp;"|"&amp;$E20),Region!$J:$J,0))),INDEX(Region!$A:$A,MATCH(LOWER($P20&amp;"|"&amp;$E20),Region!$J:$J,0)),IF(NOT(ISNA(MATCH(LOWER($P20&amp;"|"&amp;$E20),Region!$K:$K,0))),INDEX(Region!$A:$A,MATCH(LOWER($P20&amp;"|"&amp;$E20),Region!$K:$K,0)),"")))</f>
        <v/>
      </c>
      <c r="S20" s="6" t="str">
        <f>IF($N20&lt;&gt;"ORGANIZATION","",IF(NOT(ISNA(MATCH($E20,Organization!$A:$A,0))),INDEX(Organization!$A:$A,MATCH($E20,Organization!$A:$A,0)),IF(NOT(ISNA(MATCH($E20,Organization!$B:$B,0))),INDEX(Organization!$A:$A,MATCH($E20,Organization!$B:$B,0)),IF(NOT(ISNA(MATCH($E20,Organization!$A:$A,0))),INDEX(Organization!$C:$C,MATCH($E20,Organization!$C:$C,0)),""))))</f>
        <v/>
      </c>
      <c r="T20" s="6" t="str">
        <f>INDEX(Col!$B:$B,MATCH($M20,Col!$A:$A,0))</f>
        <v>0198ef6d-8543-090b-38ba-3d20aff20301</v>
      </c>
      <c r="U20" s="6" t="str">
        <f>INDEX(Dim!$C:$C,MATCH($T20,Dim!$A:$A,0))</f>
        <v>dim13</v>
      </c>
      <c r="V20" s="6" t="str">
        <f>INDEX(Dim!$B:$B,MATCH($T20,Dim!$A:$A,0))</f>
        <v>TIME</v>
      </c>
      <c r="W20" t="b">
        <v>0</v>
      </c>
    </row>
    <row r="21" spans="1:23" x14ac:dyDescent="0.3">
      <c r="A21" t="s">
        <v>667</v>
      </c>
      <c r="B21" s="6" t="str">
        <f>INDEX(_CaseData!$G:$G,MATCH($A21,_CaseData!$A:$A,0))</f>
        <v>case_type1</v>
      </c>
      <c r="C21" t="s">
        <v>529</v>
      </c>
      <c r="D21" s="6" t="str">
        <f>INDEX(CaseTypeCol!$H:$H,MATCH($C21,CaseTypeCol!$A:$A,0))</f>
        <v>1_13_0_2</v>
      </c>
      <c r="E21" s="11" t="s">
        <v>675</v>
      </c>
      <c r="G21" s="6" t="str">
        <f t="shared" si="0"/>
        <v>2024-W01</v>
      </c>
      <c r="H21" s="6" t="b">
        <f t="shared" si="1"/>
        <v>1</v>
      </c>
      <c r="I21" t="b">
        <v>1</v>
      </c>
      <c r="J21" s="6" t="b">
        <f t="shared" si="2"/>
        <v>1</v>
      </c>
      <c r="K21" s="6" t="str">
        <f>INDEX(_CaseData!$B:$B,MATCH($A21,_CaseData!$A:$A,0))</f>
        <v>0195d18c-1ca6-fd99-9d76-fcfa0c0cf400</v>
      </c>
      <c r="L21" s="6" t="str">
        <f>INDEX(CaseTypeCol!$B:$B,MATCH($C21,CaseTypeCol!$A:$A,0))</f>
        <v>0195d18c-1ca6-fd99-9d76-fcfa0c0cf400</v>
      </c>
      <c r="M21" s="6" t="str">
        <f>INDEX(CaseTypeCol!$D:$D,MATCH($C21,CaseTypeCol!$A:$A,0))</f>
        <v>0198ef6d-8543-a1f2-8fe1-01a845acbff0</v>
      </c>
      <c r="N21" s="6" t="str">
        <f>INDEX(Col!$H:$H,MATCH($M21,Col!$A:$A,0))</f>
        <v>TIME_WEEK</v>
      </c>
      <c r="O21" s="6" t="str">
        <f>IF(INDEX(Col!$I:$I,MATCH($M21,Col!$A:$A,0))="","",INDEX(Col!$I:$I,MATCH($M21,Col!$A:$A,0)))</f>
        <v/>
      </c>
      <c r="P21" s="6" t="str">
        <f>IF(INDEX(Col!$K:$K,MATCH($M21,Col!$A:$A,0))="","",INDEX(Col!$K:$K,MATCH($M21,Col!$A:$A,0)))</f>
        <v/>
      </c>
      <c r="Q21" s="6" t="str">
        <f>IF($O21="","",IF(NOT(ISNA(MATCH(LOWER($O21&amp;"|"&amp;$E21),Concept!$K:$K,0))),INDEX(Concept!$A:$A,MATCH(LOWER($O21&amp;"|"&amp;$E21),Concept!$K:$K,0)),IF(NOT(ISNA(MATCH(LOWER($O21&amp;"|"&amp;$E21),Concept!$L:$L,0))),INDEX(Concept!$A:$A,MATCH(LOWER($O21&amp;"|"&amp;$E21),Concept!$L:$L,0)),IF(NOT(ISNA(MATCH(LOWER($O21&amp;"|"&amp;$E21),Concept!$M:$M,0))),INDEX(Concept!$A:$A,MATCH(LOWER($O21&amp;"|"&amp;$E21),Concept!$M:$M,0)),""))))</f>
        <v/>
      </c>
      <c r="R21" s="6" t="str">
        <f>IF($P21="","",IF(NOT(ISNA(MATCH(LOWER($P21&amp;"|"&amp;$E21),Region!$J:$J,0))),INDEX(Region!$A:$A,MATCH(LOWER($P21&amp;"|"&amp;$E21),Region!$J:$J,0)),IF(NOT(ISNA(MATCH(LOWER($P21&amp;"|"&amp;$E21),Region!$K:$K,0))),INDEX(Region!$A:$A,MATCH(LOWER($P21&amp;"|"&amp;$E21),Region!$K:$K,0)),"")))</f>
        <v/>
      </c>
      <c r="S21" s="6" t="str">
        <f>IF($N21&lt;&gt;"ORGANIZATION","",IF(NOT(ISNA(MATCH($E21,Organization!$A:$A,0))),INDEX(Organization!$A:$A,MATCH($E21,Organization!$A:$A,0)),IF(NOT(ISNA(MATCH($E21,Organization!$B:$B,0))),INDEX(Organization!$A:$A,MATCH($E21,Organization!$B:$B,0)),IF(NOT(ISNA(MATCH($E21,Organization!$A:$A,0))),INDEX(Organization!$C:$C,MATCH($E21,Organization!$C:$C,0)),""))))</f>
        <v/>
      </c>
      <c r="T21" s="6" t="str">
        <f>INDEX(Col!$B:$B,MATCH($M21,Col!$A:$A,0))</f>
        <v>0198ef6d-8543-090b-38ba-3d20aff20301</v>
      </c>
      <c r="U21" s="6" t="str">
        <f>INDEX(Dim!$C:$C,MATCH($T21,Dim!$A:$A,0))</f>
        <v>dim13</v>
      </c>
      <c r="V21" s="6" t="str">
        <f>INDEX(Dim!$B:$B,MATCH($T21,Dim!$A:$A,0))</f>
        <v>TIME</v>
      </c>
      <c r="W21" t="b">
        <v>0</v>
      </c>
    </row>
    <row r="22" spans="1:23" x14ac:dyDescent="0.3">
      <c r="A22" t="s">
        <v>667</v>
      </c>
      <c r="B22" s="6" t="str">
        <f>INDEX(_CaseData!$G:$G,MATCH($A22,_CaseData!$A:$A,0))</f>
        <v>case_type1</v>
      </c>
      <c r="C22" t="s">
        <v>530</v>
      </c>
      <c r="D22" s="6" t="str">
        <f>INDEX(CaseTypeCol!$H:$H,MATCH($C22,CaseTypeCol!$A:$A,0))</f>
        <v>1_13_0_3</v>
      </c>
      <c r="E22" s="23" t="s">
        <v>674</v>
      </c>
      <c r="G22" s="6" t="str">
        <f t="shared" si="0"/>
        <v>2024-01</v>
      </c>
      <c r="H22" s="6" t="b">
        <f t="shared" si="1"/>
        <v>1</v>
      </c>
      <c r="I22" t="b">
        <v>1</v>
      </c>
      <c r="J22" s="6" t="b">
        <f t="shared" si="2"/>
        <v>1</v>
      </c>
      <c r="K22" s="6" t="str">
        <f>INDEX(_CaseData!$B:$B,MATCH($A22,_CaseData!$A:$A,0))</f>
        <v>0195d18c-1ca6-fd99-9d76-fcfa0c0cf400</v>
      </c>
      <c r="L22" s="6" t="str">
        <f>INDEX(CaseTypeCol!$B:$B,MATCH($C22,CaseTypeCol!$A:$A,0))</f>
        <v>0195d18c-1ca6-fd99-9d76-fcfa0c0cf400</v>
      </c>
      <c r="M22" s="6" t="str">
        <f>INDEX(CaseTypeCol!$D:$D,MATCH($C22,CaseTypeCol!$A:$A,0))</f>
        <v>0198ef6d-8543-3ef0-e88e-3e695cf2445e</v>
      </c>
      <c r="N22" s="6" t="str">
        <f>INDEX(Col!$H:$H,MATCH($M22,Col!$A:$A,0))</f>
        <v>TIME_MONTH</v>
      </c>
      <c r="O22" s="6" t="str">
        <f>IF(INDEX(Col!$I:$I,MATCH($M22,Col!$A:$A,0))="","",INDEX(Col!$I:$I,MATCH($M22,Col!$A:$A,0)))</f>
        <v/>
      </c>
      <c r="P22" s="6" t="str">
        <f>IF(INDEX(Col!$K:$K,MATCH($M22,Col!$A:$A,0))="","",INDEX(Col!$K:$K,MATCH($M22,Col!$A:$A,0)))</f>
        <v/>
      </c>
      <c r="Q22" s="6" t="str">
        <f>IF($O22="","",IF(NOT(ISNA(MATCH(LOWER($O22&amp;"|"&amp;$E22),Concept!$K:$K,0))),INDEX(Concept!$A:$A,MATCH(LOWER($O22&amp;"|"&amp;$E22),Concept!$K:$K,0)),IF(NOT(ISNA(MATCH(LOWER($O22&amp;"|"&amp;$E22),Concept!$L:$L,0))),INDEX(Concept!$A:$A,MATCH(LOWER($O22&amp;"|"&amp;$E22),Concept!$L:$L,0)),IF(NOT(ISNA(MATCH(LOWER($O22&amp;"|"&amp;$E22),Concept!$M:$M,0))),INDEX(Concept!$A:$A,MATCH(LOWER($O22&amp;"|"&amp;$E22),Concept!$M:$M,0)),""))))</f>
        <v/>
      </c>
      <c r="R22" s="6" t="str">
        <f>IF($P22="","",IF(NOT(ISNA(MATCH(LOWER($P22&amp;"|"&amp;$E22),Region!$J:$J,0))),INDEX(Region!$A:$A,MATCH(LOWER($P22&amp;"|"&amp;$E22),Region!$J:$J,0)),IF(NOT(ISNA(MATCH(LOWER($P22&amp;"|"&amp;$E22),Region!$K:$K,0))),INDEX(Region!$A:$A,MATCH(LOWER($P22&amp;"|"&amp;$E22),Region!$K:$K,0)),"")))</f>
        <v/>
      </c>
      <c r="S22" s="6" t="str">
        <f>IF($N22&lt;&gt;"ORGANIZATION","",IF(NOT(ISNA(MATCH($E22,Organization!$A:$A,0))),INDEX(Organization!$A:$A,MATCH($E22,Organization!$A:$A,0)),IF(NOT(ISNA(MATCH($E22,Organization!$B:$B,0))),INDEX(Organization!$A:$A,MATCH($E22,Organization!$B:$B,0)),IF(NOT(ISNA(MATCH($E22,Organization!$A:$A,0))),INDEX(Organization!$C:$C,MATCH($E22,Organization!$C:$C,0)),""))))</f>
        <v/>
      </c>
      <c r="T22" s="6" t="str">
        <f>INDEX(Col!$B:$B,MATCH($M22,Col!$A:$A,0))</f>
        <v>0198ef6d-8543-090b-38ba-3d20aff20301</v>
      </c>
      <c r="U22" s="6" t="str">
        <f>INDEX(Dim!$C:$C,MATCH($T22,Dim!$A:$A,0))</f>
        <v>dim13</v>
      </c>
      <c r="V22" s="6" t="str">
        <f>INDEX(Dim!$B:$B,MATCH($T22,Dim!$A:$A,0))</f>
        <v>TIME</v>
      </c>
      <c r="W22" t="b">
        <v>0</v>
      </c>
    </row>
    <row r="23" spans="1:23" x14ac:dyDescent="0.3">
      <c r="A23" t="s">
        <v>667</v>
      </c>
      <c r="B23" s="6" t="str">
        <f>INDEX(_CaseData!$G:$G,MATCH($A23,_CaseData!$A:$A,0))</f>
        <v>case_type1</v>
      </c>
      <c r="C23" t="s">
        <v>531</v>
      </c>
      <c r="D23" s="6" t="str">
        <f>INDEX(CaseTypeCol!$H:$H,MATCH($C23,CaseTypeCol!$A:$A,0))</f>
        <v>1_13_0_4</v>
      </c>
      <c r="E23" s="11" t="s">
        <v>676</v>
      </c>
      <c r="G23" s="6" t="str">
        <f t="shared" si="0"/>
        <v>2024-Q1</v>
      </c>
      <c r="H23" s="6" t="b">
        <f t="shared" si="1"/>
        <v>1</v>
      </c>
      <c r="I23" t="b">
        <v>1</v>
      </c>
      <c r="J23" s="6" t="b">
        <f t="shared" si="2"/>
        <v>1</v>
      </c>
      <c r="K23" s="6" t="str">
        <f>INDEX(_CaseData!$B:$B,MATCH($A23,_CaseData!$A:$A,0))</f>
        <v>0195d18c-1ca6-fd99-9d76-fcfa0c0cf400</v>
      </c>
      <c r="L23" s="6" t="str">
        <f>INDEX(CaseTypeCol!$B:$B,MATCH($C23,CaseTypeCol!$A:$A,0))</f>
        <v>0195d18c-1ca6-fd99-9d76-fcfa0c0cf400</v>
      </c>
      <c r="M23" s="6" t="str">
        <f>INDEX(CaseTypeCol!$D:$D,MATCH($C23,CaseTypeCol!$A:$A,0))</f>
        <v>0198ef6d-8543-36a5-2583-d111be64cfe5</v>
      </c>
      <c r="N23" s="6" t="str">
        <f>INDEX(Col!$H:$H,MATCH($M23,Col!$A:$A,0))</f>
        <v>TIME_QUARTER</v>
      </c>
      <c r="O23" s="6" t="str">
        <f>IF(INDEX(Col!$I:$I,MATCH($M23,Col!$A:$A,0))="","",INDEX(Col!$I:$I,MATCH($M23,Col!$A:$A,0)))</f>
        <v/>
      </c>
      <c r="P23" s="6" t="str">
        <f>IF(INDEX(Col!$K:$K,MATCH($M23,Col!$A:$A,0))="","",INDEX(Col!$K:$K,MATCH($M23,Col!$A:$A,0)))</f>
        <v/>
      </c>
      <c r="Q23" s="6" t="str">
        <f>IF($O23="","",IF(NOT(ISNA(MATCH(LOWER($O23&amp;"|"&amp;$E23),Concept!$K:$K,0))),INDEX(Concept!$A:$A,MATCH(LOWER($O23&amp;"|"&amp;$E23),Concept!$K:$K,0)),IF(NOT(ISNA(MATCH(LOWER($O23&amp;"|"&amp;$E23),Concept!$L:$L,0))),INDEX(Concept!$A:$A,MATCH(LOWER($O23&amp;"|"&amp;$E23),Concept!$L:$L,0)),IF(NOT(ISNA(MATCH(LOWER($O23&amp;"|"&amp;$E23),Concept!$M:$M,0))),INDEX(Concept!$A:$A,MATCH(LOWER($O23&amp;"|"&amp;$E23),Concept!$M:$M,0)),""))))</f>
        <v/>
      </c>
      <c r="R23" s="6" t="str">
        <f>IF($P23="","",IF(NOT(ISNA(MATCH(LOWER($P23&amp;"|"&amp;$E23),Region!$J:$J,0))),INDEX(Region!$A:$A,MATCH(LOWER($P23&amp;"|"&amp;$E23),Region!$J:$J,0)),IF(NOT(ISNA(MATCH(LOWER($P23&amp;"|"&amp;$E23),Region!$K:$K,0))),INDEX(Region!$A:$A,MATCH(LOWER($P23&amp;"|"&amp;$E23),Region!$K:$K,0)),"")))</f>
        <v/>
      </c>
      <c r="S23" s="6" t="str">
        <f>IF($N23&lt;&gt;"ORGANIZATION","",IF(NOT(ISNA(MATCH($E23,Organization!$A:$A,0))),INDEX(Organization!$A:$A,MATCH($E23,Organization!$A:$A,0)),IF(NOT(ISNA(MATCH($E23,Organization!$B:$B,0))),INDEX(Organization!$A:$A,MATCH($E23,Organization!$B:$B,0)),IF(NOT(ISNA(MATCH($E23,Organization!$A:$A,0))),INDEX(Organization!$C:$C,MATCH($E23,Organization!$C:$C,0)),""))))</f>
        <v/>
      </c>
      <c r="T23" s="6" t="str">
        <f>INDEX(Col!$B:$B,MATCH($M23,Col!$A:$A,0))</f>
        <v>0198ef6d-8543-090b-38ba-3d20aff20301</v>
      </c>
      <c r="U23" s="6" t="str">
        <f>INDEX(Dim!$C:$C,MATCH($T23,Dim!$A:$A,0))</f>
        <v>dim13</v>
      </c>
      <c r="V23" s="6" t="str">
        <f>INDEX(Dim!$B:$B,MATCH($T23,Dim!$A:$A,0))</f>
        <v>TIME</v>
      </c>
      <c r="W23" t="b">
        <v>0</v>
      </c>
    </row>
    <row r="24" spans="1:23" x14ac:dyDescent="0.3">
      <c r="A24" t="s">
        <v>667</v>
      </c>
      <c r="B24" s="6" t="str">
        <f>INDEX(_CaseData!$G:$G,MATCH($A24,_CaseData!$A:$A,0))</f>
        <v>case_type1</v>
      </c>
      <c r="C24" t="s">
        <v>532</v>
      </c>
      <c r="D24" s="6" t="str">
        <f>INDEX(CaseTypeCol!$H:$H,MATCH($C24,CaseTypeCol!$A:$A,0))</f>
        <v>1_13_0_5</v>
      </c>
      <c r="E24" s="11" t="s">
        <v>677</v>
      </c>
      <c r="G24" s="6" t="str">
        <f t="shared" si="0"/>
        <v>2024</v>
      </c>
      <c r="H24" s="6" t="b">
        <f t="shared" si="1"/>
        <v>1</v>
      </c>
      <c r="I24" t="b">
        <v>1</v>
      </c>
      <c r="J24" s="6" t="b">
        <f t="shared" si="2"/>
        <v>1</v>
      </c>
      <c r="K24" s="6" t="str">
        <f>INDEX(_CaseData!$B:$B,MATCH($A24,_CaseData!$A:$A,0))</f>
        <v>0195d18c-1ca6-fd99-9d76-fcfa0c0cf400</v>
      </c>
      <c r="L24" s="6" t="str">
        <f>INDEX(CaseTypeCol!$B:$B,MATCH($C24,CaseTypeCol!$A:$A,0))</f>
        <v>0195d18c-1ca6-fd99-9d76-fcfa0c0cf400</v>
      </c>
      <c r="M24" s="6" t="str">
        <f>INDEX(CaseTypeCol!$D:$D,MATCH($C24,CaseTypeCol!$A:$A,0))</f>
        <v>0198ef6d-8543-0602-3b9b-8074754ce32f</v>
      </c>
      <c r="N24" s="6" t="str">
        <f>INDEX(Col!$H:$H,MATCH($M24,Col!$A:$A,0))</f>
        <v>TIME_YEAR</v>
      </c>
      <c r="O24" s="6" t="str">
        <f>IF(INDEX(Col!$I:$I,MATCH($M24,Col!$A:$A,0))="","",INDEX(Col!$I:$I,MATCH($M24,Col!$A:$A,0)))</f>
        <v/>
      </c>
      <c r="P24" s="6" t="str">
        <f>IF(INDEX(Col!$K:$K,MATCH($M24,Col!$A:$A,0))="","",INDEX(Col!$K:$K,MATCH($M24,Col!$A:$A,0)))</f>
        <v/>
      </c>
      <c r="Q24" s="6" t="str">
        <f>IF($O24="","",IF(NOT(ISNA(MATCH(LOWER($O24&amp;"|"&amp;$E24),Concept!$K:$K,0))),INDEX(Concept!$A:$A,MATCH(LOWER($O24&amp;"|"&amp;$E24),Concept!$K:$K,0)),IF(NOT(ISNA(MATCH(LOWER($O24&amp;"|"&amp;$E24),Concept!$L:$L,0))),INDEX(Concept!$A:$A,MATCH(LOWER($O24&amp;"|"&amp;$E24),Concept!$L:$L,0)),IF(NOT(ISNA(MATCH(LOWER($O24&amp;"|"&amp;$E24),Concept!$M:$M,0))),INDEX(Concept!$A:$A,MATCH(LOWER($O24&amp;"|"&amp;$E24),Concept!$M:$M,0)),""))))</f>
        <v/>
      </c>
      <c r="R24" s="6" t="str">
        <f>IF($P24="","",IF(NOT(ISNA(MATCH(LOWER($P24&amp;"|"&amp;$E24),Region!$J:$J,0))),INDEX(Region!$A:$A,MATCH(LOWER($P24&amp;"|"&amp;$E24),Region!$J:$J,0)),IF(NOT(ISNA(MATCH(LOWER($P24&amp;"|"&amp;$E24),Region!$K:$K,0))),INDEX(Region!$A:$A,MATCH(LOWER($P24&amp;"|"&amp;$E24),Region!$K:$K,0)),"")))</f>
        <v/>
      </c>
      <c r="S24" s="6" t="str">
        <f>IF($N24&lt;&gt;"ORGANIZATION","",IF(NOT(ISNA(MATCH($E24,Organization!$A:$A,0))),INDEX(Organization!$A:$A,MATCH($E24,Organization!$A:$A,0)),IF(NOT(ISNA(MATCH($E24,Organization!$B:$B,0))),INDEX(Organization!$A:$A,MATCH($E24,Organization!$B:$B,0)),IF(NOT(ISNA(MATCH($E24,Organization!$A:$A,0))),INDEX(Organization!$C:$C,MATCH($E24,Organization!$C:$C,0)),""))))</f>
        <v/>
      </c>
      <c r="T24" s="6" t="str">
        <f>INDEX(Col!$B:$B,MATCH($M24,Col!$A:$A,0))</f>
        <v>0198ef6d-8543-090b-38ba-3d20aff20301</v>
      </c>
      <c r="U24" s="6" t="str">
        <f>INDEX(Dim!$C:$C,MATCH($T24,Dim!$A:$A,0))</f>
        <v>dim13</v>
      </c>
      <c r="V24" s="6" t="str">
        <f>INDEX(Dim!$B:$B,MATCH($T24,Dim!$A:$A,0))</f>
        <v>TIME</v>
      </c>
      <c r="W24" t="b">
        <v>0</v>
      </c>
    </row>
    <row r="25" spans="1:23" x14ac:dyDescent="0.3">
      <c r="A25" t="s">
        <v>667</v>
      </c>
      <c r="B25" s="6" t="str">
        <f>INDEX(_CaseData!$G:$G,MATCH($A25,_CaseData!$A:$A,0))</f>
        <v>case_type1</v>
      </c>
      <c r="C25" t="s">
        <v>533</v>
      </c>
      <c r="D25" s="6" t="str">
        <f>INDEX(CaseTypeCol!$H:$H,MATCH($C25,CaseTypeCol!$A:$A,0))</f>
        <v>1_14_0_1</v>
      </c>
      <c r="E25" s="11" t="s">
        <v>678</v>
      </c>
      <c r="G25" s="6" t="str">
        <f t="shared" si="0"/>
        <v>2025-01-01</v>
      </c>
      <c r="H25" s="6" t="b">
        <f t="shared" si="1"/>
        <v>1</v>
      </c>
      <c r="I25" t="b">
        <v>1</v>
      </c>
      <c r="J25" s="6" t="b">
        <f t="shared" si="2"/>
        <v>1</v>
      </c>
      <c r="K25" s="6" t="str">
        <f>INDEX(_CaseData!$B:$B,MATCH($A25,_CaseData!$A:$A,0))</f>
        <v>0195d18c-1ca6-fd99-9d76-fcfa0c0cf400</v>
      </c>
      <c r="L25" s="6" t="str">
        <f>INDEX(CaseTypeCol!$B:$B,MATCH($C25,CaseTypeCol!$A:$A,0))</f>
        <v>0195d18c-1ca6-fd99-9d76-fcfa0c0cf400</v>
      </c>
      <c r="M25" s="6" t="str">
        <f>INDEX(CaseTypeCol!$D:$D,MATCH($C25,CaseTypeCol!$A:$A,0))</f>
        <v>0198ef6d-8543-4c94-0bf9-94599fca001d</v>
      </c>
      <c r="N25" s="6" t="str">
        <f>INDEX(Col!$H:$H,MATCH($M25,Col!$A:$A,0))</f>
        <v>TIME_DAY</v>
      </c>
      <c r="O25" s="6" t="str">
        <f>IF(INDEX(Col!$I:$I,MATCH($M25,Col!$A:$A,0))="","",INDEX(Col!$I:$I,MATCH($M25,Col!$A:$A,0)))</f>
        <v/>
      </c>
      <c r="P25" s="6" t="str">
        <f>IF(INDEX(Col!$K:$K,MATCH($M25,Col!$A:$A,0))="","",INDEX(Col!$K:$K,MATCH($M25,Col!$A:$A,0)))</f>
        <v/>
      </c>
      <c r="Q25" s="6" t="str">
        <f>IF($O25="","",IF(NOT(ISNA(MATCH(LOWER($O25&amp;"|"&amp;$E25),Concept!$K:$K,0))),INDEX(Concept!$A:$A,MATCH(LOWER($O25&amp;"|"&amp;$E25),Concept!$K:$K,0)),IF(NOT(ISNA(MATCH(LOWER($O25&amp;"|"&amp;$E25),Concept!$L:$L,0))),INDEX(Concept!$A:$A,MATCH(LOWER($O25&amp;"|"&amp;$E25),Concept!$L:$L,0)),IF(NOT(ISNA(MATCH(LOWER($O25&amp;"|"&amp;$E25),Concept!$M:$M,0))),INDEX(Concept!$A:$A,MATCH(LOWER($O25&amp;"|"&amp;$E25),Concept!$M:$M,0)),""))))</f>
        <v/>
      </c>
      <c r="R25" s="6" t="str">
        <f>IF($P25="","",IF(NOT(ISNA(MATCH(LOWER($P25&amp;"|"&amp;$E25),Region!$J:$J,0))),INDEX(Region!$A:$A,MATCH(LOWER($P25&amp;"|"&amp;$E25),Region!$J:$J,0)),IF(NOT(ISNA(MATCH(LOWER($P25&amp;"|"&amp;$E25),Region!$K:$K,0))),INDEX(Region!$A:$A,MATCH(LOWER($P25&amp;"|"&amp;$E25),Region!$K:$K,0)),"")))</f>
        <v/>
      </c>
      <c r="S25" s="6" t="str">
        <f>IF($N25&lt;&gt;"ORGANIZATION","",IF(NOT(ISNA(MATCH($E25,Organization!$A:$A,0))),INDEX(Organization!$A:$A,MATCH($E25,Organization!$A:$A,0)),IF(NOT(ISNA(MATCH($E25,Organization!$B:$B,0))),INDEX(Organization!$A:$A,MATCH($E25,Organization!$B:$B,0)),IF(NOT(ISNA(MATCH($E25,Organization!$A:$A,0))),INDEX(Organization!$C:$C,MATCH($E25,Organization!$C:$C,0)),""))))</f>
        <v/>
      </c>
      <c r="T25" s="6" t="str">
        <f>INDEX(Col!$B:$B,MATCH($M25,Col!$A:$A,0))</f>
        <v>0198ef6d-8543-9464-8125-c57e62e81fa8</v>
      </c>
      <c r="U25" s="6" t="str">
        <f>INDEX(Dim!$C:$C,MATCH($T25,Dim!$A:$A,0))</f>
        <v>dim14</v>
      </c>
      <c r="V25" s="6" t="str">
        <f>INDEX(Dim!$B:$B,MATCH($T25,Dim!$A:$A,0))</f>
        <v>TIME</v>
      </c>
      <c r="W25" t="b">
        <v>0</v>
      </c>
    </row>
    <row r="26" spans="1:23" x14ac:dyDescent="0.3">
      <c r="A26" t="s">
        <v>667</v>
      </c>
      <c r="B26" s="6" t="str">
        <f>INDEX(_CaseData!$G:$G,MATCH($A26,_CaseData!$A:$A,0))</f>
        <v>case_type1</v>
      </c>
      <c r="C26" t="s">
        <v>534</v>
      </c>
      <c r="D26" s="6" t="str">
        <f>INDEX(CaseTypeCol!$H:$H,MATCH($C26,CaseTypeCol!$A:$A,0))</f>
        <v>1_14_0_2</v>
      </c>
      <c r="E26" s="11" t="s">
        <v>679</v>
      </c>
      <c r="G26" s="6" t="str">
        <f t="shared" si="0"/>
        <v>2025-W01</v>
      </c>
      <c r="H26" s="6" t="b">
        <f t="shared" si="1"/>
        <v>1</v>
      </c>
      <c r="I26" t="b">
        <v>1</v>
      </c>
      <c r="J26" s="6" t="b">
        <f t="shared" si="2"/>
        <v>1</v>
      </c>
      <c r="K26" s="6" t="str">
        <f>INDEX(_CaseData!$B:$B,MATCH($A26,_CaseData!$A:$A,0))</f>
        <v>0195d18c-1ca6-fd99-9d76-fcfa0c0cf400</v>
      </c>
      <c r="L26" s="6" t="str">
        <f>INDEX(CaseTypeCol!$B:$B,MATCH($C26,CaseTypeCol!$A:$A,0))</f>
        <v>0195d18c-1ca6-fd99-9d76-fcfa0c0cf400</v>
      </c>
      <c r="M26" s="6" t="str">
        <f>INDEX(CaseTypeCol!$D:$D,MATCH($C26,CaseTypeCol!$A:$A,0))</f>
        <v>0198ef6d-8543-97b5-1037-1371f120aa8d</v>
      </c>
      <c r="N26" s="6" t="str">
        <f>INDEX(Col!$H:$H,MATCH($M26,Col!$A:$A,0))</f>
        <v>TIME_WEEK</v>
      </c>
      <c r="O26" s="6" t="str">
        <f>IF(INDEX(Col!$I:$I,MATCH($M26,Col!$A:$A,0))="","",INDEX(Col!$I:$I,MATCH($M26,Col!$A:$A,0)))</f>
        <v/>
      </c>
      <c r="P26" s="6" t="str">
        <f>IF(INDEX(Col!$K:$K,MATCH($M26,Col!$A:$A,0))="","",INDEX(Col!$K:$K,MATCH($M26,Col!$A:$A,0)))</f>
        <v/>
      </c>
      <c r="Q26" s="6" t="str">
        <f>IF($O26="","",IF(NOT(ISNA(MATCH(LOWER($O26&amp;"|"&amp;$E26),Concept!$K:$K,0))),INDEX(Concept!$A:$A,MATCH(LOWER($O26&amp;"|"&amp;$E26),Concept!$K:$K,0)),IF(NOT(ISNA(MATCH(LOWER($O26&amp;"|"&amp;$E26),Concept!$L:$L,0))),INDEX(Concept!$A:$A,MATCH(LOWER($O26&amp;"|"&amp;$E26),Concept!$L:$L,0)),IF(NOT(ISNA(MATCH(LOWER($O26&amp;"|"&amp;$E26),Concept!$M:$M,0))),INDEX(Concept!$A:$A,MATCH(LOWER($O26&amp;"|"&amp;$E26),Concept!$M:$M,0)),""))))</f>
        <v/>
      </c>
      <c r="R26" s="6" t="str">
        <f>IF($P26="","",IF(NOT(ISNA(MATCH(LOWER($P26&amp;"|"&amp;$E26),Region!$J:$J,0))),INDEX(Region!$A:$A,MATCH(LOWER($P26&amp;"|"&amp;$E26),Region!$J:$J,0)),IF(NOT(ISNA(MATCH(LOWER($P26&amp;"|"&amp;$E26),Region!$K:$K,0))),INDEX(Region!$A:$A,MATCH(LOWER($P26&amp;"|"&amp;$E26),Region!$K:$K,0)),"")))</f>
        <v/>
      </c>
      <c r="S26" s="6" t="str">
        <f>IF($N26&lt;&gt;"ORGANIZATION","",IF(NOT(ISNA(MATCH($E26,Organization!$A:$A,0))),INDEX(Organization!$A:$A,MATCH($E26,Organization!$A:$A,0)),IF(NOT(ISNA(MATCH($E26,Organization!$B:$B,0))),INDEX(Organization!$A:$A,MATCH($E26,Organization!$B:$B,0)),IF(NOT(ISNA(MATCH($E26,Organization!$A:$A,0))),INDEX(Organization!$C:$C,MATCH($E26,Organization!$C:$C,0)),""))))</f>
        <v/>
      </c>
      <c r="T26" s="6" t="str">
        <f>INDEX(Col!$B:$B,MATCH($M26,Col!$A:$A,0))</f>
        <v>0198ef6d-8543-9464-8125-c57e62e81fa8</v>
      </c>
      <c r="U26" s="6" t="str">
        <f>INDEX(Dim!$C:$C,MATCH($T26,Dim!$A:$A,0))</f>
        <v>dim14</v>
      </c>
      <c r="V26" s="6" t="str">
        <f>INDEX(Dim!$B:$B,MATCH($T26,Dim!$A:$A,0))</f>
        <v>TIME</v>
      </c>
      <c r="W26" t="b">
        <v>0</v>
      </c>
    </row>
    <row r="27" spans="1:23" x14ac:dyDescent="0.3">
      <c r="A27" t="s">
        <v>667</v>
      </c>
      <c r="B27" s="6" t="str">
        <f>INDEX(_CaseData!$G:$G,MATCH($A27,_CaseData!$A:$A,0))</f>
        <v>case_type1</v>
      </c>
      <c r="C27" t="s">
        <v>535</v>
      </c>
      <c r="D27" s="6" t="str">
        <f>INDEX(CaseTypeCol!$H:$H,MATCH($C27,CaseTypeCol!$A:$A,0))</f>
        <v>1_14_0_3</v>
      </c>
      <c r="E27" s="11" t="s">
        <v>680</v>
      </c>
      <c r="G27" s="6" t="str">
        <f t="shared" si="0"/>
        <v>2025-01</v>
      </c>
      <c r="H27" s="6" t="b">
        <f t="shared" si="1"/>
        <v>1</v>
      </c>
      <c r="I27" t="b">
        <v>1</v>
      </c>
      <c r="J27" s="6" t="b">
        <f t="shared" si="2"/>
        <v>1</v>
      </c>
      <c r="K27" s="6" t="str">
        <f>INDEX(_CaseData!$B:$B,MATCH($A27,_CaseData!$A:$A,0))</f>
        <v>0195d18c-1ca6-fd99-9d76-fcfa0c0cf400</v>
      </c>
      <c r="L27" s="6" t="str">
        <f>INDEX(CaseTypeCol!$B:$B,MATCH($C27,CaseTypeCol!$A:$A,0))</f>
        <v>0195d18c-1ca6-fd99-9d76-fcfa0c0cf400</v>
      </c>
      <c r="M27" s="6" t="str">
        <f>INDEX(CaseTypeCol!$D:$D,MATCH($C27,CaseTypeCol!$A:$A,0))</f>
        <v>0198ef6d-8543-3174-2105-15a6851c5148</v>
      </c>
      <c r="N27" s="6" t="str">
        <f>INDEX(Col!$H:$H,MATCH($M27,Col!$A:$A,0))</f>
        <v>TIME_MONTH</v>
      </c>
      <c r="O27" s="6" t="str">
        <f>IF(INDEX(Col!$I:$I,MATCH($M27,Col!$A:$A,0))="","",INDEX(Col!$I:$I,MATCH($M27,Col!$A:$A,0)))</f>
        <v/>
      </c>
      <c r="P27" s="6" t="str">
        <f>IF(INDEX(Col!$K:$K,MATCH($M27,Col!$A:$A,0))="","",INDEX(Col!$K:$K,MATCH($M27,Col!$A:$A,0)))</f>
        <v/>
      </c>
      <c r="Q27" s="6" t="str">
        <f>IF($O27="","",IF(NOT(ISNA(MATCH(LOWER($O27&amp;"|"&amp;$E27),Concept!$K:$K,0))),INDEX(Concept!$A:$A,MATCH(LOWER($O27&amp;"|"&amp;$E27),Concept!$K:$K,0)),IF(NOT(ISNA(MATCH(LOWER($O27&amp;"|"&amp;$E27),Concept!$L:$L,0))),INDEX(Concept!$A:$A,MATCH(LOWER($O27&amp;"|"&amp;$E27),Concept!$L:$L,0)),IF(NOT(ISNA(MATCH(LOWER($O27&amp;"|"&amp;$E27),Concept!$M:$M,0))),INDEX(Concept!$A:$A,MATCH(LOWER($O27&amp;"|"&amp;$E27),Concept!$M:$M,0)),""))))</f>
        <v/>
      </c>
      <c r="R27" s="6" t="str">
        <f>IF($P27="","",IF(NOT(ISNA(MATCH(LOWER($P27&amp;"|"&amp;$E27),Region!$J:$J,0))),INDEX(Region!$A:$A,MATCH(LOWER($P27&amp;"|"&amp;$E27),Region!$J:$J,0)),IF(NOT(ISNA(MATCH(LOWER($P27&amp;"|"&amp;$E27),Region!$K:$K,0))),INDEX(Region!$A:$A,MATCH(LOWER($P27&amp;"|"&amp;$E27),Region!$K:$K,0)),"")))</f>
        <v/>
      </c>
      <c r="S27" s="6" t="str">
        <f>IF($N27&lt;&gt;"ORGANIZATION","",IF(NOT(ISNA(MATCH($E27,Organization!$A:$A,0))),INDEX(Organization!$A:$A,MATCH($E27,Organization!$A:$A,0)),IF(NOT(ISNA(MATCH($E27,Organization!$B:$B,0))),INDEX(Organization!$A:$A,MATCH($E27,Organization!$B:$B,0)),IF(NOT(ISNA(MATCH($E27,Organization!$A:$A,0))),INDEX(Organization!$C:$C,MATCH($E27,Organization!$C:$C,0)),""))))</f>
        <v/>
      </c>
      <c r="T27" s="6" t="str">
        <f>INDEX(Col!$B:$B,MATCH($M27,Col!$A:$A,0))</f>
        <v>0198ef6d-8543-9464-8125-c57e62e81fa8</v>
      </c>
      <c r="U27" s="6" t="str">
        <f>INDEX(Dim!$C:$C,MATCH($T27,Dim!$A:$A,0))</f>
        <v>dim14</v>
      </c>
      <c r="V27" s="6" t="str">
        <f>INDEX(Dim!$B:$B,MATCH($T27,Dim!$A:$A,0))</f>
        <v>TIME</v>
      </c>
      <c r="W27" t="b">
        <v>0</v>
      </c>
    </row>
    <row r="28" spans="1:23" x14ac:dyDescent="0.3">
      <c r="A28" t="s">
        <v>667</v>
      </c>
      <c r="B28" s="6" t="str">
        <f>INDEX(_CaseData!$G:$G,MATCH($A28,_CaseData!$A:$A,0))</f>
        <v>case_type1</v>
      </c>
      <c r="C28" t="s">
        <v>536</v>
      </c>
      <c r="D28" s="6" t="str">
        <f>INDEX(CaseTypeCol!$H:$H,MATCH($C28,CaseTypeCol!$A:$A,0))</f>
        <v>1_14_0_4</v>
      </c>
      <c r="E28" s="11" t="s">
        <v>681</v>
      </c>
      <c r="G28" s="6" t="str">
        <f t="shared" si="0"/>
        <v>2025-Q1</v>
      </c>
      <c r="H28" s="6" t="b">
        <f t="shared" si="1"/>
        <v>1</v>
      </c>
      <c r="I28" t="b">
        <v>1</v>
      </c>
      <c r="J28" s="6" t="b">
        <f t="shared" si="2"/>
        <v>1</v>
      </c>
      <c r="K28" s="6" t="str">
        <f>INDEX(_CaseData!$B:$B,MATCH($A28,_CaseData!$A:$A,0))</f>
        <v>0195d18c-1ca6-fd99-9d76-fcfa0c0cf400</v>
      </c>
      <c r="L28" s="6" t="str">
        <f>INDEX(CaseTypeCol!$B:$B,MATCH($C28,CaseTypeCol!$A:$A,0))</f>
        <v>0195d18c-1ca6-fd99-9d76-fcfa0c0cf400</v>
      </c>
      <c r="M28" s="6" t="str">
        <f>INDEX(CaseTypeCol!$D:$D,MATCH($C28,CaseTypeCol!$A:$A,0))</f>
        <v>0198ef6d-8543-d0b2-a670-f7d735fbf952</v>
      </c>
      <c r="N28" s="6" t="str">
        <f>INDEX(Col!$H:$H,MATCH($M28,Col!$A:$A,0))</f>
        <v>TIME_QUARTER</v>
      </c>
      <c r="O28" s="6" t="str">
        <f>IF(INDEX(Col!$I:$I,MATCH($M28,Col!$A:$A,0))="","",INDEX(Col!$I:$I,MATCH($M28,Col!$A:$A,0)))</f>
        <v/>
      </c>
      <c r="P28" s="6" t="str">
        <f>IF(INDEX(Col!$K:$K,MATCH($M28,Col!$A:$A,0))="","",INDEX(Col!$K:$K,MATCH($M28,Col!$A:$A,0)))</f>
        <v/>
      </c>
      <c r="Q28" s="6" t="str">
        <f>IF($O28="","",IF(NOT(ISNA(MATCH(LOWER($O28&amp;"|"&amp;$E28),Concept!$K:$K,0))),INDEX(Concept!$A:$A,MATCH(LOWER($O28&amp;"|"&amp;$E28),Concept!$K:$K,0)),IF(NOT(ISNA(MATCH(LOWER($O28&amp;"|"&amp;$E28),Concept!$L:$L,0))),INDEX(Concept!$A:$A,MATCH(LOWER($O28&amp;"|"&amp;$E28),Concept!$L:$L,0)),IF(NOT(ISNA(MATCH(LOWER($O28&amp;"|"&amp;$E28),Concept!$M:$M,0))),INDEX(Concept!$A:$A,MATCH(LOWER($O28&amp;"|"&amp;$E28),Concept!$M:$M,0)),""))))</f>
        <v/>
      </c>
      <c r="R28" s="6" t="str">
        <f>IF($P28="","",IF(NOT(ISNA(MATCH(LOWER($P28&amp;"|"&amp;$E28),Region!$J:$J,0))),INDEX(Region!$A:$A,MATCH(LOWER($P28&amp;"|"&amp;$E28),Region!$J:$J,0)),IF(NOT(ISNA(MATCH(LOWER($P28&amp;"|"&amp;$E28),Region!$K:$K,0))),INDEX(Region!$A:$A,MATCH(LOWER($P28&amp;"|"&amp;$E28),Region!$K:$K,0)),"")))</f>
        <v/>
      </c>
      <c r="S28" s="6" t="str">
        <f>IF($N28&lt;&gt;"ORGANIZATION","",IF(NOT(ISNA(MATCH($E28,Organization!$A:$A,0))),INDEX(Organization!$A:$A,MATCH($E28,Organization!$A:$A,0)),IF(NOT(ISNA(MATCH($E28,Organization!$B:$B,0))),INDEX(Organization!$A:$A,MATCH($E28,Organization!$B:$B,0)),IF(NOT(ISNA(MATCH($E28,Organization!$A:$A,0))),INDEX(Organization!$C:$C,MATCH($E28,Organization!$C:$C,0)),""))))</f>
        <v/>
      </c>
      <c r="T28" s="6" t="str">
        <f>INDEX(Col!$B:$B,MATCH($M28,Col!$A:$A,0))</f>
        <v>0198ef6d-8543-9464-8125-c57e62e81fa8</v>
      </c>
      <c r="U28" s="6" t="str">
        <f>INDEX(Dim!$C:$C,MATCH($T28,Dim!$A:$A,0))</f>
        <v>dim14</v>
      </c>
      <c r="V28" s="6" t="str">
        <f>INDEX(Dim!$B:$B,MATCH($T28,Dim!$A:$A,0))</f>
        <v>TIME</v>
      </c>
      <c r="W28" t="b">
        <v>0</v>
      </c>
    </row>
    <row r="29" spans="1:23" x14ac:dyDescent="0.3">
      <c r="A29" t="s">
        <v>667</v>
      </c>
      <c r="B29" s="6" t="str">
        <f>INDEX(_CaseData!$G:$G,MATCH($A29,_CaseData!$A:$A,0))</f>
        <v>case_type1</v>
      </c>
      <c r="C29" t="s">
        <v>537</v>
      </c>
      <c r="D29" s="6" t="str">
        <f>INDEX(CaseTypeCol!$H:$H,MATCH($C29,CaseTypeCol!$A:$A,0))</f>
        <v>1_14_0_5</v>
      </c>
      <c r="E29" s="11" t="s">
        <v>682</v>
      </c>
      <c r="G29" s="6" t="str">
        <f t="shared" si="0"/>
        <v>2025</v>
      </c>
      <c r="H29" s="6" t="b">
        <f t="shared" si="1"/>
        <v>1</v>
      </c>
      <c r="I29" t="b">
        <v>1</v>
      </c>
      <c r="J29" s="6" t="b">
        <f t="shared" si="2"/>
        <v>1</v>
      </c>
      <c r="K29" s="6" t="str">
        <f>INDEX(_CaseData!$B:$B,MATCH($A29,_CaseData!$A:$A,0))</f>
        <v>0195d18c-1ca6-fd99-9d76-fcfa0c0cf400</v>
      </c>
      <c r="L29" s="6" t="str">
        <f>INDEX(CaseTypeCol!$B:$B,MATCH($C29,CaseTypeCol!$A:$A,0))</f>
        <v>0195d18c-1ca6-fd99-9d76-fcfa0c0cf400</v>
      </c>
      <c r="M29" s="6" t="str">
        <f>INDEX(CaseTypeCol!$D:$D,MATCH($C29,CaseTypeCol!$A:$A,0))</f>
        <v>0198ef6d-8543-70f1-d18e-7b3cd6948bd7</v>
      </c>
      <c r="N29" s="6" t="str">
        <f>INDEX(Col!$H:$H,MATCH($M29,Col!$A:$A,0))</f>
        <v>TIME_YEAR</v>
      </c>
      <c r="O29" s="6" t="str">
        <f>IF(INDEX(Col!$I:$I,MATCH($M29,Col!$A:$A,0))="","",INDEX(Col!$I:$I,MATCH($M29,Col!$A:$A,0)))</f>
        <v/>
      </c>
      <c r="P29" s="6" t="str">
        <f>IF(INDEX(Col!$K:$K,MATCH($M29,Col!$A:$A,0))="","",INDEX(Col!$K:$K,MATCH($M29,Col!$A:$A,0)))</f>
        <v/>
      </c>
      <c r="Q29" s="6" t="str">
        <f>IF($O29="","",IF(NOT(ISNA(MATCH(LOWER($O29&amp;"|"&amp;$E29),Concept!$K:$K,0))),INDEX(Concept!$A:$A,MATCH(LOWER($O29&amp;"|"&amp;$E29),Concept!$K:$K,0)),IF(NOT(ISNA(MATCH(LOWER($O29&amp;"|"&amp;$E29),Concept!$L:$L,0))),INDEX(Concept!$A:$A,MATCH(LOWER($O29&amp;"|"&amp;$E29),Concept!$L:$L,0)),IF(NOT(ISNA(MATCH(LOWER($O29&amp;"|"&amp;$E29),Concept!$M:$M,0))),INDEX(Concept!$A:$A,MATCH(LOWER($O29&amp;"|"&amp;$E29),Concept!$M:$M,0)),""))))</f>
        <v/>
      </c>
      <c r="R29" s="6" t="str">
        <f>IF($P29="","",IF(NOT(ISNA(MATCH(LOWER($P29&amp;"|"&amp;$E29),Region!$J:$J,0))),INDEX(Region!$A:$A,MATCH(LOWER($P29&amp;"|"&amp;$E29),Region!$J:$J,0)),IF(NOT(ISNA(MATCH(LOWER($P29&amp;"|"&amp;$E29),Region!$K:$K,0))),INDEX(Region!$A:$A,MATCH(LOWER($P29&amp;"|"&amp;$E29),Region!$K:$K,0)),"")))</f>
        <v/>
      </c>
      <c r="S29" s="6" t="str">
        <f>IF($N29&lt;&gt;"ORGANIZATION","",IF(NOT(ISNA(MATCH($E29,Organization!$A:$A,0))),INDEX(Organization!$A:$A,MATCH($E29,Organization!$A:$A,0)),IF(NOT(ISNA(MATCH($E29,Organization!$B:$B,0))),INDEX(Organization!$A:$A,MATCH($E29,Organization!$B:$B,0)),IF(NOT(ISNA(MATCH($E29,Organization!$A:$A,0))),INDEX(Organization!$C:$C,MATCH($E29,Organization!$C:$C,0)),""))))</f>
        <v/>
      </c>
      <c r="T29" s="6" t="str">
        <f>INDEX(Col!$B:$B,MATCH($M29,Col!$A:$A,0))</f>
        <v>0198ef6d-8543-9464-8125-c57e62e81fa8</v>
      </c>
      <c r="U29" s="6" t="str">
        <f>INDEX(Dim!$C:$C,MATCH($T29,Dim!$A:$A,0))</f>
        <v>dim14</v>
      </c>
      <c r="V29" s="6" t="str">
        <f>INDEX(Dim!$B:$B,MATCH($T29,Dim!$A:$A,0))</f>
        <v>TIME</v>
      </c>
      <c r="W29" t="b">
        <v>0</v>
      </c>
    </row>
    <row r="30" spans="1:23" x14ac:dyDescent="0.3">
      <c r="A30" t="s">
        <v>667</v>
      </c>
      <c r="B30" s="6" t="str">
        <f>INDEX(_CaseData!$G:$G,MATCH($A30,_CaseData!$A:$A,0))</f>
        <v>case_type1</v>
      </c>
      <c r="C30" t="s">
        <v>538</v>
      </c>
      <c r="D30" s="6" t="str">
        <f>INDEX(CaseTypeCol!$H:$H,MATCH($C30,CaseTypeCol!$A:$A,0))</f>
        <v>1_15_0_1</v>
      </c>
      <c r="E30" t="s">
        <v>683</v>
      </c>
      <c r="G30" s="6" t="str">
        <f t="shared" si="0"/>
        <v>0198ef6d-8543-8644-c476-b020fa968b83</v>
      </c>
      <c r="H30" s="6" t="b">
        <f t="shared" si="1"/>
        <v>1</v>
      </c>
      <c r="I30" t="b">
        <v>1</v>
      </c>
      <c r="J30" s="6" t="b">
        <f t="shared" si="2"/>
        <v>1</v>
      </c>
      <c r="K30" s="6" t="str">
        <f>INDEX(_CaseData!$B:$B,MATCH($A30,_CaseData!$A:$A,0))</f>
        <v>0195d18c-1ca6-fd99-9d76-fcfa0c0cf400</v>
      </c>
      <c r="L30" s="6" t="str">
        <f>INDEX(CaseTypeCol!$B:$B,MATCH($C30,CaseTypeCol!$A:$A,0))</f>
        <v>0195d18c-1ca6-fd99-9d76-fcfa0c0cf400</v>
      </c>
      <c r="M30" s="6" t="str">
        <f>INDEX(CaseTypeCol!$D:$D,MATCH($C30,CaseTypeCol!$A:$A,0))</f>
        <v>0198ef6d-8543-ab8a-bde3-659597476ba5</v>
      </c>
      <c r="N30" s="6" t="str">
        <f>INDEX(Col!$H:$H,MATCH($M30,Col!$A:$A,0))</f>
        <v>ID_PERSON</v>
      </c>
      <c r="O30" s="6" t="str">
        <f>IF(INDEX(Col!$I:$I,MATCH($M30,Col!$A:$A,0))="","",INDEX(Col!$I:$I,MATCH($M30,Col!$A:$A,0)))</f>
        <v/>
      </c>
      <c r="P30" s="6" t="str">
        <f>IF(INDEX(Col!$K:$K,MATCH($M30,Col!$A:$A,0))="","",INDEX(Col!$K:$K,MATCH($M30,Col!$A:$A,0)))</f>
        <v/>
      </c>
      <c r="Q30" s="6" t="str">
        <f>IF($O30="","",IF(NOT(ISNA(MATCH(LOWER($O30&amp;"|"&amp;$E30),Concept!$K:$K,0))),INDEX(Concept!$A:$A,MATCH(LOWER($O30&amp;"|"&amp;$E30),Concept!$K:$K,0)),IF(NOT(ISNA(MATCH(LOWER($O30&amp;"|"&amp;$E30),Concept!$L:$L,0))),INDEX(Concept!$A:$A,MATCH(LOWER($O30&amp;"|"&amp;$E30),Concept!$L:$L,0)),IF(NOT(ISNA(MATCH(LOWER($O30&amp;"|"&amp;$E30),Concept!$M:$M,0))),INDEX(Concept!$A:$A,MATCH(LOWER($O30&amp;"|"&amp;$E30),Concept!$M:$M,0)),""))))</f>
        <v/>
      </c>
      <c r="R30" s="6" t="str">
        <f>IF($P30="","",IF(NOT(ISNA(MATCH(LOWER($P30&amp;"|"&amp;$E30),Region!$J:$J,0))),INDEX(Region!$A:$A,MATCH(LOWER($P30&amp;"|"&amp;$E30),Region!$J:$J,0)),IF(NOT(ISNA(MATCH(LOWER($P30&amp;"|"&amp;$E30),Region!$K:$K,0))),INDEX(Region!$A:$A,MATCH(LOWER($P30&amp;"|"&amp;$E30),Region!$K:$K,0)),"")))</f>
        <v/>
      </c>
      <c r="S30" s="6" t="str">
        <f>IF($N30&lt;&gt;"ORGANIZATION","",IF(NOT(ISNA(MATCH($E30,Organization!$A:$A,0))),INDEX(Organization!$A:$A,MATCH($E30,Organization!$A:$A,0)),IF(NOT(ISNA(MATCH($E30,Organization!$B:$B,0))),INDEX(Organization!$A:$A,MATCH($E30,Organization!$B:$B,0)),IF(NOT(ISNA(MATCH($E30,Organization!$A:$A,0))),INDEX(Organization!$C:$C,MATCH($E30,Organization!$C:$C,0)),""))))</f>
        <v/>
      </c>
      <c r="T30" s="6" t="str">
        <f>INDEX(Col!$B:$B,MATCH($M30,Col!$A:$A,0))</f>
        <v>0198ef6d-8543-f771-bae1-9ddd35630976</v>
      </c>
      <c r="U30" s="6" t="str">
        <f>INDEX(Dim!$C:$C,MATCH($T30,Dim!$A:$A,0))</f>
        <v>dim15</v>
      </c>
      <c r="V30" s="6" t="str">
        <f>INDEX(Dim!$B:$B,MATCH($T30,Dim!$A:$A,0))</f>
        <v>IDENTIFIER</v>
      </c>
      <c r="W30" t="b">
        <v>0</v>
      </c>
    </row>
    <row r="31" spans="1:23" x14ac:dyDescent="0.3">
      <c r="A31" t="s">
        <v>667</v>
      </c>
      <c r="B31" s="6" t="str">
        <f>INDEX(_CaseData!$G:$G,MATCH($A31,_CaseData!$A:$A,0))</f>
        <v>case_type1</v>
      </c>
      <c r="C31" t="s">
        <v>539</v>
      </c>
      <c r="D31" s="6" t="str">
        <f>INDEX(CaseTypeCol!$H:$H,MATCH($C31,CaseTypeCol!$A:$A,0))</f>
        <v>1_16_0_1</v>
      </c>
      <c r="E31" t="s">
        <v>684</v>
      </c>
      <c r="G31" s="6" t="str">
        <f t="shared" si="0"/>
        <v>0198ef6d-8543-5f5c-97f7-fa25919c719d</v>
      </c>
      <c r="H31" s="6" t="b">
        <f t="shared" si="1"/>
        <v>1</v>
      </c>
      <c r="I31" t="b">
        <v>1</v>
      </c>
      <c r="J31" s="6" t="b">
        <f t="shared" si="2"/>
        <v>1</v>
      </c>
      <c r="K31" s="6" t="str">
        <f>INDEX(_CaseData!$B:$B,MATCH($A31,_CaseData!$A:$A,0))</f>
        <v>0195d18c-1ca6-fd99-9d76-fcfa0c0cf400</v>
      </c>
      <c r="L31" s="6" t="str">
        <f>INDEX(CaseTypeCol!$B:$B,MATCH($C31,CaseTypeCol!$A:$A,0))</f>
        <v>0195d18c-1ca6-fd99-9d76-fcfa0c0cf400</v>
      </c>
      <c r="M31" s="6" t="str">
        <f>INDEX(CaseTypeCol!$D:$D,MATCH($C31,CaseTypeCol!$A:$A,0))</f>
        <v>0198ef6d-8543-7878-8fbe-0ddd72dfc52c</v>
      </c>
      <c r="N31" s="6" t="str">
        <f>INDEX(Col!$H:$H,MATCH($M31,Col!$A:$A,0))</f>
        <v>ID_PERSON</v>
      </c>
      <c r="O31" s="6" t="str">
        <f>IF(INDEX(Col!$I:$I,MATCH($M31,Col!$A:$A,0))="","",INDEX(Col!$I:$I,MATCH($M31,Col!$A:$A,0)))</f>
        <v/>
      </c>
      <c r="P31" s="6" t="str">
        <f>IF(INDEX(Col!$K:$K,MATCH($M31,Col!$A:$A,0))="","",INDEX(Col!$K:$K,MATCH($M31,Col!$A:$A,0)))</f>
        <v/>
      </c>
      <c r="Q31" s="6" t="str">
        <f>IF($O31="","",IF(NOT(ISNA(MATCH(LOWER($O31&amp;"|"&amp;$E31),Concept!$K:$K,0))),INDEX(Concept!$A:$A,MATCH(LOWER($O31&amp;"|"&amp;$E31),Concept!$K:$K,0)),IF(NOT(ISNA(MATCH(LOWER($O31&amp;"|"&amp;$E31),Concept!$L:$L,0))),INDEX(Concept!$A:$A,MATCH(LOWER($O31&amp;"|"&amp;$E31),Concept!$L:$L,0)),IF(NOT(ISNA(MATCH(LOWER($O31&amp;"|"&amp;$E31),Concept!$M:$M,0))),INDEX(Concept!$A:$A,MATCH(LOWER($O31&amp;"|"&amp;$E31),Concept!$M:$M,0)),""))))</f>
        <v/>
      </c>
      <c r="R31" s="6" t="str">
        <f>IF($P31="","",IF(NOT(ISNA(MATCH(LOWER($P31&amp;"|"&amp;$E31),Region!$J:$J,0))),INDEX(Region!$A:$A,MATCH(LOWER($P31&amp;"|"&amp;$E31),Region!$J:$J,0)),IF(NOT(ISNA(MATCH(LOWER($P31&amp;"|"&amp;$E31),Region!$K:$K,0))),INDEX(Region!$A:$A,MATCH(LOWER($P31&amp;"|"&amp;$E31),Region!$K:$K,0)),"")))</f>
        <v/>
      </c>
      <c r="S31" s="6" t="str">
        <f>IF($N31&lt;&gt;"ORGANIZATION","",IF(NOT(ISNA(MATCH($E31,Organization!$A:$A,0))),INDEX(Organization!$A:$A,MATCH($E31,Organization!$A:$A,0)),IF(NOT(ISNA(MATCH($E31,Organization!$B:$B,0))),INDEX(Organization!$A:$A,MATCH($E31,Organization!$B:$B,0)),IF(NOT(ISNA(MATCH($E31,Organization!$A:$A,0))),INDEX(Organization!$C:$C,MATCH($E31,Organization!$C:$C,0)),""))))</f>
        <v/>
      </c>
      <c r="T31" s="6" t="str">
        <f>INDEX(Col!$B:$B,MATCH($M31,Col!$A:$A,0))</f>
        <v>0198ef6d-8543-c781-d5a1-ba5569aaaf92</v>
      </c>
      <c r="U31" s="6" t="str">
        <f>INDEX(Dim!$C:$C,MATCH($T31,Dim!$A:$A,0))</f>
        <v>dim16</v>
      </c>
      <c r="V31" s="6" t="str">
        <f>INDEX(Dim!$B:$B,MATCH($T31,Dim!$A:$A,0))</f>
        <v>IDENTIFIER</v>
      </c>
      <c r="W31" t="b">
        <v>0</v>
      </c>
    </row>
    <row r="32" spans="1:23" x14ac:dyDescent="0.3">
      <c r="A32" t="s">
        <v>667</v>
      </c>
      <c r="B32" s="6" t="str">
        <f>INDEX(_CaseData!$G:$G,MATCH($A32,_CaseData!$A:$A,0))</f>
        <v>case_type1</v>
      </c>
      <c r="C32" t="s">
        <v>540</v>
      </c>
      <c r="D32" s="6" t="str">
        <f>INDEX(CaseTypeCol!$H:$H,MATCH($C32,CaseTypeCol!$A:$A,0))</f>
        <v>1_17_0_1</v>
      </c>
      <c r="E32">
        <v>19</v>
      </c>
      <c r="G32" s="6">
        <f t="shared" si="0"/>
        <v>19</v>
      </c>
      <c r="H32" s="6" t="b">
        <f t="shared" si="1"/>
        <v>1</v>
      </c>
      <c r="I32" t="b">
        <v>1</v>
      </c>
      <c r="J32" s="6" t="b">
        <f t="shared" si="2"/>
        <v>1</v>
      </c>
      <c r="K32" s="6" t="str">
        <f>INDEX(_CaseData!$B:$B,MATCH($A32,_CaseData!$A:$A,0))</f>
        <v>0195d18c-1ca6-fd99-9d76-fcfa0c0cf400</v>
      </c>
      <c r="L32" s="6" t="str">
        <f>INDEX(CaseTypeCol!$B:$B,MATCH($C32,CaseTypeCol!$A:$A,0))</f>
        <v>0195d18c-1ca6-fd99-9d76-fcfa0c0cf400</v>
      </c>
      <c r="M32" s="6" t="str">
        <f>INDEX(CaseTypeCol!$D:$D,MATCH($C32,CaseTypeCol!$A:$A,0))</f>
        <v>0198ef6d-8543-c616-5348-1a00a03f4c57</v>
      </c>
      <c r="N32" s="6" t="str">
        <f>INDEX(Col!$H:$H,MATCH($M32,Col!$A:$A,0))</f>
        <v>DECIMAL_0</v>
      </c>
      <c r="O32" s="6" t="str">
        <f>IF(INDEX(Col!$I:$I,MATCH($M32,Col!$A:$A,0))="","",INDEX(Col!$I:$I,MATCH($M32,Col!$A:$A,0)))</f>
        <v/>
      </c>
      <c r="P32" s="6" t="str">
        <f>IF(INDEX(Col!$K:$K,MATCH($M32,Col!$A:$A,0))="","",INDEX(Col!$K:$K,MATCH($M32,Col!$A:$A,0)))</f>
        <v/>
      </c>
      <c r="Q32" s="6" t="str">
        <f>IF($O32="","",IF(NOT(ISNA(MATCH(LOWER($O32&amp;"|"&amp;$E32),Concept!$K:$K,0))),INDEX(Concept!$A:$A,MATCH(LOWER($O32&amp;"|"&amp;$E32),Concept!$K:$K,0)),IF(NOT(ISNA(MATCH(LOWER($O32&amp;"|"&amp;$E32),Concept!$L:$L,0))),INDEX(Concept!$A:$A,MATCH(LOWER($O32&amp;"|"&amp;$E32),Concept!$L:$L,0)),IF(NOT(ISNA(MATCH(LOWER($O32&amp;"|"&amp;$E32),Concept!$M:$M,0))),INDEX(Concept!$A:$A,MATCH(LOWER($O32&amp;"|"&amp;$E32),Concept!$M:$M,0)),""))))</f>
        <v/>
      </c>
      <c r="R32" s="6" t="str">
        <f>IF($P32="","",IF(NOT(ISNA(MATCH(LOWER($P32&amp;"|"&amp;$E32),Region!$J:$J,0))),INDEX(Region!$A:$A,MATCH(LOWER($P32&amp;"|"&amp;$E32),Region!$J:$J,0)),IF(NOT(ISNA(MATCH(LOWER($P32&amp;"|"&amp;$E32),Region!$K:$K,0))),INDEX(Region!$A:$A,MATCH(LOWER($P32&amp;"|"&amp;$E32),Region!$K:$K,0)),"")))</f>
        <v/>
      </c>
      <c r="S32" s="6" t="str">
        <f>IF($N32&lt;&gt;"ORGANIZATION","",IF(NOT(ISNA(MATCH($E32,Organization!$A:$A,0))),INDEX(Organization!$A:$A,MATCH($E32,Organization!$A:$A,0)),IF(NOT(ISNA(MATCH($E32,Organization!$B:$B,0))),INDEX(Organization!$A:$A,MATCH($E32,Organization!$B:$B,0)),IF(NOT(ISNA(MATCH($E32,Organization!$A:$A,0))),INDEX(Organization!$C:$C,MATCH($E32,Organization!$C:$C,0)),""))))</f>
        <v/>
      </c>
      <c r="T32" s="6" t="str">
        <f>INDEX(Col!$B:$B,MATCH($M32,Col!$A:$A,0))</f>
        <v>0198ef6d-8543-2e3c-58fa-85eca2a977c1</v>
      </c>
      <c r="U32" s="6" t="str">
        <f>INDEX(Dim!$C:$C,MATCH($T32,Dim!$A:$A,0))</f>
        <v>dim17</v>
      </c>
      <c r="V32" s="6" t="str">
        <f>INDEX(Dim!$B:$B,MATCH($T32,Dim!$A:$A,0))</f>
        <v>NUMBER</v>
      </c>
      <c r="W32" t="b">
        <v>0</v>
      </c>
    </row>
    <row r="33" spans="1:23" x14ac:dyDescent="0.3">
      <c r="A33" t="s">
        <v>667</v>
      </c>
      <c r="B33" s="6" t="str">
        <f>INDEX(_CaseData!$G:$G,MATCH($A33,_CaseData!$A:$A,0))</f>
        <v>case_type1</v>
      </c>
      <c r="C33" t="s">
        <v>541</v>
      </c>
      <c r="D33" s="6" t="str">
        <f>INDEX(CaseTypeCol!$H:$H,MATCH($C33,CaseTypeCol!$A:$A,0))</f>
        <v>1_17_0_2</v>
      </c>
      <c r="E33" s="11" t="s">
        <v>819</v>
      </c>
      <c r="G33" s="6" t="str">
        <f t="shared" si="0"/>
        <v>0198ef6d-8543-d03b-b9f4-f460fae89f04</v>
      </c>
      <c r="H33" s="6" t="b">
        <f t="shared" si="1"/>
        <v>1</v>
      </c>
      <c r="I33" t="b">
        <v>1</v>
      </c>
      <c r="J33" s="6" t="b">
        <f t="shared" si="2"/>
        <v>1</v>
      </c>
      <c r="K33" s="6" t="str">
        <f>INDEX(_CaseData!$B:$B,MATCH($A33,_CaseData!$A:$A,0))</f>
        <v>0195d18c-1ca6-fd99-9d76-fcfa0c0cf400</v>
      </c>
      <c r="L33" s="6" t="str">
        <f>INDEX(CaseTypeCol!$B:$B,MATCH($C33,CaseTypeCol!$A:$A,0))</f>
        <v>0195d18c-1ca6-fd99-9d76-fcfa0c0cf400</v>
      </c>
      <c r="M33" s="6" t="str">
        <f>INDEX(CaseTypeCol!$D:$D,MATCH($C33,CaseTypeCol!$A:$A,0))</f>
        <v>0198ef6d-8543-d80f-bded-2df4b7df993d</v>
      </c>
      <c r="N33" s="6" t="str">
        <f>INDEX(Col!$H:$H,MATCH($M33,Col!$A:$A,0))</f>
        <v>INTERVAL</v>
      </c>
      <c r="O33" s="6" t="str">
        <f>IF(INDEX(Col!$I:$I,MATCH($M33,Col!$A:$A,0))="","",INDEX(Col!$I:$I,MATCH($M33,Col!$A:$A,0)))</f>
        <v>0198ef6d-8543-020d-44c5-53e813a46714</v>
      </c>
      <c r="P33" s="6" t="str">
        <f>IF(INDEX(Col!$K:$K,MATCH($M33,Col!$A:$A,0))="","",INDEX(Col!$K:$K,MATCH($M33,Col!$A:$A,0)))</f>
        <v/>
      </c>
      <c r="Q33" s="6" t="str">
        <f>IF($O33="","",IF(NOT(ISNA(MATCH(LOWER($O33&amp;"|"&amp;$E33),Concept!$K:$K,0))),INDEX(Concept!$A:$A,MATCH(LOWER($O33&amp;"|"&amp;$E33),Concept!$K:$K,0)),IF(NOT(ISNA(MATCH(LOWER($O33&amp;"|"&amp;$E33),Concept!$L:$L,0))),INDEX(Concept!$A:$A,MATCH(LOWER($O33&amp;"|"&amp;$E33),Concept!$L:$L,0)),IF(NOT(ISNA(MATCH(LOWER($O33&amp;"|"&amp;$E33),Concept!$M:$M,0))),INDEX(Concept!$A:$A,MATCH(LOWER($O33&amp;"|"&amp;$E33),Concept!$M:$M,0)),""))))</f>
        <v>0198ef6d-8543-d03b-b9f4-f460fae89f04</v>
      </c>
      <c r="R33" s="6" t="str">
        <f>IF($P33="","",IF(NOT(ISNA(MATCH(LOWER($P33&amp;"|"&amp;$E33),Region!$J:$J,0))),INDEX(Region!$A:$A,MATCH(LOWER($P33&amp;"|"&amp;$E33),Region!$J:$J,0)),IF(NOT(ISNA(MATCH(LOWER($P33&amp;"|"&amp;$E33),Region!$K:$K,0))),INDEX(Region!$A:$A,MATCH(LOWER($P33&amp;"|"&amp;$E33),Region!$K:$K,0)),"")))</f>
        <v/>
      </c>
      <c r="S33" s="6" t="str">
        <f>IF($N33&lt;&gt;"ORGANIZATION","",IF(NOT(ISNA(MATCH($E33,Organization!$A:$A,0))),INDEX(Organization!$A:$A,MATCH($E33,Organization!$A:$A,0)),IF(NOT(ISNA(MATCH($E33,Organization!$B:$B,0))),INDEX(Organization!$A:$A,MATCH($E33,Organization!$B:$B,0)),IF(NOT(ISNA(MATCH($E33,Organization!$A:$A,0))),INDEX(Organization!$C:$C,MATCH($E33,Organization!$C:$C,0)),""))))</f>
        <v/>
      </c>
      <c r="T33" s="6" t="str">
        <f>INDEX(Col!$B:$B,MATCH($M33,Col!$A:$A,0))</f>
        <v>0198ef6d-8543-2e3c-58fa-85eca2a977c1</v>
      </c>
      <c r="U33" s="6" t="str">
        <f>INDEX(Dim!$C:$C,MATCH($T33,Dim!$A:$A,0))</f>
        <v>dim17</v>
      </c>
      <c r="V33" s="6" t="str">
        <f>INDEX(Dim!$B:$B,MATCH($T33,Dim!$A:$A,0))</f>
        <v>NUMBER</v>
      </c>
      <c r="W33" t="b">
        <v>0</v>
      </c>
    </row>
    <row r="34" spans="1:23" x14ac:dyDescent="0.3">
      <c r="A34" t="s">
        <v>667</v>
      </c>
      <c r="B34" s="6" t="str">
        <f>INDEX(_CaseData!$G:$G,MATCH($A34,_CaseData!$A:$A,0))</f>
        <v>case_type1</v>
      </c>
      <c r="C34" t="s">
        <v>542</v>
      </c>
      <c r="D34" s="6" t="str">
        <f>INDEX(CaseTypeCol!$H:$H,MATCH($C34,CaseTypeCol!$A:$A,0))</f>
        <v>1_17_0_3</v>
      </c>
      <c r="E34" s="11" t="s">
        <v>820</v>
      </c>
      <c r="G34" s="6" t="str">
        <f t="shared" si="0"/>
        <v>0198ef6d-8543-626b-c05d-de74547d3621</v>
      </c>
      <c r="H34" s="6" t="b">
        <f t="shared" si="1"/>
        <v>1</v>
      </c>
      <c r="I34" t="b">
        <v>1</v>
      </c>
      <c r="J34" s="6" t="b">
        <f t="shared" si="2"/>
        <v>1</v>
      </c>
      <c r="K34" s="6" t="str">
        <f>INDEX(_CaseData!$B:$B,MATCH($A34,_CaseData!$A:$A,0))</f>
        <v>0195d18c-1ca6-fd99-9d76-fcfa0c0cf400</v>
      </c>
      <c r="L34" s="6" t="str">
        <f>INDEX(CaseTypeCol!$B:$B,MATCH($C34,CaseTypeCol!$A:$A,0))</f>
        <v>0195d18c-1ca6-fd99-9d76-fcfa0c0cf400</v>
      </c>
      <c r="M34" s="6" t="str">
        <f>INDEX(CaseTypeCol!$D:$D,MATCH($C34,CaseTypeCol!$A:$A,0))</f>
        <v>0198ef6d-8543-7e88-f9a1-238ceac18124</v>
      </c>
      <c r="N34" s="6" t="str">
        <f>INDEX(Col!$H:$H,MATCH($M34,Col!$A:$A,0))</f>
        <v>INTERVAL</v>
      </c>
      <c r="O34" s="6" t="str">
        <f>IF(INDEX(Col!$I:$I,MATCH($M34,Col!$A:$A,0))="","",INDEX(Col!$I:$I,MATCH($M34,Col!$A:$A,0)))</f>
        <v>0198ef6d-8543-2a37-be54-7f7d24e1ed1d</v>
      </c>
      <c r="P34" s="6" t="str">
        <f>IF(INDEX(Col!$K:$K,MATCH($M34,Col!$A:$A,0))="","",INDEX(Col!$K:$K,MATCH($M34,Col!$A:$A,0)))</f>
        <v/>
      </c>
      <c r="Q34" s="6" t="str">
        <f>IF($O34="","",IF(NOT(ISNA(MATCH(LOWER($O34&amp;"|"&amp;$E34),Concept!$K:$K,0))),INDEX(Concept!$A:$A,MATCH(LOWER($O34&amp;"|"&amp;$E34),Concept!$K:$K,0)),IF(NOT(ISNA(MATCH(LOWER($O34&amp;"|"&amp;$E34),Concept!$L:$L,0))),INDEX(Concept!$A:$A,MATCH(LOWER($O34&amp;"|"&amp;$E34),Concept!$L:$L,0)),IF(NOT(ISNA(MATCH(LOWER($O34&amp;"|"&amp;$E34),Concept!$M:$M,0))),INDEX(Concept!$A:$A,MATCH(LOWER($O34&amp;"|"&amp;$E34),Concept!$M:$M,0)),""))))</f>
        <v>0198ef6d-8543-626b-c05d-de74547d3621</v>
      </c>
      <c r="R34" s="6" t="str">
        <f>IF($P34="","",IF(NOT(ISNA(MATCH(LOWER($P34&amp;"|"&amp;$E34),Region!$J:$J,0))),INDEX(Region!$A:$A,MATCH(LOWER($P34&amp;"|"&amp;$E34),Region!$J:$J,0)),IF(NOT(ISNA(MATCH(LOWER($P34&amp;"|"&amp;$E34),Region!$K:$K,0))),INDEX(Region!$A:$A,MATCH(LOWER($P34&amp;"|"&amp;$E34),Region!$K:$K,0)),"")))</f>
        <v/>
      </c>
      <c r="S34" s="6" t="str">
        <f>IF($N34&lt;&gt;"ORGANIZATION","",IF(NOT(ISNA(MATCH($E34,Organization!$A:$A,0))),INDEX(Organization!$A:$A,MATCH($E34,Organization!$A:$A,0)),IF(NOT(ISNA(MATCH($E34,Organization!$B:$B,0))),INDEX(Organization!$A:$A,MATCH($E34,Organization!$B:$B,0)),IF(NOT(ISNA(MATCH($E34,Organization!$A:$A,0))),INDEX(Organization!$C:$C,MATCH($E34,Organization!$C:$C,0)),""))))</f>
        <v/>
      </c>
      <c r="T34" s="6" t="str">
        <f>INDEX(Col!$B:$B,MATCH($M34,Col!$A:$A,0))</f>
        <v>0198ef6d-8543-2e3c-58fa-85eca2a977c1</v>
      </c>
      <c r="U34" s="6" t="str">
        <f>INDEX(Dim!$C:$C,MATCH($T34,Dim!$A:$A,0))</f>
        <v>dim17</v>
      </c>
      <c r="V34" s="6" t="str">
        <f>INDEX(Dim!$B:$B,MATCH($T34,Dim!$A:$A,0))</f>
        <v>NUMBER</v>
      </c>
      <c r="W34" t="b">
        <v>0</v>
      </c>
    </row>
    <row r="35" spans="1:23" x14ac:dyDescent="0.3">
      <c r="A35" t="s">
        <v>667</v>
      </c>
      <c r="B35" s="6" t="str">
        <f>INDEX(_CaseData!$G:$G,MATCH($A35,_CaseData!$A:$A,0))</f>
        <v>case_type1</v>
      </c>
      <c r="C35" t="s">
        <v>543</v>
      </c>
      <c r="D35" s="6" t="str">
        <f>INDEX(CaseTypeCol!$H:$H,MATCH($C35,CaseTypeCol!$A:$A,0))</f>
        <v>1_18_0_1</v>
      </c>
      <c r="E35" s="11">
        <v>0.02</v>
      </c>
      <c r="G35" s="6">
        <f t="shared" si="0"/>
        <v>0.02</v>
      </c>
      <c r="H35" s="6" t="b">
        <f t="shared" si="1"/>
        <v>1</v>
      </c>
      <c r="I35" t="b">
        <v>1</v>
      </c>
      <c r="J35" s="6" t="b">
        <f t="shared" si="2"/>
        <v>1</v>
      </c>
      <c r="K35" s="6" t="str">
        <f>INDEX(_CaseData!$B:$B,MATCH($A35,_CaseData!$A:$A,0))</f>
        <v>0195d18c-1ca6-fd99-9d76-fcfa0c0cf400</v>
      </c>
      <c r="L35" s="6" t="str">
        <f>INDEX(CaseTypeCol!$B:$B,MATCH($C35,CaseTypeCol!$A:$A,0))</f>
        <v>0195d18c-1ca6-fd99-9d76-fcfa0c0cf400</v>
      </c>
      <c r="M35" s="6" t="str">
        <f>INDEX(CaseTypeCol!$D:$D,MATCH($C35,CaseTypeCol!$A:$A,0))</f>
        <v>0198ef6d-8543-e39d-276c-4184424fa3b7</v>
      </c>
      <c r="N35" s="6" t="str">
        <f>INDEX(Col!$H:$H,MATCH($M35,Col!$A:$A,0))</f>
        <v>DECIMAL_2</v>
      </c>
      <c r="O35" s="6" t="str">
        <f>IF(INDEX(Col!$I:$I,MATCH($M35,Col!$A:$A,0))="","",INDEX(Col!$I:$I,MATCH($M35,Col!$A:$A,0)))</f>
        <v/>
      </c>
      <c r="P35" s="6" t="str">
        <f>IF(INDEX(Col!$K:$K,MATCH($M35,Col!$A:$A,0))="","",INDEX(Col!$K:$K,MATCH($M35,Col!$A:$A,0)))</f>
        <v/>
      </c>
      <c r="Q35" s="6" t="str">
        <f>IF($O35="","",IF(NOT(ISNA(MATCH(LOWER($O35&amp;"|"&amp;$E35),Concept!$K:$K,0))),INDEX(Concept!$A:$A,MATCH(LOWER($O35&amp;"|"&amp;$E35),Concept!$K:$K,0)),IF(NOT(ISNA(MATCH(LOWER($O35&amp;"|"&amp;$E35),Concept!$L:$L,0))),INDEX(Concept!$A:$A,MATCH(LOWER($O35&amp;"|"&amp;$E35),Concept!$L:$L,0)),IF(NOT(ISNA(MATCH(LOWER($O35&amp;"|"&amp;$E35),Concept!$M:$M,0))),INDEX(Concept!$A:$A,MATCH(LOWER($O35&amp;"|"&amp;$E35),Concept!$M:$M,0)),""))))</f>
        <v/>
      </c>
      <c r="R35" s="6" t="str">
        <f>IF($P35="","",IF(NOT(ISNA(MATCH(LOWER($P35&amp;"|"&amp;$E35),Region!$J:$J,0))),INDEX(Region!$A:$A,MATCH(LOWER($P35&amp;"|"&amp;$E35),Region!$J:$J,0)),IF(NOT(ISNA(MATCH(LOWER($P35&amp;"|"&amp;$E35),Region!$K:$K,0))),INDEX(Region!$A:$A,MATCH(LOWER($P35&amp;"|"&amp;$E35),Region!$K:$K,0)),"")))</f>
        <v/>
      </c>
      <c r="S35" s="6" t="str">
        <f>IF($N35&lt;&gt;"ORGANIZATION","",IF(NOT(ISNA(MATCH($E35,Organization!$A:$A,0))),INDEX(Organization!$A:$A,MATCH($E35,Organization!$A:$A,0)),IF(NOT(ISNA(MATCH($E35,Organization!$B:$B,0))),INDEX(Organization!$A:$A,MATCH($E35,Organization!$B:$B,0)),IF(NOT(ISNA(MATCH($E35,Organization!$A:$A,0))),INDEX(Organization!$C:$C,MATCH($E35,Organization!$C:$C,0)),""))))</f>
        <v/>
      </c>
      <c r="T35" s="6" t="str">
        <f>INDEX(Col!$B:$B,MATCH($M35,Col!$A:$A,0))</f>
        <v>0198ef6d-8543-ca89-d050-715e4e6f5013</v>
      </c>
      <c r="U35" s="6" t="str">
        <f>INDEX(Dim!$C:$C,MATCH($T35,Dim!$A:$A,0))</f>
        <v>dim18</v>
      </c>
      <c r="V35" s="6" t="str">
        <f>INDEX(Dim!$B:$B,MATCH($T35,Dim!$A:$A,0))</f>
        <v>NUMBER</v>
      </c>
      <c r="W35" t="b">
        <v>0</v>
      </c>
    </row>
    <row r="36" spans="1:23" x14ac:dyDescent="0.3">
      <c r="A36" t="s">
        <v>667</v>
      </c>
      <c r="B36" s="6" t="str">
        <f>INDEX(_CaseData!$G:$G,MATCH($A36,_CaseData!$A:$A,0))</f>
        <v>case_type1</v>
      </c>
      <c r="C36" t="s">
        <v>544</v>
      </c>
      <c r="D36" s="6" t="str">
        <f>INDEX(CaseTypeCol!$H:$H,MATCH($C36,CaseTypeCol!$A:$A,0))</f>
        <v>1_18_0_2</v>
      </c>
      <c r="E36" s="11" t="s">
        <v>821</v>
      </c>
      <c r="G36" s="6" t="str">
        <f t="shared" si="0"/>
        <v>0198ef6d-8543-9248-0edb-2477c9364381</v>
      </c>
      <c r="H36" s="6" t="b">
        <f t="shared" si="1"/>
        <v>1</v>
      </c>
      <c r="I36" t="b">
        <v>1</v>
      </c>
      <c r="J36" s="6" t="b">
        <f t="shared" si="2"/>
        <v>1</v>
      </c>
      <c r="K36" s="6" t="str">
        <f>INDEX(_CaseData!$B:$B,MATCH($A36,_CaseData!$A:$A,0))</f>
        <v>0195d18c-1ca6-fd99-9d76-fcfa0c0cf400</v>
      </c>
      <c r="L36" s="6" t="str">
        <f>INDEX(CaseTypeCol!$B:$B,MATCH($C36,CaseTypeCol!$A:$A,0))</f>
        <v>0195d18c-1ca6-fd99-9d76-fcfa0c0cf400</v>
      </c>
      <c r="M36" s="6" t="str">
        <f>INDEX(CaseTypeCol!$D:$D,MATCH($C36,CaseTypeCol!$A:$A,0))</f>
        <v>0198ef6d-8543-4cc4-3dfd-ec8b31c48f5d</v>
      </c>
      <c r="N36" s="6" t="str">
        <f>INDEX(Col!$H:$H,MATCH($M36,Col!$A:$A,0))</f>
        <v>INTERVAL</v>
      </c>
      <c r="O36" s="6" t="str">
        <f>IF(INDEX(Col!$I:$I,MATCH($M36,Col!$A:$A,0))="","",INDEX(Col!$I:$I,MATCH($M36,Col!$A:$A,0)))</f>
        <v>0198ef6d-8543-cb6b-0c98-c2a7e640e10d</v>
      </c>
      <c r="P36" s="6" t="str">
        <f>IF(INDEX(Col!$K:$K,MATCH($M36,Col!$A:$A,0))="","",INDEX(Col!$K:$K,MATCH($M36,Col!$A:$A,0)))</f>
        <v/>
      </c>
      <c r="Q36" s="6" t="str">
        <f>IF($O36="","",IF(NOT(ISNA(MATCH(LOWER($O36&amp;"|"&amp;$E36),Concept!$K:$K,0))),INDEX(Concept!$A:$A,MATCH(LOWER($O36&amp;"|"&amp;$E36),Concept!$K:$K,0)),IF(NOT(ISNA(MATCH(LOWER($O36&amp;"|"&amp;$E36),Concept!$L:$L,0))),INDEX(Concept!$A:$A,MATCH(LOWER($O36&amp;"|"&amp;$E36),Concept!$L:$L,0)),IF(NOT(ISNA(MATCH(LOWER($O36&amp;"|"&amp;$E36),Concept!$M:$M,0))),INDEX(Concept!$A:$A,MATCH(LOWER($O36&amp;"|"&amp;$E36),Concept!$M:$M,0)),""))))</f>
        <v>0198ef6d-8543-9248-0edb-2477c9364381</v>
      </c>
      <c r="R36" s="6" t="str">
        <f>IF($P36="","",IF(NOT(ISNA(MATCH(LOWER($P36&amp;"|"&amp;$E36),Region!$J:$J,0))),INDEX(Region!$A:$A,MATCH(LOWER($P36&amp;"|"&amp;$E36),Region!$J:$J,0)),IF(NOT(ISNA(MATCH(LOWER($P36&amp;"|"&amp;$E36),Region!$K:$K,0))),INDEX(Region!$A:$A,MATCH(LOWER($P36&amp;"|"&amp;$E36),Region!$K:$K,0)),"")))</f>
        <v/>
      </c>
      <c r="S36" s="6" t="str">
        <f>IF($N36&lt;&gt;"ORGANIZATION","",IF(NOT(ISNA(MATCH($E36,Organization!$A:$A,0))),INDEX(Organization!$A:$A,MATCH($E36,Organization!$A:$A,0)),IF(NOT(ISNA(MATCH($E36,Organization!$B:$B,0))),INDEX(Organization!$A:$A,MATCH($E36,Organization!$B:$B,0)),IF(NOT(ISNA(MATCH($E36,Organization!$A:$A,0))),INDEX(Organization!$C:$C,MATCH($E36,Organization!$C:$C,0)),""))))</f>
        <v/>
      </c>
      <c r="T36" s="6" t="str">
        <f>INDEX(Col!$B:$B,MATCH($M36,Col!$A:$A,0))</f>
        <v>0198ef6d-8543-ca89-d050-715e4e6f5013</v>
      </c>
      <c r="U36" s="6" t="str">
        <f>INDEX(Dim!$C:$C,MATCH($T36,Dim!$A:$A,0))</f>
        <v>dim18</v>
      </c>
      <c r="V36" s="6" t="str">
        <f>INDEX(Dim!$B:$B,MATCH($T36,Dim!$A:$A,0))</f>
        <v>NUMBER</v>
      </c>
      <c r="W36" t="b">
        <v>0</v>
      </c>
    </row>
    <row r="37" spans="1:23" x14ac:dyDescent="0.3">
      <c r="A37" t="s">
        <v>667</v>
      </c>
      <c r="B37" s="6" t="str">
        <f>INDEX(_CaseData!$G:$G,MATCH($A37,_CaseData!$A:$A,0))</f>
        <v>case_type1</v>
      </c>
      <c r="C37" t="s">
        <v>545</v>
      </c>
      <c r="D37" s="6" t="str">
        <f>INDEX(CaseTypeCol!$H:$H,MATCH($C37,CaseTypeCol!$A:$A,0))</f>
        <v>1_18_0_3</v>
      </c>
      <c r="E37" s="11" t="s">
        <v>685</v>
      </c>
      <c r="G37" s="6" t="str">
        <f t="shared" si="0"/>
        <v/>
      </c>
      <c r="H37" s="6" t="b">
        <f t="shared" si="1"/>
        <v>1</v>
      </c>
      <c r="I37" t="b">
        <v>1</v>
      </c>
      <c r="J37" s="6" t="b">
        <f t="shared" si="2"/>
        <v>1</v>
      </c>
      <c r="K37" s="6" t="str">
        <f>INDEX(_CaseData!$B:$B,MATCH($A37,_CaseData!$A:$A,0))</f>
        <v>0195d18c-1ca6-fd99-9d76-fcfa0c0cf400</v>
      </c>
      <c r="L37" s="6" t="str">
        <f>INDEX(CaseTypeCol!$B:$B,MATCH($C37,CaseTypeCol!$A:$A,0))</f>
        <v>0195d18c-1ca6-fd99-9d76-fcfa0c0cf400</v>
      </c>
      <c r="M37" s="6" t="str">
        <f>INDEX(CaseTypeCol!$D:$D,MATCH($C37,CaseTypeCol!$A:$A,0))</f>
        <v>0198ef6d-8543-5969-bc68-05db01d72683</v>
      </c>
      <c r="N37" s="6" t="str">
        <f>INDEX(Col!$H:$H,MATCH($M37,Col!$A:$A,0))</f>
        <v>INTERVAL</v>
      </c>
      <c r="O37" s="6" t="str">
        <f>IF(INDEX(Col!$I:$I,MATCH($M37,Col!$A:$A,0))="","",INDEX(Col!$I:$I,MATCH($M37,Col!$A:$A,0)))</f>
        <v>0198ef6d-8543-f668-cedc-b78f8e3bc412</v>
      </c>
      <c r="P37" s="6" t="str">
        <f>IF(INDEX(Col!$K:$K,MATCH($M37,Col!$A:$A,0))="","",INDEX(Col!$K:$K,MATCH($M37,Col!$A:$A,0)))</f>
        <v/>
      </c>
      <c r="Q37" s="6" t="str">
        <f>IF($O37="","",IF(NOT(ISNA(MATCH(LOWER($O37&amp;"|"&amp;$E37),Concept!$K:$K,0))),INDEX(Concept!$A:$A,MATCH(LOWER($O37&amp;"|"&amp;$E37),Concept!$K:$K,0)),IF(NOT(ISNA(MATCH(LOWER($O37&amp;"|"&amp;$E37),Concept!$L:$L,0))),INDEX(Concept!$A:$A,MATCH(LOWER($O37&amp;"|"&amp;$E37),Concept!$L:$L,0)),IF(NOT(ISNA(MATCH(LOWER($O37&amp;"|"&amp;$E37),Concept!$M:$M,0))),INDEX(Concept!$A:$A,MATCH(LOWER($O37&amp;"|"&amp;$E37),Concept!$M:$M,0)),""))))</f>
        <v/>
      </c>
      <c r="R37" s="6" t="str">
        <f>IF($P37="","",IF(NOT(ISNA(MATCH(LOWER($P37&amp;"|"&amp;$E37),Region!$J:$J,0))),INDEX(Region!$A:$A,MATCH(LOWER($P37&amp;"|"&amp;$E37),Region!$J:$J,0)),IF(NOT(ISNA(MATCH(LOWER($P37&amp;"|"&amp;$E37),Region!$K:$K,0))),INDEX(Region!$A:$A,MATCH(LOWER($P37&amp;"|"&amp;$E37),Region!$K:$K,0)),"")))</f>
        <v/>
      </c>
      <c r="S37" s="6" t="str">
        <f>IF($N37&lt;&gt;"ORGANIZATION","",IF(NOT(ISNA(MATCH($E37,Organization!$A:$A,0))),INDEX(Organization!$A:$A,MATCH($E37,Organization!$A:$A,0)),IF(NOT(ISNA(MATCH($E37,Organization!$B:$B,0))),INDEX(Organization!$A:$A,MATCH($E37,Organization!$B:$B,0)),IF(NOT(ISNA(MATCH($E37,Organization!$A:$A,0))),INDEX(Organization!$C:$C,MATCH($E37,Organization!$C:$C,0)),""))))</f>
        <v/>
      </c>
      <c r="T37" s="6" t="str">
        <f>INDEX(Col!$B:$B,MATCH($M37,Col!$A:$A,0))</f>
        <v>0198ef6d-8543-ca89-d050-715e4e6f5013</v>
      </c>
      <c r="U37" s="6" t="str">
        <f>INDEX(Dim!$C:$C,MATCH($T37,Dim!$A:$A,0))</f>
        <v>dim18</v>
      </c>
      <c r="V37" s="6" t="str">
        <f>INDEX(Dim!$B:$B,MATCH($T37,Dim!$A:$A,0))</f>
        <v>NUMBER</v>
      </c>
      <c r="W37" t="b">
        <v>0</v>
      </c>
    </row>
    <row r="38" spans="1:23" x14ac:dyDescent="0.3">
      <c r="A38" t="s">
        <v>667</v>
      </c>
      <c r="B38" s="6" t="str">
        <f>INDEX(_CaseData!$G:$G,MATCH($A38,_CaseData!$A:$A,0))</f>
        <v>case_type1</v>
      </c>
      <c r="C38" t="s">
        <v>546</v>
      </c>
      <c r="D38" s="6" t="str">
        <f>INDEX(CaseTypeCol!$H:$H,MATCH($C38,CaseTypeCol!$A:$A,0))</f>
        <v>1_21_0_1</v>
      </c>
      <c r="E38" t="s">
        <v>686</v>
      </c>
      <c r="G38" s="6" t="str">
        <f t="shared" si="0"/>
        <v>OTHER1_1</v>
      </c>
      <c r="H38" s="6" t="b">
        <f t="shared" si="1"/>
        <v>1</v>
      </c>
      <c r="I38" t="b">
        <v>1</v>
      </c>
      <c r="J38" s="6" t="b">
        <f t="shared" si="2"/>
        <v>1</v>
      </c>
      <c r="K38" s="6" t="str">
        <f>INDEX(_CaseData!$B:$B,MATCH($A38,_CaseData!$A:$A,0))</f>
        <v>0195d18c-1ca6-fd99-9d76-fcfa0c0cf400</v>
      </c>
      <c r="L38" s="6" t="str">
        <f>INDEX(CaseTypeCol!$B:$B,MATCH($C38,CaseTypeCol!$A:$A,0))</f>
        <v>0195d18c-1ca6-fd99-9d76-fcfa0c0cf400</v>
      </c>
      <c r="M38" s="6" t="str">
        <f>INDEX(CaseTypeCol!$D:$D,MATCH($C38,CaseTypeCol!$A:$A,0))</f>
        <v>0198ef6d-8543-48c7-ff84-ba2c574cb664</v>
      </c>
      <c r="N38" s="6" t="str">
        <f>INDEX(Col!$H:$H,MATCH($M38,Col!$A:$A,0))</f>
        <v>OTHER</v>
      </c>
      <c r="O38" s="6" t="str">
        <f>IF(INDEX(Col!$I:$I,MATCH($M38,Col!$A:$A,0))="","",INDEX(Col!$I:$I,MATCH($M38,Col!$A:$A,0)))</f>
        <v/>
      </c>
      <c r="P38" s="6" t="str">
        <f>IF(INDEX(Col!$K:$K,MATCH($M38,Col!$A:$A,0))="","",INDEX(Col!$K:$K,MATCH($M38,Col!$A:$A,0)))</f>
        <v/>
      </c>
      <c r="Q38" s="6" t="str">
        <f>IF($O38="","",IF(NOT(ISNA(MATCH(LOWER($O38&amp;"|"&amp;$E38),Concept!$K:$K,0))),INDEX(Concept!$A:$A,MATCH(LOWER($O38&amp;"|"&amp;$E38),Concept!$K:$K,0)),IF(NOT(ISNA(MATCH(LOWER($O38&amp;"|"&amp;$E38),Concept!$L:$L,0))),INDEX(Concept!$A:$A,MATCH(LOWER($O38&amp;"|"&amp;$E38),Concept!$L:$L,0)),IF(NOT(ISNA(MATCH(LOWER($O38&amp;"|"&amp;$E38),Concept!$M:$M,0))),INDEX(Concept!$A:$A,MATCH(LOWER($O38&amp;"|"&amp;$E38),Concept!$M:$M,0)),""))))</f>
        <v/>
      </c>
      <c r="R38" s="6" t="str">
        <f>IF($P38="","",IF(NOT(ISNA(MATCH(LOWER($P38&amp;"|"&amp;$E38),Region!$J:$J,0))),INDEX(Region!$A:$A,MATCH(LOWER($P38&amp;"|"&amp;$E38),Region!$J:$J,0)),IF(NOT(ISNA(MATCH(LOWER($P38&amp;"|"&amp;$E38),Region!$K:$K,0))),INDEX(Region!$A:$A,MATCH(LOWER($P38&amp;"|"&amp;$E38),Region!$K:$K,0)),"")))</f>
        <v/>
      </c>
      <c r="S38" s="6" t="str">
        <f>IF($N38&lt;&gt;"ORGANIZATION","",IF(NOT(ISNA(MATCH($E38,Organization!$A:$A,0))),INDEX(Organization!$A:$A,MATCH($E38,Organization!$A:$A,0)),IF(NOT(ISNA(MATCH($E38,Organization!$B:$B,0))),INDEX(Organization!$A:$A,MATCH($E38,Organization!$B:$B,0)),IF(NOT(ISNA(MATCH($E38,Organization!$A:$A,0))),INDEX(Organization!$C:$C,MATCH($E38,Organization!$C:$C,0)),""))))</f>
        <v/>
      </c>
      <c r="T38" s="6" t="str">
        <f>INDEX(Col!$B:$B,MATCH($M38,Col!$A:$A,0))</f>
        <v>0198ef6d-8543-464e-e152-42bb0dc00713</v>
      </c>
      <c r="U38" s="6" t="str">
        <f>INDEX(Dim!$C:$C,MATCH($T38,Dim!$A:$A,0))</f>
        <v>dim21</v>
      </c>
      <c r="V38" s="6" t="str">
        <f>INDEX(Dim!$B:$B,MATCH($T38,Dim!$A:$A,0))</f>
        <v>OTHER</v>
      </c>
      <c r="W38" t="b">
        <v>0</v>
      </c>
    </row>
    <row r="39" spans="1:23" x14ac:dyDescent="0.3">
      <c r="A39" t="s">
        <v>667</v>
      </c>
      <c r="B39" s="6" t="str">
        <f>INDEX(_CaseData!$G:$G,MATCH($A39,_CaseData!$A:$A,0))</f>
        <v>case_type1</v>
      </c>
      <c r="C39" t="s">
        <v>547</v>
      </c>
      <c r="D39" s="6" t="str">
        <f>INDEX(CaseTypeCol!$H:$H,MATCH($C39,CaseTypeCol!$A:$A,0))</f>
        <v>1_22_0_1</v>
      </c>
      <c r="E39" t="s">
        <v>687</v>
      </c>
      <c r="G39" s="6" t="str">
        <f t="shared" si="0"/>
        <v>OTHER2_1</v>
      </c>
      <c r="H39" s="6" t="b">
        <f t="shared" si="1"/>
        <v>1</v>
      </c>
      <c r="I39" t="b">
        <v>1</v>
      </c>
      <c r="J39" s="6" t="b">
        <f t="shared" si="2"/>
        <v>1</v>
      </c>
      <c r="K39" s="6" t="str">
        <f>INDEX(_CaseData!$B:$B,MATCH($A39,_CaseData!$A:$A,0))</f>
        <v>0195d18c-1ca6-fd99-9d76-fcfa0c0cf400</v>
      </c>
      <c r="L39" s="6" t="str">
        <f>INDEX(CaseTypeCol!$B:$B,MATCH($C39,CaseTypeCol!$A:$A,0))</f>
        <v>0195d18c-1ca6-fd99-9d76-fcfa0c0cf400</v>
      </c>
      <c r="M39" s="6" t="str">
        <f>INDEX(CaseTypeCol!$D:$D,MATCH($C39,CaseTypeCol!$A:$A,0))</f>
        <v>0198ef6d-8543-6928-904b-2f24d48dec5d</v>
      </c>
      <c r="N39" s="6" t="str">
        <f>INDEX(Col!$H:$H,MATCH($M39,Col!$A:$A,0))</f>
        <v>OTHER</v>
      </c>
      <c r="O39" s="6" t="str">
        <f>IF(INDEX(Col!$I:$I,MATCH($M39,Col!$A:$A,0))="","",INDEX(Col!$I:$I,MATCH($M39,Col!$A:$A,0)))</f>
        <v/>
      </c>
      <c r="P39" s="6" t="str">
        <f>IF(INDEX(Col!$K:$K,MATCH($M39,Col!$A:$A,0))="","",INDEX(Col!$K:$K,MATCH($M39,Col!$A:$A,0)))</f>
        <v/>
      </c>
      <c r="Q39" s="6" t="str">
        <f>IF($O39="","",IF(NOT(ISNA(MATCH(LOWER($O39&amp;"|"&amp;$E39),Concept!$K:$K,0))),INDEX(Concept!$A:$A,MATCH(LOWER($O39&amp;"|"&amp;$E39),Concept!$K:$K,0)),IF(NOT(ISNA(MATCH(LOWER($O39&amp;"|"&amp;$E39),Concept!$L:$L,0))),INDEX(Concept!$A:$A,MATCH(LOWER($O39&amp;"|"&amp;$E39),Concept!$L:$L,0)),IF(NOT(ISNA(MATCH(LOWER($O39&amp;"|"&amp;$E39),Concept!$M:$M,0))),INDEX(Concept!$A:$A,MATCH(LOWER($O39&amp;"|"&amp;$E39),Concept!$M:$M,0)),""))))</f>
        <v/>
      </c>
      <c r="R39" s="6" t="str">
        <f>IF($P39="","",IF(NOT(ISNA(MATCH(LOWER($P39&amp;"|"&amp;$E39),Region!$J:$J,0))),INDEX(Region!$A:$A,MATCH(LOWER($P39&amp;"|"&amp;$E39),Region!$J:$J,0)),IF(NOT(ISNA(MATCH(LOWER($P39&amp;"|"&amp;$E39),Region!$K:$K,0))),INDEX(Region!$A:$A,MATCH(LOWER($P39&amp;"|"&amp;$E39),Region!$K:$K,0)),"")))</f>
        <v/>
      </c>
      <c r="S39" s="6" t="str">
        <f>IF($N39&lt;&gt;"ORGANIZATION","",IF(NOT(ISNA(MATCH($E39,Organization!$A:$A,0))),INDEX(Organization!$A:$A,MATCH($E39,Organization!$A:$A,0)),IF(NOT(ISNA(MATCH($E39,Organization!$B:$B,0))),INDEX(Organization!$A:$A,MATCH($E39,Organization!$B:$B,0)),IF(NOT(ISNA(MATCH($E39,Organization!$A:$A,0))),INDEX(Organization!$C:$C,MATCH($E39,Organization!$C:$C,0)),""))))</f>
        <v/>
      </c>
      <c r="T39" s="6" t="str">
        <f>INDEX(Col!$B:$B,MATCH($M39,Col!$A:$A,0))</f>
        <v>0198ef6d-8543-4209-5045-1bdd507593a7</v>
      </c>
      <c r="U39" s="6" t="str">
        <f>INDEX(Dim!$C:$C,MATCH($T39,Dim!$A:$A,0))</f>
        <v>dim22</v>
      </c>
      <c r="V39" s="6" t="str">
        <f>INDEX(Dim!$B:$B,MATCH($T39,Dim!$A:$A,0))</f>
        <v>OTHER</v>
      </c>
      <c r="W39" t="b">
        <v>0</v>
      </c>
    </row>
    <row r="40" spans="1:23" x14ac:dyDescent="0.3">
      <c r="A40" t="s">
        <v>689</v>
      </c>
      <c r="B40" s="6" t="str">
        <f>INDEX(_CaseData!$G:$G,MATCH($A40,_CaseData!$A:$A,0))</f>
        <v>case_type2</v>
      </c>
      <c r="C40" t="s">
        <v>548</v>
      </c>
      <c r="D40" s="6" t="str">
        <f>INDEX(CaseTypeCol!$H:$H,MATCH($C40,CaseTypeCol!$A:$A,0))</f>
        <v>2_1_0_1</v>
      </c>
      <c r="E40" t="s">
        <v>342</v>
      </c>
      <c r="G40" s="6" t="str">
        <f t="shared" si="0"/>
        <v>0198ef6d-8543-1558-187c-47880d4b485e</v>
      </c>
      <c r="H40" s="6" t="b">
        <f t="shared" si="1"/>
        <v>1</v>
      </c>
      <c r="I40" t="b">
        <v>1</v>
      </c>
      <c r="J40" s="6" t="b">
        <f t="shared" si="2"/>
        <v>1</v>
      </c>
      <c r="K40" s="6" t="str">
        <f>INDEX(_CaseData!$B:$B,MATCH($A40,_CaseData!$A:$A,0))</f>
        <v>0195d18c-1ca6-752a-ec56-ed1b3d0cb095</v>
      </c>
      <c r="L40" s="6" t="str">
        <f>INDEX(CaseTypeCol!$B:$B,MATCH($C40,CaseTypeCol!$A:$A,0))</f>
        <v>0195d18c-1ca6-752a-ec56-ed1b3d0cb095</v>
      </c>
      <c r="M40" s="6" t="str">
        <f>INDEX(CaseTypeCol!$D:$D,MATCH($C40,CaseTypeCol!$A:$A,0))</f>
        <v>0198ef6d-8543-eb2b-e8cd-6ad2e7ad4523</v>
      </c>
      <c r="N40" s="6" t="str">
        <f>INDEX(Col!$H:$H,MATCH($M40,Col!$A:$A,0))</f>
        <v>NOMINAL</v>
      </c>
      <c r="O40" s="6" t="str">
        <f>IF(INDEX(Col!$I:$I,MATCH($M40,Col!$A:$A,0))="","",INDEX(Col!$I:$I,MATCH($M40,Col!$A:$A,0)))</f>
        <v>0198ef6d-8543-90a8-a647-ae05912c77ba</v>
      </c>
      <c r="P40" s="6" t="str">
        <f>IF(INDEX(Col!$K:$K,MATCH($M40,Col!$A:$A,0))="","",INDEX(Col!$K:$K,MATCH($M40,Col!$A:$A,0)))</f>
        <v/>
      </c>
      <c r="Q40" s="6" t="str">
        <f>IF($O40="","",IF(NOT(ISNA(MATCH(LOWER($O40&amp;"|"&amp;$E40),Concept!$K:$K,0))),INDEX(Concept!$A:$A,MATCH(LOWER($O40&amp;"|"&amp;$E40),Concept!$K:$K,0)),IF(NOT(ISNA(MATCH(LOWER($O40&amp;"|"&amp;$E40),Concept!$L:$L,0))),INDEX(Concept!$A:$A,MATCH(LOWER($O40&amp;"|"&amp;$E40),Concept!$L:$L,0)),IF(NOT(ISNA(MATCH(LOWER($O40&amp;"|"&amp;$E40),Concept!$M:$M,0))),INDEX(Concept!$A:$A,MATCH(LOWER($O40&amp;"|"&amp;$E40),Concept!$M:$M,0)),""))))</f>
        <v>0198ef6d-8543-1558-187c-47880d4b485e</v>
      </c>
      <c r="R40" s="6" t="str">
        <f>IF($P40="","",IF(NOT(ISNA(MATCH(LOWER($P40&amp;"|"&amp;$E40),Region!$J:$J,0))),INDEX(Region!$A:$A,MATCH(LOWER($P40&amp;"|"&amp;$E40),Region!$J:$J,0)),IF(NOT(ISNA(MATCH(LOWER($P40&amp;"|"&amp;$E40),Region!$K:$K,0))),INDEX(Region!$A:$A,MATCH(LOWER($P40&amp;"|"&amp;$E40),Region!$K:$K,0)),"")))</f>
        <v/>
      </c>
      <c r="S40" s="6" t="str">
        <f>IF($N40&lt;&gt;"ORGANIZATION","",IF(NOT(ISNA(MATCH($E40,Organization!$A:$A,0))),INDEX(Organization!$A:$A,MATCH($E40,Organization!$A:$A,0)),IF(NOT(ISNA(MATCH($E40,Organization!$B:$B,0))),INDEX(Organization!$A:$A,MATCH($E40,Organization!$B:$B,0)),IF(NOT(ISNA(MATCH($E40,Organization!$A:$A,0))),INDEX(Organization!$C:$C,MATCH($E40,Organization!$C:$C,0)),""))))</f>
        <v/>
      </c>
      <c r="T40" s="6" t="str">
        <f>INDEX(Col!$B:$B,MATCH($M40,Col!$A:$A,0))</f>
        <v>0198ef6d-8543-8d7e-a786-a78961958b68</v>
      </c>
      <c r="U40" s="6" t="str">
        <f>INDEX(Dim!$C:$C,MATCH($T40,Dim!$A:$A,0))</f>
        <v>dim1</v>
      </c>
      <c r="V40" s="6" t="str">
        <f>INDEX(Dim!$B:$B,MATCH($T40,Dim!$A:$A,0))</f>
        <v>TEXT</v>
      </c>
      <c r="W40" t="b">
        <v>0</v>
      </c>
    </row>
    <row r="41" spans="1:23" x14ac:dyDescent="0.3">
      <c r="A41" t="s">
        <v>689</v>
      </c>
      <c r="B41" s="6" t="str">
        <f>INDEX(_CaseData!$G:$G,MATCH($A41,_CaseData!$A:$A,0))</f>
        <v>case_type2</v>
      </c>
      <c r="C41" t="s">
        <v>549</v>
      </c>
      <c r="D41" s="6" t="str">
        <f>INDEX(CaseTypeCol!$H:$H,MATCH($C41,CaseTypeCol!$A:$A,0))</f>
        <v>2_3_0_1</v>
      </c>
      <c r="E41" t="s">
        <v>669</v>
      </c>
      <c r="G41" s="6" t="str">
        <f t="shared" si="0"/>
        <v>0198ef6d-8543-73c8-d3af-92aa66e44b8c</v>
      </c>
      <c r="H41" s="6" t="b">
        <f t="shared" si="1"/>
        <v>1</v>
      </c>
      <c r="I41" t="b">
        <v>1</v>
      </c>
      <c r="J41" s="6" t="b">
        <f t="shared" si="2"/>
        <v>1</v>
      </c>
      <c r="K41" s="6" t="str">
        <f>INDEX(_CaseData!$B:$B,MATCH($A41,_CaseData!$A:$A,0))</f>
        <v>0195d18c-1ca6-752a-ec56-ed1b3d0cb095</v>
      </c>
      <c r="L41" s="6" t="str">
        <f>INDEX(CaseTypeCol!$B:$B,MATCH($C41,CaseTypeCol!$A:$A,0))</f>
        <v>0195d18c-1ca6-752a-ec56-ed1b3d0cb095</v>
      </c>
      <c r="M41" s="6" t="str">
        <f>INDEX(CaseTypeCol!$D:$D,MATCH($C41,CaseTypeCol!$A:$A,0))</f>
        <v>0198ef6d-8543-50ea-8c7a-9f5c1a8041c4</v>
      </c>
      <c r="N41" s="6" t="str">
        <f>INDEX(Col!$H:$H,MATCH($M41,Col!$A:$A,0))</f>
        <v>ORDINAL</v>
      </c>
      <c r="O41" s="6" t="str">
        <f>IF(INDEX(Col!$I:$I,MATCH($M41,Col!$A:$A,0))="","",INDEX(Col!$I:$I,MATCH($M41,Col!$A:$A,0)))</f>
        <v>0198ef6d-8543-b279-03a6-da9684b42b08</v>
      </c>
      <c r="P41" s="6" t="str">
        <f>IF(INDEX(Col!$K:$K,MATCH($M41,Col!$A:$A,0))="","",INDEX(Col!$K:$K,MATCH($M41,Col!$A:$A,0)))</f>
        <v/>
      </c>
      <c r="Q41" s="6" t="str">
        <f>IF($O41="","",IF(NOT(ISNA(MATCH(LOWER($O41&amp;"|"&amp;$E41),Concept!$K:$K,0))),INDEX(Concept!$A:$A,MATCH(LOWER($O41&amp;"|"&amp;$E41),Concept!$K:$K,0)),IF(NOT(ISNA(MATCH(LOWER($O41&amp;"|"&amp;$E41),Concept!$L:$L,0))),INDEX(Concept!$A:$A,MATCH(LOWER($O41&amp;"|"&amp;$E41),Concept!$L:$L,0)),IF(NOT(ISNA(MATCH(LOWER($O41&amp;"|"&amp;$E41),Concept!$M:$M,0))),INDEX(Concept!$A:$A,MATCH(LOWER($O41&amp;"|"&amp;$E41),Concept!$M:$M,0)),""))))</f>
        <v>0198ef6d-8543-73c8-d3af-92aa66e44b8c</v>
      </c>
      <c r="R41" s="6" t="str">
        <f>IF($P41="","",IF(NOT(ISNA(MATCH(LOWER($P41&amp;"|"&amp;$E41),Region!$J:$J,0))),INDEX(Region!$A:$A,MATCH(LOWER($P41&amp;"|"&amp;$E41),Region!$J:$J,0)),IF(NOT(ISNA(MATCH(LOWER($P41&amp;"|"&amp;$E41),Region!$K:$K,0))),INDEX(Region!$A:$A,MATCH(LOWER($P41&amp;"|"&amp;$E41),Region!$K:$K,0)),"")))</f>
        <v/>
      </c>
      <c r="S41" s="6" t="str">
        <f>IF($N41&lt;&gt;"ORGANIZATION","",IF(NOT(ISNA(MATCH($E41,Organization!$A:$A,0))),INDEX(Organization!$A:$A,MATCH($E41,Organization!$A:$A,0)),IF(NOT(ISNA(MATCH($E41,Organization!$B:$B,0))),INDEX(Organization!$A:$A,MATCH($E41,Organization!$B:$B,0)),IF(NOT(ISNA(MATCH($E41,Organization!$A:$A,0))),INDEX(Organization!$C:$C,MATCH($E41,Organization!$C:$C,0)),""))))</f>
        <v/>
      </c>
      <c r="T41" s="6" t="str">
        <f>INDEX(Col!$B:$B,MATCH($M41,Col!$A:$A,0))</f>
        <v>0198ef6d-8543-4b57-ccc7-1e34bcca2de1</v>
      </c>
      <c r="U41" s="6" t="str">
        <f>INDEX(Dim!$C:$C,MATCH($T41,Dim!$A:$A,0))</f>
        <v>dim3</v>
      </c>
      <c r="V41" s="6" t="str">
        <f>INDEX(Dim!$B:$B,MATCH($T41,Dim!$A:$A,0))</f>
        <v>TEXT</v>
      </c>
      <c r="W41" t="b">
        <v>0</v>
      </c>
    </row>
    <row r="42" spans="1:23" x14ac:dyDescent="0.3">
      <c r="A42" t="s">
        <v>689</v>
      </c>
      <c r="B42" s="6" t="str">
        <f>INDEX(_CaseData!$G:$G,MATCH($A42,_CaseData!$A:$A,0))</f>
        <v>case_type2</v>
      </c>
      <c r="C42" t="s">
        <v>550</v>
      </c>
      <c r="D42" s="6" t="str">
        <f>INDEX(CaseTypeCol!$H:$H,MATCH($C42,CaseTypeCol!$A:$A,0))</f>
        <v>2_5_0_1</v>
      </c>
      <c r="E42" t="s">
        <v>670</v>
      </c>
      <c r="G42" s="6" t="str">
        <f t="shared" si="0"/>
        <v>A1</v>
      </c>
      <c r="H42" s="6" t="b">
        <f t="shared" si="1"/>
        <v>1</v>
      </c>
      <c r="I42" t="b">
        <v>1</v>
      </c>
      <c r="J42" s="6" t="b">
        <f t="shared" si="2"/>
        <v>1</v>
      </c>
      <c r="K42" s="6" t="str">
        <f>INDEX(_CaseData!$B:$B,MATCH($A42,_CaseData!$A:$A,0))</f>
        <v>0195d18c-1ca6-752a-ec56-ed1b3d0cb095</v>
      </c>
      <c r="L42" s="6" t="str">
        <f>INDEX(CaseTypeCol!$B:$B,MATCH($C42,CaseTypeCol!$A:$A,0))</f>
        <v>0195d18c-1ca6-752a-ec56-ed1b3d0cb095</v>
      </c>
      <c r="M42" s="6" t="str">
        <f>INDEX(CaseTypeCol!$D:$D,MATCH($C42,CaseTypeCol!$A:$A,0))</f>
        <v>0198ef6d-8543-479e-1e7a-3428fa97ebc7</v>
      </c>
      <c r="N42" s="6" t="str">
        <f>INDEX(Col!$H:$H,MATCH($M42,Col!$A:$A,0))</f>
        <v>REGULAR_LANGUAGE</v>
      </c>
      <c r="O42" s="6" t="str">
        <f>IF(INDEX(Col!$I:$I,MATCH($M42,Col!$A:$A,0))="","",INDEX(Col!$I:$I,MATCH($M42,Col!$A:$A,0)))</f>
        <v>0198ef6d-8543-a151-ab47-0394a80e2a05</v>
      </c>
      <c r="P42" s="6" t="str">
        <f>IF(INDEX(Col!$K:$K,MATCH($M42,Col!$A:$A,0))="","",INDEX(Col!$K:$K,MATCH($M42,Col!$A:$A,0)))</f>
        <v/>
      </c>
      <c r="Q42" s="6" t="str">
        <f>IF($O42="","",IF(NOT(ISNA(MATCH(LOWER($O42&amp;"|"&amp;$E42),Concept!$K:$K,0))),INDEX(Concept!$A:$A,MATCH(LOWER($O42&amp;"|"&amp;$E42),Concept!$K:$K,0)),IF(NOT(ISNA(MATCH(LOWER($O42&amp;"|"&amp;$E42),Concept!$L:$L,0))),INDEX(Concept!$A:$A,MATCH(LOWER($O42&amp;"|"&amp;$E42),Concept!$L:$L,0)),IF(NOT(ISNA(MATCH(LOWER($O42&amp;"|"&amp;$E42),Concept!$M:$M,0))),INDEX(Concept!$A:$A,MATCH(LOWER($O42&amp;"|"&amp;$E42),Concept!$M:$M,0)),""))))</f>
        <v/>
      </c>
      <c r="R42" s="6" t="str">
        <f>IF($P42="","",IF(NOT(ISNA(MATCH(LOWER($P42&amp;"|"&amp;$E42),Region!$J:$J,0))),INDEX(Region!$A:$A,MATCH(LOWER($P42&amp;"|"&amp;$E42),Region!$J:$J,0)),IF(NOT(ISNA(MATCH(LOWER($P42&amp;"|"&amp;$E42),Region!$K:$K,0))),INDEX(Region!$A:$A,MATCH(LOWER($P42&amp;"|"&amp;$E42),Region!$K:$K,0)),"")))</f>
        <v/>
      </c>
      <c r="S42" s="6" t="str">
        <f>IF($N42&lt;&gt;"ORGANIZATION","",IF(NOT(ISNA(MATCH($E42,Organization!$A:$A,0))),INDEX(Organization!$A:$A,MATCH($E42,Organization!$A:$A,0)),IF(NOT(ISNA(MATCH($E42,Organization!$B:$B,0))),INDEX(Organization!$A:$A,MATCH($E42,Organization!$B:$B,0)),IF(NOT(ISNA(MATCH($E42,Organization!$A:$A,0))),INDEX(Organization!$C:$C,MATCH($E42,Organization!$C:$C,0)),""))))</f>
        <v/>
      </c>
      <c r="T42" s="6" t="str">
        <f>INDEX(Col!$B:$B,MATCH($M42,Col!$A:$A,0))</f>
        <v>0198ef6d-8543-6a7f-4553-b7280cc2ab9b</v>
      </c>
      <c r="U42" s="6" t="str">
        <f>INDEX(Dim!$C:$C,MATCH($T42,Dim!$A:$A,0))</f>
        <v>dim5</v>
      </c>
      <c r="V42" s="6" t="str">
        <f>INDEX(Dim!$B:$B,MATCH($T42,Dim!$A:$A,0))</f>
        <v>TEXT</v>
      </c>
      <c r="W42" t="b">
        <v>0</v>
      </c>
    </row>
    <row r="43" spans="1:23" x14ac:dyDescent="0.3">
      <c r="A43" t="s">
        <v>689</v>
      </c>
      <c r="B43" s="6" t="str">
        <f>INDEX(_CaseData!$G:$G,MATCH($A43,_CaseData!$A:$A,0))</f>
        <v>case_type2</v>
      </c>
      <c r="C43" t="s">
        <v>551</v>
      </c>
      <c r="D43" s="6" t="str">
        <f>INDEX(CaseTypeCol!$H:$H,MATCH($C43,CaseTypeCol!$A:$A,0))</f>
        <v>2_7_0_1</v>
      </c>
      <c r="E43" t="s">
        <v>672</v>
      </c>
      <c r="G43" s="6" t="str">
        <f t="shared" si="0"/>
        <v>X</v>
      </c>
      <c r="H43" s="6" t="b">
        <f t="shared" si="1"/>
        <v>1</v>
      </c>
      <c r="I43" t="b">
        <v>1</v>
      </c>
      <c r="J43" s="6" t="b">
        <f t="shared" si="2"/>
        <v>1</v>
      </c>
      <c r="K43" s="6" t="str">
        <f>INDEX(_CaseData!$B:$B,MATCH($A43,_CaseData!$A:$A,0))</f>
        <v>0195d18c-1ca6-752a-ec56-ed1b3d0cb095</v>
      </c>
      <c r="L43" s="6" t="str">
        <f>INDEX(CaseTypeCol!$B:$B,MATCH($C43,CaseTypeCol!$A:$A,0))</f>
        <v>0195d18c-1ca6-752a-ec56-ed1b3d0cb095</v>
      </c>
      <c r="M43" s="6" t="str">
        <f>INDEX(CaseTypeCol!$D:$D,MATCH($C43,CaseTypeCol!$A:$A,0))</f>
        <v>0198ef6d-8543-78ba-e607-ac65487d273b</v>
      </c>
      <c r="N43" s="6" t="str">
        <f>INDEX(Col!$H:$H,MATCH($M43,Col!$A:$A,0))</f>
        <v>TEXT</v>
      </c>
      <c r="O43" s="6" t="str">
        <f>IF(INDEX(Col!$I:$I,MATCH($M43,Col!$A:$A,0))="","",INDEX(Col!$I:$I,MATCH($M43,Col!$A:$A,0)))</f>
        <v/>
      </c>
      <c r="P43" s="6" t="str">
        <f>IF(INDEX(Col!$K:$K,MATCH($M43,Col!$A:$A,0))="","",INDEX(Col!$K:$K,MATCH($M43,Col!$A:$A,0)))</f>
        <v/>
      </c>
      <c r="Q43" s="6" t="str">
        <f>IF($O43="","",IF(NOT(ISNA(MATCH(LOWER($O43&amp;"|"&amp;$E43),Concept!$K:$K,0))),INDEX(Concept!$A:$A,MATCH(LOWER($O43&amp;"|"&amp;$E43),Concept!$K:$K,0)),IF(NOT(ISNA(MATCH(LOWER($O43&amp;"|"&amp;$E43),Concept!$L:$L,0))),INDEX(Concept!$A:$A,MATCH(LOWER($O43&amp;"|"&amp;$E43),Concept!$L:$L,0)),IF(NOT(ISNA(MATCH(LOWER($O43&amp;"|"&amp;$E43),Concept!$M:$M,0))),INDEX(Concept!$A:$A,MATCH(LOWER($O43&amp;"|"&amp;$E43),Concept!$M:$M,0)),""))))</f>
        <v/>
      </c>
      <c r="R43" s="6" t="str">
        <f>IF($P43="","",IF(NOT(ISNA(MATCH(LOWER($P43&amp;"|"&amp;$E43),Region!$J:$J,0))),INDEX(Region!$A:$A,MATCH(LOWER($P43&amp;"|"&amp;$E43),Region!$J:$J,0)),IF(NOT(ISNA(MATCH(LOWER($P43&amp;"|"&amp;$E43),Region!$K:$K,0))),INDEX(Region!$A:$A,MATCH(LOWER($P43&amp;"|"&amp;$E43),Region!$K:$K,0)),"")))</f>
        <v/>
      </c>
      <c r="S43" s="6" t="str">
        <f>IF($N43&lt;&gt;"ORGANIZATION","",IF(NOT(ISNA(MATCH($E43,Organization!$A:$A,0))),INDEX(Organization!$A:$A,MATCH($E43,Organization!$A:$A,0)),IF(NOT(ISNA(MATCH($E43,Organization!$B:$B,0))),INDEX(Organization!$A:$A,MATCH($E43,Organization!$B:$B,0)),IF(NOT(ISNA(MATCH($E43,Organization!$A:$A,0))),INDEX(Organization!$C:$C,MATCH($E43,Organization!$C:$C,0)),""))))</f>
        <v/>
      </c>
      <c r="T43" s="6" t="str">
        <f>INDEX(Col!$B:$B,MATCH($M43,Col!$A:$A,0))</f>
        <v>0198ef6d-8543-0b52-87e5-431792f951a2</v>
      </c>
      <c r="U43" s="6" t="str">
        <f>INDEX(Dim!$C:$C,MATCH($T43,Dim!$A:$A,0))</f>
        <v>dim7</v>
      </c>
      <c r="V43" s="6" t="str">
        <f>INDEX(Dim!$B:$B,MATCH($T43,Dim!$A:$A,0))</f>
        <v>TEXT</v>
      </c>
      <c r="W43" t="b">
        <v>0</v>
      </c>
    </row>
    <row r="44" spans="1:23" x14ac:dyDescent="0.3">
      <c r="A44" t="s">
        <v>689</v>
      </c>
      <c r="B44" s="6" t="str">
        <f>INDEX(_CaseData!$G:$G,MATCH($A44,_CaseData!$A:$A,0))</f>
        <v>case_type2</v>
      </c>
      <c r="C44" t="s">
        <v>552</v>
      </c>
      <c r="D44" s="6" t="str">
        <f>INDEX(CaseTypeCol!$H:$H,MATCH($C44,CaseTypeCol!$A:$A,0))</f>
        <v>2_9_0_1</v>
      </c>
      <c r="E44" t="s">
        <v>43</v>
      </c>
      <c r="G44" s="6" t="str">
        <f t="shared" si="0"/>
        <v>018d074d-ea0c-e942-07db-a3cc0ba1d653</v>
      </c>
      <c r="H44" s="6" t="b">
        <f t="shared" si="1"/>
        <v>1</v>
      </c>
      <c r="I44" t="b">
        <v>1</v>
      </c>
      <c r="J44" s="6" t="b">
        <f t="shared" si="2"/>
        <v>1</v>
      </c>
      <c r="K44" s="6" t="str">
        <f>INDEX(_CaseData!$B:$B,MATCH($A44,_CaseData!$A:$A,0))</f>
        <v>0195d18c-1ca6-752a-ec56-ed1b3d0cb095</v>
      </c>
      <c r="L44" s="6" t="str">
        <f>INDEX(CaseTypeCol!$B:$B,MATCH($C44,CaseTypeCol!$A:$A,0))</f>
        <v>0195d18c-1ca6-752a-ec56-ed1b3d0cb095</v>
      </c>
      <c r="M44" s="6" t="str">
        <f>INDEX(CaseTypeCol!$D:$D,MATCH($C44,CaseTypeCol!$A:$A,0))</f>
        <v>0198ef6d-8543-9c02-f715-88d1935aca9a</v>
      </c>
      <c r="N44" s="6" t="str">
        <f>INDEX(Col!$H:$H,MATCH($M44,Col!$A:$A,0))</f>
        <v>ORGANIZATION</v>
      </c>
      <c r="O44" s="6" t="str">
        <f>IF(INDEX(Col!$I:$I,MATCH($M44,Col!$A:$A,0))="","",INDEX(Col!$I:$I,MATCH($M44,Col!$A:$A,0)))</f>
        <v/>
      </c>
      <c r="P44" s="6" t="str">
        <f>IF(INDEX(Col!$K:$K,MATCH($M44,Col!$A:$A,0))="","",INDEX(Col!$K:$K,MATCH($M44,Col!$A:$A,0)))</f>
        <v/>
      </c>
      <c r="Q44" s="6" t="str">
        <f>IF($O44="","",IF(NOT(ISNA(MATCH(LOWER($O44&amp;"|"&amp;$E44),Concept!$K:$K,0))),INDEX(Concept!$A:$A,MATCH(LOWER($O44&amp;"|"&amp;$E44),Concept!$K:$K,0)),IF(NOT(ISNA(MATCH(LOWER($O44&amp;"|"&amp;$E44),Concept!$L:$L,0))),INDEX(Concept!$A:$A,MATCH(LOWER($O44&amp;"|"&amp;$E44),Concept!$L:$L,0)),IF(NOT(ISNA(MATCH(LOWER($O44&amp;"|"&amp;$E44),Concept!$M:$M,0))),INDEX(Concept!$A:$A,MATCH(LOWER($O44&amp;"|"&amp;$E44),Concept!$M:$M,0)),""))))</f>
        <v/>
      </c>
      <c r="R44" s="6" t="str">
        <f>IF($P44="","",IF(NOT(ISNA(MATCH(LOWER($P44&amp;"|"&amp;$E44),Region!$J:$J,0))),INDEX(Region!$A:$A,MATCH(LOWER($P44&amp;"|"&amp;$E44),Region!$J:$J,0)),IF(NOT(ISNA(MATCH(LOWER($P44&amp;"|"&amp;$E44),Region!$K:$K,0))),INDEX(Region!$A:$A,MATCH(LOWER($P44&amp;"|"&amp;$E44),Region!$K:$K,0)),"")))</f>
        <v/>
      </c>
      <c r="S44" s="6" t="str">
        <f>IF($N44&lt;&gt;"ORGANIZATION","",IF(NOT(ISNA(MATCH($E44,Organization!$A:$A,0))),INDEX(Organization!$A:$A,MATCH($E44,Organization!$A:$A,0)),IF(NOT(ISNA(MATCH($E44,Organization!$B:$B,0))),INDEX(Organization!$A:$A,MATCH($E44,Organization!$B:$B,0)),IF(NOT(ISNA(MATCH($E44,Organization!$A:$A,0))),INDEX(Organization!$C:$C,MATCH($E44,Organization!$C:$C,0)),""))))</f>
        <v>018d074d-ea0c-e942-07db-a3cc0ba1d653</v>
      </c>
      <c r="T44" s="6" t="str">
        <f>INDEX(Col!$B:$B,MATCH($M44,Col!$A:$A,0))</f>
        <v>0198ef6d-8543-b0f3-f8b0-c502bee720e9</v>
      </c>
      <c r="U44" s="6" t="str">
        <f>INDEX(Dim!$C:$C,MATCH($T44,Dim!$A:$A,0))</f>
        <v>dim9</v>
      </c>
      <c r="V44" s="6" t="str">
        <f>INDEX(Dim!$B:$B,MATCH($T44,Dim!$A:$A,0))</f>
        <v>ORGANIZATION</v>
      </c>
      <c r="W44" t="b">
        <v>0</v>
      </c>
    </row>
    <row r="45" spans="1:23" x14ac:dyDescent="0.3">
      <c r="A45" t="s">
        <v>689</v>
      </c>
      <c r="B45" s="6" t="str">
        <f>INDEX(_CaseData!$G:$G,MATCH($A45,_CaseData!$A:$A,0))</f>
        <v>case_type2</v>
      </c>
      <c r="C45" t="s">
        <v>553</v>
      </c>
      <c r="D45" s="6" t="str">
        <f>INDEX(CaseTypeCol!$H:$H,MATCH($C45,CaseTypeCol!$A:$A,0))</f>
        <v>2_11_0_1</v>
      </c>
      <c r="E45" s="11" t="s">
        <v>385</v>
      </c>
      <c r="G45" s="6" t="str">
        <f t="shared" si="0"/>
        <v>0198ef6d-8543-98d5-9df4-4ac64d603502</v>
      </c>
      <c r="H45" s="6" t="b">
        <f t="shared" si="1"/>
        <v>1</v>
      </c>
      <c r="I45" t="b">
        <v>1</v>
      </c>
      <c r="J45" s="6" t="b">
        <f t="shared" si="2"/>
        <v>1</v>
      </c>
      <c r="K45" s="6" t="str">
        <f>INDEX(_CaseData!$B:$B,MATCH($A45,_CaseData!$A:$A,0))</f>
        <v>0195d18c-1ca6-752a-ec56-ed1b3d0cb095</v>
      </c>
      <c r="L45" s="6" t="str">
        <f>INDEX(CaseTypeCol!$B:$B,MATCH($C45,CaseTypeCol!$A:$A,0))</f>
        <v>0195d18c-1ca6-752a-ec56-ed1b3d0cb095</v>
      </c>
      <c r="M45" s="6" t="str">
        <f>INDEX(CaseTypeCol!$D:$D,MATCH($C45,CaseTypeCol!$A:$A,0))</f>
        <v>0198ef6d-8543-13b8-702c-f36c6968d08f</v>
      </c>
      <c r="N45" s="6" t="str">
        <f>INDEX(Col!$H:$H,MATCH($M45,Col!$A:$A,0))</f>
        <v>GEO_REGION</v>
      </c>
      <c r="O45" s="6" t="str">
        <f>IF(INDEX(Col!$I:$I,MATCH($M45,Col!$A:$A,0))="","",INDEX(Col!$I:$I,MATCH($M45,Col!$A:$A,0)))</f>
        <v/>
      </c>
      <c r="P45" s="6" t="str">
        <f>IF(INDEX(Col!$K:$K,MATCH($M45,Col!$A:$A,0))="","",INDEX(Col!$K:$K,MATCH($M45,Col!$A:$A,0)))</f>
        <v>0198ef6d-8543-92bb-3d7b-9a6b17e52c7d</v>
      </c>
      <c r="Q45" s="6" t="str">
        <f>IF($O45="","",IF(NOT(ISNA(MATCH(LOWER($O45&amp;"|"&amp;$E45),Concept!$K:$K,0))),INDEX(Concept!$A:$A,MATCH(LOWER($O45&amp;"|"&amp;$E45),Concept!$K:$K,0)),IF(NOT(ISNA(MATCH(LOWER($O45&amp;"|"&amp;$E45),Concept!$L:$L,0))),INDEX(Concept!$A:$A,MATCH(LOWER($O45&amp;"|"&amp;$E45),Concept!$L:$L,0)),IF(NOT(ISNA(MATCH(LOWER($O45&amp;"|"&amp;$E45),Concept!$M:$M,0))),INDEX(Concept!$A:$A,MATCH(LOWER($O45&amp;"|"&amp;$E45),Concept!$M:$M,0)),""))))</f>
        <v/>
      </c>
      <c r="R45" s="6" t="str">
        <f>IF($P45="","",IF(NOT(ISNA(MATCH(LOWER($P45&amp;"|"&amp;$E45),Region!$J:$J,0))),INDEX(Region!$A:$A,MATCH(LOWER($P45&amp;"|"&amp;$E45),Region!$J:$J,0)),IF(NOT(ISNA(MATCH(LOWER($P45&amp;"|"&amp;$E45),Region!$K:$K,0))),INDEX(Region!$A:$A,MATCH(LOWER($P45&amp;"|"&amp;$E45),Region!$K:$K,0)),"")))</f>
        <v>0198ef6d-8543-98d5-9df4-4ac64d603502</v>
      </c>
      <c r="S45" s="6" t="str">
        <f>IF($N45&lt;&gt;"ORGANIZATION","",IF(NOT(ISNA(MATCH($E45,Organization!$A:$A,0))),INDEX(Organization!$A:$A,MATCH($E45,Organization!$A:$A,0)),IF(NOT(ISNA(MATCH($E45,Organization!$B:$B,0))),INDEX(Organization!$A:$A,MATCH($E45,Organization!$B:$B,0)),IF(NOT(ISNA(MATCH($E45,Organization!$A:$A,0))),INDEX(Organization!$C:$C,MATCH($E45,Organization!$C:$C,0)),""))))</f>
        <v/>
      </c>
      <c r="T45" s="6" t="str">
        <f>INDEX(Col!$B:$B,MATCH($M45,Col!$A:$A,0))</f>
        <v>0198ef6d-8543-d4cb-e9cb-2c352f1baa30</v>
      </c>
      <c r="U45" s="6" t="str">
        <f>INDEX(Dim!$C:$C,MATCH($T45,Dim!$A:$A,0))</f>
        <v>dim11</v>
      </c>
      <c r="V45" s="6" t="str">
        <f>INDEX(Dim!$B:$B,MATCH($T45,Dim!$A:$A,0))</f>
        <v>GEO</v>
      </c>
      <c r="W45" t="b">
        <v>0</v>
      </c>
    </row>
    <row r="46" spans="1:23" x14ac:dyDescent="0.3">
      <c r="A46" t="s">
        <v>689</v>
      </c>
      <c r="B46" s="6" t="str">
        <f>INDEX(_CaseData!$G:$G,MATCH($A46,_CaseData!$A:$A,0))</f>
        <v>case_type2</v>
      </c>
      <c r="C46" t="s">
        <v>554</v>
      </c>
      <c r="D46" s="6" t="str">
        <f>INDEX(CaseTypeCol!$H:$H,MATCH($C46,CaseTypeCol!$A:$A,0))</f>
        <v>2_11_0_2</v>
      </c>
      <c r="E46" s="11" t="s">
        <v>391</v>
      </c>
      <c r="G46" s="6" t="str">
        <f t="shared" si="0"/>
        <v>0198ef6d-8543-dcdc-9496-52bc01e1c56d</v>
      </c>
      <c r="H46" s="6" t="b">
        <f t="shared" si="1"/>
        <v>1</v>
      </c>
      <c r="I46" t="b">
        <v>1</v>
      </c>
      <c r="J46" s="6" t="b">
        <f t="shared" si="2"/>
        <v>1</v>
      </c>
      <c r="K46" s="6" t="str">
        <f>INDEX(_CaseData!$B:$B,MATCH($A46,_CaseData!$A:$A,0))</f>
        <v>0195d18c-1ca6-752a-ec56-ed1b3d0cb095</v>
      </c>
      <c r="L46" s="6" t="str">
        <f>INDEX(CaseTypeCol!$B:$B,MATCH($C46,CaseTypeCol!$A:$A,0))</f>
        <v>0195d18c-1ca6-752a-ec56-ed1b3d0cb095</v>
      </c>
      <c r="M46" s="6" t="str">
        <f>INDEX(CaseTypeCol!$D:$D,MATCH($C46,CaseTypeCol!$A:$A,0))</f>
        <v>0198ef6d-8543-74d1-8cf2-4f5da375834f</v>
      </c>
      <c r="N46" s="6" t="str">
        <f>INDEX(Col!$H:$H,MATCH($M46,Col!$A:$A,0))</f>
        <v>GEO_REGION</v>
      </c>
      <c r="O46" s="6" t="str">
        <f>IF(INDEX(Col!$I:$I,MATCH($M46,Col!$A:$A,0))="","",INDEX(Col!$I:$I,MATCH($M46,Col!$A:$A,0)))</f>
        <v/>
      </c>
      <c r="P46" s="6" t="str">
        <f>IF(INDEX(Col!$K:$K,MATCH($M46,Col!$A:$A,0))="","",INDEX(Col!$K:$K,MATCH($M46,Col!$A:$A,0)))</f>
        <v>0198ef6d-8543-0ad2-6a86-701cc690b0a4</v>
      </c>
      <c r="Q46" s="6" t="str">
        <f>IF($O46="","",IF(NOT(ISNA(MATCH(LOWER($O46&amp;"|"&amp;$E46),Concept!$K:$K,0))),INDEX(Concept!$A:$A,MATCH(LOWER($O46&amp;"|"&amp;$E46),Concept!$K:$K,0)),IF(NOT(ISNA(MATCH(LOWER($O46&amp;"|"&amp;$E46),Concept!$L:$L,0))),INDEX(Concept!$A:$A,MATCH(LOWER($O46&amp;"|"&amp;$E46),Concept!$L:$L,0)),IF(NOT(ISNA(MATCH(LOWER($O46&amp;"|"&amp;$E46),Concept!$M:$M,0))),INDEX(Concept!$A:$A,MATCH(LOWER($O46&amp;"|"&amp;$E46),Concept!$M:$M,0)),""))))</f>
        <v/>
      </c>
      <c r="R46" s="6" t="str">
        <f>IF($P46="","",IF(NOT(ISNA(MATCH(LOWER($P46&amp;"|"&amp;$E46),Region!$J:$J,0))),INDEX(Region!$A:$A,MATCH(LOWER($P46&amp;"|"&amp;$E46),Region!$J:$J,0)),IF(NOT(ISNA(MATCH(LOWER($P46&amp;"|"&amp;$E46),Region!$K:$K,0))),INDEX(Region!$A:$A,MATCH(LOWER($P46&amp;"|"&amp;$E46),Region!$K:$K,0)),"")))</f>
        <v>0198ef6d-8543-dcdc-9496-52bc01e1c56d</v>
      </c>
      <c r="S46" s="6" t="str">
        <f>IF($N46&lt;&gt;"ORGANIZATION","",IF(NOT(ISNA(MATCH($E46,Organization!$A:$A,0))),INDEX(Organization!$A:$A,MATCH($E46,Organization!$A:$A,0)),IF(NOT(ISNA(MATCH($E46,Organization!$B:$B,0))),INDEX(Organization!$A:$A,MATCH($E46,Organization!$B:$B,0)),IF(NOT(ISNA(MATCH($E46,Organization!$A:$A,0))),INDEX(Organization!$C:$C,MATCH($E46,Organization!$C:$C,0)),""))))</f>
        <v/>
      </c>
      <c r="T46" s="6" t="str">
        <f>INDEX(Col!$B:$B,MATCH($M46,Col!$A:$A,0))</f>
        <v>0198ef6d-8543-d4cb-e9cb-2c352f1baa30</v>
      </c>
      <c r="U46" s="6" t="str">
        <f>INDEX(Dim!$C:$C,MATCH($T46,Dim!$A:$A,0))</f>
        <v>dim11</v>
      </c>
      <c r="V46" s="6" t="str">
        <f>INDEX(Dim!$B:$B,MATCH($T46,Dim!$A:$A,0))</f>
        <v>GEO</v>
      </c>
      <c r="W46" t="b">
        <v>0</v>
      </c>
    </row>
    <row r="47" spans="1:23" x14ac:dyDescent="0.3">
      <c r="A47" t="s">
        <v>689</v>
      </c>
      <c r="B47" s="6" t="str">
        <f>INDEX(_CaseData!$G:$G,MATCH($A47,_CaseData!$A:$A,0))</f>
        <v>case_type2</v>
      </c>
      <c r="C47" t="s">
        <v>555</v>
      </c>
      <c r="D47" s="6" t="str">
        <f>INDEX(CaseTypeCol!$H:$H,MATCH($C47,CaseTypeCol!$A:$A,0))</f>
        <v>2_11_0_3</v>
      </c>
      <c r="E47" t="s">
        <v>718</v>
      </c>
      <c r="G47" s="6" t="str">
        <f t="shared" si="0"/>
        <v>0198ef6d-8543-83bf-6a77-33c7baa8eca4</v>
      </c>
      <c r="H47" s="6" t="b">
        <f t="shared" si="1"/>
        <v>1</v>
      </c>
      <c r="I47" t="b">
        <v>1</v>
      </c>
      <c r="J47" s="6" t="b">
        <f t="shared" si="2"/>
        <v>1</v>
      </c>
      <c r="K47" s="6" t="str">
        <f>INDEX(_CaseData!$B:$B,MATCH($A47,_CaseData!$A:$A,0))</f>
        <v>0195d18c-1ca6-752a-ec56-ed1b3d0cb095</v>
      </c>
      <c r="L47" s="6" t="str">
        <f>INDEX(CaseTypeCol!$B:$B,MATCH($C47,CaseTypeCol!$A:$A,0))</f>
        <v>0195d18c-1ca6-752a-ec56-ed1b3d0cb095</v>
      </c>
      <c r="M47" s="6" t="str">
        <f>INDEX(CaseTypeCol!$D:$D,MATCH($C47,CaseTypeCol!$A:$A,0))</f>
        <v>0198ef6d-8543-b7d9-c034-47ae7fb11c50</v>
      </c>
      <c r="N47" s="6" t="str">
        <f>INDEX(Col!$H:$H,MATCH($M47,Col!$A:$A,0))</f>
        <v>GEO_REGION</v>
      </c>
      <c r="O47" s="6" t="str">
        <f>IF(INDEX(Col!$I:$I,MATCH($M47,Col!$A:$A,0))="","",INDEX(Col!$I:$I,MATCH($M47,Col!$A:$A,0)))</f>
        <v/>
      </c>
      <c r="P47" s="6" t="str">
        <f>IF(INDEX(Col!$K:$K,MATCH($M47,Col!$A:$A,0))="","",INDEX(Col!$K:$K,MATCH($M47,Col!$A:$A,0)))</f>
        <v>0198ef6d-8543-5e3f-5ed0-dd932e32c2aa</v>
      </c>
      <c r="Q47" s="6" t="str">
        <f>IF($O47="","",IF(NOT(ISNA(MATCH(LOWER($O47&amp;"|"&amp;$E47),Concept!$K:$K,0))),INDEX(Concept!$A:$A,MATCH(LOWER($O47&amp;"|"&amp;$E47),Concept!$K:$K,0)),IF(NOT(ISNA(MATCH(LOWER($O47&amp;"|"&amp;$E47),Concept!$L:$L,0))),INDEX(Concept!$A:$A,MATCH(LOWER($O47&amp;"|"&amp;$E47),Concept!$L:$L,0)),IF(NOT(ISNA(MATCH(LOWER($O47&amp;"|"&amp;$E47),Concept!$M:$M,0))),INDEX(Concept!$A:$A,MATCH(LOWER($O47&amp;"|"&amp;$E47),Concept!$M:$M,0)),""))))</f>
        <v/>
      </c>
      <c r="R47" s="6" t="str">
        <f>IF($P47="","",IF(NOT(ISNA(MATCH(LOWER($P47&amp;"|"&amp;$E47),Region!$J:$J,0))),INDEX(Region!$A:$A,MATCH(LOWER($P47&amp;"|"&amp;$E47),Region!$J:$J,0)),IF(NOT(ISNA(MATCH(LOWER($P47&amp;"|"&amp;$E47),Region!$K:$K,0))),INDEX(Region!$A:$A,MATCH(LOWER($P47&amp;"|"&amp;$E47),Region!$K:$K,0)),"")))</f>
        <v>0198ef6d-8543-83bf-6a77-33c7baa8eca4</v>
      </c>
      <c r="S47" s="6" t="str">
        <f>IF($N47&lt;&gt;"ORGANIZATION","",IF(NOT(ISNA(MATCH($E47,Organization!$A:$A,0))),INDEX(Organization!$A:$A,MATCH($E47,Organization!$A:$A,0)),IF(NOT(ISNA(MATCH($E47,Organization!$B:$B,0))),INDEX(Organization!$A:$A,MATCH($E47,Organization!$B:$B,0)),IF(NOT(ISNA(MATCH($E47,Organization!$A:$A,0))),INDEX(Organization!$C:$C,MATCH($E47,Organization!$C:$C,0)),""))))</f>
        <v/>
      </c>
      <c r="T47" s="6" t="str">
        <f>INDEX(Col!$B:$B,MATCH($M47,Col!$A:$A,0))</f>
        <v>0198ef6d-8543-d4cb-e9cb-2c352f1baa30</v>
      </c>
      <c r="U47" s="6" t="str">
        <f>INDEX(Dim!$C:$C,MATCH($T47,Dim!$A:$A,0))</f>
        <v>dim11</v>
      </c>
      <c r="V47" s="6" t="str">
        <f>INDEX(Dim!$B:$B,MATCH($T47,Dim!$A:$A,0))</f>
        <v>GEO</v>
      </c>
      <c r="W47" t="b">
        <v>0</v>
      </c>
    </row>
    <row r="48" spans="1:23" x14ac:dyDescent="0.3">
      <c r="A48" t="s">
        <v>689</v>
      </c>
      <c r="B48" s="6" t="str">
        <f>INDEX(_CaseData!$G:$G,MATCH($A48,_CaseData!$A:$A,0))</f>
        <v>case_type2</v>
      </c>
      <c r="C48" t="s">
        <v>556</v>
      </c>
      <c r="D48" s="6" t="str">
        <f>INDEX(CaseTypeCol!$H:$H,MATCH($C48,CaseTypeCol!$A:$A,0))</f>
        <v>2_11_0_4</v>
      </c>
      <c r="E48" t="s">
        <v>721</v>
      </c>
      <c r="G48" s="6" t="str">
        <f t="shared" si="0"/>
        <v>0198ef6d-8543-2881-ac87-bb85405cfd45</v>
      </c>
      <c r="H48" s="6" t="b">
        <f t="shared" si="1"/>
        <v>1</v>
      </c>
      <c r="I48" t="b">
        <v>1</v>
      </c>
      <c r="J48" s="6" t="b">
        <f t="shared" si="2"/>
        <v>1</v>
      </c>
      <c r="K48" s="6" t="str">
        <f>INDEX(_CaseData!$B:$B,MATCH($A48,_CaseData!$A:$A,0))</f>
        <v>0195d18c-1ca6-752a-ec56-ed1b3d0cb095</v>
      </c>
      <c r="L48" s="6" t="str">
        <f>INDEX(CaseTypeCol!$B:$B,MATCH($C48,CaseTypeCol!$A:$A,0))</f>
        <v>0195d18c-1ca6-752a-ec56-ed1b3d0cb095</v>
      </c>
      <c r="M48" s="6" t="str">
        <f>INDEX(CaseTypeCol!$D:$D,MATCH($C48,CaseTypeCol!$A:$A,0))</f>
        <v>0198ef6d-8543-61aa-6bef-ab847c75d5f6</v>
      </c>
      <c r="N48" s="6" t="str">
        <f>INDEX(Col!$H:$H,MATCH($M48,Col!$A:$A,0))</f>
        <v>GEO_REGION</v>
      </c>
      <c r="O48" s="6" t="str">
        <f>IF(INDEX(Col!$I:$I,MATCH($M48,Col!$A:$A,0))="","",INDEX(Col!$I:$I,MATCH($M48,Col!$A:$A,0)))</f>
        <v/>
      </c>
      <c r="P48" s="6" t="str">
        <f>IF(INDEX(Col!$K:$K,MATCH($M48,Col!$A:$A,0))="","",INDEX(Col!$K:$K,MATCH($M48,Col!$A:$A,0)))</f>
        <v>0198ef6d-8543-ca21-8fc9-aac9c10fe055</v>
      </c>
      <c r="Q48" s="6" t="str">
        <f>IF($O48="","",IF(NOT(ISNA(MATCH(LOWER($O48&amp;"|"&amp;$E48),Concept!$K:$K,0))),INDEX(Concept!$A:$A,MATCH(LOWER($O48&amp;"|"&amp;$E48),Concept!$K:$K,0)),IF(NOT(ISNA(MATCH(LOWER($O48&amp;"|"&amp;$E48),Concept!$L:$L,0))),INDEX(Concept!$A:$A,MATCH(LOWER($O48&amp;"|"&amp;$E48),Concept!$L:$L,0)),IF(NOT(ISNA(MATCH(LOWER($O48&amp;"|"&amp;$E48),Concept!$M:$M,0))),INDEX(Concept!$A:$A,MATCH(LOWER($O48&amp;"|"&amp;$E48),Concept!$M:$M,0)),""))))</f>
        <v/>
      </c>
      <c r="R48" s="6" t="str">
        <f>IF($P48="","",IF(NOT(ISNA(MATCH(LOWER($P48&amp;"|"&amp;$E48),Region!$J:$J,0))),INDEX(Region!$A:$A,MATCH(LOWER($P48&amp;"|"&amp;$E48),Region!$J:$J,0)),IF(NOT(ISNA(MATCH(LOWER($P48&amp;"|"&amp;$E48),Region!$K:$K,0))),INDEX(Region!$A:$A,MATCH(LOWER($P48&amp;"|"&amp;$E48),Region!$K:$K,0)),"")))</f>
        <v>0198ef6d-8543-2881-ac87-bb85405cfd45</v>
      </c>
      <c r="S48" s="6" t="str">
        <f>IF($N48&lt;&gt;"ORGANIZATION","",IF(NOT(ISNA(MATCH($E48,Organization!$A:$A,0))),INDEX(Organization!$A:$A,MATCH($E48,Organization!$A:$A,0)),IF(NOT(ISNA(MATCH($E48,Organization!$B:$B,0))),INDEX(Organization!$A:$A,MATCH($E48,Organization!$B:$B,0)),IF(NOT(ISNA(MATCH($E48,Organization!$A:$A,0))),INDEX(Organization!$C:$C,MATCH($E48,Organization!$C:$C,0)),""))))</f>
        <v/>
      </c>
      <c r="T48" s="6" t="str">
        <f>INDEX(Col!$B:$B,MATCH($M48,Col!$A:$A,0))</f>
        <v>0198ef6d-8543-d4cb-e9cb-2c352f1baa30</v>
      </c>
      <c r="U48" s="6" t="str">
        <f>INDEX(Dim!$C:$C,MATCH($T48,Dim!$A:$A,0))</f>
        <v>dim11</v>
      </c>
      <c r="V48" s="6" t="str">
        <f>INDEX(Dim!$B:$B,MATCH($T48,Dim!$A:$A,0))</f>
        <v>GEO</v>
      </c>
      <c r="W48" t="b">
        <v>0</v>
      </c>
    </row>
    <row r="49" spans="1:23" x14ac:dyDescent="0.3">
      <c r="A49" t="s">
        <v>689</v>
      </c>
      <c r="B49" s="6" t="str">
        <f>INDEX(_CaseData!$G:$G,MATCH($A49,_CaseData!$A:$A,0))</f>
        <v>case_type2</v>
      </c>
      <c r="C49" t="s">
        <v>557</v>
      </c>
      <c r="D49" s="6" t="str">
        <f>INDEX(CaseTypeCol!$H:$H,MATCH($C49,CaseTypeCol!$A:$A,0))</f>
        <v>2_13_0_1</v>
      </c>
      <c r="E49" s="11" t="s">
        <v>673</v>
      </c>
      <c r="G49" s="6" t="str">
        <f t="shared" si="0"/>
        <v>2024-01-01</v>
      </c>
      <c r="H49" s="6" t="b">
        <f t="shared" si="1"/>
        <v>1</v>
      </c>
      <c r="I49" t="b">
        <v>1</v>
      </c>
      <c r="J49" s="6" t="b">
        <f t="shared" si="2"/>
        <v>1</v>
      </c>
      <c r="K49" s="6" t="str">
        <f>INDEX(_CaseData!$B:$B,MATCH($A49,_CaseData!$A:$A,0))</f>
        <v>0195d18c-1ca6-752a-ec56-ed1b3d0cb095</v>
      </c>
      <c r="L49" s="6" t="str">
        <f>INDEX(CaseTypeCol!$B:$B,MATCH($C49,CaseTypeCol!$A:$A,0))</f>
        <v>0195d18c-1ca6-752a-ec56-ed1b3d0cb095</v>
      </c>
      <c r="M49" s="6" t="str">
        <f>INDEX(CaseTypeCol!$D:$D,MATCH($C49,CaseTypeCol!$A:$A,0))</f>
        <v>0198ef6d-8543-1ccc-3ca5-8e5804b351d7</v>
      </c>
      <c r="N49" s="6" t="str">
        <f>INDEX(Col!$H:$H,MATCH($M49,Col!$A:$A,0))</f>
        <v>TIME_DAY</v>
      </c>
      <c r="O49" s="6" t="str">
        <f>IF(INDEX(Col!$I:$I,MATCH($M49,Col!$A:$A,0))="","",INDEX(Col!$I:$I,MATCH($M49,Col!$A:$A,0)))</f>
        <v/>
      </c>
      <c r="P49" s="6" t="str">
        <f>IF(INDEX(Col!$K:$K,MATCH($M49,Col!$A:$A,0))="","",INDEX(Col!$K:$K,MATCH($M49,Col!$A:$A,0)))</f>
        <v/>
      </c>
      <c r="Q49" s="6" t="str">
        <f>IF($O49="","",IF(NOT(ISNA(MATCH(LOWER($O49&amp;"|"&amp;$E49),Concept!$K:$K,0))),INDEX(Concept!$A:$A,MATCH(LOWER($O49&amp;"|"&amp;$E49),Concept!$K:$K,0)),IF(NOT(ISNA(MATCH(LOWER($O49&amp;"|"&amp;$E49),Concept!$L:$L,0))),INDEX(Concept!$A:$A,MATCH(LOWER($O49&amp;"|"&amp;$E49),Concept!$L:$L,0)),IF(NOT(ISNA(MATCH(LOWER($O49&amp;"|"&amp;$E49),Concept!$M:$M,0))),INDEX(Concept!$A:$A,MATCH(LOWER($O49&amp;"|"&amp;$E49),Concept!$M:$M,0)),""))))</f>
        <v/>
      </c>
      <c r="R49" s="6" t="str">
        <f>IF($P49="","",IF(NOT(ISNA(MATCH(LOWER($P49&amp;"|"&amp;$E49),Region!$J:$J,0))),INDEX(Region!$A:$A,MATCH(LOWER($P49&amp;"|"&amp;$E49),Region!$J:$J,0)),IF(NOT(ISNA(MATCH(LOWER($P49&amp;"|"&amp;$E49),Region!$K:$K,0))),INDEX(Region!$A:$A,MATCH(LOWER($P49&amp;"|"&amp;$E49),Region!$K:$K,0)),"")))</f>
        <v/>
      </c>
      <c r="S49" s="6" t="str">
        <f>IF($N49&lt;&gt;"ORGANIZATION","",IF(NOT(ISNA(MATCH($E49,Organization!$A:$A,0))),INDEX(Organization!$A:$A,MATCH($E49,Organization!$A:$A,0)),IF(NOT(ISNA(MATCH($E49,Organization!$B:$B,0))),INDEX(Organization!$A:$A,MATCH($E49,Organization!$B:$B,0)),IF(NOT(ISNA(MATCH($E49,Organization!$A:$A,0))),INDEX(Organization!$C:$C,MATCH($E49,Organization!$C:$C,0)),""))))</f>
        <v/>
      </c>
      <c r="T49" s="6" t="str">
        <f>INDEX(Col!$B:$B,MATCH($M49,Col!$A:$A,0))</f>
        <v>0198ef6d-8543-090b-38ba-3d20aff20301</v>
      </c>
      <c r="U49" s="6" t="str">
        <f>INDEX(Dim!$C:$C,MATCH($T49,Dim!$A:$A,0))</f>
        <v>dim13</v>
      </c>
      <c r="V49" s="6" t="str">
        <f>INDEX(Dim!$B:$B,MATCH($T49,Dim!$A:$A,0))</f>
        <v>TIME</v>
      </c>
      <c r="W49" t="b">
        <v>0</v>
      </c>
    </row>
    <row r="50" spans="1:23" x14ac:dyDescent="0.3">
      <c r="A50" t="s">
        <v>689</v>
      </c>
      <c r="B50" s="6" t="str">
        <f>INDEX(_CaseData!$G:$G,MATCH($A50,_CaseData!$A:$A,0))</f>
        <v>case_type2</v>
      </c>
      <c r="C50" t="s">
        <v>558</v>
      </c>
      <c r="D50" s="6" t="str">
        <f>INDEX(CaseTypeCol!$H:$H,MATCH($C50,CaseTypeCol!$A:$A,0))</f>
        <v>2_13_0_2</v>
      </c>
      <c r="E50" s="11" t="s">
        <v>675</v>
      </c>
      <c r="G50" s="6" t="str">
        <f t="shared" si="0"/>
        <v>2024-W01</v>
      </c>
      <c r="H50" s="6" t="b">
        <f t="shared" si="1"/>
        <v>1</v>
      </c>
      <c r="I50" t="b">
        <v>1</v>
      </c>
      <c r="J50" s="6" t="b">
        <f t="shared" si="2"/>
        <v>1</v>
      </c>
      <c r="K50" s="6" t="str">
        <f>INDEX(_CaseData!$B:$B,MATCH($A50,_CaseData!$A:$A,0))</f>
        <v>0195d18c-1ca6-752a-ec56-ed1b3d0cb095</v>
      </c>
      <c r="L50" s="6" t="str">
        <f>INDEX(CaseTypeCol!$B:$B,MATCH($C50,CaseTypeCol!$A:$A,0))</f>
        <v>0195d18c-1ca6-752a-ec56-ed1b3d0cb095</v>
      </c>
      <c r="M50" s="6" t="str">
        <f>INDEX(CaseTypeCol!$D:$D,MATCH($C50,CaseTypeCol!$A:$A,0))</f>
        <v>0198ef6d-8543-a1f2-8fe1-01a845acbff0</v>
      </c>
      <c r="N50" s="6" t="str">
        <f>INDEX(Col!$H:$H,MATCH($M50,Col!$A:$A,0))</f>
        <v>TIME_WEEK</v>
      </c>
      <c r="O50" s="6" t="str">
        <f>IF(INDEX(Col!$I:$I,MATCH($M50,Col!$A:$A,0))="","",INDEX(Col!$I:$I,MATCH($M50,Col!$A:$A,0)))</f>
        <v/>
      </c>
      <c r="P50" s="6" t="str">
        <f>IF(INDEX(Col!$K:$K,MATCH($M50,Col!$A:$A,0))="","",INDEX(Col!$K:$K,MATCH($M50,Col!$A:$A,0)))</f>
        <v/>
      </c>
      <c r="Q50" s="6" t="str">
        <f>IF($O50="","",IF(NOT(ISNA(MATCH(LOWER($O50&amp;"|"&amp;$E50),Concept!$K:$K,0))),INDEX(Concept!$A:$A,MATCH(LOWER($O50&amp;"|"&amp;$E50),Concept!$K:$K,0)),IF(NOT(ISNA(MATCH(LOWER($O50&amp;"|"&amp;$E50),Concept!$L:$L,0))),INDEX(Concept!$A:$A,MATCH(LOWER($O50&amp;"|"&amp;$E50),Concept!$L:$L,0)),IF(NOT(ISNA(MATCH(LOWER($O50&amp;"|"&amp;$E50),Concept!$M:$M,0))),INDEX(Concept!$A:$A,MATCH(LOWER($O50&amp;"|"&amp;$E50),Concept!$M:$M,0)),""))))</f>
        <v/>
      </c>
      <c r="R50" s="6" t="str">
        <f>IF($P50="","",IF(NOT(ISNA(MATCH(LOWER($P50&amp;"|"&amp;$E50),Region!$J:$J,0))),INDEX(Region!$A:$A,MATCH(LOWER($P50&amp;"|"&amp;$E50),Region!$J:$J,0)),IF(NOT(ISNA(MATCH(LOWER($P50&amp;"|"&amp;$E50),Region!$K:$K,0))),INDEX(Region!$A:$A,MATCH(LOWER($P50&amp;"|"&amp;$E50),Region!$K:$K,0)),"")))</f>
        <v/>
      </c>
      <c r="S50" s="6" t="str">
        <f>IF($N50&lt;&gt;"ORGANIZATION","",IF(NOT(ISNA(MATCH($E50,Organization!$A:$A,0))),INDEX(Organization!$A:$A,MATCH($E50,Organization!$A:$A,0)),IF(NOT(ISNA(MATCH($E50,Organization!$B:$B,0))),INDEX(Organization!$A:$A,MATCH($E50,Organization!$B:$B,0)),IF(NOT(ISNA(MATCH($E50,Organization!$A:$A,0))),INDEX(Organization!$C:$C,MATCH($E50,Organization!$C:$C,0)),""))))</f>
        <v/>
      </c>
      <c r="T50" s="6" t="str">
        <f>INDEX(Col!$B:$B,MATCH($M50,Col!$A:$A,0))</f>
        <v>0198ef6d-8543-090b-38ba-3d20aff20301</v>
      </c>
      <c r="U50" s="6" t="str">
        <f>INDEX(Dim!$C:$C,MATCH($T50,Dim!$A:$A,0))</f>
        <v>dim13</v>
      </c>
      <c r="V50" s="6" t="str">
        <f>INDEX(Dim!$B:$B,MATCH($T50,Dim!$A:$A,0))</f>
        <v>TIME</v>
      </c>
      <c r="W50" t="b">
        <v>0</v>
      </c>
    </row>
    <row r="51" spans="1:23" x14ac:dyDescent="0.3">
      <c r="A51" t="s">
        <v>689</v>
      </c>
      <c r="B51" s="6" t="str">
        <f>INDEX(_CaseData!$G:$G,MATCH($A51,_CaseData!$A:$A,0))</f>
        <v>case_type2</v>
      </c>
      <c r="C51" t="s">
        <v>559</v>
      </c>
      <c r="D51" s="6" t="str">
        <f>INDEX(CaseTypeCol!$H:$H,MATCH($C51,CaseTypeCol!$A:$A,0))</f>
        <v>2_13_0_3</v>
      </c>
      <c r="E51" s="23" t="s">
        <v>674</v>
      </c>
      <c r="G51" s="6" t="str">
        <f t="shared" si="0"/>
        <v>2024-01</v>
      </c>
      <c r="H51" s="6" t="b">
        <f t="shared" si="1"/>
        <v>1</v>
      </c>
      <c r="I51" t="b">
        <v>1</v>
      </c>
      <c r="J51" s="6" t="b">
        <f t="shared" si="2"/>
        <v>1</v>
      </c>
      <c r="K51" s="6" t="str">
        <f>INDEX(_CaseData!$B:$B,MATCH($A51,_CaseData!$A:$A,0))</f>
        <v>0195d18c-1ca6-752a-ec56-ed1b3d0cb095</v>
      </c>
      <c r="L51" s="6" t="str">
        <f>INDEX(CaseTypeCol!$B:$B,MATCH($C51,CaseTypeCol!$A:$A,0))</f>
        <v>0195d18c-1ca6-752a-ec56-ed1b3d0cb095</v>
      </c>
      <c r="M51" s="6" t="str">
        <f>INDEX(CaseTypeCol!$D:$D,MATCH($C51,CaseTypeCol!$A:$A,0))</f>
        <v>0198ef6d-8543-3ef0-e88e-3e695cf2445e</v>
      </c>
      <c r="N51" s="6" t="str">
        <f>INDEX(Col!$H:$H,MATCH($M51,Col!$A:$A,0))</f>
        <v>TIME_MONTH</v>
      </c>
      <c r="O51" s="6" t="str">
        <f>IF(INDEX(Col!$I:$I,MATCH($M51,Col!$A:$A,0))="","",INDEX(Col!$I:$I,MATCH($M51,Col!$A:$A,0)))</f>
        <v/>
      </c>
      <c r="P51" s="6" t="str">
        <f>IF(INDEX(Col!$K:$K,MATCH($M51,Col!$A:$A,0))="","",INDEX(Col!$K:$K,MATCH($M51,Col!$A:$A,0)))</f>
        <v/>
      </c>
      <c r="Q51" s="6" t="str">
        <f>IF($O51="","",IF(NOT(ISNA(MATCH(LOWER($O51&amp;"|"&amp;$E51),Concept!$K:$K,0))),INDEX(Concept!$A:$A,MATCH(LOWER($O51&amp;"|"&amp;$E51),Concept!$K:$K,0)),IF(NOT(ISNA(MATCH(LOWER($O51&amp;"|"&amp;$E51),Concept!$L:$L,0))),INDEX(Concept!$A:$A,MATCH(LOWER($O51&amp;"|"&amp;$E51),Concept!$L:$L,0)),IF(NOT(ISNA(MATCH(LOWER($O51&amp;"|"&amp;$E51),Concept!$M:$M,0))),INDEX(Concept!$A:$A,MATCH(LOWER($O51&amp;"|"&amp;$E51),Concept!$M:$M,0)),""))))</f>
        <v/>
      </c>
      <c r="R51" s="6" t="str">
        <f>IF($P51="","",IF(NOT(ISNA(MATCH(LOWER($P51&amp;"|"&amp;$E51),Region!$J:$J,0))),INDEX(Region!$A:$A,MATCH(LOWER($P51&amp;"|"&amp;$E51),Region!$J:$J,0)),IF(NOT(ISNA(MATCH(LOWER($P51&amp;"|"&amp;$E51),Region!$K:$K,0))),INDEX(Region!$A:$A,MATCH(LOWER($P51&amp;"|"&amp;$E51),Region!$K:$K,0)),"")))</f>
        <v/>
      </c>
      <c r="S51" s="6" t="str">
        <f>IF($N51&lt;&gt;"ORGANIZATION","",IF(NOT(ISNA(MATCH($E51,Organization!$A:$A,0))),INDEX(Organization!$A:$A,MATCH($E51,Organization!$A:$A,0)),IF(NOT(ISNA(MATCH($E51,Organization!$B:$B,0))),INDEX(Organization!$A:$A,MATCH($E51,Organization!$B:$B,0)),IF(NOT(ISNA(MATCH($E51,Organization!$A:$A,0))),INDEX(Organization!$C:$C,MATCH($E51,Organization!$C:$C,0)),""))))</f>
        <v/>
      </c>
      <c r="T51" s="6" t="str">
        <f>INDEX(Col!$B:$B,MATCH($M51,Col!$A:$A,0))</f>
        <v>0198ef6d-8543-090b-38ba-3d20aff20301</v>
      </c>
      <c r="U51" s="6" t="str">
        <f>INDEX(Dim!$C:$C,MATCH($T51,Dim!$A:$A,0))</f>
        <v>dim13</v>
      </c>
      <c r="V51" s="6" t="str">
        <f>INDEX(Dim!$B:$B,MATCH($T51,Dim!$A:$A,0))</f>
        <v>TIME</v>
      </c>
      <c r="W51" t="b">
        <v>0</v>
      </c>
    </row>
    <row r="52" spans="1:23" x14ac:dyDescent="0.3">
      <c r="A52" t="s">
        <v>689</v>
      </c>
      <c r="B52" s="6" t="str">
        <f>INDEX(_CaseData!$G:$G,MATCH($A52,_CaseData!$A:$A,0))</f>
        <v>case_type2</v>
      </c>
      <c r="C52" t="s">
        <v>560</v>
      </c>
      <c r="D52" s="6" t="str">
        <f>INDEX(CaseTypeCol!$H:$H,MATCH($C52,CaseTypeCol!$A:$A,0))</f>
        <v>2_13_0_4</v>
      </c>
      <c r="E52" s="11" t="s">
        <v>676</v>
      </c>
      <c r="G52" s="6" t="str">
        <f t="shared" si="0"/>
        <v>2024-Q1</v>
      </c>
      <c r="H52" s="6" t="b">
        <f t="shared" si="1"/>
        <v>1</v>
      </c>
      <c r="I52" t="b">
        <v>1</v>
      </c>
      <c r="J52" s="6" t="b">
        <f t="shared" si="2"/>
        <v>1</v>
      </c>
      <c r="K52" s="6" t="str">
        <f>INDEX(_CaseData!$B:$B,MATCH($A52,_CaseData!$A:$A,0))</f>
        <v>0195d18c-1ca6-752a-ec56-ed1b3d0cb095</v>
      </c>
      <c r="L52" s="6" t="str">
        <f>INDEX(CaseTypeCol!$B:$B,MATCH($C52,CaseTypeCol!$A:$A,0))</f>
        <v>0195d18c-1ca6-752a-ec56-ed1b3d0cb095</v>
      </c>
      <c r="M52" s="6" t="str">
        <f>INDEX(CaseTypeCol!$D:$D,MATCH($C52,CaseTypeCol!$A:$A,0))</f>
        <v>0198ef6d-8543-36a5-2583-d111be64cfe5</v>
      </c>
      <c r="N52" s="6" t="str">
        <f>INDEX(Col!$H:$H,MATCH($M52,Col!$A:$A,0))</f>
        <v>TIME_QUARTER</v>
      </c>
      <c r="O52" s="6" t="str">
        <f>IF(INDEX(Col!$I:$I,MATCH($M52,Col!$A:$A,0))="","",INDEX(Col!$I:$I,MATCH($M52,Col!$A:$A,0)))</f>
        <v/>
      </c>
      <c r="P52" s="6" t="str">
        <f>IF(INDEX(Col!$K:$K,MATCH($M52,Col!$A:$A,0))="","",INDEX(Col!$K:$K,MATCH($M52,Col!$A:$A,0)))</f>
        <v/>
      </c>
      <c r="Q52" s="6" t="str">
        <f>IF($O52="","",IF(NOT(ISNA(MATCH(LOWER($O52&amp;"|"&amp;$E52),Concept!$K:$K,0))),INDEX(Concept!$A:$A,MATCH(LOWER($O52&amp;"|"&amp;$E52),Concept!$K:$K,0)),IF(NOT(ISNA(MATCH(LOWER($O52&amp;"|"&amp;$E52),Concept!$L:$L,0))),INDEX(Concept!$A:$A,MATCH(LOWER($O52&amp;"|"&amp;$E52),Concept!$L:$L,0)),IF(NOT(ISNA(MATCH(LOWER($O52&amp;"|"&amp;$E52),Concept!$M:$M,0))),INDEX(Concept!$A:$A,MATCH(LOWER($O52&amp;"|"&amp;$E52),Concept!$M:$M,0)),""))))</f>
        <v/>
      </c>
      <c r="R52" s="6" t="str">
        <f>IF($P52="","",IF(NOT(ISNA(MATCH(LOWER($P52&amp;"|"&amp;$E52),Region!$J:$J,0))),INDEX(Region!$A:$A,MATCH(LOWER($P52&amp;"|"&amp;$E52),Region!$J:$J,0)),IF(NOT(ISNA(MATCH(LOWER($P52&amp;"|"&amp;$E52),Region!$K:$K,0))),INDEX(Region!$A:$A,MATCH(LOWER($P52&amp;"|"&amp;$E52),Region!$K:$K,0)),"")))</f>
        <v/>
      </c>
      <c r="S52" s="6" t="str">
        <f>IF($N52&lt;&gt;"ORGANIZATION","",IF(NOT(ISNA(MATCH($E52,Organization!$A:$A,0))),INDEX(Organization!$A:$A,MATCH($E52,Organization!$A:$A,0)),IF(NOT(ISNA(MATCH($E52,Organization!$B:$B,0))),INDEX(Organization!$A:$A,MATCH($E52,Organization!$B:$B,0)),IF(NOT(ISNA(MATCH($E52,Organization!$A:$A,0))),INDEX(Organization!$C:$C,MATCH($E52,Organization!$C:$C,0)),""))))</f>
        <v/>
      </c>
      <c r="T52" s="6" t="str">
        <f>INDEX(Col!$B:$B,MATCH($M52,Col!$A:$A,0))</f>
        <v>0198ef6d-8543-090b-38ba-3d20aff20301</v>
      </c>
      <c r="U52" s="6" t="str">
        <f>INDEX(Dim!$C:$C,MATCH($T52,Dim!$A:$A,0))</f>
        <v>dim13</v>
      </c>
      <c r="V52" s="6" t="str">
        <f>INDEX(Dim!$B:$B,MATCH($T52,Dim!$A:$A,0))</f>
        <v>TIME</v>
      </c>
      <c r="W52" t="b">
        <v>0</v>
      </c>
    </row>
    <row r="53" spans="1:23" x14ac:dyDescent="0.3">
      <c r="A53" t="s">
        <v>689</v>
      </c>
      <c r="B53" s="6" t="str">
        <f>INDEX(_CaseData!$G:$G,MATCH($A53,_CaseData!$A:$A,0))</f>
        <v>case_type2</v>
      </c>
      <c r="C53" t="s">
        <v>561</v>
      </c>
      <c r="D53" s="6" t="str">
        <f>INDEX(CaseTypeCol!$H:$H,MATCH($C53,CaseTypeCol!$A:$A,0))</f>
        <v>2_13_0_5</v>
      </c>
      <c r="E53" s="11" t="s">
        <v>677</v>
      </c>
      <c r="G53" s="6" t="str">
        <f t="shared" si="0"/>
        <v>2024</v>
      </c>
      <c r="H53" s="6" t="b">
        <f t="shared" si="1"/>
        <v>1</v>
      </c>
      <c r="I53" t="b">
        <v>1</v>
      </c>
      <c r="J53" s="6" t="b">
        <f t="shared" si="2"/>
        <v>1</v>
      </c>
      <c r="K53" s="6" t="str">
        <f>INDEX(_CaseData!$B:$B,MATCH($A53,_CaseData!$A:$A,0))</f>
        <v>0195d18c-1ca6-752a-ec56-ed1b3d0cb095</v>
      </c>
      <c r="L53" s="6" t="str">
        <f>INDEX(CaseTypeCol!$B:$B,MATCH($C53,CaseTypeCol!$A:$A,0))</f>
        <v>0195d18c-1ca6-752a-ec56-ed1b3d0cb095</v>
      </c>
      <c r="M53" s="6" t="str">
        <f>INDEX(CaseTypeCol!$D:$D,MATCH($C53,CaseTypeCol!$A:$A,0))</f>
        <v>0198ef6d-8543-0602-3b9b-8074754ce32f</v>
      </c>
      <c r="N53" s="6" t="str">
        <f>INDEX(Col!$H:$H,MATCH($M53,Col!$A:$A,0))</f>
        <v>TIME_YEAR</v>
      </c>
      <c r="O53" s="6" t="str">
        <f>IF(INDEX(Col!$I:$I,MATCH($M53,Col!$A:$A,0))="","",INDEX(Col!$I:$I,MATCH($M53,Col!$A:$A,0)))</f>
        <v/>
      </c>
      <c r="P53" s="6" t="str">
        <f>IF(INDEX(Col!$K:$K,MATCH($M53,Col!$A:$A,0))="","",INDEX(Col!$K:$K,MATCH($M53,Col!$A:$A,0)))</f>
        <v/>
      </c>
      <c r="Q53" s="6" t="str">
        <f>IF($O53="","",IF(NOT(ISNA(MATCH(LOWER($O53&amp;"|"&amp;$E53),Concept!$K:$K,0))),INDEX(Concept!$A:$A,MATCH(LOWER($O53&amp;"|"&amp;$E53),Concept!$K:$K,0)),IF(NOT(ISNA(MATCH(LOWER($O53&amp;"|"&amp;$E53),Concept!$L:$L,0))),INDEX(Concept!$A:$A,MATCH(LOWER($O53&amp;"|"&amp;$E53),Concept!$L:$L,0)),IF(NOT(ISNA(MATCH(LOWER($O53&amp;"|"&amp;$E53),Concept!$M:$M,0))),INDEX(Concept!$A:$A,MATCH(LOWER($O53&amp;"|"&amp;$E53),Concept!$M:$M,0)),""))))</f>
        <v/>
      </c>
      <c r="R53" s="6" t="str">
        <f>IF($P53="","",IF(NOT(ISNA(MATCH(LOWER($P53&amp;"|"&amp;$E53),Region!$J:$J,0))),INDEX(Region!$A:$A,MATCH(LOWER($P53&amp;"|"&amp;$E53),Region!$J:$J,0)),IF(NOT(ISNA(MATCH(LOWER($P53&amp;"|"&amp;$E53),Region!$K:$K,0))),INDEX(Region!$A:$A,MATCH(LOWER($P53&amp;"|"&amp;$E53),Region!$K:$K,0)),"")))</f>
        <v/>
      </c>
      <c r="S53" s="6" t="str">
        <f>IF($N53&lt;&gt;"ORGANIZATION","",IF(NOT(ISNA(MATCH($E53,Organization!$A:$A,0))),INDEX(Organization!$A:$A,MATCH($E53,Organization!$A:$A,0)),IF(NOT(ISNA(MATCH($E53,Organization!$B:$B,0))),INDEX(Organization!$A:$A,MATCH($E53,Organization!$B:$B,0)),IF(NOT(ISNA(MATCH($E53,Organization!$A:$A,0))),INDEX(Organization!$C:$C,MATCH($E53,Organization!$C:$C,0)),""))))</f>
        <v/>
      </c>
      <c r="T53" s="6" t="str">
        <f>INDEX(Col!$B:$B,MATCH($M53,Col!$A:$A,0))</f>
        <v>0198ef6d-8543-090b-38ba-3d20aff20301</v>
      </c>
      <c r="U53" s="6" t="str">
        <f>INDEX(Dim!$C:$C,MATCH($T53,Dim!$A:$A,0))</f>
        <v>dim13</v>
      </c>
      <c r="V53" s="6" t="str">
        <f>INDEX(Dim!$B:$B,MATCH($T53,Dim!$A:$A,0))</f>
        <v>TIME</v>
      </c>
      <c r="W53" t="b">
        <v>0</v>
      </c>
    </row>
    <row r="54" spans="1:23" x14ac:dyDescent="0.3">
      <c r="A54" t="s">
        <v>689</v>
      </c>
      <c r="B54" s="6" t="str">
        <f>INDEX(_CaseData!$G:$G,MATCH($A54,_CaseData!$A:$A,0))</f>
        <v>case_type2</v>
      </c>
      <c r="C54" t="s">
        <v>562</v>
      </c>
      <c r="D54" s="6" t="str">
        <f>INDEX(CaseTypeCol!$H:$H,MATCH($C54,CaseTypeCol!$A:$A,0))</f>
        <v>2_15_0_1</v>
      </c>
      <c r="E54" t="s">
        <v>683</v>
      </c>
      <c r="G54" s="6" t="str">
        <f t="shared" si="0"/>
        <v>0198ef6d-8543-8644-c476-b020fa968b83</v>
      </c>
      <c r="H54" s="6" t="b">
        <f t="shared" si="1"/>
        <v>1</v>
      </c>
      <c r="I54" t="b">
        <v>1</v>
      </c>
      <c r="J54" s="6" t="b">
        <f t="shared" si="2"/>
        <v>1</v>
      </c>
      <c r="K54" s="6" t="str">
        <f>INDEX(_CaseData!$B:$B,MATCH($A54,_CaseData!$A:$A,0))</f>
        <v>0195d18c-1ca6-752a-ec56-ed1b3d0cb095</v>
      </c>
      <c r="L54" s="6" t="str">
        <f>INDEX(CaseTypeCol!$B:$B,MATCH($C54,CaseTypeCol!$A:$A,0))</f>
        <v>0195d18c-1ca6-752a-ec56-ed1b3d0cb095</v>
      </c>
      <c r="M54" s="6" t="str">
        <f>INDEX(CaseTypeCol!$D:$D,MATCH($C54,CaseTypeCol!$A:$A,0))</f>
        <v>0198ef6d-8543-ab8a-bde3-659597476ba5</v>
      </c>
      <c r="N54" s="6" t="str">
        <f>INDEX(Col!$H:$H,MATCH($M54,Col!$A:$A,0))</f>
        <v>ID_PERSON</v>
      </c>
      <c r="O54" s="6" t="str">
        <f>IF(INDEX(Col!$I:$I,MATCH($M54,Col!$A:$A,0))="","",INDEX(Col!$I:$I,MATCH($M54,Col!$A:$A,0)))</f>
        <v/>
      </c>
      <c r="P54" s="6" t="str">
        <f>IF(INDEX(Col!$K:$K,MATCH($M54,Col!$A:$A,0))="","",INDEX(Col!$K:$K,MATCH($M54,Col!$A:$A,0)))</f>
        <v/>
      </c>
      <c r="Q54" s="6" t="str">
        <f>IF($O54="","",IF(NOT(ISNA(MATCH(LOWER($O54&amp;"|"&amp;$E54),Concept!$K:$K,0))),INDEX(Concept!$A:$A,MATCH(LOWER($O54&amp;"|"&amp;$E54),Concept!$K:$K,0)),IF(NOT(ISNA(MATCH(LOWER($O54&amp;"|"&amp;$E54),Concept!$L:$L,0))),INDEX(Concept!$A:$A,MATCH(LOWER($O54&amp;"|"&amp;$E54),Concept!$L:$L,0)),IF(NOT(ISNA(MATCH(LOWER($O54&amp;"|"&amp;$E54),Concept!$M:$M,0))),INDEX(Concept!$A:$A,MATCH(LOWER($O54&amp;"|"&amp;$E54),Concept!$M:$M,0)),""))))</f>
        <v/>
      </c>
      <c r="R54" s="6" t="str">
        <f>IF($P54="","",IF(NOT(ISNA(MATCH(LOWER($P54&amp;"|"&amp;$E54),Region!$J:$J,0))),INDEX(Region!$A:$A,MATCH(LOWER($P54&amp;"|"&amp;$E54),Region!$J:$J,0)),IF(NOT(ISNA(MATCH(LOWER($P54&amp;"|"&amp;$E54),Region!$K:$K,0))),INDEX(Region!$A:$A,MATCH(LOWER($P54&amp;"|"&amp;$E54),Region!$K:$K,0)),"")))</f>
        <v/>
      </c>
      <c r="S54" s="6" t="str">
        <f>IF($N54&lt;&gt;"ORGANIZATION","",IF(NOT(ISNA(MATCH($E54,Organization!$A:$A,0))),INDEX(Organization!$A:$A,MATCH($E54,Organization!$A:$A,0)),IF(NOT(ISNA(MATCH($E54,Organization!$B:$B,0))),INDEX(Organization!$A:$A,MATCH($E54,Organization!$B:$B,0)),IF(NOT(ISNA(MATCH($E54,Organization!$A:$A,0))),INDEX(Organization!$C:$C,MATCH($E54,Organization!$C:$C,0)),""))))</f>
        <v/>
      </c>
      <c r="T54" s="6" t="str">
        <f>INDEX(Col!$B:$B,MATCH($M54,Col!$A:$A,0))</f>
        <v>0198ef6d-8543-f771-bae1-9ddd35630976</v>
      </c>
      <c r="U54" s="6" t="str">
        <f>INDEX(Dim!$C:$C,MATCH($T54,Dim!$A:$A,0))</f>
        <v>dim15</v>
      </c>
      <c r="V54" s="6" t="str">
        <f>INDEX(Dim!$B:$B,MATCH($T54,Dim!$A:$A,0))</f>
        <v>IDENTIFIER</v>
      </c>
      <c r="W54" t="b">
        <v>0</v>
      </c>
    </row>
    <row r="55" spans="1:23" x14ac:dyDescent="0.3">
      <c r="A55" t="s">
        <v>689</v>
      </c>
      <c r="B55" s="6" t="str">
        <f>INDEX(_CaseData!$G:$G,MATCH($A55,_CaseData!$A:$A,0))</f>
        <v>case_type2</v>
      </c>
      <c r="C55" t="s">
        <v>563</v>
      </c>
      <c r="D55" s="6" t="str">
        <f>INDEX(CaseTypeCol!$H:$H,MATCH($C55,CaseTypeCol!$A:$A,0))</f>
        <v>2_17_0_1</v>
      </c>
      <c r="E55">
        <v>19</v>
      </c>
      <c r="G55" s="6">
        <f t="shared" si="0"/>
        <v>19</v>
      </c>
      <c r="H55" s="6" t="b">
        <f t="shared" si="1"/>
        <v>1</v>
      </c>
      <c r="I55" t="b">
        <v>1</v>
      </c>
      <c r="J55" s="6" t="b">
        <f t="shared" si="2"/>
        <v>1</v>
      </c>
      <c r="K55" s="6" t="str">
        <f>INDEX(_CaseData!$B:$B,MATCH($A55,_CaseData!$A:$A,0))</f>
        <v>0195d18c-1ca6-752a-ec56-ed1b3d0cb095</v>
      </c>
      <c r="L55" s="6" t="str">
        <f>INDEX(CaseTypeCol!$B:$B,MATCH($C55,CaseTypeCol!$A:$A,0))</f>
        <v>0195d18c-1ca6-752a-ec56-ed1b3d0cb095</v>
      </c>
      <c r="M55" s="6" t="str">
        <f>INDEX(CaseTypeCol!$D:$D,MATCH($C55,CaseTypeCol!$A:$A,0))</f>
        <v>0198ef6d-8543-c616-5348-1a00a03f4c57</v>
      </c>
      <c r="N55" s="6" t="str">
        <f>INDEX(Col!$H:$H,MATCH($M55,Col!$A:$A,0))</f>
        <v>DECIMAL_0</v>
      </c>
      <c r="O55" s="6" t="str">
        <f>IF(INDEX(Col!$I:$I,MATCH($M55,Col!$A:$A,0))="","",INDEX(Col!$I:$I,MATCH($M55,Col!$A:$A,0)))</f>
        <v/>
      </c>
      <c r="P55" s="6" t="str">
        <f>IF(INDEX(Col!$K:$K,MATCH($M55,Col!$A:$A,0))="","",INDEX(Col!$K:$K,MATCH($M55,Col!$A:$A,0)))</f>
        <v/>
      </c>
      <c r="Q55" s="6" t="str">
        <f>IF($O55="","",IF(NOT(ISNA(MATCH(LOWER($O55&amp;"|"&amp;$E55),Concept!$K:$K,0))),INDEX(Concept!$A:$A,MATCH(LOWER($O55&amp;"|"&amp;$E55),Concept!$K:$K,0)),IF(NOT(ISNA(MATCH(LOWER($O55&amp;"|"&amp;$E55),Concept!$L:$L,0))),INDEX(Concept!$A:$A,MATCH(LOWER($O55&amp;"|"&amp;$E55),Concept!$L:$L,0)),IF(NOT(ISNA(MATCH(LOWER($O55&amp;"|"&amp;$E55),Concept!$M:$M,0))),INDEX(Concept!$A:$A,MATCH(LOWER($O55&amp;"|"&amp;$E55),Concept!$M:$M,0)),""))))</f>
        <v/>
      </c>
      <c r="R55" s="6" t="str">
        <f>IF($P55="","",IF(NOT(ISNA(MATCH(LOWER($P55&amp;"|"&amp;$E55),Region!$J:$J,0))),INDEX(Region!$A:$A,MATCH(LOWER($P55&amp;"|"&amp;$E55),Region!$J:$J,0)),IF(NOT(ISNA(MATCH(LOWER($P55&amp;"|"&amp;$E55),Region!$K:$K,0))),INDEX(Region!$A:$A,MATCH(LOWER($P55&amp;"|"&amp;$E55),Region!$K:$K,0)),"")))</f>
        <v/>
      </c>
      <c r="S55" s="6" t="str">
        <f>IF($N55&lt;&gt;"ORGANIZATION","",IF(NOT(ISNA(MATCH($E55,Organization!$A:$A,0))),INDEX(Organization!$A:$A,MATCH($E55,Organization!$A:$A,0)),IF(NOT(ISNA(MATCH($E55,Organization!$B:$B,0))),INDEX(Organization!$A:$A,MATCH($E55,Organization!$B:$B,0)),IF(NOT(ISNA(MATCH($E55,Organization!$A:$A,0))),INDEX(Organization!$C:$C,MATCH($E55,Organization!$C:$C,0)),""))))</f>
        <v/>
      </c>
      <c r="T55" s="6" t="str">
        <f>INDEX(Col!$B:$B,MATCH($M55,Col!$A:$A,0))</f>
        <v>0198ef6d-8543-2e3c-58fa-85eca2a977c1</v>
      </c>
      <c r="U55" s="6" t="str">
        <f>INDEX(Dim!$C:$C,MATCH($T55,Dim!$A:$A,0))</f>
        <v>dim17</v>
      </c>
      <c r="V55" s="6" t="str">
        <f>INDEX(Dim!$B:$B,MATCH($T55,Dim!$A:$A,0))</f>
        <v>NUMBER</v>
      </c>
      <c r="W55" t="b">
        <v>0</v>
      </c>
    </row>
    <row r="56" spans="1:23" x14ac:dyDescent="0.3">
      <c r="A56" t="s">
        <v>689</v>
      </c>
      <c r="B56" s="6" t="str">
        <f>INDEX(_CaseData!$G:$G,MATCH($A56,_CaseData!$A:$A,0))</f>
        <v>case_type2</v>
      </c>
      <c r="C56" t="s">
        <v>564</v>
      </c>
      <c r="D56" s="6" t="str">
        <f>INDEX(CaseTypeCol!$H:$H,MATCH($C56,CaseTypeCol!$A:$A,0))</f>
        <v>2_17_0_2</v>
      </c>
      <c r="E56" s="11" t="s">
        <v>819</v>
      </c>
      <c r="G56" s="6" t="str">
        <f t="shared" si="0"/>
        <v>0198ef6d-8543-d03b-b9f4-f460fae89f04</v>
      </c>
      <c r="H56" s="6" t="b">
        <f t="shared" si="1"/>
        <v>1</v>
      </c>
      <c r="I56" t="b">
        <v>1</v>
      </c>
      <c r="J56" s="6" t="b">
        <f t="shared" si="2"/>
        <v>1</v>
      </c>
      <c r="K56" s="6" t="str">
        <f>INDEX(_CaseData!$B:$B,MATCH($A56,_CaseData!$A:$A,0))</f>
        <v>0195d18c-1ca6-752a-ec56-ed1b3d0cb095</v>
      </c>
      <c r="L56" s="6" t="str">
        <f>INDEX(CaseTypeCol!$B:$B,MATCH($C56,CaseTypeCol!$A:$A,0))</f>
        <v>0195d18c-1ca6-752a-ec56-ed1b3d0cb095</v>
      </c>
      <c r="M56" s="6" t="str">
        <f>INDEX(CaseTypeCol!$D:$D,MATCH($C56,CaseTypeCol!$A:$A,0))</f>
        <v>0198ef6d-8543-d80f-bded-2df4b7df993d</v>
      </c>
      <c r="N56" s="6" t="str">
        <f>INDEX(Col!$H:$H,MATCH($M56,Col!$A:$A,0))</f>
        <v>INTERVAL</v>
      </c>
      <c r="O56" s="6" t="str">
        <f>IF(INDEX(Col!$I:$I,MATCH($M56,Col!$A:$A,0))="","",INDEX(Col!$I:$I,MATCH($M56,Col!$A:$A,0)))</f>
        <v>0198ef6d-8543-020d-44c5-53e813a46714</v>
      </c>
      <c r="P56" s="6" t="str">
        <f>IF(INDEX(Col!$K:$K,MATCH($M56,Col!$A:$A,0))="","",INDEX(Col!$K:$K,MATCH($M56,Col!$A:$A,0)))</f>
        <v/>
      </c>
      <c r="Q56" s="6" t="str">
        <f>IF($O56="","",IF(NOT(ISNA(MATCH(LOWER($O56&amp;"|"&amp;$E56),Concept!$K:$K,0))),INDEX(Concept!$A:$A,MATCH(LOWER($O56&amp;"|"&amp;$E56),Concept!$K:$K,0)),IF(NOT(ISNA(MATCH(LOWER($O56&amp;"|"&amp;$E56),Concept!$L:$L,0))),INDEX(Concept!$A:$A,MATCH(LOWER($O56&amp;"|"&amp;$E56),Concept!$L:$L,0)),IF(NOT(ISNA(MATCH(LOWER($O56&amp;"|"&amp;$E56),Concept!$M:$M,0))),INDEX(Concept!$A:$A,MATCH(LOWER($O56&amp;"|"&amp;$E56),Concept!$M:$M,0)),""))))</f>
        <v>0198ef6d-8543-d03b-b9f4-f460fae89f04</v>
      </c>
      <c r="R56" s="6" t="str">
        <f>IF($P56="","",IF(NOT(ISNA(MATCH(LOWER($P56&amp;"|"&amp;$E56),Region!$J:$J,0))),INDEX(Region!$A:$A,MATCH(LOWER($P56&amp;"|"&amp;$E56),Region!$J:$J,0)),IF(NOT(ISNA(MATCH(LOWER($P56&amp;"|"&amp;$E56),Region!$K:$K,0))),INDEX(Region!$A:$A,MATCH(LOWER($P56&amp;"|"&amp;$E56),Region!$K:$K,0)),"")))</f>
        <v/>
      </c>
      <c r="S56" s="6" t="str">
        <f>IF($N56&lt;&gt;"ORGANIZATION","",IF(NOT(ISNA(MATCH($E56,Organization!$A:$A,0))),INDEX(Organization!$A:$A,MATCH($E56,Organization!$A:$A,0)),IF(NOT(ISNA(MATCH($E56,Organization!$B:$B,0))),INDEX(Organization!$A:$A,MATCH($E56,Organization!$B:$B,0)),IF(NOT(ISNA(MATCH($E56,Organization!$A:$A,0))),INDEX(Organization!$C:$C,MATCH($E56,Organization!$C:$C,0)),""))))</f>
        <v/>
      </c>
      <c r="T56" s="6" t="str">
        <f>INDEX(Col!$B:$B,MATCH($M56,Col!$A:$A,0))</f>
        <v>0198ef6d-8543-2e3c-58fa-85eca2a977c1</v>
      </c>
      <c r="U56" s="6" t="str">
        <f>INDEX(Dim!$C:$C,MATCH($T56,Dim!$A:$A,0))</f>
        <v>dim17</v>
      </c>
      <c r="V56" s="6" t="str">
        <f>INDEX(Dim!$B:$B,MATCH($T56,Dim!$A:$A,0))</f>
        <v>NUMBER</v>
      </c>
      <c r="W56" t="b">
        <v>0</v>
      </c>
    </row>
    <row r="57" spans="1:23" x14ac:dyDescent="0.3">
      <c r="A57" t="s">
        <v>689</v>
      </c>
      <c r="B57" s="6" t="str">
        <f>INDEX(_CaseData!$G:$G,MATCH($A57,_CaseData!$A:$A,0))</f>
        <v>case_type2</v>
      </c>
      <c r="C57" t="s">
        <v>565</v>
      </c>
      <c r="D57" s="6" t="str">
        <f>INDEX(CaseTypeCol!$H:$H,MATCH($C57,CaseTypeCol!$A:$A,0))</f>
        <v>2_17_0_3</v>
      </c>
      <c r="E57" s="11" t="s">
        <v>820</v>
      </c>
      <c r="G57" s="6" t="str">
        <f t="shared" si="0"/>
        <v>0198ef6d-8543-626b-c05d-de74547d3621</v>
      </c>
      <c r="H57" s="6" t="b">
        <f t="shared" si="1"/>
        <v>1</v>
      </c>
      <c r="I57" t="b">
        <v>1</v>
      </c>
      <c r="J57" s="6" t="b">
        <f t="shared" si="2"/>
        <v>1</v>
      </c>
      <c r="K57" s="6" t="str">
        <f>INDEX(_CaseData!$B:$B,MATCH($A57,_CaseData!$A:$A,0))</f>
        <v>0195d18c-1ca6-752a-ec56-ed1b3d0cb095</v>
      </c>
      <c r="L57" s="6" t="str">
        <f>INDEX(CaseTypeCol!$B:$B,MATCH($C57,CaseTypeCol!$A:$A,0))</f>
        <v>0195d18c-1ca6-752a-ec56-ed1b3d0cb095</v>
      </c>
      <c r="M57" s="6" t="str">
        <f>INDEX(CaseTypeCol!$D:$D,MATCH($C57,CaseTypeCol!$A:$A,0))</f>
        <v>0198ef6d-8543-7e88-f9a1-238ceac18124</v>
      </c>
      <c r="N57" s="6" t="str">
        <f>INDEX(Col!$H:$H,MATCH($M57,Col!$A:$A,0))</f>
        <v>INTERVAL</v>
      </c>
      <c r="O57" s="6" t="str">
        <f>IF(INDEX(Col!$I:$I,MATCH($M57,Col!$A:$A,0))="","",INDEX(Col!$I:$I,MATCH($M57,Col!$A:$A,0)))</f>
        <v>0198ef6d-8543-2a37-be54-7f7d24e1ed1d</v>
      </c>
      <c r="P57" s="6" t="str">
        <f>IF(INDEX(Col!$K:$K,MATCH($M57,Col!$A:$A,0))="","",INDEX(Col!$K:$K,MATCH($M57,Col!$A:$A,0)))</f>
        <v/>
      </c>
      <c r="Q57" s="6" t="str">
        <f>IF($O57="","",IF(NOT(ISNA(MATCH(LOWER($O57&amp;"|"&amp;$E57),Concept!$K:$K,0))),INDEX(Concept!$A:$A,MATCH(LOWER($O57&amp;"|"&amp;$E57),Concept!$K:$K,0)),IF(NOT(ISNA(MATCH(LOWER($O57&amp;"|"&amp;$E57),Concept!$L:$L,0))),INDEX(Concept!$A:$A,MATCH(LOWER($O57&amp;"|"&amp;$E57),Concept!$L:$L,0)),IF(NOT(ISNA(MATCH(LOWER($O57&amp;"|"&amp;$E57),Concept!$M:$M,0))),INDEX(Concept!$A:$A,MATCH(LOWER($O57&amp;"|"&amp;$E57),Concept!$M:$M,0)),""))))</f>
        <v>0198ef6d-8543-626b-c05d-de74547d3621</v>
      </c>
      <c r="R57" s="6" t="str">
        <f>IF($P57="","",IF(NOT(ISNA(MATCH(LOWER($P57&amp;"|"&amp;$E57),Region!$J:$J,0))),INDEX(Region!$A:$A,MATCH(LOWER($P57&amp;"|"&amp;$E57),Region!$J:$J,0)),IF(NOT(ISNA(MATCH(LOWER($P57&amp;"|"&amp;$E57),Region!$K:$K,0))),INDEX(Region!$A:$A,MATCH(LOWER($P57&amp;"|"&amp;$E57),Region!$K:$K,0)),"")))</f>
        <v/>
      </c>
      <c r="S57" s="6" t="str">
        <f>IF($N57&lt;&gt;"ORGANIZATION","",IF(NOT(ISNA(MATCH($E57,Organization!$A:$A,0))),INDEX(Organization!$A:$A,MATCH($E57,Organization!$A:$A,0)),IF(NOT(ISNA(MATCH($E57,Organization!$B:$B,0))),INDEX(Organization!$A:$A,MATCH($E57,Organization!$B:$B,0)),IF(NOT(ISNA(MATCH($E57,Organization!$A:$A,0))),INDEX(Organization!$C:$C,MATCH($E57,Organization!$C:$C,0)),""))))</f>
        <v/>
      </c>
      <c r="T57" s="6" t="str">
        <f>INDEX(Col!$B:$B,MATCH($M57,Col!$A:$A,0))</f>
        <v>0198ef6d-8543-2e3c-58fa-85eca2a977c1</v>
      </c>
      <c r="U57" s="6" t="str">
        <f>INDEX(Dim!$C:$C,MATCH($T57,Dim!$A:$A,0))</f>
        <v>dim17</v>
      </c>
      <c r="V57" s="6" t="str">
        <f>INDEX(Dim!$B:$B,MATCH($T57,Dim!$A:$A,0))</f>
        <v>NUMBER</v>
      </c>
      <c r="W57" t="b">
        <v>0</v>
      </c>
    </row>
    <row r="58" spans="1:23" x14ac:dyDescent="0.3">
      <c r="A58" t="s">
        <v>689</v>
      </c>
      <c r="B58" s="6" t="str">
        <f>INDEX(_CaseData!$G:$G,MATCH($A58,_CaseData!$A:$A,0))</f>
        <v>case_type2</v>
      </c>
      <c r="C58" t="s">
        <v>566</v>
      </c>
      <c r="D58" s="6" t="str">
        <f>INDEX(CaseTypeCol!$H:$H,MATCH($C58,CaseTypeCol!$A:$A,0))</f>
        <v>2_21_0_1</v>
      </c>
      <c r="E58" t="s">
        <v>686</v>
      </c>
      <c r="G58" s="6" t="str">
        <f t="shared" si="0"/>
        <v>OTHER1_1</v>
      </c>
      <c r="H58" s="6" t="b">
        <f t="shared" si="1"/>
        <v>1</v>
      </c>
      <c r="I58" t="b">
        <v>1</v>
      </c>
      <c r="J58" s="6" t="b">
        <f t="shared" si="2"/>
        <v>1</v>
      </c>
      <c r="K58" s="6" t="str">
        <f>INDEX(_CaseData!$B:$B,MATCH($A58,_CaseData!$A:$A,0))</f>
        <v>0195d18c-1ca6-752a-ec56-ed1b3d0cb095</v>
      </c>
      <c r="L58" s="6" t="str">
        <f>INDEX(CaseTypeCol!$B:$B,MATCH($C58,CaseTypeCol!$A:$A,0))</f>
        <v>0195d18c-1ca6-752a-ec56-ed1b3d0cb095</v>
      </c>
      <c r="M58" s="6" t="str">
        <f>INDEX(CaseTypeCol!$D:$D,MATCH($C58,CaseTypeCol!$A:$A,0))</f>
        <v>0198ef6d-8543-48c7-ff84-ba2c574cb664</v>
      </c>
      <c r="N58" s="6" t="str">
        <f>INDEX(Col!$H:$H,MATCH($M58,Col!$A:$A,0))</f>
        <v>OTHER</v>
      </c>
      <c r="O58" s="6" t="str">
        <f>IF(INDEX(Col!$I:$I,MATCH($M58,Col!$A:$A,0))="","",INDEX(Col!$I:$I,MATCH($M58,Col!$A:$A,0)))</f>
        <v/>
      </c>
      <c r="P58" s="6" t="str">
        <f>IF(INDEX(Col!$K:$K,MATCH($M58,Col!$A:$A,0))="","",INDEX(Col!$K:$K,MATCH($M58,Col!$A:$A,0)))</f>
        <v/>
      </c>
      <c r="Q58" s="6" t="str">
        <f>IF($O58="","",IF(NOT(ISNA(MATCH(LOWER($O58&amp;"|"&amp;$E58),Concept!$K:$K,0))),INDEX(Concept!$A:$A,MATCH(LOWER($O58&amp;"|"&amp;$E58),Concept!$K:$K,0)),IF(NOT(ISNA(MATCH(LOWER($O58&amp;"|"&amp;$E58),Concept!$L:$L,0))),INDEX(Concept!$A:$A,MATCH(LOWER($O58&amp;"|"&amp;$E58),Concept!$L:$L,0)),IF(NOT(ISNA(MATCH(LOWER($O58&amp;"|"&amp;$E58),Concept!$M:$M,0))),INDEX(Concept!$A:$A,MATCH(LOWER($O58&amp;"|"&amp;$E58),Concept!$M:$M,0)),""))))</f>
        <v/>
      </c>
      <c r="R58" s="6" t="str">
        <f>IF($P58="","",IF(NOT(ISNA(MATCH(LOWER($P58&amp;"|"&amp;$E58),Region!$J:$J,0))),INDEX(Region!$A:$A,MATCH(LOWER($P58&amp;"|"&amp;$E58),Region!$J:$J,0)),IF(NOT(ISNA(MATCH(LOWER($P58&amp;"|"&amp;$E58),Region!$K:$K,0))),INDEX(Region!$A:$A,MATCH(LOWER($P58&amp;"|"&amp;$E58),Region!$K:$K,0)),"")))</f>
        <v/>
      </c>
      <c r="S58" s="6" t="str">
        <f>IF($N58&lt;&gt;"ORGANIZATION","",IF(NOT(ISNA(MATCH($E58,Organization!$A:$A,0))),INDEX(Organization!$A:$A,MATCH($E58,Organization!$A:$A,0)),IF(NOT(ISNA(MATCH($E58,Organization!$B:$B,0))),INDEX(Organization!$A:$A,MATCH($E58,Organization!$B:$B,0)),IF(NOT(ISNA(MATCH($E58,Organization!$A:$A,0))),INDEX(Organization!$C:$C,MATCH($E58,Organization!$C:$C,0)),""))))</f>
        <v/>
      </c>
      <c r="T58" s="6" t="str">
        <f>INDEX(Col!$B:$B,MATCH($M58,Col!$A:$A,0))</f>
        <v>0198ef6d-8543-464e-e152-42bb0dc00713</v>
      </c>
      <c r="U58" s="6" t="str">
        <f>INDEX(Dim!$C:$C,MATCH($T58,Dim!$A:$A,0))</f>
        <v>dim21</v>
      </c>
      <c r="V58" s="6" t="str">
        <f>INDEX(Dim!$B:$B,MATCH($T58,Dim!$A:$A,0))</f>
        <v>OTHER</v>
      </c>
      <c r="W58" t="b">
        <v>0</v>
      </c>
    </row>
  </sheetData>
  <autoFilter ref="A1:R58" xr:uid="{6EBCD083-FC70-48A6-9216-CB6293E1F295}"/>
  <phoneticPr fontId="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selection activeCell="A3" sqref="A3"/>
    </sheetView>
  </sheetViews>
  <sheetFormatPr defaultColWidth="8.77734375" defaultRowHeight="14.4" x14ac:dyDescent="0.3"/>
  <cols>
    <col min="1" max="1" width="35.6640625" bestFit="1" customWidth="1"/>
    <col min="2" max="2" width="24.109375" bestFit="1" customWidth="1"/>
    <col min="3" max="3" width="21.109375" bestFit="1" customWidth="1"/>
  </cols>
  <sheetData>
    <row r="1" spans="1:3" x14ac:dyDescent="0.3">
      <c r="A1" s="1" t="s">
        <v>0</v>
      </c>
      <c r="B1" s="1" t="s">
        <v>57</v>
      </c>
      <c r="C1" s="1" t="s">
        <v>78</v>
      </c>
    </row>
    <row r="2" spans="1:3" x14ac:dyDescent="0.3">
      <c r="A2" t="s">
        <v>64</v>
      </c>
      <c r="B2" t="s">
        <v>567</v>
      </c>
      <c r="C2" t="s">
        <v>570</v>
      </c>
    </row>
    <row r="3" spans="1:3" x14ac:dyDescent="0.3">
      <c r="A3" t="s">
        <v>132</v>
      </c>
      <c r="B3" t="s">
        <v>568</v>
      </c>
      <c r="C3" t="s">
        <v>569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6"/>
  <sheetViews>
    <sheetView workbookViewId="0">
      <pane ySplit="1" topLeftCell="A85" activePane="bottomLeft" state="frozen"/>
      <selection pane="bottomLeft" activeCell="E113" sqref="E113"/>
    </sheetView>
  </sheetViews>
  <sheetFormatPr defaultColWidth="8.77734375" defaultRowHeight="14.4" x14ac:dyDescent="0.3"/>
  <cols>
    <col min="1" max="1" width="36.6640625" bestFit="1" customWidth="1"/>
    <col min="2" max="2" width="35.88671875" bestFit="1" customWidth="1"/>
    <col min="3" max="3" width="25.21875" style="6" bestFit="1" customWidth="1"/>
    <col min="4" max="4" width="16.88671875" bestFit="1" customWidth="1"/>
    <col min="5" max="5" width="36.6640625" bestFit="1" customWidth="1"/>
    <col min="6" max="6" width="66.88671875" style="6" bestFit="1" customWidth="1"/>
    <col min="7" max="7" width="13.21875" bestFit="1" customWidth="1"/>
    <col min="8" max="8" width="72.88671875" style="6" bestFit="1" customWidth="1"/>
  </cols>
  <sheetData>
    <row r="1" spans="1:8" x14ac:dyDescent="0.3">
      <c r="A1" s="1" t="s">
        <v>0</v>
      </c>
      <c r="B1" s="1" t="s">
        <v>60</v>
      </c>
      <c r="C1" s="10" t="s">
        <v>792</v>
      </c>
      <c r="D1" s="1" t="s">
        <v>61</v>
      </c>
      <c r="E1" s="1" t="s">
        <v>130</v>
      </c>
      <c r="F1" s="10" t="s">
        <v>764</v>
      </c>
      <c r="G1" s="1" t="s">
        <v>131</v>
      </c>
      <c r="H1" s="16" t="s">
        <v>277</v>
      </c>
    </row>
    <row r="2" spans="1:8" x14ac:dyDescent="0.3">
      <c r="A2" t="s">
        <v>571</v>
      </c>
      <c r="B2" t="s">
        <v>64</v>
      </c>
      <c r="C2" s="6" t="str">
        <f>INDEX(CaseTypeColSet!$B:$B,MATCH($B2,CaseTypeColSet!$A:$A,0))</f>
        <v>case_type_col_set1_1</v>
      </c>
      <c r="E2" t="s">
        <v>510</v>
      </c>
      <c r="F2" s="6" t="str">
        <f>INDEX(CaseTypeCol!$H:$H,MATCH($E2,CaseTypeCol!$A:$A,0))</f>
        <v>1_1_0_1</v>
      </c>
      <c r="H2" s="6" t="str">
        <f>$B2&amp;"|"&amp;$E2</f>
        <v>0195d18c-1cc1-44c2-1d6e-874dad333458|0198ef6d-8543-a221-af7e-774497e4801a</v>
      </c>
    </row>
    <row r="3" spans="1:8" x14ac:dyDescent="0.3">
      <c r="A3" t="s">
        <v>572</v>
      </c>
      <c r="B3" t="s">
        <v>64</v>
      </c>
      <c r="C3" s="6" t="str">
        <f>INDEX(CaseTypeColSet!$B:$B,MATCH($B3,CaseTypeColSet!$A:$A,0))</f>
        <v>case_type_col_set1_1</v>
      </c>
      <c r="E3" t="s">
        <v>512</v>
      </c>
      <c r="F3" s="6" t="str">
        <f>INDEX(CaseTypeCol!$H:$H,MATCH($E3,CaseTypeCol!$A:$A,0))</f>
        <v>1_3_0_1</v>
      </c>
      <c r="H3" s="6" t="str">
        <f t="shared" ref="H3:H74" si="0">$B3&amp;"|"&amp;$E3</f>
        <v>0195d18c-1cc1-44c2-1d6e-874dad333458|0198ef6d-8543-ce42-568c-c8e8405533a1</v>
      </c>
    </row>
    <row r="4" spans="1:8" x14ac:dyDescent="0.3">
      <c r="A4" t="s">
        <v>573</v>
      </c>
      <c r="B4" t="s">
        <v>64</v>
      </c>
      <c r="C4" s="6" t="str">
        <f>INDEX(CaseTypeColSet!$B:$B,MATCH($B4,CaseTypeColSet!$A:$A,0))</f>
        <v>case_type_col_set1_1</v>
      </c>
      <c r="E4" t="s">
        <v>514</v>
      </c>
      <c r="F4" s="6" t="str">
        <f>INDEX(CaseTypeCol!$H:$H,MATCH($E4,CaseTypeCol!$A:$A,0))</f>
        <v>1_5_0_1</v>
      </c>
      <c r="H4" s="6" t="str">
        <f t="shared" si="0"/>
        <v>0195d18c-1cc1-44c2-1d6e-874dad333458|0198ef6d-8543-1062-3f54-74f967fd95da</v>
      </c>
    </row>
    <row r="5" spans="1:8" x14ac:dyDescent="0.3">
      <c r="A5" t="s">
        <v>574</v>
      </c>
      <c r="B5" t="s">
        <v>64</v>
      </c>
      <c r="C5" s="6" t="str">
        <f>INDEX(CaseTypeColSet!$B:$B,MATCH($B5,CaseTypeColSet!$A:$A,0))</f>
        <v>case_type_col_set1_1</v>
      </c>
      <c r="E5" t="s">
        <v>516</v>
      </c>
      <c r="F5" s="6" t="str">
        <f>INDEX(CaseTypeCol!$H:$H,MATCH($E5,CaseTypeCol!$A:$A,0))</f>
        <v>1_7_0_1</v>
      </c>
      <c r="H5" s="6" t="str">
        <f t="shared" si="0"/>
        <v>0195d18c-1cc1-44c2-1d6e-874dad333458|0198ef6d-8543-f372-ce25-38616e4c214d</v>
      </c>
    </row>
    <row r="6" spans="1:8" x14ac:dyDescent="0.3">
      <c r="A6" t="s">
        <v>575</v>
      </c>
      <c r="B6" t="s">
        <v>64</v>
      </c>
      <c r="C6" s="6" t="str">
        <f>INDEX(CaseTypeColSet!$B:$B,MATCH($B6,CaseTypeColSet!$A:$A,0))</f>
        <v>case_type_col_set1_1</v>
      </c>
      <c r="E6" t="s">
        <v>518</v>
      </c>
      <c r="F6" s="6" t="str">
        <f>INDEX(CaseTypeCol!$H:$H,MATCH($E6,CaseTypeCol!$A:$A,0))</f>
        <v>1_9_0_1</v>
      </c>
      <c r="H6" s="6" t="str">
        <f t="shared" si="0"/>
        <v>0195d18c-1cc1-44c2-1d6e-874dad333458|0198ef6d-8543-b8fc-9de5-72be815082e0</v>
      </c>
    </row>
    <row r="7" spans="1:8" x14ac:dyDescent="0.3">
      <c r="A7" t="s">
        <v>576</v>
      </c>
      <c r="B7" t="s">
        <v>64</v>
      </c>
      <c r="C7" s="6" t="str">
        <f>INDEX(CaseTypeColSet!$B:$B,MATCH($B7,CaseTypeColSet!$A:$A,0))</f>
        <v>case_type_col_set1_1</v>
      </c>
      <c r="E7" t="s">
        <v>520</v>
      </c>
      <c r="F7" s="6" t="str">
        <f>INDEX(CaseTypeCol!$H:$H,MATCH($E7,CaseTypeCol!$A:$A,0))</f>
        <v>1_11_0_1</v>
      </c>
      <c r="H7" s="6" t="str">
        <f t="shared" si="0"/>
        <v>0195d18c-1cc1-44c2-1d6e-874dad333458|0198ef6d-8543-371a-179d-9c036f8c66f2</v>
      </c>
    </row>
    <row r="8" spans="1:8" x14ac:dyDescent="0.3">
      <c r="A8" t="s">
        <v>577</v>
      </c>
      <c r="B8" t="s">
        <v>64</v>
      </c>
      <c r="C8" s="6" t="str">
        <f>INDEX(CaseTypeColSet!$B:$B,MATCH($B8,CaseTypeColSet!$A:$A,0))</f>
        <v>case_type_col_set1_1</v>
      </c>
      <c r="E8" t="s">
        <v>521</v>
      </c>
      <c r="F8" s="6" t="str">
        <f>INDEX(CaseTypeCol!$H:$H,MATCH($E8,CaseTypeCol!$A:$A,0))</f>
        <v>1_11_0_2</v>
      </c>
      <c r="H8" s="6" t="str">
        <f t="shared" si="0"/>
        <v>0195d18c-1cc1-44c2-1d6e-874dad333458|0198ef6d-8543-7325-a3c3-0be3c6d6193b</v>
      </c>
    </row>
    <row r="9" spans="1:8" x14ac:dyDescent="0.3">
      <c r="A9" t="s">
        <v>578</v>
      </c>
      <c r="B9" t="s">
        <v>64</v>
      </c>
      <c r="C9" s="6" t="str">
        <f>INDEX(CaseTypeColSet!$B:$B,MATCH($B9,CaseTypeColSet!$A:$A,0))</f>
        <v>case_type_col_set1_1</v>
      </c>
      <c r="E9" t="s">
        <v>522</v>
      </c>
      <c r="F9" s="6" t="str">
        <f>INDEX(CaseTypeCol!$H:$H,MATCH($E9,CaseTypeCol!$A:$A,0))</f>
        <v>1_11_0_3</v>
      </c>
      <c r="H9" s="6" t="str">
        <f t="shared" si="0"/>
        <v>0195d18c-1cc1-44c2-1d6e-874dad333458|0198ef6d-8543-61b3-63f1-bc4f52741be3</v>
      </c>
    </row>
    <row r="10" spans="1:8" x14ac:dyDescent="0.3">
      <c r="A10" t="s">
        <v>579</v>
      </c>
      <c r="B10" t="s">
        <v>64</v>
      </c>
      <c r="C10" s="6" t="str">
        <f>INDEX(CaseTypeColSet!$B:$B,MATCH($B10,CaseTypeColSet!$A:$A,0))</f>
        <v>case_type_col_set1_1</v>
      </c>
      <c r="E10" t="s">
        <v>523</v>
      </c>
      <c r="F10" s="6" t="str">
        <f>INDEX(CaseTypeCol!$H:$H,MATCH($E10,CaseTypeCol!$A:$A,0))</f>
        <v>1_11_0_4</v>
      </c>
      <c r="H10" s="6" t="str">
        <f t="shared" si="0"/>
        <v>0195d18c-1cc1-44c2-1d6e-874dad333458|0198ef6d-8543-f6da-4821-571b2b52bd5b</v>
      </c>
    </row>
    <row r="11" spans="1:8" x14ac:dyDescent="0.3">
      <c r="A11" t="s">
        <v>580</v>
      </c>
      <c r="B11" t="s">
        <v>64</v>
      </c>
      <c r="C11" s="6" t="str">
        <f>INDEX(CaseTypeColSet!$B:$B,MATCH($B11,CaseTypeColSet!$A:$A,0))</f>
        <v>case_type_col_set1_1</v>
      </c>
      <c r="E11" t="s">
        <v>528</v>
      </c>
      <c r="F11" s="6" t="str">
        <f>INDEX(CaseTypeCol!$H:$H,MATCH($E11,CaseTypeCol!$A:$A,0))</f>
        <v>1_13_0_1</v>
      </c>
      <c r="H11" s="6" t="str">
        <f t="shared" si="0"/>
        <v>0195d18c-1cc1-44c2-1d6e-874dad333458|0198ef6d-8543-3dff-04fd-3c65614d655d</v>
      </c>
    </row>
    <row r="12" spans="1:8" x14ac:dyDescent="0.3">
      <c r="A12" t="s">
        <v>581</v>
      </c>
      <c r="B12" t="s">
        <v>64</v>
      </c>
      <c r="C12" s="6" t="str">
        <f>INDEX(CaseTypeColSet!$B:$B,MATCH($B12,CaseTypeColSet!$A:$A,0))</f>
        <v>case_type_col_set1_1</v>
      </c>
      <c r="E12" t="s">
        <v>529</v>
      </c>
      <c r="F12" s="6" t="str">
        <f>INDEX(CaseTypeCol!$H:$H,MATCH($E12,CaseTypeCol!$A:$A,0))</f>
        <v>1_13_0_2</v>
      </c>
      <c r="H12" s="6" t="str">
        <f t="shared" si="0"/>
        <v>0195d18c-1cc1-44c2-1d6e-874dad333458|0198ef6d-8543-c3d9-408d-20f86d523b9f</v>
      </c>
    </row>
    <row r="13" spans="1:8" x14ac:dyDescent="0.3">
      <c r="A13" t="s">
        <v>582</v>
      </c>
      <c r="B13" t="s">
        <v>64</v>
      </c>
      <c r="C13" s="6" t="str">
        <f>INDEX(CaseTypeColSet!$B:$B,MATCH($B13,CaseTypeColSet!$A:$A,0))</f>
        <v>case_type_col_set1_1</v>
      </c>
      <c r="E13" t="s">
        <v>530</v>
      </c>
      <c r="F13" s="6" t="str">
        <f>INDEX(CaseTypeCol!$H:$H,MATCH($E13,CaseTypeCol!$A:$A,0))</f>
        <v>1_13_0_3</v>
      </c>
      <c r="H13" s="6" t="str">
        <f t="shared" si="0"/>
        <v>0195d18c-1cc1-44c2-1d6e-874dad333458|0198ef6d-8543-e425-5793-c7c455726f56</v>
      </c>
    </row>
    <row r="14" spans="1:8" x14ac:dyDescent="0.3">
      <c r="A14" t="s">
        <v>583</v>
      </c>
      <c r="B14" t="s">
        <v>64</v>
      </c>
      <c r="C14" s="6" t="str">
        <f>INDEX(CaseTypeColSet!$B:$B,MATCH($B14,CaseTypeColSet!$A:$A,0))</f>
        <v>case_type_col_set1_1</v>
      </c>
      <c r="E14" t="s">
        <v>531</v>
      </c>
      <c r="F14" s="6" t="str">
        <f>INDEX(CaseTypeCol!$H:$H,MATCH($E14,CaseTypeCol!$A:$A,0))</f>
        <v>1_13_0_4</v>
      </c>
      <c r="H14" s="6" t="str">
        <f t="shared" si="0"/>
        <v>0195d18c-1cc1-44c2-1d6e-874dad333458|0198ef6d-8543-0bc5-2af0-dbe7f34bc5cc</v>
      </c>
    </row>
    <row r="15" spans="1:8" x14ac:dyDescent="0.3">
      <c r="A15" t="s">
        <v>584</v>
      </c>
      <c r="B15" t="s">
        <v>64</v>
      </c>
      <c r="C15" s="6" t="str">
        <f>INDEX(CaseTypeColSet!$B:$B,MATCH($B15,CaseTypeColSet!$A:$A,0))</f>
        <v>case_type_col_set1_1</v>
      </c>
      <c r="E15" t="s">
        <v>532</v>
      </c>
      <c r="F15" s="6" t="str">
        <f>INDEX(CaseTypeCol!$H:$H,MATCH($E15,CaseTypeCol!$A:$A,0))</f>
        <v>1_13_0_5</v>
      </c>
      <c r="H15" s="6" t="str">
        <f t="shared" si="0"/>
        <v>0195d18c-1cc1-44c2-1d6e-874dad333458|0198ef6d-8543-58d8-f78b-17d1fd52333b</v>
      </c>
    </row>
    <row r="16" spans="1:8" x14ac:dyDescent="0.3">
      <c r="A16" t="s">
        <v>585</v>
      </c>
      <c r="B16" t="s">
        <v>64</v>
      </c>
      <c r="C16" s="6" t="str">
        <f>INDEX(CaseTypeColSet!$B:$B,MATCH($B16,CaseTypeColSet!$A:$A,0))</f>
        <v>case_type_col_set1_1</v>
      </c>
      <c r="E16" t="s">
        <v>538</v>
      </c>
      <c r="F16" s="6" t="str">
        <f>INDEX(CaseTypeCol!$H:$H,MATCH($E16,CaseTypeCol!$A:$A,0))</f>
        <v>1_15_0_1</v>
      </c>
      <c r="H16" s="6" t="str">
        <f t="shared" si="0"/>
        <v>0195d18c-1cc1-44c2-1d6e-874dad333458|0198ef6d-8543-f61d-4edc-07bcd51c380d</v>
      </c>
    </row>
    <row r="17" spans="1:8" x14ac:dyDescent="0.3">
      <c r="A17" t="s">
        <v>586</v>
      </c>
      <c r="B17" t="s">
        <v>64</v>
      </c>
      <c r="C17" s="6" t="str">
        <f>INDEX(CaseTypeColSet!$B:$B,MATCH($B17,CaseTypeColSet!$A:$A,0))</f>
        <v>case_type_col_set1_1</v>
      </c>
      <c r="E17" t="s">
        <v>540</v>
      </c>
      <c r="F17" s="6" t="str">
        <f>INDEX(CaseTypeCol!$H:$H,MATCH($E17,CaseTypeCol!$A:$A,0))</f>
        <v>1_17_0_1</v>
      </c>
      <c r="H17" s="6" t="str">
        <f t="shared" si="0"/>
        <v>0195d18c-1cc1-44c2-1d6e-874dad333458|0198ef6d-8543-2afc-2c12-93e895132544</v>
      </c>
    </row>
    <row r="18" spans="1:8" x14ac:dyDescent="0.3">
      <c r="A18" t="s">
        <v>587</v>
      </c>
      <c r="B18" t="s">
        <v>64</v>
      </c>
      <c r="C18" s="6" t="str">
        <f>INDEX(CaseTypeColSet!$B:$B,MATCH($B18,CaseTypeColSet!$A:$A,0))</f>
        <v>case_type_col_set1_1</v>
      </c>
      <c r="E18" t="s">
        <v>541</v>
      </c>
      <c r="F18" s="6" t="str">
        <f>INDEX(CaseTypeCol!$H:$H,MATCH($E18,CaseTypeCol!$A:$A,0))</f>
        <v>1_17_0_2</v>
      </c>
      <c r="H18" s="6" t="str">
        <f t="shared" si="0"/>
        <v>0195d18c-1cc1-44c2-1d6e-874dad333458|0198ef6d-8543-c453-7e15-c4a877df12b1</v>
      </c>
    </row>
    <row r="19" spans="1:8" x14ac:dyDescent="0.3">
      <c r="A19" t="s">
        <v>588</v>
      </c>
      <c r="B19" t="s">
        <v>64</v>
      </c>
      <c r="C19" s="6" t="str">
        <f>INDEX(CaseTypeColSet!$B:$B,MATCH($B19,CaseTypeColSet!$A:$A,0))</f>
        <v>case_type_col_set1_1</v>
      </c>
      <c r="E19" t="s">
        <v>542</v>
      </c>
      <c r="F19" s="6" t="str">
        <f>INDEX(CaseTypeCol!$H:$H,MATCH($E19,CaseTypeCol!$A:$A,0))</f>
        <v>1_17_0_3</v>
      </c>
      <c r="H19" s="6" t="str">
        <f t="shared" si="0"/>
        <v>0195d18c-1cc1-44c2-1d6e-874dad333458|0198ef6d-8543-2029-b59b-f9f9a653936a</v>
      </c>
    </row>
    <row r="20" spans="1:8" x14ac:dyDescent="0.3">
      <c r="A20" t="s">
        <v>1186</v>
      </c>
      <c r="B20" t="s">
        <v>64</v>
      </c>
      <c r="C20" s="6" t="str">
        <f>INDEX(CaseTypeColSet!$B:$B,MATCH($B20,CaseTypeColSet!$A:$A,0))</f>
        <v>case_type_col_set1_1</v>
      </c>
      <c r="E20" t="s">
        <v>1173</v>
      </c>
      <c r="F20" s="6" t="str">
        <f>INDEX(CaseTypeCol!$H:$H,MATCH($E20,CaseTypeCol!$A:$A,0))</f>
        <v>1_19_0_1</v>
      </c>
      <c r="H20" s="6" t="str">
        <f t="shared" si="0"/>
        <v>0195d18c-1cc1-44c2-1d6e-874dad333458|019a8753-bf2c-6320-9905-6292b78d6e29</v>
      </c>
    </row>
    <row r="21" spans="1:8" x14ac:dyDescent="0.3">
      <c r="A21" t="s">
        <v>1187</v>
      </c>
      <c r="B21" t="s">
        <v>64</v>
      </c>
      <c r="C21" s="6" t="str">
        <f>INDEX(CaseTypeColSet!$B:$B,MATCH($B21,CaseTypeColSet!$A:$A,0))</f>
        <v>case_type_col_set1_1</v>
      </c>
      <c r="E21" t="s">
        <v>1174</v>
      </c>
      <c r="F21" s="6" t="str">
        <f>INDEX(CaseTypeCol!$H:$H,MATCH($E21,CaseTypeCol!$A:$A,0))</f>
        <v>1_19_0_2</v>
      </c>
      <c r="H21" s="6" t="str">
        <f t="shared" si="0"/>
        <v>0195d18c-1cc1-44c2-1d6e-874dad333458|019a8753-bf2c-a49f-a4c9-d9396889bd0c</v>
      </c>
    </row>
    <row r="22" spans="1:8" x14ac:dyDescent="0.3">
      <c r="A22" t="s">
        <v>1188</v>
      </c>
      <c r="B22" t="s">
        <v>64</v>
      </c>
      <c r="C22" s="6" t="str">
        <f>INDEX(CaseTypeColSet!$B:$B,MATCH($B22,CaseTypeColSet!$A:$A,0))</f>
        <v>case_type_col_set1_1</v>
      </c>
      <c r="E22" t="s">
        <v>1175</v>
      </c>
      <c r="F22" s="6" t="str">
        <f>INDEX(CaseTypeCol!$H:$H,MATCH($E22,CaseTypeCol!$A:$A,0))</f>
        <v>1_19_0_3</v>
      </c>
      <c r="H22" s="6" t="str">
        <f t="shared" si="0"/>
        <v>0195d18c-1cc1-44c2-1d6e-874dad333458|019a8753-bf2c-7967-8214-b5acd522f6a0</v>
      </c>
    </row>
    <row r="23" spans="1:8" x14ac:dyDescent="0.3">
      <c r="A23" t="s">
        <v>1189</v>
      </c>
      <c r="B23" t="s">
        <v>64</v>
      </c>
      <c r="C23" s="6" t="str">
        <f>INDEX(CaseTypeColSet!$B:$B,MATCH($B23,CaseTypeColSet!$A:$A,0))</f>
        <v>case_type_col_set1_1</v>
      </c>
      <c r="E23" t="s">
        <v>1176</v>
      </c>
      <c r="F23" s="6" t="str">
        <f>INDEX(CaseTypeCol!$H:$H,MATCH($E23,CaseTypeCol!$A:$A,0))</f>
        <v>1_19_0_4</v>
      </c>
      <c r="H23" s="6" t="str">
        <f t="shared" si="0"/>
        <v>0195d18c-1cc1-44c2-1d6e-874dad333458|019a8753-bf2c-f874-929d-fa14452a0de1</v>
      </c>
    </row>
    <row r="24" spans="1:8" x14ac:dyDescent="0.3">
      <c r="A24" t="s">
        <v>589</v>
      </c>
      <c r="B24" t="s">
        <v>64</v>
      </c>
      <c r="C24" s="6" t="str">
        <f>INDEX(CaseTypeColSet!$B:$B,MATCH($B24,CaseTypeColSet!$A:$A,0))</f>
        <v>case_type_col_set1_1</v>
      </c>
      <c r="E24" t="s">
        <v>546</v>
      </c>
      <c r="F24" s="6" t="str">
        <f>INDEX(CaseTypeCol!$H:$H,MATCH($E24,CaseTypeCol!$A:$A,0))</f>
        <v>1_21_0_1</v>
      </c>
      <c r="H24" s="6" t="str">
        <f t="shared" si="0"/>
        <v>0195d18c-1cc1-44c2-1d6e-874dad333458|0198ef6d-8543-a456-618e-e443bc0d35e9</v>
      </c>
    </row>
    <row r="25" spans="1:8" x14ac:dyDescent="0.3">
      <c r="A25" t="s">
        <v>590</v>
      </c>
      <c r="B25" t="s">
        <v>64</v>
      </c>
      <c r="C25" s="6" t="str">
        <f>INDEX(CaseTypeColSet!$B:$B,MATCH($B25,CaseTypeColSet!$A:$A,0))</f>
        <v>case_type_col_set1_1</v>
      </c>
      <c r="E25" t="s">
        <v>548</v>
      </c>
      <c r="F25" s="6" t="str">
        <f>INDEX(CaseTypeCol!$H:$H,MATCH($E25,CaseTypeCol!$A:$A,0))</f>
        <v>2_1_0_1</v>
      </c>
      <c r="H25" s="6" t="str">
        <f t="shared" si="0"/>
        <v>0195d18c-1cc1-44c2-1d6e-874dad333458|0198ef6d-8543-daa3-3b64-47a0bed70d1b</v>
      </c>
    </row>
    <row r="26" spans="1:8" x14ac:dyDescent="0.3">
      <c r="A26" t="s">
        <v>591</v>
      </c>
      <c r="B26" t="s">
        <v>64</v>
      </c>
      <c r="C26" s="6" t="str">
        <f>INDEX(CaseTypeColSet!$B:$B,MATCH($B26,CaseTypeColSet!$A:$A,0))</f>
        <v>case_type_col_set1_1</v>
      </c>
      <c r="E26" t="s">
        <v>549</v>
      </c>
      <c r="F26" s="6" t="str">
        <f>INDEX(CaseTypeCol!$H:$H,MATCH($E26,CaseTypeCol!$A:$A,0))</f>
        <v>2_3_0_1</v>
      </c>
      <c r="H26" s="6" t="str">
        <f t="shared" si="0"/>
        <v>0195d18c-1cc1-44c2-1d6e-874dad333458|0198ef6d-8543-7ab3-ba92-5fa2af40f240</v>
      </c>
    </row>
    <row r="27" spans="1:8" x14ac:dyDescent="0.3">
      <c r="A27" t="s">
        <v>592</v>
      </c>
      <c r="B27" t="s">
        <v>64</v>
      </c>
      <c r="C27" s="6" t="str">
        <f>INDEX(CaseTypeColSet!$B:$B,MATCH($B27,CaseTypeColSet!$A:$A,0))</f>
        <v>case_type_col_set1_1</v>
      </c>
      <c r="E27" t="s">
        <v>550</v>
      </c>
      <c r="F27" s="6" t="str">
        <f>INDEX(CaseTypeCol!$H:$H,MATCH($E27,CaseTypeCol!$A:$A,0))</f>
        <v>2_5_0_1</v>
      </c>
      <c r="H27" s="6" t="str">
        <f t="shared" si="0"/>
        <v>0195d18c-1cc1-44c2-1d6e-874dad333458|0198ef6d-8543-0e30-d86c-c2c7095525ec</v>
      </c>
    </row>
    <row r="28" spans="1:8" x14ac:dyDescent="0.3">
      <c r="A28" t="s">
        <v>593</v>
      </c>
      <c r="B28" t="s">
        <v>64</v>
      </c>
      <c r="C28" s="6" t="str">
        <f>INDEX(CaseTypeColSet!$B:$B,MATCH($B28,CaseTypeColSet!$A:$A,0))</f>
        <v>case_type_col_set1_1</v>
      </c>
      <c r="E28" t="s">
        <v>551</v>
      </c>
      <c r="F28" s="6" t="str">
        <f>INDEX(CaseTypeCol!$H:$H,MATCH($E28,CaseTypeCol!$A:$A,0))</f>
        <v>2_7_0_1</v>
      </c>
      <c r="H28" s="6" t="str">
        <f t="shared" si="0"/>
        <v>0195d18c-1cc1-44c2-1d6e-874dad333458|0198ef6d-8543-1443-43dc-7a07aef0da30</v>
      </c>
    </row>
    <row r="29" spans="1:8" x14ac:dyDescent="0.3">
      <c r="A29" t="s">
        <v>594</v>
      </c>
      <c r="B29" t="s">
        <v>64</v>
      </c>
      <c r="C29" s="6" t="str">
        <f>INDEX(CaseTypeColSet!$B:$B,MATCH($B29,CaseTypeColSet!$A:$A,0))</f>
        <v>case_type_col_set1_1</v>
      </c>
      <c r="E29" t="s">
        <v>552</v>
      </c>
      <c r="F29" s="6" t="str">
        <f>INDEX(CaseTypeCol!$H:$H,MATCH($E29,CaseTypeCol!$A:$A,0))</f>
        <v>2_9_0_1</v>
      </c>
      <c r="H29" s="6" t="str">
        <f t="shared" si="0"/>
        <v>0195d18c-1cc1-44c2-1d6e-874dad333458|0198ef6d-8543-7fbb-0745-44bb651edd00</v>
      </c>
    </row>
    <row r="30" spans="1:8" x14ac:dyDescent="0.3">
      <c r="A30" t="s">
        <v>595</v>
      </c>
      <c r="B30" t="s">
        <v>64</v>
      </c>
      <c r="C30" s="6" t="str">
        <f>INDEX(CaseTypeColSet!$B:$B,MATCH($B30,CaseTypeColSet!$A:$A,0))</f>
        <v>case_type_col_set1_1</v>
      </c>
      <c r="E30" t="s">
        <v>553</v>
      </c>
      <c r="F30" s="6" t="str">
        <f>INDEX(CaseTypeCol!$H:$H,MATCH($E30,CaseTypeCol!$A:$A,0))</f>
        <v>2_11_0_1</v>
      </c>
      <c r="H30" s="6" t="str">
        <f t="shared" si="0"/>
        <v>0195d18c-1cc1-44c2-1d6e-874dad333458|0198ef6d-8543-72db-d650-96776e8fd4a7</v>
      </c>
    </row>
    <row r="31" spans="1:8" x14ac:dyDescent="0.3">
      <c r="A31" t="s">
        <v>596</v>
      </c>
      <c r="B31" t="s">
        <v>64</v>
      </c>
      <c r="C31" s="6" t="str">
        <f>INDEX(CaseTypeColSet!$B:$B,MATCH($B31,CaseTypeColSet!$A:$A,0))</f>
        <v>case_type_col_set1_1</v>
      </c>
      <c r="E31" t="s">
        <v>554</v>
      </c>
      <c r="F31" s="6" t="str">
        <f>INDEX(CaseTypeCol!$H:$H,MATCH($E31,CaseTypeCol!$A:$A,0))</f>
        <v>2_11_0_2</v>
      </c>
      <c r="H31" s="6" t="str">
        <f t="shared" si="0"/>
        <v>0195d18c-1cc1-44c2-1d6e-874dad333458|0198ef6d-8543-aed3-82fc-8fc90e0c93fd</v>
      </c>
    </row>
    <row r="32" spans="1:8" x14ac:dyDescent="0.3">
      <c r="A32" t="s">
        <v>597</v>
      </c>
      <c r="B32" t="s">
        <v>64</v>
      </c>
      <c r="C32" s="6" t="str">
        <f>INDEX(CaseTypeColSet!$B:$B,MATCH($B32,CaseTypeColSet!$A:$A,0))</f>
        <v>case_type_col_set1_1</v>
      </c>
      <c r="E32" t="s">
        <v>555</v>
      </c>
      <c r="F32" s="6" t="str">
        <f>INDEX(CaseTypeCol!$H:$H,MATCH($E32,CaseTypeCol!$A:$A,0))</f>
        <v>2_11_0_3</v>
      </c>
      <c r="H32" s="6" t="str">
        <f t="shared" si="0"/>
        <v>0195d18c-1cc1-44c2-1d6e-874dad333458|0198ef6d-8543-e6af-3e5a-6494a01a06ae</v>
      </c>
    </row>
    <row r="33" spans="1:8" x14ac:dyDescent="0.3">
      <c r="A33" t="s">
        <v>598</v>
      </c>
      <c r="B33" t="s">
        <v>64</v>
      </c>
      <c r="C33" s="6" t="str">
        <f>INDEX(CaseTypeColSet!$B:$B,MATCH($B33,CaseTypeColSet!$A:$A,0))</f>
        <v>case_type_col_set1_1</v>
      </c>
      <c r="E33" t="s">
        <v>556</v>
      </c>
      <c r="F33" s="6" t="str">
        <f>INDEX(CaseTypeCol!$H:$H,MATCH($E33,CaseTypeCol!$A:$A,0))</f>
        <v>2_11_0_4</v>
      </c>
      <c r="H33" s="6" t="str">
        <f t="shared" si="0"/>
        <v>0195d18c-1cc1-44c2-1d6e-874dad333458|0198ef6d-8543-4e2b-87de-57604330cdd3</v>
      </c>
    </row>
    <row r="34" spans="1:8" x14ac:dyDescent="0.3">
      <c r="A34" t="s">
        <v>599</v>
      </c>
      <c r="B34" t="s">
        <v>64</v>
      </c>
      <c r="C34" s="6" t="str">
        <f>INDEX(CaseTypeColSet!$B:$B,MATCH($B34,CaseTypeColSet!$A:$A,0))</f>
        <v>case_type_col_set1_1</v>
      </c>
      <c r="E34" t="s">
        <v>557</v>
      </c>
      <c r="F34" s="6" t="str">
        <f>INDEX(CaseTypeCol!$H:$H,MATCH($E34,CaseTypeCol!$A:$A,0))</f>
        <v>2_13_0_1</v>
      </c>
      <c r="H34" s="6" t="str">
        <f t="shared" si="0"/>
        <v>0195d18c-1cc1-44c2-1d6e-874dad333458|0198ef6d-8543-7196-e13a-d911de7aa2aa</v>
      </c>
    </row>
    <row r="35" spans="1:8" x14ac:dyDescent="0.3">
      <c r="A35" t="s">
        <v>600</v>
      </c>
      <c r="B35" t="s">
        <v>64</v>
      </c>
      <c r="C35" s="6" t="str">
        <f>INDEX(CaseTypeColSet!$B:$B,MATCH($B35,CaseTypeColSet!$A:$A,0))</f>
        <v>case_type_col_set1_1</v>
      </c>
      <c r="E35" t="s">
        <v>558</v>
      </c>
      <c r="F35" s="6" t="str">
        <f>INDEX(CaseTypeCol!$H:$H,MATCH($E35,CaseTypeCol!$A:$A,0))</f>
        <v>2_13_0_2</v>
      </c>
      <c r="H35" s="6" t="str">
        <f t="shared" si="0"/>
        <v>0195d18c-1cc1-44c2-1d6e-874dad333458|0198ef6d-8543-49c9-f899-a2bd7ca7905e</v>
      </c>
    </row>
    <row r="36" spans="1:8" x14ac:dyDescent="0.3">
      <c r="A36" t="s">
        <v>601</v>
      </c>
      <c r="B36" t="s">
        <v>64</v>
      </c>
      <c r="C36" s="6" t="str">
        <f>INDEX(CaseTypeColSet!$B:$B,MATCH($B36,CaseTypeColSet!$A:$A,0))</f>
        <v>case_type_col_set1_1</v>
      </c>
      <c r="E36" t="s">
        <v>559</v>
      </c>
      <c r="F36" s="6" t="str">
        <f>INDEX(CaseTypeCol!$H:$H,MATCH($E36,CaseTypeCol!$A:$A,0))</f>
        <v>2_13_0_3</v>
      </c>
      <c r="H36" s="6" t="str">
        <f t="shared" si="0"/>
        <v>0195d18c-1cc1-44c2-1d6e-874dad333458|0198ef6d-8543-e911-0c7d-89e8d97702dc</v>
      </c>
    </row>
    <row r="37" spans="1:8" x14ac:dyDescent="0.3">
      <c r="A37" t="s">
        <v>602</v>
      </c>
      <c r="B37" t="s">
        <v>64</v>
      </c>
      <c r="C37" s="6" t="str">
        <f>INDEX(CaseTypeColSet!$B:$B,MATCH($B37,CaseTypeColSet!$A:$A,0))</f>
        <v>case_type_col_set1_1</v>
      </c>
      <c r="E37" t="s">
        <v>560</v>
      </c>
      <c r="F37" s="6" t="str">
        <f>INDEX(CaseTypeCol!$H:$H,MATCH($E37,CaseTypeCol!$A:$A,0))</f>
        <v>2_13_0_4</v>
      </c>
      <c r="H37" s="6" t="str">
        <f t="shared" si="0"/>
        <v>0195d18c-1cc1-44c2-1d6e-874dad333458|0198ef6d-8543-c287-9def-b1c31ccc15e3</v>
      </c>
    </row>
    <row r="38" spans="1:8" x14ac:dyDescent="0.3">
      <c r="A38" t="s">
        <v>603</v>
      </c>
      <c r="B38" t="s">
        <v>64</v>
      </c>
      <c r="C38" s="6" t="str">
        <f>INDEX(CaseTypeColSet!$B:$B,MATCH($B38,CaseTypeColSet!$A:$A,0))</f>
        <v>case_type_col_set1_1</v>
      </c>
      <c r="E38" t="s">
        <v>561</v>
      </c>
      <c r="F38" s="6" t="str">
        <f>INDEX(CaseTypeCol!$H:$H,MATCH($E38,CaseTypeCol!$A:$A,0))</f>
        <v>2_13_0_5</v>
      </c>
      <c r="H38" s="6" t="str">
        <f t="shared" si="0"/>
        <v>0195d18c-1cc1-44c2-1d6e-874dad333458|0198ef6d-8543-d41c-32e8-4166495e403d</v>
      </c>
    </row>
    <row r="39" spans="1:8" x14ac:dyDescent="0.3">
      <c r="A39" t="s">
        <v>604</v>
      </c>
      <c r="B39" t="s">
        <v>64</v>
      </c>
      <c r="C39" s="6" t="str">
        <f>INDEX(CaseTypeColSet!$B:$B,MATCH($B39,CaseTypeColSet!$A:$A,0))</f>
        <v>case_type_col_set1_1</v>
      </c>
      <c r="E39" t="s">
        <v>562</v>
      </c>
      <c r="F39" s="6" t="str">
        <f>INDEX(CaseTypeCol!$H:$H,MATCH($E39,CaseTypeCol!$A:$A,0))</f>
        <v>2_15_0_1</v>
      </c>
      <c r="H39" s="6" t="str">
        <f t="shared" si="0"/>
        <v>0195d18c-1cc1-44c2-1d6e-874dad333458|0198ef6d-8543-92f3-9168-2df7a147b28e</v>
      </c>
    </row>
    <row r="40" spans="1:8" x14ac:dyDescent="0.3">
      <c r="A40" t="s">
        <v>605</v>
      </c>
      <c r="B40" t="s">
        <v>64</v>
      </c>
      <c r="C40" s="6" t="str">
        <f>INDEX(CaseTypeColSet!$B:$B,MATCH($B40,CaseTypeColSet!$A:$A,0))</f>
        <v>case_type_col_set1_1</v>
      </c>
      <c r="E40" t="s">
        <v>563</v>
      </c>
      <c r="F40" s="6" t="str">
        <f>INDEX(CaseTypeCol!$H:$H,MATCH($E40,CaseTypeCol!$A:$A,0))</f>
        <v>2_17_0_1</v>
      </c>
      <c r="H40" s="6" t="str">
        <f t="shared" si="0"/>
        <v>0195d18c-1cc1-44c2-1d6e-874dad333458|0198ef6d-8543-83ae-9c38-8230890499d5</v>
      </c>
    </row>
    <row r="41" spans="1:8" x14ac:dyDescent="0.3">
      <c r="A41" t="s">
        <v>606</v>
      </c>
      <c r="B41" t="s">
        <v>64</v>
      </c>
      <c r="C41" s="6" t="str">
        <f>INDEX(CaseTypeColSet!$B:$B,MATCH($B41,CaseTypeColSet!$A:$A,0))</f>
        <v>case_type_col_set1_1</v>
      </c>
      <c r="E41" t="s">
        <v>564</v>
      </c>
      <c r="F41" s="6" t="str">
        <f>INDEX(CaseTypeCol!$H:$H,MATCH($E41,CaseTypeCol!$A:$A,0))</f>
        <v>2_17_0_2</v>
      </c>
      <c r="H41" s="6" t="str">
        <f t="shared" si="0"/>
        <v>0195d18c-1cc1-44c2-1d6e-874dad333458|0198ef6d-8543-aca5-d495-a14d205474c8</v>
      </c>
    </row>
    <row r="42" spans="1:8" x14ac:dyDescent="0.3">
      <c r="A42" t="s">
        <v>607</v>
      </c>
      <c r="B42" t="s">
        <v>64</v>
      </c>
      <c r="C42" s="6" t="str">
        <f>INDEX(CaseTypeColSet!$B:$B,MATCH($B42,CaseTypeColSet!$A:$A,0))</f>
        <v>case_type_col_set1_1</v>
      </c>
      <c r="E42" t="s">
        <v>565</v>
      </c>
      <c r="F42" s="6" t="str">
        <f>INDEX(CaseTypeCol!$H:$H,MATCH($E42,CaseTypeCol!$A:$A,0))</f>
        <v>2_17_0_3</v>
      </c>
      <c r="H42" s="6" t="str">
        <f t="shared" si="0"/>
        <v>0195d18c-1cc1-44c2-1d6e-874dad333458|0198ef6d-8543-059f-33dd-73f8668bc5ef</v>
      </c>
    </row>
    <row r="43" spans="1:8" x14ac:dyDescent="0.3">
      <c r="A43" t="s">
        <v>1190</v>
      </c>
      <c r="B43" t="s">
        <v>64</v>
      </c>
      <c r="C43" s="6" t="str">
        <f>INDEX(CaseTypeColSet!$B:$B,MATCH($B43,CaseTypeColSet!$A:$A,0))</f>
        <v>case_type_col_set1_1</v>
      </c>
      <c r="E43" t="s">
        <v>1181</v>
      </c>
      <c r="F43" s="6" t="str">
        <f>INDEX(CaseTypeCol!$H:$H,MATCH($E43,CaseTypeCol!$A:$A,0))</f>
        <v>2_19_0_1</v>
      </c>
      <c r="H43" s="6" t="str">
        <f t="shared" si="0"/>
        <v>0195d18c-1cc1-44c2-1d6e-874dad333458|019a8753-bf2c-ac0e-6094-b453f8a8f0bf</v>
      </c>
    </row>
    <row r="44" spans="1:8" x14ac:dyDescent="0.3">
      <c r="A44" t="s">
        <v>1191</v>
      </c>
      <c r="B44" t="s">
        <v>64</v>
      </c>
      <c r="C44" s="6" t="str">
        <f>INDEX(CaseTypeColSet!$B:$B,MATCH($B44,CaseTypeColSet!$A:$A,0))</f>
        <v>case_type_col_set1_1</v>
      </c>
      <c r="E44" t="s">
        <v>1182</v>
      </c>
      <c r="F44" s="6" t="str">
        <f>INDEX(CaseTypeCol!$H:$H,MATCH($E44,CaseTypeCol!$A:$A,0))</f>
        <v>2_19_0_2</v>
      </c>
      <c r="H44" s="6" t="str">
        <f t="shared" si="0"/>
        <v>0195d18c-1cc1-44c2-1d6e-874dad333458|019a8753-bf2c-72f3-1050-36bd41af94c6</v>
      </c>
    </row>
    <row r="45" spans="1:8" x14ac:dyDescent="0.3">
      <c r="A45" t="s">
        <v>1192</v>
      </c>
      <c r="B45" t="s">
        <v>64</v>
      </c>
      <c r="C45" s="6" t="str">
        <f>INDEX(CaseTypeColSet!$B:$B,MATCH($B45,CaseTypeColSet!$A:$A,0))</f>
        <v>case_type_col_set1_1</v>
      </c>
      <c r="E45" t="s">
        <v>1183</v>
      </c>
      <c r="F45" s="6" t="str">
        <f>INDEX(CaseTypeCol!$H:$H,MATCH($E45,CaseTypeCol!$A:$A,0))</f>
        <v>2_19_0_3</v>
      </c>
      <c r="H45" s="6" t="str">
        <f t="shared" si="0"/>
        <v>0195d18c-1cc1-44c2-1d6e-874dad333458|019a8753-bf2c-9d55-e919-4048becd0188</v>
      </c>
    </row>
    <row r="46" spans="1:8" x14ac:dyDescent="0.3">
      <c r="A46" t="s">
        <v>1193</v>
      </c>
      <c r="B46" t="s">
        <v>64</v>
      </c>
      <c r="C46" s="6" t="str">
        <f>INDEX(CaseTypeColSet!$B:$B,MATCH($B46,CaseTypeColSet!$A:$A,0))</f>
        <v>case_type_col_set1_1</v>
      </c>
      <c r="E46" t="s">
        <v>1184</v>
      </c>
      <c r="F46" s="6" t="str">
        <f>INDEX(CaseTypeCol!$H:$H,MATCH($E46,CaseTypeCol!$A:$A,0))</f>
        <v>2_19_0_4</v>
      </c>
      <c r="H46" s="6" t="str">
        <f t="shared" si="0"/>
        <v>0195d18c-1cc1-44c2-1d6e-874dad333458|019a8753-bf2c-31ce-e02e-41a60982d788</v>
      </c>
    </row>
    <row r="47" spans="1:8" x14ac:dyDescent="0.3">
      <c r="A47" t="s">
        <v>608</v>
      </c>
      <c r="B47" t="s">
        <v>64</v>
      </c>
      <c r="C47" s="6" t="str">
        <f>INDEX(CaseTypeColSet!$B:$B,MATCH($B47,CaseTypeColSet!$A:$A,0))</f>
        <v>case_type_col_set1_1</v>
      </c>
      <c r="E47" t="s">
        <v>566</v>
      </c>
      <c r="F47" s="6" t="str">
        <f>INDEX(CaseTypeCol!$H:$H,MATCH($E47,CaseTypeCol!$A:$A,0))</f>
        <v>2_21_0_1</v>
      </c>
      <c r="H47" s="6" t="str">
        <f t="shared" si="0"/>
        <v>0195d18c-1cc1-44c2-1d6e-874dad333458|0198ef6d-8543-87f8-e4ed-200adf224eea</v>
      </c>
    </row>
    <row r="48" spans="1:8" x14ac:dyDescent="0.3">
      <c r="A48" t="s">
        <v>609</v>
      </c>
      <c r="B48" t="s">
        <v>132</v>
      </c>
      <c r="C48" s="6" t="str">
        <f>INDEX(CaseTypeColSet!$B:$B,MATCH($B48,CaseTypeColSet!$A:$A,0))</f>
        <v>case_type_col_set1_1and2</v>
      </c>
      <c r="E48" t="s">
        <v>510</v>
      </c>
      <c r="F48" s="6" t="str">
        <f>INDEX(CaseTypeCol!$H:$H,MATCH($E48,CaseTypeCol!$A:$A,0))</f>
        <v>1_1_0_1</v>
      </c>
      <c r="H48" s="6" t="str">
        <f t="shared" si="0"/>
        <v>0195d18c-1cc1-c475-eba4-c3df5aea8858|0198ef6d-8543-a221-af7e-774497e4801a</v>
      </c>
    </row>
    <row r="49" spans="1:8" x14ac:dyDescent="0.3">
      <c r="A49" t="s">
        <v>610</v>
      </c>
      <c r="B49" t="s">
        <v>132</v>
      </c>
      <c r="C49" s="6" t="str">
        <f>INDEX(CaseTypeColSet!$B:$B,MATCH($B49,CaseTypeColSet!$A:$A,0))</f>
        <v>case_type_col_set1_1and2</v>
      </c>
      <c r="E49" t="s">
        <v>511</v>
      </c>
      <c r="F49" s="6" t="str">
        <f>INDEX(CaseTypeCol!$H:$H,MATCH($E49,CaseTypeCol!$A:$A,0))</f>
        <v>1_2_0_1</v>
      </c>
      <c r="H49" s="6" t="str">
        <f t="shared" si="0"/>
        <v>0195d18c-1cc1-c475-eba4-c3df5aea8858|0198ef6d-8543-987d-80eb-fb29936d633c</v>
      </c>
    </row>
    <row r="50" spans="1:8" x14ac:dyDescent="0.3">
      <c r="A50" t="s">
        <v>611</v>
      </c>
      <c r="B50" t="s">
        <v>132</v>
      </c>
      <c r="C50" s="6" t="str">
        <f>INDEX(CaseTypeColSet!$B:$B,MATCH($B50,CaseTypeColSet!$A:$A,0))</f>
        <v>case_type_col_set1_1and2</v>
      </c>
      <c r="E50" t="s">
        <v>512</v>
      </c>
      <c r="F50" s="6" t="str">
        <f>INDEX(CaseTypeCol!$H:$H,MATCH($E50,CaseTypeCol!$A:$A,0))</f>
        <v>1_3_0_1</v>
      </c>
      <c r="H50" s="6" t="str">
        <f t="shared" si="0"/>
        <v>0195d18c-1cc1-c475-eba4-c3df5aea8858|0198ef6d-8543-ce42-568c-c8e8405533a1</v>
      </c>
    </row>
    <row r="51" spans="1:8" x14ac:dyDescent="0.3">
      <c r="A51" t="s">
        <v>612</v>
      </c>
      <c r="B51" t="s">
        <v>132</v>
      </c>
      <c r="C51" s="6" t="str">
        <f>INDEX(CaseTypeColSet!$B:$B,MATCH($B51,CaseTypeColSet!$A:$A,0))</f>
        <v>case_type_col_set1_1and2</v>
      </c>
      <c r="E51" t="s">
        <v>513</v>
      </c>
      <c r="F51" s="6" t="str">
        <f>INDEX(CaseTypeCol!$H:$H,MATCH($E51,CaseTypeCol!$A:$A,0))</f>
        <v>1_4_0_1</v>
      </c>
      <c r="H51" s="6" t="str">
        <f t="shared" si="0"/>
        <v>0195d18c-1cc1-c475-eba4-c3df5aea8858|0198ef6d-8543-8bc8-93ea-2f4c7e8626f2</v>
      </c>
    </row>
    <row r="52" spans="1:8" x14ac:dyDescent="0.3">
      <c r="A52" t="s">
        <v>613</v>
      </c>
      <c r="B52" t="s">
        <v>132</v>
      </c>
      <c r="C52" s="6" t="str">
        <f>INDEX(CaseTypeColSet!$B:$B,MATCH($B52,CaseTypeColSet!$A:$A,0))</f>
        <v>case_type_col_set1_1and2</v>
      </c>
      <c r="E52" t="s">
        <v>514</v>
      </c>
      <c r="F52" s="6" t="str">
        <f>INDEX(CaseTypeCol!$H:$H,MATCH($E52,CaseTypeCol!$A:$A,0))</f>
        <v>1_5_0_1</v>
      </c>
      <c r="H52" s="6" t="str">
        <f t="shared" si="0"/>
        <v>0195d18c-1cc1-c475-eba4-c3df5aea8858|0198ef6d-8543-1062-3f54-74f967fd95da</v>
      </c>
    </row>
    <row r="53" spans="1:8" x14ac:dyDescent="0.3">
      <c r="A53" t="s">
        <v>614</v>
      </c>
      <c r="B53" t="s">
        <v>132</v>
      </c>
      <c r="C53" s="6" t="str">
        <f>INDEX(CaseTypeColSet!$B:$B,MATCH($B53,CaseTypeColSet!$A:$A,0))</f>
        <v>case_type_col_set1_1and2</v>
      </c>
      <c r="E53" t="s">
        <v>515</v>
      </c>
      <c r="F53" s="6" t="str">
        <f>INDEX(CaseTypeCol!$H:$H,MATCH($E53,CaseTypeCol!$A:$A,0))</f>
        <v>1_6_0_1</v>
      </c>
      <c r="H53" s="6" t="str">
        <f t="shared" si="0"/>
        <v>0195d18c-1cc1-c475-eba4-c3df5aea8858|0198ef6d-8543-3bfd-fcb0-c5698a1b2d9a</v>
      </c>
    </row>
    <row r="54" spans="1:8" x14ac:dyDescent="0.3">
      <c r="A54" t="s">
        <v>615</v>
      </c>
      <c r="B54" t="s">
        <v>132</v>
      </c>
      <c r="C54" s="6" t="str">
        <f>INDEX(CaseTypeColSet!$B:$B,MATCH($B54,CaseTypeColSet!$A:$A,0))</f>
        <v>case_type_col_set1_1and2</v>
      </c>
      <c r="E54" t="s">
        <v>516</v>
      </c>
      <c r="F54" s="6" t="str">
        <f>INDEX(CaseTypeCol!$H:$H,MATCH($E54,CaseTypeCol!$A:$A,0))</f>
        <v>1_7_0_1</v>
      </c>
      <c r="H54" s="6" t="str">
        <f t="shared" si="0"/>
        <v>0195d18c-1cc1-c475-eba4-c3df5aea8858|0198ef6d-8543-f372-ce25-38616e4c214d</v>
      </c>
    </row>
    <row r="55" spans="1:8" x14ac:dyDescent="0.3">
      <c r="A55" t="s">
        <v>616</v>
      </c>
      <c r="B55" t="s">
        <v>132</v>
      </c>
      <c r="C55" s="6" t="str">
        <f>INDEX(CaseTypeColSet!$B:$B,MATCH($B55,CaseTypeColSet!$A:$A,0))</f>
        <v>case_type_col_set1_1and2</v>
      </c>
      <c r="E55" t="s">
        <v>517</v>
      </c>
      <c r="F55" s="6" t="str">
        <f>INDEX(CaseTypeCol!$H:$H,MATCH($E55,CaseTypeCol!$A:$A,0))</f>
        <v>1_8_0_1</v>
      </c>
      <c r="H55" s="6" t="str">
        <f t="shared" si="0"/>
        <v>0195d18c-1cc1-c475-eba4-c3df5aea8858|0198ef6d-8543-d9b1-6322-01cffb585d60</v>
      </c>
    </row>
    <row r="56" spans="1:8" x14ac:dyDescent="0.3">
      <c r="A56" t="s">
        <v>617</v>
      </c>
      <c r="B56" t="s">
        <v>132</v>
      </c>
      <c r="C56" s="6" t="str">
        <f>INDEX(CaseTypeColSet!$B:$B,MATCH($B56,CaseTypeColSet!$A:$A,0))</f>
        <v>case_type_col_set1_1and2</v>
      </c>
      <c r="E56" t="s">
        <v>518</v>
      </c>
      <c r="F56" s="6" t="str">
        <f>INDEX(CaseTypeCol!$H:$H,MATCH($E56,CaseTypeCol!$A:$A,0))</f>
        <v>1_9_0_1</v>
      </c>
      <c r="H56" s="6" t="str">
        <f t="shared" si="0"/>
        <v>0195d18c-1cc1-c475-eba4-c3df5aea8858|0198ef6d-8543-b8fc-9de5-72be815082e0</v>
      </c>
    </row>
    <row r="57" spans="1:8" x14ac:dyDescent="0.3">
      <c r="A57" t="s">
        <v>618</v>
      </c>
      <c r="B57" t="s">
        <v>132</v>
      </c>
      <c r="C57" s="6" t="str">
        <f>INDEX(CaseTypeColSet!$B:$B,MATCH($B57,CaseTypeColSet!$A:$A,0))</f>
        <v>case_type_col_set1_1and2</v>
      </c>
      <c r="E57" t="s">
        <v>519</v>
      </c>
      <c r="F57" s="6" t="str">
        <f>INDEX(CaseTypeCol!$H:$H,MATCH($E57,CaseTypeCol!$A:$A,0))</f>
        <v>1_10_0_1</v>
      </c>
      <c r="H57" s="6" t="str">
        <f t="shared" si="0"/>
        <v>0195d18c-1cc1-c475-eba4-c3df5aea8858|0198ef6d-8543-f0ab-b028-4f183545ce97</v>
      </c>
    </row>
    <row r="58" spans="1:8" x14ac:dyDescent="0.3">
      <c r="A58" t="s">
        <v>619</v>
      </c>
      <c r="B58" t="s">
        <v>132</v>
      </c>
      <c r="C58" s="6" t="str">
        <f>INDEX(CaseTypeColSet!$B:$B,MATCH($B58,CaseTypeColSet!$A:$A,0))</f>
        <v>case_type_col_set1_1and2</v>
      </c>
      <c r="E58" t="s">
        <v>520</v>
      </c>
      <c r="F58" s="6" t="str">
        <f>INDEX(CaseTypeCol!$H:$H,MATCH($E58,CaseTypeCol!$A:$A,0))</f>
        <v>1_11_0_1</v>
      </c>
      <c r="H58" s="6" t="str">
        <f t="shared" si="0"/>
        <v>0195d18c-1cc1-c475-eba4-c3df5aea8858|0198ef6d-8543-371a-179d-9c036f8c66f2</v>
      </c>
    </row>
    <row r="59" spans="1:8" x14ac:dyDescent="0.3">
      <c r="A59" t="s">
        <v>620</v>
      </c>
      <c r="B59" t="s">
        <v>132</v>
      </c>
      <c r="C59" s="6" t="str">
        <f>INDEX(CaseTypeColSet!$B:$B,MATCH($B59,CaseTypeColSet!$A:$A,0))</f>
        <v>case_type_col_set1_1and2</v>
      </c>
      <c r="E59" t="s">
        <v>521</v>
      </c>
      <c r="F59" s="6" t="str">
        <f>INDEX(CaseTypeCol!$H:$H,MATCH($E59,CaseTypeCol!$A:$A,0))</f>
        <v>1_11_0_2</v>
      </c>
      <c r="H59" s="6" t="str">
        <f t="shared" si="0"/>
        <v>0195d18c-1cc1-c475-eba4-c3df5aea8858|0198ef6d-8543-7325-a3c3-0be3c6d6193b</v>
      </c>
    </row>
    <row r="60" spans="1:8" x14ac:dyDescent="0.3">
      <c r="A60" t="s">
        <v>621</v>
      </c>
      <c r="B60" t="s">
        <v>132</v>
      </c>
      <c r="C60" s="6" t="str">
        <f>INDEX(CaseTypeColSet!$B:$B,MATCH($B60,CaseTypeColSet!$A:$A,0))</f>
        <v>case_type_col_set1_1and2</v>
      </c>
      <c r="E60" t="s">
        <v>522</v>
      </c>
      <c r="F60" s="6" t="str">
        <f>INDEX(CaseTypeCol!$H:$H,MATCH($E60,CaseTypeCol!$A:$A,0))</f>
        <v>1_11_0_3</v>
      </c>
      <c r="H60" s="6" t="str">
        <f t="shared" si="0"/>
        <v>0195d18c-1cc1-c475-eba4-c3df5aea8858|0198ef6d-8543-61b3-63f1-bc4f52741be3</v>
      </c>
    </row>
    <row r="61" spans="1:8" x14ac:dyDescent="0.3">
      <c r="A61" t="s">
        <v>622</v>
      </c>
      <c r="B61" t="s">
        <v>132</v>
      </c>
      <c r="C61" s="6" t="str">
        <f>INDEX(CaseTypeColSet!$B:$B,MATCH($B61,CaseTypeColSet!$A:$A,0))</f>
        <v>case_type_col_set1_1and2</v>
      </c>
      <c r="E61" t="s">
        <v>523</v>
      </c>
      <c r="F61" s="6" t="str">
        <f>INDEX(CaseTypeCol!$H:$H,MATCH($E61,CaseTypeCol!$A:$A,0))</f>
        <v>1_11_0_4</v>
      </c>
      <c r="H61" s="6" t="str">
        <f t="shared" si="0"/>
        <v>0195d18c-1cc1-c475-eba4-c3df5aea8858|0198ef6d-8543-f6da-4821-571b2b52bd5b</v>
      </c>
    </row>
    <row r="62" spans="1:8" x14ac:dyDescent="0.3">
      <c r="A62" t="s">
        <v>623</v>
      </c>
      <c r="B62" t="s">
        <v>132</v>
      </c>
      <c r="C62" s="6" t="str">
        <f>INDEX(CaseTypeColSet!$B:$B,MATCH($B62,CaseTypeColSet!$A:$A,0))</f>
        <v>case_type_col_set1_1and2</v>
      </c>
      <c r="E62" t="s">
        <v>524</v>
      </c>
      <c r="F62" s="6" t="str">
        <f>INDEX(CaseTypeCol!$H:$H,MATCH($E62,CaseTypeCol!$A:$A,0))</f>
        <v>1_12_0_1</v>
      </c>
      <c r="H62" s="6" t="str">
        <f t="shared" si="0"/>
        <v>0195d18c-1cc1-c475-eba4-c3df5aea8858|0198ef6d-8543-369f-5adc-42e8a92a03ef</v>
      </c>
    </row>
    <row r="63" spans="1:8" x14ac:dyDescent="0.3">
      <c r="A63" t="s">
        <v>624</v>
      </c>
      <c r="B63" t="s">
        <v>132</v>
      </c>
      <c r="C63" s="6" t="str">
        <f>INDEX(CaseTypeColSet!$B:$B,MATCH($B63,CaseTypeColSet!$A:$A,0))</f>
        <v>case_type_col_set1_1and2</v>
      </c>
      <c r="E63" t="s">
        <v>525</v>
      </c>
      <c r="F63" s="6" t="str">
        <f>INDEX(CaseTypeCol!$H:$H,MATCH($E63,CaseTypeCol!$A:$A,0))</f>
        <v>1_12_0_2</v>
      </c>
      <c r="H63" s="6" t="str">
        <f t="shared" si="0"/>
        <v>0195d18c-1cc1-c475-eba4-c3df5aea8858|0198ef6d-8543-c2aa-d8d8-5799599aba32</v>
      </c>
    </row>
    <row r="64" spans="1:8" x14ac:dyDescent="0.3">
      <c r="A64" t="s">
        <v>625</v>
      </c>
      <c r="B64" t="s">
        <v>132</v>
      </c>
      <c r="C64" s="6" t="str">
        <f>INDEX(CaseTypeColSet!$B:$B,MATCH($B64,CaseTypeColSet!$A:$A,0))</f>
        <v>case_type_col_set1_1and2</v>
      </c>
      <c r="E64" t="s">
        <v>526</v>
      </c>
      <c r="F64" s="6" t="str">
        <f>INDEX(CaseTypeCol!$H:$H,MATCH($E64,CaseTypeCol!$A:$A,0))</f>
        <v>1_12_0_3</v>
      </c>
      <c r="H64" s="6" t="str">
        <f t="shared" si="0"/>
        <v>0195d18c-1cc1-c475-eba4-c3df5aea8858|0198ef6d-8543-379c-1b40-75609669d2dc</v>
      </c>
    </row>
    <row r="65" spans="1:8" x14ac:dyDescent="0.3">
      <c r="A65" t="s">
        <v>626</v>
      </c>
      <c r="B65" t="s">
        <v>132</v>
      </c>
      <c r="C65" s="6" t="str">
        <f>INDEX(CaseTypeColSet!$B:$B,MATCH($B65,CaseTypeColSet!$A:$A,0))</f>
        <v>case_type_col_set1_1and2</v>
      </c>
      <c r="E65" t="s">
        <v>527</v>
      </c>
      <c r="F65" s="6" t="str">
        <f>INDEX(CaseTypeCol!$H:$H,MATCH($E65,CaseTypeCol!$A:$A,0))</f>
        <v>1_12_0_4</v>
      </c>
      <c r="H65" s="6" t="str">
        <f t="shared" si="0"/>
        <v>0195d18c-1cc1-c475-eba4-c3df5aea8858|0198ef6d-8543-1f4a-69a6-ef2cbe30a080</v>
      </c>
    </row>
    <row r="66" spans="1:8" x14ac:dyDescent="0.3">
      <c r="A66" t="s">
        <v>627</v>
      </c>
      <c r="B66" t="s">
        <v>132</v>
      </c>
      <c r="C66" s="6" t="str">
        <f>INDEX(CaseTypeColSet!$B:$B,MATCH($B66,CaseTypeColSet!$A:$A,0))</f>
        <v>case_type_col_set1_1and2</v>
      </c>
      <c r="E66" t="s">
        <v>528</v>
      </c>
      <c r="F66" s="6" t="str">
        <f>INDEX(CaseTypeCol!$H:$H,MATCH($E66,CaseTypeCol!$A:$A,0))</f>
        <v>1_13_0_1</v>
      </c>
      <c r="H66" s="6" t="str">
        <f t="shared" si="0"/>
        <v>0195d18c-1cc1-c475-eba4-c3df5aea8858|0198ef6d-8543-3dff-04fd-3c65614d655d</v>
      </c>
    </row>
    <row r="67" spans="1:8" x14ac:dyDescent="0.3">
      <c r="A67" t="s">
        <v>628</v>
      </c>
      <c r="B67" t="s">
        <v>132</v>
      </c>
      <c r="C67" s="6" t="str">
        <f>INDEX(CaseTypeColSet!$B:$B,MATCH($B67,CaseTypeColSet!$A:$A,0))</f>
        <v>case_type_col_set1_1and2</v>
      </c>
      <c r="E67" t="s">
        <v>529</v>
      </c>
      <c r="F67" s="6" t="str">
        <f>INDEX(CaseTypeCol!$H:$H,MATCH($E67,CaseTypeCol!$A:$A,0))</f>
        <v>1_13_0_2</v>
      </c>
      <c r="H67" s="6" t="str">
        <f t="shared" si="0"/>
        <v>0195d18c-1cc1-c475-eba4-c3df5aea8858|0198ef6d-8543-c3d9-408d-20f86d523b9f</v>
      </c>
    </row>
    <row r="68" spans="1:8" x14ac:dyDescent="0.3">
      <c r="A68" t="s">
        <v>629</v>
      </c>
      <c r="B68" t="s">
        <v>132</v>
      </c>
      <c r="C68" s="6" t="str">
        <f>INDEX(CaseTypeColSet!$B:$B,MATCH($B68,CaseTypeColSet!$A:$A,0))</f>
        <v>case_type_col_set1_1and2</v>
      </c>
      <c r="E68" t="s">
        <v>530</v>
      </c>
      <c r="F68" s="6" t="str">
        <f>INDEX(CaseTypeCol!$H:$H,MATCH($E68,CaseTypeCol!$A:$A,0))</f>
        <v>1_13_0_3</v>
      </c>
      <c r="H68" s="6" t="str">
        <f t="shared" si="0"/>
        <v>0195d18c-1cc1-c475-eba4-c3df5aea8858|0198ef6d-8543-e425-5793-c7c455726f56</v>
      </c>
    </row>
    <row r="69" spans="1:8" x14ac:dyDescent="0.3">
      <c r="A69" t="s">
        <v>630</v>
      </c>
      <c r="B69" t="s">
        <v>132</v>
      </c>
      <c r="C69" s="6" t="str">
        <f>INDEX(CaseTypeColSet!$B:$B,MATCH($B69,CaseTypeColSet!$A:$A,0))</f>
        <v>case_type_col_set1_1and2</v>
      </c>
      <c r="E69" t="s">
        <v>531</v>
      </c>
      <c r="F69" s="6" t="str">
        <f>INDEX(CaseTypeCol!$H:$H,MATCH($E69,CaseTypeCol!$A:$A,0))</f>
        <v>1_13_0_4</v>
      </c>
      <c r="H69" s="6" t="str">
        <f t="shared" si="0"/>
        <v>0195d18c-1cc1-c475-eba4-c3df5aea8858|0198ef6d-8543-0bc5-2af0-dbe7f34bc5cc</v>
      </c>
    </row>
    <row r="70" spans="1:8" x14ac:dyDescent="0.3">
      <c r="A70" t="s">
        <v>631</v>
      </c>
      <c r="B70" t="s">
        <v>132</v>
      </c>
      <c r="C70" s="6" t="str">
        <f>INDEX(CaseTypeColSet!$B:$B,MATCH($B70,CaseTypeColSet!$A:$A,0))</f>
        <v>case_type_col_set1_1and2</v>
      </c>
      <c r="E70" t="s">
        <v>532</v>
      </c>
      <c r="F70" s="6" t="str">
        <f>INDEX(CaseTypeCol!$H:$H,MATCH($E70,CaseTypeCol!$A:$A,0))</f>
        <v>1_13_0_5</v>
      </c>
      <c r="H70" s="6" t="str">
        <f t="shared" si="0"/>
        <v>0195d18c-1cc1-c475-eba4-c3df5aea8858|0198ef6d-8543-58d8-f78b-17d1fd52333b</v>
      </c>
    </row>
    <row r="71" spans="1:8" x14ac:dyDescent="0.3">
      <c r="A71" t="s">
        <v>632</v>
      </c>
      <c r="B71" t="s">
        <v>132</v>
      </c>
      <c r="C71" s="6" t="str">
        <f>INDEX(CaseTypeColSet!$B:$B,MATCH($B71,CaseTypeColSet!$A:$A,0))</f>
        <v>case_type_col_set1_1and2</v>
      </c>
      <c r="E71" t="s">
        <v>533</v>
      </c>
      <c r="F71" s="6" t="str">
        <f>INDEX(CaseTypeCol!$H:$H,MATCH($E71,CaseTypeCol!$A:$A,0))</f>
        <v>1_14_0_1</v>
      </c>
      <c r="H71" s="6" t="str">
        <f t="shared" si="0"/>
        <v>0195d18c-1cc1-c475-eba4-c3df5aea8858|0198ef6d-8543-95f7-7801-f7b9a1173d31</v>
      </c>
    </row>
    <row r="72" spans="1:8" x14ac:dyDescent="0.3">
      <c r="A72" t="s">
        <v>633</v>
      </c>
      <c r="B72" t="s">
        <v>132</v>
      </c>
      <c r="C72" s="6" t="str">
        <f>INDEX(CaseTypeColSet!$B:$B,MATCH($B72,CaseTypeColSet!$A:$A,0))</f>
        <v>case_type_col_set1_1and2</v>
      </c>
      <c r="E72" t="s">
        <v>534</v>
      </c>
      <c r="F72" s="6" t="str">
        <f>INDEX(CaseTypeCol!$H:$H,MATCH($E72,CaseTypeCol!$A:$A,0))</f>
        <v>1_14_0_2</v>
      </c>
      <c r="H72" s="6" t="str">
        <f t="shared" si="0"/>
        <v>0195d18c-1cc1-c475-eba4-c3df5aea8858|0198ef6d-8543-d942-891d-d90db771db73</v>
      </c>
    </row>
    <row r="73" spans="1:8" x14ac:dyDescent="0.3">
      <c r="A73" t="s">
        <v>634</v>
      </c>
      <c r="B73" t="s">
        <v>132</v>
      </c>
      <c r="C73" s="6" t="str">
        <f>INDEX(CaseTypeColSet!$B:$B,MATCH($B73,CaseTypeColSet!$A:$A,0))</f>
        <v>case_type_col_set1_1and2</v>
      </c>
      <c r="E73" t="s">
        <v>535</v>
      </c>
      <c r="F73" s="6" t="str">
        <f>INDEX(CaseTypeCol!$H:$H,MATCH($E73,CaseTypeCol!$A:$A,0))</f>
        <v>1_14_0_3</v>
      </c>
      <c r="H73" s="6" t="str">
        <f t="shared" si="0"/>
        <v>0195d18c-1cc1-c475-eba4-c3df5aea8858|0198ef6d-8543-8e8e-2323-db15777c232c</v>
      </c>
    </row>
    <row r="74" spans="1:8" x14ac:dyDescent="0.3">
      <c r="A74" t="s">
        <v>635</v>
      </c>
      <c r="B74" t="s">
        <v>132</v>
      </c>
      <c r="C74" s="6" t="str">
        <f>INDEX(CaseTypeColSet!$B:$B,MATCH($B74,CaseTypeColSet!$A:$A,0))</f>
        <v>case_type_col_set1_1and2</v>
      </c>
      <c r="E74" t="s">
        <v>536</v>
      </c>
      <c r="F74" s="6" t="str">
        <f>INDEX(CaseTypeCol!$H:$H,MATCH($E74,CaseTypeCol!$A:$A,0))</f>
        <v>1_14_0_4</v>
      </c>
      <c r="H74" s="6" t="str">
        <f t="shared" si="0"/>
        <v>0195d18c-1cc1-c475-eba4-c3df5aea8858|0198ef6d-8543-e881-c040-0a6a35d23358</v>
      </c>
    </row>
    <row r="75" spans="1:8" x14ac:dyDescent="0.3">
      <c r="A75" t="s">
        <v>636</v>
      </c>
      <c r="B75" t="s">
        <v>132</v>
      </c>
      <c r="C75" s="6" t="str">
        <f>INDEX(CaseTypeColSet!$B:$B,MATCH($B75,CaseTypeColSet!$A:$A,0))</f>
        <v>case_type_col_set1_1and2</v>
      </c>
      <c r="E75" t="s">
        <v>537</v>
      </c>
      <c r="F75" s="6" t="str">
        <f>INDEX(CaseTypeCol!$H:$H,MATCH($E75,CaseTypeCol!$A:$A,0))</f>
        <v>1_14_0_5</v>
      </c>
      <c r="H75" s="6" t="str">
        <f t="shared" ref="H75:H116" si="1">$B75&amp;"|"&amp;$E75</f>
        <v>0195d18c-1cc1-c475-eba4-c3df5aea8858|0198ef6d-8543-2162-0198-4b380cae3fa3</v>
      </c>
    </row>
    <row r="76" spans="1:8" x14ac:dyDescent="0.3">
      <c r="A76" t="s">
        <v>637</v>
      </c>
      <c r="B76" t="s">
        <v>132</v>
      </c>
      <c r="C76" s="6" t="str">
        <f>INDEX(CaseTypeColSet!$B:$B,MATCH($B76,CaseTypeColSet!$A:$A,0))</f>
        <v>case_type_col_set1_1and2</v>
      </c>
      <c r="E76" t="s">
        <v>538</v>
      </c>
      <c r="F76" s="6" t="str">
        <f>INDEX(CaseTypeCol!$H:$H,MATCH($E76,CaseTypeCol!$A:$A,0))</f>
        <v>1_15_0_1</v>
      </c>
      <c r="H76" s="6" t="str">
        <f t="shared" si="1"/>
        <v>0195d18c-1cc1-c475-eba4-c3df5aea8858|0198ef6d-8543-f61d-4edc-07bcd51c380d</v>
      </c>
    </row>
    <row r="77" spans="1:8" x14ac:dyDescent="0.3">
      <c r="A77" t="s">
        <v>638</v>
      </c>
      <c r="B77" t="s">
        <v>132</v>
      </c>
      <c r="C77" s="6" t="str">
        <f>INDEX(CaseTypeColSet!$B:$B,MATCH($B77,CaseTypeColSet!$A:$A,0))</f>
        <v>case_type_col_set1_1and2</v>
      </c>
      <c r="E77" t="s">
        <v>539</v>
      </c>
      <c r="F77" s="6" t="str">
        <f>INDEX(CaseTypeCol!$H:$H,MATCH($E77,CaseTypeCol!$A:$A,0))</f>
        <v>1_16_0_1</v>
      </c>
      <c r="H77" s="6" t="str">
        <f t="shared" si="1"/>
        <v>0195d18c-1cc1-c475-eba4-c3df5aea8858|0198ef6d-8543-6468-4596-cfc7b24c16e9</v>
      </c>
    </row>
    <row r="78" spans="1:8" x14ac:dyDescent="0.3">
      <c r="A78" t="s">
        <v>639</v>
      </c>
      <c r="B78" t="s">
        <v>132</v>
      </c>
      <c r="C78" s="6" t="str">
        <f>INDEX(CaseTypeColSet!$B:$B,MATCH($B78,CaseTypeColSet!$A:$A,0))</f>
        <v>case_type_col_set1_1and2</v>
      </c>
      <c r="E78" t="s">
        <v>540</v>
      </c>
      <c r="F78" s="6" t="str">
        <f>INDEX(CaseTypeCol!$H:$H,MATCH($E78,CaseTypeCol!$A:$A,0))</f>
        <v>1_17_0_1</v>
      </c>
      <c r="H78" s="6" t="str">
        <f t="shared" si="1"/>
        <v>0195d18c-1cc1-c475-eba4-c3df5aea8858|0198ef6d-8543-2afc-2c12-93e895132544</v>
      </c>
    </row>
    <row r="79" spans="1:8" x14ac:dyDescent="0.3">
      <c r="A79" t="s">
        <v>640</v>
      </c>
      <c r="B79" t="s">
        <v>132</v>
      </c>
      <c r="C79" s="6" t="str">
        <f>INDEX(CaseTypeColSet!$B:$B,MATCH($B79,CaseTypeColSet!$A:$A,0))</f>
        <v>case_type_col_set1_1and2</v>
      </c>
      <c r="E79" t="s">
        <v>541</v>
      </c>
      <c r="F79" s="6" t="str">
        <f>INDEX(CaseTypeCol!$H:$H,MATCH($E79,CaseTypeCol!$A:$A,0))</f>
        <v>1_17_0_2</v>
      </c>
      <c r="H79" s="6" t="str">
        <f t="shared" si="1"/>
        <v>0195d18c-1cc1-c475-eba4-c3df5aea8858|0198ef6d-8543-c453-7e15-c4a877df12b1</v>
      </c>
    </row>
    <row r="80" spans="1:8" x14ac:dyDescent="0.3">
      <c r="A80" t="s">
        <v>641</v>
      </c>
      <c r="B80" t="s">
        <v>132</v>
      </c>
      <c r="C80" s="6" t="str">
        <f>INDEX(CaseTypeColSet!$B:$B,MATCH($B80,CaseTypeColSet!$A:$A,0))</f>
        <v>case_type_col_set1_1and2</v>
      </c>
      <c r="E80" t="s">
        <v>542</v>
      </c>
      <c r="F80" s="6" t="str">
        <f>INDEX(CaseTypeCol!$H:$H,MATCH($E80,CaseTypeCol!$A:$A,0))</f>
        <v>1_17_0_3</v>
      </c>
      <c r="H80" s="6" t="str">
        <f t="shared" si="1"/>
        <v>0195d18c-1cc1-c475-eba4-c3df5aea8858|0198ef6d-8543-2029-b59b-f9f9a653936a</v>
      </c>
    </row>
    <row r="81" spans="1:8" x14ac:dyDescent="0.3">
      <c r="A81" t="s">
        <v>642</v>
      </c>
      <c r="B81" t="s">
        <v>132</v>
      </c>
      <c r="C81" s="6" t="str">
        <f>INDEX(CaseTypeColSet!$B:$B,MATCH($B81,CaseTypeColSet!$A:$A,0))</f>
        <v>case_type_col_set1_1and2</v>
      </c>
      <c r="E81" t="s">
        <v>543</v>
      </c>
      <c r="F81" s="6" t="str">
        <f>INDEX(CaseTypeCol!$H:$H,MATCH($E81,CaseTypeCol!$A:$A,0))</f>
        <v>1_18_0_1</v>
      </c>
      <c r="H81" s="6" t="str">
        <f t="shared" si="1"/>
        <v>0195d18c-1cc1-c475-eba4-c3df5aea8858|0198ef6d-8543-de89-1d51-d1a00a20cfe1</v>
      </c>
    </row>
    <row r="82" spans="1:8" x14ac:dyDescent="0.3">
      <c r="A82" t="s">
        <v>643</v>
      </c>
      <c r="B82" t="s">
        <v>132</v>
      </c>
      <c r="C82" s="6" t="str">
        <f>INDEX(CaseTypeColSet!$B:$B,MATCH($B82,CaseTypeColSet!$A:$A,0))</f>
        <v>case_type_col_set1_1and2</v>
      </c>
      <c r="E82" t="s">
        <v>544</v>
      </c>
      <c r="F82" s="6" t="str">
        <f>INDEX(CaseTypeCol!$H:$H,MATCH($E82,CaseTypeCol!$A:$A,0))</f>
        <v>1_18_0_2</v>
      </c>
      <c r="H82" s="6" t="str">
        <f t="shared" si="1"/>
        <v>0195d18c-1cc1-c475-eba4-c3df5aea8858|0198ef6d-8543-2da2-cd65-fdc03f304e9b</v>
      </c>
    </row>
    <row r="83" spans="1:8" x14ac:dyDescent="0.3">
      <c r="A83" t="s">
        <v>644</v>
      </c>
      <c r="B83" t="s">
        <v>132</v>
      </c>
      <c r="C83" s="6" t="str">
        <f>INDEX(CaseTypeColSet!$B:$B,MATCH($B83,CaseTypeColSet!$A:$A,0))</f>
        <v>case_type_col_set1_1and2</v>
      </c>
      <c r="E83" t="s">
        <v>545</v>
      </c>
      <c r="F83" s="6" t="str">
        <f>INDEX(CaseTypeCol!$H:$H,MATCH($E83,CaseTypeCol!$A:$A,0))</f>
        <v>1_18_0_3</v>
      </c>
      <c r="H83" s="6" t="str">
        <f t="shared" si="1"/>
        <v>0195d18c-1cc1-c475-eba4-c3df5aea8858|0198ef6d-8543-90ee-8214-09a6f499e9d9</v>
      </c>
    </row>
    <row r="84" spans="1:8" x14ac:dyDescent="0.3">
      <c r="A84" t="s">
        <v>1194</v>
      </c>
      <c r="B84" t="s">
        <v>132</v>
      </c>
      <c r="C84" s="6" t="str">
        <f>INDEX(CaseTypeColSet!$B:$B,MATCH($B84,CaseTypeColSet!$A:$A,0))</f>
        <v>case_type_col_set1_1and2</v>
      </c>
      <c r="E84" t="s">
        <v>1181</v>
      </c>
      <c r="F84" s="6" t="str">
        <f>INDEX(CaseTypeCol!$H:$H,MATCH($E84,CaseTypeCol!$A:$A,0))</f>
        <v>2_19_0_1</v>
      </c>
      <c r="H84" s="6" t="str">
        <f t="shared" si="1"/>
        <v>0195d18c-1cc1-c475-eba4-c3df5aea8858|019a8753-bf2c-ac0e-6094-b453f8a8f0bf</v>
      </c>
    </row>
    <row r="85" spans="1:8" x14ac:dyDescent="0.3">
      <c r="A85" t="s">
        <v>1195</v>
      </c>
      <c r="B85" t="s">
        <v>132</v>
      </c>
      <c r="C85" s="6" t="str">
        <f>INDEX(CaseTypeColSet!$B:$B,MATCH($B85,CaseTypeColSet!$A:$A,0))</f>
        <v>case_type_col_set1_1and2</v>
      </c>
      <c r="E85" t="s">
        <v>1182</v>
      </c>
      <c r="F85" s="6" t="str">
        <f>INDEX(CaseTypeCol!$H:$H,MATCH($E85,CaseTypeCol!$A:$A,0))</f>
        <v>2_19_0_2</v>
      </c>
      <c r="H85" s="6" t="str">
        <f t="shared" si="1"/>
        <v>0195d18c-1cc1-c475-eba4-c3df5aea8858|019a8753-bf2c-72f3-1050-36bd41af94c6</v>
      </c>
    </row>
    <row r="86" spans="1:8" x14ac:dyDescent="0.3">
      <c r="A86" t="s">
        <v>1196</v>
      </c>
      <c r="B86" t="s">
        <v>132</v>
      </c>
      <c r="C86" s="6" t="str">
        <f>INDEX(CaseTypeColSet!$B:$B,MATCH($B86,CaseTypeColSet!$A:$A,0))</f>
        <v>case_type_col_set1_1and2</v>
      </c>
      <c r="E86" t="s">
        <v>1183</v>
      </c>
      <c r="F86" s="6" t="str">
        <f>INDEX(CaseTypeCol!$H:$H,MATCH($E86,CaseTypeCol!$A:$A,0))</f>
        <v>2_19_0_3</v>
      </c>
      <c r="H86" s="6" t="str">
        <f t="shared" si="1"/>
        <v>0195d18c-1cc1-c475-eba4-c3df5aea8858|019a8753-bf2c-9d55-e919-4048becd0188</v>
      </c>
    </row>
    <row r="87" spans="1:8" x14ac:dyDescent="0.3">
      <c r="A87" t="s">
        <v>1197</v>
      </c>
      <c r="B87" t="s">
        <v>132</v>
      </c>
      <c r="C87" s="6" t="str">
        <f>INDEX(CaseTypeColSet!$B:$B,MATCH($B87,CaseTypeColSet!$A:$A,0))</f>
        <v>case_type_col_set1_1and2</v>
      </c>
      <c r="E87" t="s">
        <v>1184</v>
      </c>
      <c r="F87" s="6" t="str">
        <f>INDEX(CaseTypeCol!$H:$H,MATCH($E87,CaseTypeCol!$A:$A,0))</f>
        <v>2_19_0_4</v>
      </c>
      <c r="H87" s="6" t="str">
        <f t="shared" si="1"/>
        <v>0195d18c-1cc1-c475-eba4-c3df5aea8858|019a8753-bf2c-31ce-e02e-41a60982d788</v>
      </c>
    </row>
    <row r="88" spans="1:8" x14ac:dyDescent="0.3">
      <c r="A88" t="s">
        <v>1198</v>
      </c>
      <c r="B88" t="s">
        <v>132</v>
      </c>
      <c r="C88" s="6" t="str">
        <f>INDEX(CaseTypeColSet!$B:$B,MATCH($B88,CaseTypeColSet!$A:$A,0))</f>
        <v>case_type_col_set1_1and2</v>
      </c>
      <c r="E88" t="s">
        <v>1177</v>
      </c>
      <c r="F88" s="6" t="str">
        <f>INDEX(CaseTypeCol!$H:$H,MATCH($E88,CaseTypeCol!$A:$A,0))</f>
        <v>1_20_0_1</v>
      </c>
      <c r="H88" s="6" t="str">
        <f t="shared" si="1"/>
        <v>0195d18c-1cc1-c475-eba4-c3df5aea8858|019a8753-bf2c-631f-91f0-cd8c0742426e</v>
      </c>
    </row>
    <row r="89" spans="1:8" x14ac:dyDescent="0.3">
      <c r="A89" t="s">
        <v>1199</v>
      </c>
      <c r="B89" t="s">
        <v>132</v>
      </c>
      <c r="C89" s="6" t="str">
        <f>INDEX(CaseTypeColSet!$B:$B,MATCH($B89,CaseTypeColSet!$A:$A,0))</f>
        <v>case_type_col_set1_1and2</v>
      </c>
      <c r="E89" t="s">
        <v>1178</v>
      </c>
      <c r="F89" s="6" t="str">
        <f>INDEX(CaseTypeCol!$H:$H,MATCH($E89,CaseTypeCol!$A:$A,0))</f>
        <v>1_20_0_2</v>
      </c>
      <c r="H89" s="6" t="str">
        <f t="shared" si="1"/>
        <v>0195d18c-1cc1-c475-eba4-c3df5aea8858|019a8753-bf2c-e119-fd51-451b080ba5e2</v>
      </c>
    </row>
    <row r="90" spans="1:8" x14ac:dyDescent="0.3">
      <c r="A90" t="s">
        <v>1200</v>
      </c>
      <c r="B90" t="s">
        <v>132</v>
      </c>
      <c r="C90" s="6" t="str">
        <f>INDEX(CaseTypeColSet!$B:$B,MATCH($B90,CaseTypeColSet!$A:$A,0))</f>
        <v>case_type_col_set1_1and2</v>
      </c>
      <c r="E90" t="s">
        <v>1179</v>
      </c>
      <c r="F90" s="6" t="str">
        <f>INDEX(CaseTypeCol!$H:$H,MATCH($E90,CaseTypeCol!$A:$A,0))</f>
        <v>1_20_0_3</v>
      </c>
      <c r="H90" s="6" t="str">
        <f t="shared" si="1"/>
        <v>0195d18c-1cc1-c475-eba4-c3df5aea8858|019a8753-bf2c-c21b-8e4c-6a7c42d05ab8</v>
      </c>
    </row>
    <row r="91" spans="1:8" x14ac:dyDescent="0.3">
      <c r="A91" t="s">
        <v>1201</v>
      </c>
      <c r="B91" t="s">
        <v>132</v>
      </c>
      <c r="C91" s="6" t="str">
        <f>INDEX(CaseTypeColSet!$B:$B,MATCH($B91,CaseTypeColSet!$A:$A,0))</f>
        <v>case_type_col_set1_1and2</v>
      </c>
      <c r="E91" t="s">
        <v>1180</v>
      </c>
      <c r="F91" s="6" t="str">
        <f>INDEX(CaseTypeCol!$H:$H,MATCH($E91,CaseTypeCol!$A:$A,0))</f>
        <v>1_20_0_4</v>
      </c>
      <c r="H91" s="6" t="str">
        <f t="shared" si="1"/>
        <v>0195d18c-1cc1-c475-eba4-c3df5aea8858|019a8753-bf2c-eaec-ad1a-19099112f11b</v>
      </c>
    </row>
    <row r="92" spans="1:8" x14ac:dyDescent="0.3">
      <c r="A92" t="s">
        <v>645</v>
      </c>
      <c r="B92" t="s">
        <v>132</v>
      </c>
      <c r="C92" s="6" t="str">
        <f>INDEX(CaseTypeColSet!$B:$B,MATCH($B92,CaseTypeColSet!$A:$A,0))</f>
        <v>case_type_col_set1_1and2</v>
      </c>
      <c r="E92" t="s">
        <v>546</v>
      </c>
      <c r="F92" s="6" t="str">
        <f>INDEX(CaseTypeCol!$H:$H,MATCH($E92,CaseTypeCol!$A:$A,0))</f>
        <v>1_21_0_1</v>
      </c>
      <c r="H92" s="6" t="str">
        <f t="shared" si="1"/>
        <v>0195d18c-1cc1-c475-eba4-c3df5aea8858|0198ef6d-8543-a456-618e-e443bc0d35e9</v>
      </c>
    </row>
    <row r="93" spans="1:8" x14ac:dyDescent="0.3">
      <c r="A93" t="s">
        <v>646</v>
      </c>
      <c r="B93" t="s">
        <v>132</v>
      </c>
      <c r="C93" s="6" t="str">
        <f>INDEX(CaseTypeColSet!$B:$B,MATCH($B93,CaseTypeColSet!$A:$A,0))</f>
        <v>case_type_col_set1_1and2</v>
      </c>
      <c r="E93" t="s">
        <v>547</v>
      </c>
      <c r="F93" s="6" t="str">
        <f>INDEX(CaseTypeCol!$H:$H,MATCH($E93,CaseTypeCol!$A:$A,0))</f>
        <v>1_22_0_1</v>
      </c>
      <c r="H93" s="6" t="str">
        <f t="shared" si="1"/>
        <v>0195d18c-1cc1-c475-eba4-c3df5aea8858|0198ef6d-8543-5532-be80-6c8a18c388da</v>
      </c>
    </row>
    <row r="94" spans="1:8" x14ac:dyDescent="0.3">
      <c r="A94" t="s">
        <v>647</v>
      </c>
      <c r="B94" t="s">
        <v>132</v>
      </c>
      <c r="C94" s="6" t="str">
        <f>INDEX(CaseTypeColSet!$B:$B,MATCH($B94,CaseTypeColSet!$A:$A,0))</f>
        <v>case_type_col_set1_1and2</v>
      </c>
      <c r="E94" t="s">
        <v>548</v>
      </c>
      <c r="F94" s="6" t="str">
        <f>INDEX(CaseTypeCol!$H:$H,MATCH($E94,CaseTypeCol!$A:$A,0))</f>
        <v>2_1_0_1</v>
      </c>
      <c r="H94" s="6" t="str">
        <f t="shared" si="1"/>
        <v>0195d18c-1cc1-c475-eba4-c3df5aea8858|0198ef6d-8543-daa3-3b64-47a0bed70d1b</v>
      </c>
    </row>
    <row r="95" spans="1:8" x14ac:dyDescent="0.3">
      <c r="A95" t="s">
        <v>648</v>
      </c>
      <c r="B95" t="s">
        <v>132</v>
      </c>
      <c r="C95" s="6" t="str">
        <f>INDEX(CaseTypeColSet!$B:$B,MATCH($B95,CaseTypeColSet!$A:$A,0))</f>
        <v>case_type_col_set1_1and2</v>
      </c>
      <c r="E95" t="s">
        <v>549</v>
      </c>
      <c r="F95" s="6" t="str">
        <f>INDEX(CaseTypeCol!$H:$H,MATCH($E95,CaseTypeCol!$A:$A,0))</f>
        <v>2_3_0_1</v>
      </c>
      <c r="H95" s="6" t="str">
        <f t="shared" si="1"/>
        <v>0195d18c-1cc1-c475-eba4-c3df5aea8858|0198ef6d-8543-7ab3-ba92-5fa2af40f240</v>
      </c>
    </row>
    <row r="96" spans="1:8" x14ac:dyDescent="0.3">
      <c r="A96" t="s">
        <v>649</v>
      </c>
      <c r="B96" t="s">
        <v>132</v>
      </c>
      <c r="C96" s="6" t="str">
        <f>INDEX(CaseTypeColSet!$B:$B,MATCH($B96,CaseTypeColSet!$A:$A,0))</f>
        <v>case_type_col_set1_1and2</v>
      </c>
      <c r="E96" t="s">
        <v>550</v>
      </c>
      <c r="F96" s="6" t="str">
        <f>INDEX(CaseTypeCol!$H:$H,MATCH($E96,CaseTypeCol!$A:$A,0))</f>
        <v>2_5_0_1</v>
      </c>
      <c r="H96" s="6" t="str">
        <f t="shared" si="1"/>
        <v>0195d18c-1cc1-c475-eba4-c3df5aea8858|0198ef6d-8543-0e30-d86c-c2c7095525ec</v>
      </c>
    </row>
    <row r="97" spans="1:8" x14ac:dyDescent="0.3">
      <c r="A97" t="s">
        <v>650</v>
      </c>
      <c r="B97" t="s">
        <v>132</v>
      </c>
      <c r="C97" s="6" t="str">
        <f>INDEX(CaseTypeColSet!$B:$B,MATCH($B97,CaseTypeColSet!$A:$A,0))</f>
        <v>case_type_col_set1_1and2</v>
      </c>
      <c r="E97" t="s">
        <v>551</v>
      </c>
      <c r="F97" s="6" t="str">
        <f>INDEX(CaseTypeCol!$H:$H,MATCH($E97,CaseTypeCol!$A:$A,0))</f>
        <v>2_7_0_1</v>
      </c>
      <c r="H97" s="6" t="str">
        <f t="shared" si="1"/>
        <v>0195d18c-1cc1-c475-eba4-c3df5aea8858|0198ef6d-8543-1443-43dc-7a07aef0da30</v>
      </c>
    </row>
    <row r="98" spans="1:8" x14ac:dyDescent="0.3">
      <c r="A98" t="s">
        <v>651</v>
      </c>
      <c r="B98" t="s">
        <v>132</v>
      </c>
      <c r="C98" s="6" t="str">
        <f>INDEX(CaseTypeColSet!$B:$B,MATCH($B98,CaseTypeColSet!$A:$A,0))</f>
        <v>case_type_col_set1_1and2</v>
      </c>
      <c r="E98" t="s">
        <v>552</v>
      </c>
      <c r="F98" s="6" t="str">
        <f>INDEX(CaseTypeCol!$H:$H,MATCH($E98,CaseTypeCol!$A:$A,0))</f>
        <v>2_9_0_1</v>
      </c>
      <c r="H98" s="6" t="str">
        <f t="shared" si="1"/>
        <v>0195d18c-1cc1-c475-eba4-c3df5aea8858|0198ef6d-8543-7fbb-0745-44bb651edd00</v>
      </c>
    </row>
    <row r="99" spans="1:8" x14ac:dyDescent="0.3">
      <c r="A99" t="s">
        <v>652</v>
      </c>
      <c r="B99" t="s">
        <v>132</v>
      </c>
      <c r="C99" s="6" t="str">
        <f>INDEX(CaseTypeColSet!$B:$B,MATCH($B99,CaseTypeColSet!$A:$A,0))</f>
        <v>case_type_col_set1_1and2</v>
      </c>
      <c r="E99" t="s">
        <v>553</v>
      </c>
      <c r="F99" s="6" t="str">
        <f>INDEX(CaseTypeCol!$H:$H,MATCH($E99,CaseTypeCol!$A:$A,0))</f>
        <v>2_11_0_1</v>
      </c>
      <c r="H99" s="6" t="str">
        <f t="shared" si="1"/>
        <v>0195d18c-1cc1-c475-eba4-c3df5aea8858|0198ef6d-8543-72db-d650-96776e8fd4a7</v>
      </c>
    </row>
    <row r="100" spans="1:8" x14ac:dyDescent="0.3">
      <c r="A100" t="s">
        <v>653</v>
      </c>
      <c r="B100" t="s">
        <v>132</v>
      </c>
      <c r="C100" s="6" t="str">
        <f>INDEX(CaseTypeColSet!$B:$B,MATCH($B100,CaseTypeColSet!$A:$A,0))</f>
        <v>case_type_col_set1_1and2</v>
      </c>
      <c r="E100" t="s">
        <v>554</v>
      </c>
      <c r="F100" s="6" t="str">
        <f>INDEX(CaseTypeCol!$H:$H,MATCH($E100,CaseTypeCol!$A:$A,0))</f>
        <v>2_11_0_2</v>
      </c>
      <c r="H100" s="6" t="str">
        <f t="shared" si="1"/>
        <v>0195d18c-1cc1-c475-eba4-c3df5aea8858|0198ef6d-8543-aed3-82fc-8fc90e0c93fd</v>
      </c>
    </row>
    <row r="101" spans="1:8" x14ac:dyDescent="0.3">
      <c r="A101" t="s">
        <v>654</v>
      </c>
      <c r="B101" t="s">
        <v>132</v>
      </c>
      <c r="C101" s="6" t="str">
        <f>INDEX(CaseTypeColSet!$B:$B,MATCH($B101,CaseTypeColSet!$A:$A,0))</f>
        <v>case_type_col_set1_1and2</v>
      </c>
      <c r="E101" t="s">
        <v>555</v>
      </c>
      <c r="F101" s="6" t="str">
        <f>INDEX(CaseTypeCol!$H:$H,MATCH($E101,CaseTypeCol!$A:$A,0))</f>
        <v>2_11_0_3</v>
      </c>
      <c r="H101" s="6" t="str">
        <f t="shared" si="1"/>
        <v>0195d18c-1cc1-c475-eba4-c3df5aea8858|0198ef6d-8543-e6af-3e5a-6494a01a06ae</v>
      </c>
    </row>
    <row r="102" spans="1:8" x14ac:dyDescent="0.3">
      <c r="A102" t="s">
        <v>655</v>
      </c>
      <c r="B102" t="s">
        <v>132</v>
      </c>
      <c r="C102" s="6" t="str">
        <f>INDEX(CaseTypeColSet!$B:$B,MATCH($B102,CaseTypeColSet!$A:$A,0))</f>
        <v>case_type_col_set1_1and2</v>
      </c>
      <c r="E102" t="s">
        <v>556</v>
      </c>
      <c r="F102" s="6" t="str">
        <f>INDEX(CaseTypeCol!$H:$H,MATCH($E102,CaseTypeCol!$A:$A,0))</f>
        <v>2_11_0_4</v>
      </c>
      <c r="H102" s="6" t="str">
        <f t="shared" si="1"/>
        <v>0195d18c-1cc1-c475-eba4-c3df5aea8858|0198ef6d-8543-4e2b-87de-57604330cdd3</v>
      </c>
    </row>
    <row r="103" spans="1:8" x14ac:dyDescent="0.3">
      <c r="A103" t="s">
        <v>656</v>
      </c>
      <c r="B103" t="s">
        <v>132</v>
      </c>
      <c r="C103" s="6" t="str">
        <f>INDEX(CaseTypeColSet!$B:$B,MATCH($B103,CaseTypeColSet!$A:$A,0))</f>
        <v>case_type_col_set1_1and2</v>
      </c>
      <c r="E103" t="s">
        <v>557</v>
      </c>
      <c r="F103" s="6" t="str">
        <f>INDEX(CaseTypeCol!$H:$H,MATCH($E103,CaseTypeCol!$A:$A,0))</f>
        <v>2_13_0_1</v>
      </c>
      <c r="H103" s="6" t="str">
        <f t="shared" si="1"/>
        <v>0195d18c-1cc1-c475-eba4-c3df5aea8858|0198ef6d-8543-7196-e13a-d911de7aa2aa</v>
      </c>
    </row>
    <row r="104" spans="1:8" x14ac:dyDescent="0.3">
      <c r="A104" t="s">
        <v>657</v>
      </c>
      <c r="B104" t="s">
        <v>132</v>
      </c>
      <c r="C104" s="6" t="str">
        <f>INDEX(CaseTypeColSet!$B:$B,MATCH($B104,CaseTypeColSet!$A:$A,0))</f>
        <v>case_type_col_set1_1and2</v>
      </c>
      <c r="E104" t="s">
        <v>558</v>
      </c>
      <c r="F104" s="6" t="str">
        <f>INDEX(CaseTypeCol!$H:$H,MATCH($E104,CaseTypeCol!$A:$A,0))</f>
        <v>2_13_0_2</v>
      </c>
      <c r="H104" s="6" t="str">
        <f t="shared" si="1"/>
        <v>0195d18c-1cc1-c475-eba4-c3df5aea8858|0198ef6d-8543-49c9-f899-a2bd7ca7905e</v>
      </c>
    </row>
    <row r="105" spans="1:8" x14ac:dyDescent="0.3">
      <c r="A105" t="s">
        <v>658</v>
      </c>
      <c r="B105" t="s">
        <v>132</v>
      </c>
      <c r="C105" s="6" t="str">
        <f>INDEX(CaseTypeColSet!$B:$B,MATCH($B105,CaseTypeColSet!$A:$A,0))</f>
        <v>case_type_col_set1_1and2</v>
      </c>
      <c r="E105" t="s">
        <v>559</v>
      </c>
      <c r="F105" s="6" t="str">
        <f>INDEX(CaseTypeCol!$H:$H,MATCH($E105,CaseTypeCol!$A:$A,0))</f>
        <v>2_13_0_3</v>
      </c>
      <c r="H105" s="6" t="str">
        <f t="shared" si="1"/>
        <v>0195d18c-1cc1-c475-eba4-c3df5aea8858|0198ef6d-8543-e911-0c7d-89e8d97702dc</v>
      </c>
    </row>
    <row r="106" spans="1:8" x14ac:dyDescent="0.3">
      <c r="A106" t="s">
        <v>659</v>
      </c>
      <c r="B106" t="s">
        <v>132</v>
      </c>
      <c r="C106" s="6" t="str">
        <f>INDEX(CaseTypeColSet!$B:$B,MATCH($B106,CaseTypeColSet!$A:$A,0))</f>
        <v>case_type_col_set1_1and2</v>
      </c>
      <c r="E106" t="s">
        <v>560</v>
      </c>
      <c r="F106" s="6" t="str">
        <f>INDEX(CaseTypeCol!$H:$H,MATCH($E106,CaseTypeCol!$A:$A,0))</f>
        <v>2_13_0_4</v>
      </c>
      <c r="H106" s="6" t="str">
        <f t="shared" si="1"/>
        <v>0195d18c-1cc1-c475-eba4-c3df5aea8858|0198ef6d-8543-c287-9def-b1c31ccc15e3</v>
      </c>
    </row>
    <row r="107" spans="1:8" x14ac:dyDescent="0.3">
      <c r="A107" t="s">
        <v>660</v>
      </c>
      <c r="B107" t="s">
        <v>132</v>
      </c>
      <c r="C107" s="6" t="str">
        <f>INDEX(CaseTypeColSet!$B:$B,MATCH($B107,CaseTypeColSet!$A:$A,0))</f>
        <v>case_type_col_set1_1and2</v>
      </c>
      <c r="E107" t="s">
        <v>561</v>
      </c>
      <c r="F107" s="6" t="str">
        <f>INDEX(CaseTypeCol!$H:$H,MATCH($E107,CaseTypeCol!$A:$A,0))</f>
        <v>2_13_0_5</v>
      </c>
      <c r="H107" s="6" t="str">
        <f t="shared" si="1"/>
        <v>0195d18c-1cc1-c475-eba4-c3df5aea8858|0198ef6d-8543-d41c-32e8-4166495e403d</v>
      </c>
    </row>
    <row r="108" spans="1:8" x14ac:dyDescent="0.3">
      <c r="A108" t="s">
        <v>661</v>
      </c>
      <c r="B108" t="s">
        <v>132</v>
      </c>
      <c r="C108" s="6" t="str">
        <f>INDEX(CaseTypeColSet!$B:$B,MATCH($B108,CaseTypeColSet!$A:$A,0))</f>
        <v>case_type_col_set1_1and2</v>
      </c>
      <c r="E108" t="s">
        <v>562</v>
      </c>
      <c r="F108" s="6" t="str">
        <f>INDEX(CaseTypeCol!$H:$H,MATCH($E108,CaseTypeCol!$A:$A,0))</f>
        <v>2_15_0_1</v>
      </c>
      <c r="H108" s="6" t="str">
        <f t="shared" si="1"/>
        <v>0195d18c-1cc1-c475-eba4-c3df5aea8858|0198ef6d-8543-92f3-9168-2df7a147b28e</v>
      </c>
    </row>
    <row r="109" spans="1:8" x14ac:dyDescent="0.3">
      <c r="A109" t="s">
        <v>662</v>
      </c>
      <c r="B109" t="s">
        <v>132</v>
      </c>
      <c r="C109" s="6" t="str">
        <f>INDEX(CaseTypeColSet!$B:$B,MATCH($B109,CaseTypeColSet!$A:$A,0))</f>
        <v>case_type_col_set1_1and2</v>
      </c>
      <c r="E109" t="s">
        <v>563</v>
      </c>
      <c r="F109" s="6" t="str">
        <f>INDEX(CaseTypeCol!$H:$H,MATCH($E109,CaseTypeCol!$A:$A,0))</f>
        <v>2_17_0_1</v>
      </c>
      <c r="H109" s="6" t="str">
        <f t="shared" si="1"/>
        <v>0195d18c-1cc1-c475-eba4-c3df5aea8858|0198ef6d-8543-83ae-9c38-8230890499d5</v>
      </c>
    </row>
    <row r="110" spans="1:8" x14ac:dyDescent="0.3">
      <c r="A110" t="s">
        <v>663</v>
      </c>
      <c r="B110" t="s">
        <v>132</v>
      </c>
      <c r="C110" s="6" t="str">
        <f>INDEX(CaseTypeColSet!$B:$B,MATCH($B110,CaseTypeColSet!$A:$A,0))</f>
        <v>case_type_col_set1_1and2</v>
      </c>
      <c r="E110" t="s">
        <v>564</v>
      </c>
      <c r="F110" s="6" t="str">
        <f>INDEX(CaseTypeCol!$H:$H,MATCH($E110,CaseTypeCol!$A:$A,0))</f>
        <v>2_17_0_2</v>
      </c>
      <c r="H110" s="6" t="str">
        <f t="shared" si="1"/>
        <v>0195d18c-1cc1-c475-eba4-c3df5aea8858|0198ef6d-8543-aca5-d495-a14d205474c8</v>
      </c>
    </row>
    <row r="111" spans="1:8" x14ac:dyDescent="0.3">
      <c r="A111" t="s">
        <v>664</v>
      </c>
      <c r="B111" t="s">
        <v>132</v>
      </c>
      <c r="C111" s="6" t="str">
        <f>INDEX(CaseTypeColSet!$B:$B,MATCH($B111,CaseTypeColSet!$A:$A,0))</f>
        <v>case_type_col_set1_1and2</v>
      </c>
      <c r="E111" t="s">
        <v>565</v>
      </c>
      <c r="F111" s="6" t="str">
        <f>INDEX(CaseTypeCol!$H:$H,MATCH($E111,CaseTypeCol!$A:$A,0))</f>
        <v>2_17_0_3</v>
      </c>
      <c r="H111" s="6" t="str">
        <f t="shared" si="1"/>
        <v>0195d18c-1cc1-c475-eba4-c3df5aea8858|0198ef6d-8543-059f-33dd-73f8668bc5ef</v>
      </c>
    </row>
    <row r="112" spans="1:8" x14ac:dyDescent="0.3">
      <c r="A112" t="s">
        <v>1202</v>
      </c>
      <c r="B112" t="s">
        <v>132</v>
      </c>
      <c r="C112" s="6" t="str">
        <f>INDEX(CaseTypeColSet!$B:$B,MATCH($B112,CaseTypeColSet!$A:$A,0))</f>
        <v>case_type_col_set1_1and2</v>
      </c>
      <c r="E112" t="s">
        <v>1181</v>
      </c>
      <c r="F112" s="6" t="str">
        <f>INDEX(CaseTypeCol!$H:$H,MATCH($E112,CaseTypeCol!$A:$A,0))</f>
        <v>2_19_0_1</v>
      </c>
      <c r="H112" s="6" t="str">
        <f t="shared" si="1"/>
        <v>0195d18c-1cc1-c475-eba4-c3df5aea8858|019a8753-bf2c-ac0e-6094-b453f8a8f0bf</v>
      </c>
    </row>
    <row r="113" spans="1:8" x14ac:dyDescent="0.3">
      <c r="A113" t="s">
        <v>1203</v>
      </c>
      <c r="B113" t="s">
        <v>132</v>
      </c>
      <c r="C113" s="6" t="str">
        <f>INDEX(CaseTypeColSet!$B:$B,MATCH($B113,CaseTypeColSet!$A:$A,0))</f>
        <v>case_type_col_set1_1and2</v>
      </c>
      <c r="E113" t="s">
        <v>1182</v>
      </c>
      <c r="F113" s="6" t="str">
        <f>INDEX(CaseTypeCol!$H:$H,MATCH($E113,CaseTypeCol!$A:$A,0))</f>
        <v>2_19_0_2</v>
      </c>
      <c r="H113" s="6" t="str">
        <f t="shared" si="1"/>
        <v>0195d18c-1cc1-c475-eba4-c3df5aea8858|019a8753-bf2c-72f3-1050-36bd41af94c6</v>
      </c>
    </row>
    <row r="114" spans="1:8" x14ac:dyDescent="0.3">
      <c r="A114" t="s">
        <v>1204</v>
      </c>
      <c r="B114" t="s">
        <v>132</v>
      </c>
      <c r="C114" s="6" t="str">
        <f>INDEX(CaseTypeColSet!$B:$B,MATCH($B114,CaseTypeColSet!$A:$A,0))</f>
        <v>case_type_col_set1_1and2</v>
      </c>
      <c r="E114" t="s">
        <v>1183</v>
      </c>
      <c r="F114" s="6" t="str">
        <f>INDEX(CaseTypeCol!$H:$H,MATCH($E114,CaseTypeCol!$A:$A,0))</f>
        <v>2_19_0_3</v>
      </c>
      <c r="H114" s="6" t="str">
        <f t="shared" si="1"/>
        <v>0195d18c-1cc1-c475-eba4-c3df5aea8858|019a8753-bf2c-9d55-e919-4048becd0188</v>
      </c>
    </row>
    <row r="115" spans="1:8" x14ac:dyDescent="0.3">
      <c r="A115" t="s">
        <v>1205</v>
      </c>
      <c r="B115" t="s">
        <v>132</v>
      </c>
      <c r="C115" s="6" t="str">
        <f>INDEX(CaseTypeColSet!$B:$B,MATCH($B115,CaseTypeColSet!$A:$A,0))</f>
        <v>case_type_col_set1_1and2</v>
      </c>
      <c r="E115" t="s">
        <v>1184</v>
      </c>
      <c r="F115" s="6" t="str">
        <f>INDEX(CaseTypeCol!$H:$H,MATCH($E115,CaseTypeCol!$A:$A,0))</f>
        <v>2_19_0_4</v>
      </c>
      <c r="H115" s="6" t="str">
        <f t="shared" si="1"/>
        <v>0195d18c-1cc1-c475-eba4-c3df5aea8858|019a8753-bf2c-31ce-e02e-41a60982d788</v>
      </c>
    </row>
    <row r="116" spans="1:8" x14ac:dyDescent="0.3">
      <c r="A116" t="s">
        <v>665</v>
      </c>
      <c r="B116" t="s">
        <v>132</v>
      </c>
      <c r="C116" s="6" t="str">
        <f>INDEX(CaseTypeColSet!$B:$B,MATCH($B116,CaseTypeColSet!$A:$A,0))</f>
        <v>case_type_col_set1_1and2</v>
      </c>
      <c r="E116" t="s">
        <v>566</v>
      </c>
      <c r="F116" s="6" t="str">
        <f>INDEX(CaseTypeCol!$H:$H,MATCH($E116,CaseTypeCol!$A:$A,0))</f>
        <v>2_21_0_1</v>
      </c>
      <c r="H116" s="6" t="str">
        <f t="shared" si="1"/>
        <v>0195d18c-1cc1-c475-eba4-c3df5aea8858|0198ef6d-8543-87f8-e4ed-200adf224eea</v>
      </c>
    </row>
  </sheetData>
  <autoFilter ref="A1:H116" xr:uid="{00000000-0001-0000-0800-000000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D2" sqref="D2"/>
    </sheetView>
  </sheetViews>
  <sheetFormatPr defaultColWidth="8.77734375" defaultRowHeight="14.4" x14ac:dyDescent="0.3"/>
  <cols>
    <col min="1" max="1" width="35.77734375" bestFit="1" customWidth="1"/>
    <col min="2" max="2" width="36" bestFit="1" customWidth="1"/>
    <col min="3" max="3" width="14.33203125" bestFit="1" customWidth="1"/>
    <col min="4" max="4" width="36" bestFit="1" customWidth="1"/>
    <col min="5" max="5" width="12.6640625" bestFit="1" customWidth="1"/>
    <col min="6" max="6" width="8" bestFit="1" customWidth="1"/>
  </cols>
  <sheetData>
    <row r="1" spans="1:6" s="9" customFormat="1" x14ac:dyDescent="0.3">
      <c r="A1" s="7" t="s">
        <v>0</v>
      </c>
      <c r="B1" s="7" t="s">
        <v>41</v>
      </c>
      <c r="C1" s="7" t="s">
        <v>266</v>
      </c>
      <c r="D1" s="7" t="s">
        <v>1</v>
      </c>
      <c r="E1" s="7" t="s">
        <v>265</v>
      </c>
      <c r="F1" s="7" t="s">
        <v>3</v>
      </c>
    </row>
    <row r="2" spans="1:6" x14ac:dyDescent="0.3">
      <c r="A2" t="s">
        <v>42</v>
      </c>
      <c r="B2" t="s">
        <v>43</v>
      </c>
      <c r="C2" t="str">
        <f>VLOOKUP(B2,Organization!$A:$B,2,0)</f>
        <v>org1</v>
      </c>
      <c r="D2" t="s">
        <v>44</v>
      </c>
      <c r="E2" t="str">
        <f>VLOOKUP(D2,User!$A:$D,3,0)</f>
        <v>org_admin1_1@org1.org</v>
      </c>
      <c r="F2" t="b">
        <v>1</v>
      </c>
    </row>
    <row r="3" spans="1:6" x14ac:dyDescent="0.3">
      <c r="A3" t="s">
        <v>45</v>
      </c>
      <c r="B3" t="s">
        <v>46</v>
      </c>
      <c r="C3" t="str">
        <f>VLOOKUP(B3,Organization!$A:$B,2,0)</f>
        <v>org2</v>
      </c>
      <c r="D3" t="s">
        <v>47</v>
      </c>
      <c r="E3" t="str">
        <f>VLOOKUP(D3,User!$A:$D,3,0)</f>
        <v>org_admin2_1@org2.org</v>
      </c>
      <c r="F3" t="b">
        <v>1</v>
      </c>
    </row>
    <row r="4" spans="1:6" x14ac:dyDescent="0.3">
      <c r="A4" t="s">
        <v>48</v>
      </c>
      <c r="B4" t="s">
        <v>49</v>
      </c>
      <c r="C4" t="str">
        <f>VLOOKUP(B4,Organization!$A:$B,2,0)</f>
        <v>org3</v>
      </c>
      <c r="D4" t="s">
        <v>50</v>
      </c>
      <c r="E4" t="str">
        <f>VLOOKUP(D4,User!$A:$D,3,0)</f>
        <v>org_admin3_1@org3.org</v>
      </c>
      <c r="F4" t="b">
        <v>1</v>
      </c>
    </row>
    <row r="5" spans="1:6" x14ac:dyDescent="0.3">
      <c r="A5" t="s">
        <v>51</v>
      </c>
      <c r="B5" t="s">
        <v>52</v>
      </c>
      <c r="C5" t="str">
        <f>VLOOKUP(B5,Organization!$A:$B,2,0)</f>
        <v>org4</v>
      </c>
      <c r="D5" t="s">
        <v>53</v>
      </c>
      <c r="E5" t="str">
        <f>VLOOKUP(D5,User!$A:$D,3,0)</f>
        <v>org_admin4_1@org4.org</v>
      </c>
      <c r="F5" t="b">
        <v>1</v>
      </c>
    </row>
    <row r="6" spans="1:6" x14ac:dyDescent="0.3">
      <c r="A6" t="s">
        <v>54</v>
      </c>
      <c r="B6" t="s">
        <v>55</v>
      </c>
      <c r="C6" t="str">
        <f>VLOOKUP(B6,Organization!$A:$B,2,0)</f>
        <v>org5</v>
      </c>
      <c r="D6" t="s">
        <v>56</v>
      </c>
      <c r="E6" t="str">
        <f>VLOOKUP(D6,User!$A:$D,3,0)</f>
        <v>org_admin5_1@org5.org</v>
      </c>
      <c r="F6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F389-1562-4A7F-BB5E-AAA96B2F3DDB}">
  <dimension ref="A1:V11"/>
  <sheetViews>
    <sheetView topLeftCell="B1" zoomScale="80" zoomScaleNormal="80" workbookViewId="0">
      <pane ySplit="1" topLeftCell="A2" activePane="bottomLeft" state="frozen"/>
      <selection pane="bottomLeft" activeCell="J3" sqref="J3"/>
    </sheetView>
  </sheetViews>
  <sheetFormatPr defaultColWidth="8.7773437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7" max="7" width="9" bestFit="1" customWidth="1"/>
    <col min="9" max="9" width="12" bestFit="1" customWidth="1"/>
    <col min="10" max="10" width="35.77734375" bestFit="1" customWidth="1"/>
    <col min="11" max="11" width="30.33203125" bestFit="1" customWidth="1"/>
    <col min="12" max="12" width="35.77734375" customWidth="1"/>
    <col min="13" max="13" width="30.77734375" bestFit="1" customWidth="1"/>
    <col min="14" max="14" width="12.33203125" bestFit="1" customWidth="1"/>
    <col min="15" max="15" width="15.6640625" bestFit="1" customWidth="1"/>
    <col min="16" max="16" width="12.77734375" bestFit="1" customWidth="1"/>
    <col min="17" max="17" width="13.44140625" bestFit="1" customWidth="1"/>
    <col min="18" max="18" width="36" bestFit="1" customWidth="1"/>
    <col min="19" max="19" width="20.33203125" bestFit="1" customWidth="1"/>
    <col min="20" max="20" width="33.44140625" bestFit="1" customWidth="1"/>
    <col min="21" max="21" width="26.44140625" bestFit="1" customWidth="1"/>
    <col min="22" max="22" width="11.44140625" customWidth="1"/>
  </cols>
  <sheetData>
    <row r="1" spans="1:22" s="9" customFormat="1" x14ac:dyDescent="0.3">
      <c r="A1" s="7" t="s">
        <v>0</v>
      </c>
      <c r="B1" s="7" t="s">
        <v>2</v>
      </c>
      <c r="C1" s="8" t="s">
        <v>793</v>
      </c>
      <c r="D1" s="7" t="s">
        <v>58</v>
      </c>
      <c r="E1" s="4" t="s">
        <v>777</v>
      </c>
      <c r="F1" s="7" t="s">
        <v>3</v>
      </c>
      <c r="G1" s="7" t="s">
        <v>267</v>
      </c>
      <c r="H1" s="7" t="s">
        <v>4</v>
      </c>
      <c r="I1" s="7" t="s">
        <v>5</v>
      </c>
      <c r="J1" s="7" t="s">
        <v>268</v>
      </c>
      <c r="K1" s="8" t="s">
        <v>794</v>
      </c>
      <c r="L1" s="7" t="s">
        <v>269</v>
      </c>
      <c r="M1" s="8" t="s">
        <v>795</v>
      </c>
      <c r="N1" s="7" t="s">
        <v>6</v>
      </c>
      <c r="O1" s="7" t="s">
        <v>7</v>
      </c>
      <c r="P1" s="7" t="s">
        <v>8</v>
      </c>
      <c r="Q1" s="7" t="s">
        <v>9</v>
      </c>
      <c r="R1" s="7" t="s">
        <v>41</v>
      </c>
      <c r="S1" s="8" t="s">
        <v>769</v>
      </c>
      <c r="T1" s="4" t="s">
        <v>270</v>
      </c>
      <c r="U1" s="8" t="s">
        <v>271</v>
      </c>
      <c r="V1" s="8" t="s">
        <v>277</v>
      </c>
    </row>
    <row r="2" spans="1:22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b">
        <v>1</v>
      </c>
      <c r="J2" t="s">
        <v>64</v>
      </c>
      <c r="K2" s="4" t="str">
        <f>IF($J2="","",INDEX(CaseTypeColSet!$B:$B,MATCH($J2,CaseTypeColSet!$A:$A,0)))</f>
        <v>case_type_col_set1_1</v>
      </c>
      <c r="L2" t="s">
        <v>64</v>
      </c>
      <c r="M2" s="4" t="str">
        <f>IF($L2="","",INDEX(CaseTypeColSet!$B:$B,MATCH($L2,CaseTypeColSet!$A:$A,0)))</f>
        <v>case_type_col_set1_1</v>
      </c>
      <c r="N2" t="b">
        <v>1</v>
      </c>
      <c r="O2" t="b">
        <v>1</v>
      </c>
      <c r="P2" t="b">
        <v>1</v>
      </c>
      <c r="Q2" t="b">
        <v>1</v>
      </c>
      <c r="R2" t="s">
        <v>43</v>
      </c>
      <c r="S2" s="4" t="str">
        <f>INDEX(Organization!$B:$B,MATCH($R2,Organization!$A:$A,0))</f>
        <v>org1</v>
      </c>
      <c r="T2" s="4" t="str">
        <f>$S2&amp;": "&amp;$C2&amp;", "&amp;$E2</f>
        <v>org1: data_collection1, case_type_set1</v>
      </c>
      <c r="U2" s="6" t="str">
        <f>"org_case_policy"&amp;RIGHT($S2,LEN($S2)-3)&amp;"_"&amp;RIGHT($C2,LEN($C2)-15)</f>
        <v>org_case_policy1_1</v>
      </c>
      <c r="V2" s="6" t="str">
        <f>$R2&amp;"|"&amp;$B2</f>
        <v>018d074d-ea0c-e942-07db-a3cc0ba1d653|0195d18c-1ca2-a23d-1f64-00271f63199c</v>
      </c>
    </row>
    <row r="3" spans="1:22" x14ac:dyDescent="0.3">
      <c r="A3" t="s">
        <v>69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b">
        <v>1</v>
      </c>
      <c r="J3" t="s">
        <v>132</v>
      </c>
      <c r="K3" s="4" t="str">
        <f>IF($J3="","",INDEX(CaseTypeColSet!$B:$B,MATCH($J3,CaseTypeColSet!$A:$A,0)))</f>
        <v>case_type_col_set1_1and2</v>
      </c>
      <c r="L3" t="s">
        <v>132</v>
      </c>
      <c r="M3" s="4" t="str">
        <f>IF($L3="","",INDEX(CaseTypeColSet!$B:$B,MATCH($L3,CaseTypeColSet!$A:$A,0)))</f>
        <v>case_type_col_set1_1and2</v>
      </c>
      <c r="N3" t="b">
        <v>1</v>
      </c>
      <c r="O3" t="b">
        <v>1</v>
      </c>
      <c r="P3" t="b">
        <v>1</v>
      </c>
      <c r="Q3" t="b">
        <v>1</v>
      </c>
      <c r="R3" t="s">
        <v>46</v>
      </c>
      <c r="S3" s="4" t="str">
        <f>INDEX(Organization!$B:$B,MATCH($R3,Organization!$A:$A,0))</f>
        <v>org2</v>
      </c>
      <c r="T3" s="4" t="str">
        <f t="shared" ref="T3:T11" si="0">$S3&amp;": "&amp;$C3&amp;", "&amp;$E3</f>
        <v>org2: data_collection2, case_type_set2</v>
      </c>
      <c r="U3" s="6" t="str">
        <f t="shared" ref="U3:U11" si="1">"org_case_policy"&amp;RIGHT($S3,LEN($S3)-3)&amp;"_"&amp;RIGHT($C3,LEN($C3)-15)</f>
        <v>org_case_policy2_2</v>
      </c>
      <c r="V3" s="6" t="str">
        <f t="shared" ref="V3:V11" si="2">$R3&amp;"|"&amp;$B3</f>
        <v>0195d18c-1c92-0ed4-2e94-b4f66d82baf3|0195d18c-1ca2-2a29-96a5-37c6bf87f586</v>
      </c>
    </row>
    <row r="4" spans="1:22" x14ac:dyDescent="0.3">
      <c r="A4" t="s">
        <v>70</v>
      </c>
      <c r="B4" t="s">
        <v>23</v>
      </c>
      <c r="C4" s="4" t="str">
        <f>INDEX(DataCollection!$B:$B,MATCH($B4,DataCollection!$A:$A,0))</f>
        <v>data_collection3</v>
      </c>
      <c r="D4" t="s">
        <v>66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b">
        <v>1</v>
      </c>
      <c r="J4" t="s">
        <v>132</v>
      </c>
      <c r="K4" s="4" t="str">
        <f>IF($J4="","",INDEX(CaseTypeColSet!$B:$B,MATCH($J4,CaseTypeColSet!$A:$A,0)))</f>
        <v>case_type_col_set1_1and2</v>
      </c>
      <c r="L4" t="s">
        <v>132</v>
      </c>
      <c r="M4" s="4" t="str">
        <f>IF($L4="","",INDEX(CaseTypeColSet!$B:$B,MATCH($L4,CaseTypeColSet!$A:$A,0)))</f>
        <v>case_type_col_set1_1and2</v>
      </c>
      <c r="N4" t="b">
        <v>1</v>
      </c>
      <c r="O4" t="b">
        <v>1</v>
      </c>
      <c r="P4" t="b">
        <v>1</v>
      </c>
      <c r="Q4" t="b">
        <v>1</v>
      </c>
      <c r="R4" t="s">
        <v>49</v>
      </c>
      <c r="S4" s="4" t="str">
        <f>INDEX(Organization!$B:$B,MATCH($R4,Organization!$A:$A,0))</f>
        <v>org3</v>
      </c>
      <c r="T4" s="4" t="str">
        <f t="shared" si="0"/>
        <v>org3: data_collection3, case_type_set3</v>
      </c>
      <c r="U4" s="6" t="str">
        <f t="shared" si="1"/>
        <v>org_case_policy3_3</v>
      </c>
      <c r="V4" s="6" t="str">
        <f t="shared" si="2"/>
        <v>0195d18c-1c92-52b3-93e0-43dc1f2aa037|0195d18c-1ca2-3a4f-1878-fbe3282c9c76</v>
      </c>
    </row>
    <row r="5" spans="1:22" x14ac:dyDescent="0.3">
      <c r="A5" t="s">
        <v>71</v>
      </c>
      <c r="B5" t="s">
        <v>29</v>
      </c>
      <c r="C5" s="4" t="str">
        <f>INDEX(DataCollection!$B:$B,MATCH($B5,DataCollection!$A:$A,0))</f>
        <v>data_collection4</v>
      </c>
      <c r="D5" t="s">
        <v>67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b">
        <v>1</v>
      </c>
      <c r="J5" t="s">
        <v>132</v>
      </c>
      <c r="K5" s="4" t="str">
        <f>IF($J5="","",INDEX(CaseTypeColSet!$B:$B,MATCH($J5,CaseTypeColSet!$A:$A,0)))</f>
        <v>case_type_col_set1_1and2</v>
      </c>
      <c r="L5" t="s">
        <v>132</v>
      </c>
      <c r="M5" s="4" t="str">
        <f>IF($L5="","",INDEX(CaseTypeColSet!$B:$B,MATCH($L5,CaseTypeColSet!$A:$A,0)))</f>
        <v>case_type_col_set1_1and2</v>
      </c>
      <c r="N5" t="b">
        <v>1</v>
      </c>
      <c r="O5" t="b">
        <v>1</v>
      </c>
      <c r="P5" t="b">
        <v>1</v>
      </c>
      <c r="Q5" t="b">
        <v>1</v>
      </c>
      <c r="R5" t="s">
        <v>52</v>
      </c>
      <c r="S5" s="4" t="str">
        <f>INDEX(Organization!$B:$B,MATCH($R5,Organization!$A:$A,0))</f>
        <v>org4</v>
      </c>
      <c r="T5" s="4" t="str">
        <f t="shared" si="0"/>
        <v>org4: data_collection4, case_type_set4</v>
      </c>
      <c r="U5" s="6" t="str">
        <f t="shared" si="1"/>
        <v>org_case_policy4_4</v>
      </c>
      <c r="V5" s="6" t="str">
        <f t="shared" si="2"/>
        <v>0195d18c-1c92-d419-4c71-a570f428499b|0195d18c-1ca2-e55a-608d-a42fc6f948e1</v>
      </c>
    </row>
    <row r="6" spans="1:22" x14ac:dyDescent="0.3">
      <c r="A6" t="s">
        <v>72</v>
      </c>
      <c r="B6" t="s">
        <v>35</v>
      </c>
      <c r="C6" s="4" t="str">
        <f>INDEX(DataCollection!$B:$B,MATCH($B6,DataCollection!$A:$A,0))</f>
        <v>data_collection5</v>
      </c>
      <c r="D6" t="s">
        <v>68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b">
        <v>1</v>
      </c>
      <c r="J6" t="s">
        <v>132</v>
      </c>
      <c r="K6" s="4" t="str">
        <f>IF($J6="","",INDEX(CaseTypeColSet!$B:$B,MATCH($J6,CaseTypeColSet!$A:$A,0)))</f>
        <v>case_type_col_set1_1and2</v>
      </c>
      <c r="L6" t="s">
        <v>132</v>
      </c>
      <c r="M6" s="4" t="str">
        <f>IF($L6="","",INDEX(CaseTypeColSet!$B:$B,MATCH($L6,CaseTypeColSet!$A:$A,0)))</f>
        <v>case_type_col_set1_1and2</v>
      </c>
      <c r="N6" t="b">
        <v>1</v>
      </c>
      <c r="O6" t="b">
        <v>1</v>
      </c>
      <c r="P6" t="b">
        <v>1</v>
      </c>
      <c r="Q6" t="b">
        <v>1</v>
      </c>
      <c r="R6" t="s">
        <v>55</v>
      </c>
      <c r="S6" s="4" t="str">
        <f>INDEX(Organization!$B:$B,MATCH($R6,Organization!$A:$A,0))</f>
        <v>org5</v>
      </c>
      <c r="T6" s="4" t="str">
        <f t="shared" si="0"/>
        <v>org5: data_collection5, case_type_set5</v>
      </c>
      <c r="U6" s="6" t="str">
        <f t="shared" si="1"/>
        <v>org_case_policy5_5</v>
      </c>
      <c r="V6" s="6" t="str">
        <f t="shared" si="2"/>
        <v>0195d18c-1c93-02a2-6920-7e4dbfb73ce0|0195d18c-1ca2-b728-a2a1-d2a4cf7b8eb8</v>
      </c>
    </row>
    <row r="7" spans="1:22" x14ac:dyDescent="0.3">
      <c r="A7" t="s">
        <v>73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0</v>
      </c>
      <c r="H7" t="b">
        <v>1</v>
      </c>
      <c r="I7" t="b">
        <v>1</v>
      </c>
      <c r="J7" t="s">
        <v>64</v>
      </c>
      <c r="K7" s="4" t="str">
        <f>IF($J7="","",INDEX(CaseTypeColSet!$B:$B,MATCH($J7,CaseTypeColSet!$A:$A,0)))</f>
        <v>case_type_col_set1_1</v>
      </c>
      <c r="M7" s="4" t="str">
        <f>IF($L7="","",INDEX(CaseTypeColSet!$B:$B,MATCH($L7,CaseTypeColSet!$A:$A,0)))</f>
        <v/>
      </c>
      <c r="N7" t="b">
        <v>1</v>
      </c>
      <c r="O7" t="b">
        <v>1</v>
      </c>
      <c r="P7" t="b">
        <v>1</v>
      </c>
      <c r="Q7" t="b">
        <v>1</v>
      </c>
      <c r="R7" t="s">
        <v>43</v>
      </c>
      <c r="S7" s="4" t="str">
        <f>INDEX(Organization!$B:$B,MATCH($R7,Organization!$A:$A,0))</f>
        <v>org1</v>
      </c>
      <c r="T7" s="4" t="str">
        <f t="shared" si="0"/>
        <v>org1: data_collection6, case_type_set1</v>
      </c>
      <c r="U7" s="6" t="str">
        <f t="shared" si="1"/>
        <v>org_case_policy1_6</v>
      </c>
      <c r="V7" s="6" t="str">
        <f t="shared" si="2"/>
        <v>018d074d-ea0c-e942-07db-a3cc0ba1d653|0195d18c-1ca3-f309-f6f1-e4807afe3802</v>
      </c>
    </row>
    <row r="8" spans="1:22" x14ac:dyDescent="0.3">
      <c r="A8" t="s">
        <v>74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0</v>
      </c>
      <c r="H8" t="b">
        <v>1</v>
      </c>
      <c r="I8" t="b">
        <v>1</v>
      </c>
      <c r="J8" t="s">
        <v>132</v>
      </c>
      <c r="K8" s="4" t="str">
        <f>IF($J8="","",INDEX(CaseTypeColSet!$B:$B,MATCH($J8,CaseTypeColSet!$A:$A,0)))</f>
        <v>case_type_col_set1_1and2</v>
      </c>
      <c r="M8" s="4" t="str">
        <f>IF($L8="","",INDEX(CaseTypeColSet!$B:$B,MATCH($L8,CaseTypeColSet!$A:$A,0)))</f>
        <v/>
      </c>
      <c r="N8" t="b">
        <v>1</v>
      </c>
      <c r="O8" t="b">
        <v>1</v>
      </c>
      <c r="P8" t="b">
        <v>1</v>
      </c>
      <c r="Q8" t="b">
        <v>1</v>
      </c>
      <c r="R8" t="s">
        <v>46</v>
      </c>
      <c r="S8" s="4" t="str">
        <f>INDEX(Organization!$B:$B,MATCH($R8,Organization!$A:$A,0))</f>
        <v>org2</v>
      </c>
      <c r="T8" s="4" t="str">
        <f t="shared" si="0"/>
        <v>org2: data_collection7, case_type_set2</v>
      </c>
      <c r="U8" s="6" t="str">
        <f t="shared" si="1"/>
        <v>org_case_policy2_7</v>
      </c>
      <c r="V8" s="6" t="str">
        <f t="shared" si="2"/>
        <v>0195d18c-1c92-0ed4-2e94-b4f66d82baf3|0195d18c-1ca3-db40-a2a8-6dc905d6c1e9</v>
      </c>
    </row>
    <row r="9" spans="1:22" x14ac:dyDescent="0.3">
      <c r="A9" t="s">
        <v>75</v>
      </c>
      <c r="B9" t="s">
        <v>27</v>
      </c>
      <c r="C9" s="4" t="str">
        <f>INDEX(DataCollection!$B:$B,MATCH($B9,DataCollection!$A:$A,0))</f>
        <v>data_collection8</v>
      </c>
      <c r="D9" t="s">
        <v>66</v>
      </c>
      <c r="E9" s="4" t="str">
        <f>INDEX(CaseTypeSet!$B:$B,MATCH($D9,CaseTypeSet!$A:$A,0))</f>
        <v>case_type_set3</v>
      </c>
      <c r="F9" t="b">
        <v>1</v>
      </c>
      <c r="G9" t="b">
        <v>0</v>
      </c>
      <c r="H9" t="b">
        <v>1</v>
      </c>
      <c r="I9" t="b">
        <v>1</v>
      </c>
      <c r="J9" t="s">
        <v>132</v>
      </c>
      <c r="K9" s="4" t="str">
        <f>IF($J9="","",INDEX(CaseTypeColSet!$B:$B,MATCH($J9,CaseTypeColSet!$A:$A,0)))</f>
        <v>case_type_col_set1_1and2</v>
      </c>
      <c r="M9" s="4" t="str">
        <f>IF($L9="","",INDEX(CaseTypeColSet!$B:$B,MATCH($L9,CaseTypeColSet!$A:$A,0)))</f>
        <v/>
      </c>
      <c r="N9" t="b">
        <v>1</v>
      </c>
      <c r="O9" t="b">
        <v>1</v>
      </c>
      <c r="P9" t="b">
        <v>1</v>
      </c>
      <c r="Q9" t="b">
        <v>1</v>
      </c>
      <c r="R9" t="s">
        <v>49</v>
      </c>
      <c r="S9" s="4" t="str">
        <f>INDEX(Organization!$B:$B,MATCH($R9,Organization!$A:$A,0))</f>
        <v>org3</v>
      </c>
      <c r="T9" s="4" t="str">
        <f t="shared" si="0"/>
        <v>org3: data_collection8, case_type_set3</v>
      </c>
      <c r="U9" s="6" t="str">
        <f t="shared" si="1"/>
        <v>org_case_policy3_8</v>
      </c>
      <c r="V9" s="6" t="str">
        <f t="shared" si="2"/>
        <v>0195d18c-1c92-52b3-93e0-43dc1f2aa037|0195d18c-1ca3-da0a-44bb-877b3a1eb73e</v>
      </c>
    </row>
    <row r="10" spans="1:22" x14ac:dyDescent="0.3">
      <c r="A10" t="s">
        <v>76</v>
      </c>
      <c r="B10" t="s">
        <v>33</v>
      </c>
      <c r="C10" s="4" t="str">
        <f>INDEX(DataCollection!$B:$B,MATCH($B10,DataCollection!$A:$A,0))</f>
        <v>data_collection9</v>
      </c>
      <c r="D10" t="s">
        <v>67</v>
      </c>
      <c r="E10" s="4" t="str">
        <f>INDEX(CaseTypeSet!$B:$B,MATCH($D10,CaseTypeSet!$A:$A,0))</f>
        <v>case_type_set4</v>
      </c>
      <c r="F10" t="b">
        <v>1</v>
      </c>
      <c r="G10" t="b">
        <v>0</v>
      </c>
      <c r="H10" t="b">
        <v>1</v>
      </c>
      <c r="I10" t="b">
        <v>1</v>
      </c>
      <c r="J10" t="s">
        <v>132</v>
      </c>
      <c r="K10" s="4" t="str">
        <f>IF($J10="","",INDEX(CaseTypeColSet!$B:$B,MATCH($J10,CaseTypeColSet!$A:$A,0)))</f>
        <v>case_type_col_set1_1and2</v>
      </c>
      <c r="M10" s="4" t="str">
        <f>IF($L10="","",INDEX(CaseTypeColSet!$B:$B,MATCH($L10,CaseTypeColSet!$A:$A,0)))</f>
        <v/>
      </c>
      <c r="N10" t="b">
        <v>1</v>
      </c>
      <c r="O10" t="b">
        <v>1</v>
      </c>
      <c r="P10" t="b">
        <v>1</v>
      </c>
      <c r="Q10" t="b">
        <v>1</v>
      </c>
      <c r="R10" t="s">
        <v>52</v>
      </c>
      <c r="S10" s="4" t="str">
        <f>INDEX(Organization!$B:$B,MATCH($R10,Organization!$A:$A,0))</f>
        <v>org4</v>
      </c>
      <c r="T10" s="4" t="str">
        <f t="shared" si="0"/>
        <v>org4: data_collection9, case_type_set4</v>
      </c>
      <c r="U10" s="6" t="str">
        <f t="shared" si="1"/>
        <v>org_case_policy4_9</v>
      </c>
      <c r="V10" s="6" t="str">
        <f t="shared" si="2"/>
        <v>0195d18c-1c92-d419-4c71-a570f428499b|0195d18c-1ca3-4d34-d0e9-8f024ad8651a</v>
      </c>
    </row>
    <row r="11" spans="1:22" x14ac:dyDescent="0.3">
      <c r="A11" t="s">
        <v>77</v>
      </c>
      <c r="B11" t="s">
        <v>39</v>
      </c>
      <c r="C11" s="4" t="str">
        <f>INDEX(DataCollection!$B:$B,MATCH($B11,DataCollection!$A:$A,0))</f>
        <v>data_collection10</v>
      </c>
      <c r="D11" t="s">
        <v>68</v>
      </c>
      <c r="E11" s="4" t="str">
        <f>INDEX(CaseTypeSet!$B:$B,MATCH($D11,CaseTypeSet!$A:$A,0))</f>
        <v>case_type_set5</v>
      </c>
      <c r="F11" t="b">
        <v>1</v>
      </c>
      <c r="G11" t="b">
        <v>0</v>
      </c>
      <c r="H11" t="b">
        <v>1</v>
      </c>
      <c r="I11" t="b">
        <v>1</v>
      </c>
      <c r="J11" t="s">
        <v>132</v>
      </c>
      <c r="K11" s="4" t="str">
        <f>IF($J11="","",INDEX(CaseTypeColSet!$B:$B,MATCH($J11,CaseTypeColSet!$A:$A,0)))</f>
        <v>case_type_col_set1_1and2</v>
      </c>
      <c r="M11" s="4" t="str">
        <f>IF($L11="","",INDEX(CaseTypeColSet!$B:$B,MATCH($L11,CaseTypeColSet!$A:$A,0)))</f>
        <v/>
      </c>
      <c r="N11" t="b">
        <v>1</v>
      </c>
      <c r="O11" t="b">
        <v>1</v>
      </c>
      <c r="P11" t="b">
        <v>1</v>
      </c>
      <c r="Q11" t="b">
        <v>1</v>
      </c>
      <c r="R11" t="s">
        <v>55</v>
      </c>
      <c r="S11" s="4" t="str">
        <f>INDEX(Organization!$B:$B,MATCH($R11,Organization!$A:$A,0))</f>
        <v>org5</v>
      </c>
      <c r="T11" s="4" t="str">
        <f t="shared" si="0"/>
        <v>org5: data_collection10, case_type_set5</v>
      </c>
      <c r="U11" s="6" t="str">
        <f t="shared" si="1"/>
        <v>org_case_policy5_10</v>
      </c>
      <c r="V11" s="6" t="str">
        <f t="shared" si="2"/>
        <v>0195d18c-1c93-02a2-6920-7e4dbfb73ce0|0195d18c-1ca3-11a2-bf20-8eaaa09cc070</v>
      </c>
    </row>
  </sheetData>
  <autoFilter ref="A1:U11" xr:uid="{A6F0F389-1562-4A7F-BB5E-AAA96B2F3DDB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6EDF-4214-4325-A1BD-732A42D052EA}">
  <dimension ref="A1:W11"/>
  <sheetViews>
    <sheetView topLeftCell="J1" zoomScaleNormal="80" workbookViewId="0">
      <pane ySplit="1" topLeftCell="A2" activePane="bottomLeft" state="frozen"/>
      <selection pane="bottomLeft" activeCell="U1" sqref="U1"/>
    </sheetView>
  </sheetViews>
  <sheetFormatPr defaultColWidth="8.7773437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8" max="8" width="12" bestFit="1" customWidth="1"/>
    <col min="9" max="9" width="35.77734375" bestFit="1" customWidth="1"/>
    <col min="10" max="10" width="30.33203125" bestFit="1" customWidth="1"/>
    <col min="11" max="11" width="35.77734375" customWidth="1"/>
    <col min="12" max="12" width="30.77734375" bestFit="1" customWidth="1"/>
    <col min="13" max="13" width="12.33203125" bestFit="1" customWidth="1"/>
    <col min="14" max="14" width="15.6640625" bestFit="1" customWidth="1"/>
    <col min="15" max="15" width="12.77734375" bestFit="1" customWidth="1"/>
    <col min="16" max="16" width="13.44140625" bestFit="1" customWidth="1"/>
    <col min="17" max="17" width="36.33203125" bestFit="1" customWidth="1"/>
    <col min="18" max="18" width="25.109375" bestFit="1" customWidth="1"/>
    <col min="19" max="19" width="42.77734375" bestFit="1" customWidth="1"/>
    <col min="20" max="20" width="26.44140625" bestFit="1" customWidth="1"/>
    <col min="21" max="21" width="36" bestFit="1" customWidth="1"/>
    <col min="22" max="22" width="20.33203125" bestFit="1" customWidth="1"/>
  </cols>
  <sheetData>
    <row r="1" spans="1:23" s="9" customFormat="1" x14ac:dyDescent="0.3">
      <c r="A1" s="7" t="s">
        <v>0</v>
      </c>
      <c r="B1" s="7" t="s">
        <v>2</v>
      </c>
      <c r="C1" s="8" t="s">
        <v>793</v>
      </c>
      <c r="D1" s="7" t="s">
        <v>58</v>
      </c>
      <c r="E1" s="4" t="s">
        <v>777</v>
      </c>
      <c r="F1" s="7" t="s">
        <v>3</v>
      </c>
      <c r="G1" s="7" t="s">
        <v>4</v>
      </c>
      <c r="H1" s="7" t="s">
        <v>5</v>
      </c>
      <c r="I1" s="7" t="s">
        <v>268</v>
      </c>
      <c r="J1" s="8" t="s">
        <v>794</v>
      </c>
      <c r="K1" s="7" t="s">
        <v>269</v>
      </c>
      <c r="L1" s="8" t="s">
        <v>795</v>
      </c>
      <c r="M1" s="7" t="s">
        <v>6</v>
      </c>
      <c r="N1" s="7" t="s">
        <v>7</v>
      </c>
      <c r="O1" s="7" t="s">
        <v>8</v>
      </c>
      <c r="P1" s="7" t="s">
        <v>9</v>
      </c>
      <c r="Q1" s="8" t="s">
        <v>796</v>
      </c>
      <c r="R1" s="8" t="s">
        <v>797</v>
      </c>
      <c r="S1" s="4" t="s">
        <v>270</v>
      </c>
      <c r="T1" s="8" t="s">
        <v>271</v>
      </c>
      <c r="U1" s="7" t="s">
        <v>1</v>
      </c>
      <c r="V1" s="8" t="s">
        <v>798</v>
      </c>
      <c r="W1" s="15" t="s">
        <v>277</v>
      </c>
    </row>
    <row r="2" spans="1:23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s">
        <v>64</v>
      </c>
      <c r="J2" s="4" t="str">
        <f>IF($I2="","",INDEX(CaseTypeColSet!$B:$B,MATCH($I2,CaseTypeColSet!$A:$A,0)))</f>
        <v>case_type_col_set1_1</v>
      </c>
      <c r="K2" t="s">
        <v>64</v>
      </c>
      <c r="L2" s="4" t="str">
        <f>IF($K2="","",INDEX(CaseTypeColSet!$B:$B,MATCH($K2,CaseTypeColSet!$A:$A,0)))</f>
        <v>case_type_col_set1_1</v>
      </c>
      <c r="M2" t="b">
        <v>1</v>
      </c>
      <c r="N2" t="b">
        <v>1</v>
      </c>
      <c r="O2" t="b">
        <v>1</v>
      </c>
      <c r="P2" t="b">
        <v>1</v>
      </c>
      <c r="Q2" s="4" t="str">
        <f>INDEX(User!$G:$G,MATCH($U2,User!$A:$A,0))</f>
        <v>018d074d-ea0c-e942-07db-a3cc0ba1d653</v>
      </c>
      <c r="R2" s="4" t="str">
        <f>INDEX(Organization!$B:$B,MATCH($Q2,Organization!$A:$A,0))</f>
        <v>org1</v>
      </c>
      <c r="S2" s="4" t="str">
        <f>$V2&amp;": "&amp;$C2&amp;", "&amp;$E2</f>
        <v>org_user1_1: data_collection1, case_type_set1</v>
      </c>
      <c r="T2" s="6" t="str">
        <f>"user_case_policy"&amp;RIGHT($V2,LEN($V2)-8)&amp;"_"&amp;RIGHT($C2,LEN($C2)-15)</f>
        <v>user_case_policy1_1_1</v>
      </c>
      <c r="U2" t="s">
        <v>10</v>
      </c>
      <c r="V2" s="4" t="str">
        <f>INDEX(User!$D:$D,MATCH($U2,User!$A:$A,0))</f>
        <v>org_user1_1</v>
      </c>
      <c r="W2" s="6" t="str">
        <f>$U2&amp;"|"&amp;$B2</f>
        <v>0195d18c-1c98-7e0b-0c91-8cafbdb2c852|0195d18c-1ca2-a23d-1f64-00271f63199c</v>
      </c>
    </row>
    <row r="3" spans="1:23" x14ac:dyDescent="0.3">
      <c r="A3" t="s">
        <v>69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s">
        <v>132</v>
      </c>
      <c r="J3" s="4" t="str">
        <f>IF($I3="","",INDEX(CaseTypeColSet!$B:$B,MATCH($I3,CaseTypeColSet!$A:$A,0)))</f>
        <v>case_type_col_set1_1and2</v>
      </c>
      <c r="K3" t="s">
        <v>132</v>
      </c>
      <c r="L3" s="4" t="str">
        <f>IF($K3="","",INDEX(CaseTypeColSet!$B:$B,MATCH($K3,CaseTypeColSet!$A:$A,0)))</f>
        <v>case_type_col_set1_1and2</v>
      </c>
      <c r="M3" t="b">
        <v>1</v>
      </c>
      <c r="N3" t="b">
        <v>1</v>
      </c>
      <c r="O3" t="b">
        <v>1</v>
      </c>
      <c r="P3" t="b">
        <v>1</v>
      </c>
      <c r="Q3" s="4" t="str">
        <f>INDEX(User!$G:$G,MATCH($U3,User!$A:$A,0))</f>
        <v>0195d18c-1c92-0ed4-2e94-b4f66d82baf3</v>
      </c>
      <c r="R3" s="4" t="str">
        <f>INDEX(Organization!$B:$B,MATCH($Q3,Organization!$A:$A,0))</f>
        <v>org2</v>
      </c>
      <c r="S3" s="4" t="str">
        <f t="shared" ref="S3:S11" si="0">$V3&amp;": "&amp;$C3&amp;", "&amp;$E3</f>
        <v>org_user2_1: data_collection2, case_type_set2</v>
      </c>
      <c r="T3" s="6" t="str">
        <f t="shared" ref="T3:T11" si="1">"user_case_policy"&amp;RIGHT($V3,LEN($V3)-8)&amp;"_"&amp;RIGHT($C3,LEN($C3)-15)</f>
        <v>user_case_policy2_1_2</v>
      </c>
      <c r="U3" t="s">
        <v>16</v>
      </c>
      <c r="V3" s="4" t="str">
        <f>INDEX(User!$D:$D,MATCH($U3,User!$A:$A,0))</f>
        <v>org_user2_1</v>
      </c>
      <c r="W3" s="6" t="str">
        <f t="shared" ref="W3:W11" si="2">$U3&amp;"|"&amp;$B3</f>
        <v>0195d18c-1c9a-1178-0519-9124131763a6|0195d18c-1ca2-2a29-96a5-37c6bf87f586</v>
      </c>
    </row>
    <row r="4" spans="1:23" x14ac:dyDescent="0.3">
      <c r="A4" t="s">
        <v>70</v>
      </c>
      <c r="B4" t="s">
        <v>23</v>
      </c>
      <c r="C4" s="4" t="str">
        <f>INDEX(DataCollection!$B:$B,MATCH($B4,DataCollection!$A:$A,0))</f>
        <v>data_collection3</v>
      </c>
      <c r="D4" t="s">
        <v>66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s">
        <v>132</v>
      </c>
      <c r="J4" s="4" t="str">
        <f>IF($I4="","",INDEX(CaseTypeColSet!$B:$B,MATCH($I4,CaseTypeColSet!$A:$A,0)))</f>
        <v>case_type_col_set1_1and2</v>
      </c>
      <c r="K4" t="s">
        <v>132</v>
      </c>
      <c r="L4" s="4" t="str">
        <f>IF($K4="","",INDEX(CaseTypeColSet!$B:$B,MATCH($K4,CaseTypeColSet!$A:$A,0)))</f>
        <v>case_type_col_set1_1and2</v>
      </c>
      <c r="M4" t="b">
        <v>1</v>
      </c>
      <c r="N4" t="b">
        <v>1</v>
      </c>
      <c r="O4" t="b">
        <v>1</v>
      </c>
      <c r="P4" t="b">
        <v>1</v>
      </c>
      <c r="Q4" s="4" t="str">
        <f>INDEX(User!$G:$G,MATCH($U4,User!$A:$A,0))</f>
        <v>0195d18c-1c92-52b3-93e0-43dc1f2aa037</v>
      </c>
      <c r="R4" s="4" t="str">
        <f>INDEX(Organization!$B:$B,MATCH($Q4,Organization!$A:$A,0))</f>
        <v>org3</v>
      </c>
      <c r="S4" s="4" t="str">
        <f t="shared" si="0"/>
        <v>org_user3_1: data_collection3, case_type_set3</v>
      </c>
      <c r="T4" s="6" t="str">
        <f t="shared" si="1"/>
        <v>user_case_policy3_1_3</v>
      </c>
      <c r="U4" t="s">
        <v>22</v>
      </c>
      <c r="V4" s="4" t="str">
        <f>INDEX(User!$D:$D,MATCH($U4,User!$A:$A,0))</f>
        <v>org_user3_1</v>
      </c>
      <c r="W4" s="6" t="str">
        <f t="shared" si="2"/>
        <v>0195d18c-1c9c-0d8f-435a-5ca8b45939b8|0195d18c-1ca2-3a4f-1878-fbe3282c9c76</v>
      </c>
    </row>
    <row r="5" spans="1:23" x14ac:dyDescent="0.3">
      <c r="A5" t="s">
        <v>71</v>
      </c>
      <c r="B5" t="s">
        <v>29</v>
      </c>
      <c r="C5" s="4" t="str">
        <f>INDEX(DataCollection!$B:$B,MATCH($B5,DataCollection!$A:$A,0))</f>
        <v>data_collection4</v>
      </c>
      <c r="D5" t="s">
        <v>67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s">
        <v>132</v>
      </c>
      <c r="J5" s="4" t="str">
        <f>IF($I5="","",INDEX(CaseTypeColSet!$B:$B,MATCH($I5,CaseTypeColSet!$A:$A,0)))</f>
        <v>case_type_col_set1_1and2</v>
      </c>
      <c r="K5" t="s">
        <v>132</v>
      </c>
      <c r="L5" s="4" t="str">
        <f>IF($K5="","",INDEX(CaseTypeColSet!$B:$B,MATCH($K5,CaseTypeColSet!$A:$A,0)))</f>
        <v>case_type_col_set1_1and2</v>
      </c>
      <c r="M5" t="b">
        <v>1</v>
      </c>
      <c r="N5" t="b">
        <v>1</v>
      </c>
      <c r="O5" t="b">
        <v>1</v>
      </c>
      <c r="P5" t="b">
        <v>1</v>
      </c>
      <c r="Q5" s="4" t="str">
        <f>INDEX(User!$G:$G,MATCH($U5,User!$A:$A,0))</f>
        <v>0195d18c-1c92-d419-4c71-a570f428499b</v>
      </c>
      <c r="R5" s="4" t="str">
        <f>INDEX(Organization!$B:$B,MATCH($Q5,Organization!$A:$A,0))</f>
        <v>org4</v>
      </c>
      <c r="S5" s="4" t="str">
        <f t="shared" si="0"/>
        <v>org_user4_1: data_collection4, case_type_set4</v>
      </c>
      <c r="T5" s="6" t="str">
        <f t="shared" si="1"/>
        <v>user_case_policy4_1_4</v>
      </c>
      <c r="U5" t="s">
        <v>28</v>
      </c>
      <c r="V5" s="4" t="str">
        <f>INDEX(User!$D:$D,MATCH($U5,User!$A:$A,0))</f>
        <v>org_user4_1</v>
      </c>
      <c r="W5" s="6" t="str">
        <f t="shared" si="2"/>
        <v>0195d18c-1c9e-1c4a-1311-4f22f0d59f61|0195d18c-1ca2-e55a-608d-a42fc6f948e1</v>
      </c>
    </row>
    <row r="6" spans="1:23" x14ac:dyDescent="0.3">
      <c r="A6" t="s">
        <v>72</v>
      </c>
      <c r="B6" t="s">
        <v>35</v>
      </c>
      <c r="C6" s="4" t="str">
        <f>INDEX(DataCollection!$B:$B,MATCH($B6,DataCollection!$A:$A,0))</f>
        <v>data_collection5</v>
      </c>
      <c r="D6" t="s">
        <v>68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s">
        <v>132</v>
      </c>
      <c r="J6" s="4" t="str">
        <f>IF($I6="","",INDEX(CaseTypeColSet!$B:$B,MATCH($I6,CaseTypeColSet!$A:$A,0)))</f>
        <v>case_type_col_set1_1and2</v>
      </c>
      <c r="K6" t="s">
        <v>132</v>
      </c>
      <c r="L6" s="4" t="str">
        <f>IF($K6="","",INDEX(CaseTypeColSet!$B:$B,MATCH($K6,CaseTypeColSet!$A:$A,0)))</f>
        <v>case_type_col_set1_1and2</v>
      </c>
      <c r="M6" t="b">
        <v>1</v>
      </c>
      <c r="N6" t="b">
        <v>1</v>
      </c>
      <c r="O6" t="b">
        <v>1</v>
      </c>
      <c r="P6" t="b">
        <v>1</v>
      </c>
      <c r="Q6" s="4" t="str">
        <f>INDEX(User!$G:$G,MATCH($U6,User!$A:$A,0))</f>
        <v>0195d18c-1c93-02a2-6920-7e4dbfb73ce0</v>
      </c>
      <c r="R6" s="4" t="str">
        <f>INDEX(Organization!$B:$B,MATCH($Q6,Organization!$A:$A,0))</f>
        <v>org5</v>
      </c>
      <c r="S6" s="4" t="str">
        <f t="shared" si="0"/>
        <v>org_user5_1: data_collection5, case_type_set5</v>
      </c>
      <c r="T6" s="6" t="str">
        <f t="shared" si="1"/>
        <v>user_case_policy5_1_5</v>
      </c>
      <c r="U6" t="s">
        <v>34</v>
      </c>
      <c r="V6" s="4" t="str">
        <f>INDEX(User!$D:$D,MATCH($U6,User!$A:$A,0))</f>
        <v>org_user5_1</v>
      </c>
      <c r="W6" s="6" t="str">
        <f t="shared" si="2"/>
        <v>0195d18c-1ca0-e0db-7a87-6237ad6380c8|0195d18c-1ca2-b728-a2a1-d2a4cf7b8eb8</v>
      </c>
    </row>
    <row r="7" spans="1:23" x14ac:dyDescent="0.3">
      <c r="A7" t="s">
        <v>73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1</v>
      </c>
      <c r="H7" t="b">
        <v>1</v>
      </c>
      <c r="I7" t="s">
        <v>64</v>
      </c>
      <c r="J7" s="4" t="str">
        <f>IF($I7="","",INDEX(CaseTypeColSet!$B:$B,MATCH($I7,CaseTypeColSet!$A:$A,0)))</f>
        <v>case_type_col_set1_1</v>
      </c>
      <c r="K7" t="s">
        <v>64</v>
      </c>
      <c r="L7" s="4" t="str">
        <f>IF($K7="","",INDEX(CaseTypeColSet!$B:$B,MATCH($K7,CaseTypeColSet!$A:$A,0)))</f>
        <v>case_type_col_set1_1</v>
      </c>
      <c r="M7" t="b">
        <v>1</v>
      </c>
      <c r="N7" t="b">
        <v>1</v>
      </c>
      <c r="O7" t="b">
        <v>1</v>
      </c>
      <c r="P7" t="b">
        <v>1</v>
      </c>
      <c r="Q7" s="4" t="str">
        <f>INDEX(User!$G:$G,MATCH($U7,User!$A:$A,0))</f>
        <v>018d074d-ea0c-e942-07db-a3cc0ba1d653</v>
      </c>
      <c r="R7" s="4" t="str">
        <f>INDEX(Organization!$B:$B,MATCH($Q7,Organization!$A:$A,0))</f>
        <v>org1</v>
      </c>
      <c r="S7" s="4" t="str">
        <f t="shared" si="0"/>
        <v>org_user1_1: data_collection6, case_type_set1</v>
      </c>
      <c r="T7" s="6" t="str">
        <f t="shared" si="1"/>
        <v>user_case_policy1_1_6</v>
      </c>
      <c r="U7" t="s">
        <v>10</v>
      </c>
      <c r="V7" s="4" t="str">
        <f>INDEX(User!$D:$D,MATCH($U7,User!$A:$A,0))</f>
        <v>org_user1_1</v>
      </c>
      <c r="W7" s="6" t="str">
        <f t="shared" si="2"/>
        <v>0195d18c-1c98-7e0b-0c91-8cafbdb2c852|0195d18c-1ca3-f309-f6f1-e4807afe3802</v>
      </c>
    </row>
    <row r="8" spans="1:23" x14ac:dyDescent="0.3">
      <c r="A8" t="s">
        <v>74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1</v>
      </c>
      <c r="H8" t="b">
        <v>1</v>
      </c>
      <c r="I8" t="s">
        <v>132</v>
      </c>
      <c r="J8" s="4" t="str">
        <f>IF($I8="","",INDEX(CaseTypeColSet!$B:$B,MATCH($I8,CaseTypeColSet!$A:$A,0)))</f>
        <v>case_type_col_set1_1and2</v>
      </c>
      <c r="K8" t="s">
        <v>132</v>
      </c>
      <c r="L8" s="4" t="str">
        <f>IF($K8="","",INDEX(CaseTypeColSet!$B:$B,MATCH($K8,CaseTypeColSet!$A:$A,0)))</f>
        <v>case_type_col_set1_1and2</v>
      </c>
      <c r="M8" t="b">
        <v>1</v>
      </c>
      <c r="N8" t="b">
        <v>1</v>
      </c>
      <c r="O8" t="b">
        <v>1</v>
      </c>
      <c r="P8" t="b">
        <v>1</v>
      </c>
      <c r="Q8" s="4" t="str">
        <f>INDEX(User!$G:$G,MATCH($U8,User!$A:$A,0))</f>
        <v>0195d18c-1c92-0ed4-2e94-b4f66d82baf3</v>
      </c>
      <c r="R8" s="4" t="str">
        <f>INDEX(Organization!$B:$B,MATCH($Q8,Organization!$A:$A,0))</f>
        <v>org2</v>
      </c>
      <c r="S8" s="4" t="str">
        <f t="shared" si="0"/>
        <v>org_user2_1: data_collection7, case_type_set2</v>
      </c>
      <c r="T8" s="6" t="str">
        <f t="shared" si="1"/>
        <v>user_case_policy2_1_7</v>
      </c>
      <c r="U8" t="s">
        <v>16</v>
      </c>
      <c r="V8" s="4" t="str">
        <f>INDEX(User!$D:$D,MATCH($U8,User!$A:$A,0))</f>
        <v>org_user2_1</v>
      </c>
      <c r="W8" s="6" t="str">
        <f t="shared" si="2"/>
        <v>0195d18c-1c9a-1178-0519-9124131763a6|0195d18c-1ca3-db40-a2a8-6dc905d6c1e9</v>
      </c>
    </row>
    <row r="9" spans="1:23" x14ac:dyDescent="0.3">
      <c r="A9" t="s">
        <v>75</v>
      </c>
      <c r="B9" t="s">
        <v>27</v>
      </c>
      <c r="C9" s="4" t="str">
        <f>INDEX(DataCollection!$B:$B,MATCH($B9,DataCollection!$A:$A,0))</f>
        <v>data_collection8</v>
      </c>
      <c r="D9" t="s">
        <v>66</v>
      </c>
      <c r="E9" s="4" t="str">
        <f>INDEX(CaseTypeSet!$B:$B,MATCH($D9,CaseTypeSet!$A:$A,0))</f>
        <v>case_type_set3</v>
      </c>
      <c r="F9" t="b">
        <v>1</v>
      </c>
      <c r="G9" t="b">
        <v>1</v>
      </c>
      <c r="H9" t="b">
        <v>1</v>
      </c>
      <c r="I9" t="s">
        <v>132</v>
      </c>
      <c r="J9" s="4" t="str">
        <f>IF($I9="","",INDEX(CaseTypeColSet!$B:$B,MATCH($I9,CaseTypeColSet!$A:$A,0)))</f>
        <v>case_type_col_set1_1and2</v>
      </c>
      <c r="K9" t="s">
        <v>132</v>
      </c>
      <c r="L9" s="4" t="str">
        <f>IF($K9="","",INDEX(CaseTypeColSet!$B:$B,MATCH($K9,CaseTypeColSet!$A:$A,0)))</f>
        <v>case_type_col_set1_1and2</v>
      </c>
      <c r="M9" t="b">
        <v>1</v>
      </c>
      <c r="N9" t="b">
        <v>1</v>
      </c>
      <c r="O9" t="b">
        <v>1</v>
      </c>
      <c r="P9" t="b">
        <v>1</v>
      </c>
      <c r="Q9" s="4" t="str">
        <f>INDEX(User!$G:$G,MATCH($U9,User!$A:$A,0))</f>
        <v>0195d18c-1c92-52b3-93e0-43dc1f2aa037</v>
      </c>
      <c r="R9" s="4" t="str">
        <f>INDEX(Organization!$B:$B,MATCH($Q9,Organization!$A:$A,0))</f>
        <v>org3</v>
      </c>
      <c r="S9" s="4" t="str">
        <f t="shared" si="0"/>
        <v>org_user3_1: data_collection8, case_type_set3</v>
      </c>
      <c r="T9" s="6" t="str">
        <f t="shared" si="1"/>
        <v>user_case_policy3_1_8</v>
      </c>
      <c r="U9" t="s">
        <v>22</v>
      </c>
      <c r="V9" s="4" t="str">
        <f>INDEX(User!$D:$D,MATCH($U9,User!$A:$A,0))</f>
        <v>org_user3_1</v>
      </c>
      <c r="W9" s="6" t="str">
        <f t="shared" si="2"/>
        <v>0195d18c-1c9c-0d8f-435a-5ca8b45939b8|0195d18c-1ca3-da0a-44bb-877b3a1eb73e</v>
      </c>
    </row>
    <row r="10" spans="1:23" x14ac:dyDescent="0.3">
      <c r="A10" t="s">
        <v>76</v>
      </c>
      <c r="B10" t="s">
        <v>33</v>
      </c>
      <c r="C10" s="4" t="str">
        <f>INDEX(DataCollection!$B:$B,MATCH($B10,DataCollection!$A:$A,0))</f>
        <v>data_collection9</v>
      </c>
      <c r="D10" t="s">
        <v>67</v>
      </c>
      <c r="E10" s="4" t="str">
        <f>INDEX(CaseTypeSet!$B:$B,MATCH($D10,CaseTypeSet!$A:$A,0))</f>
        <v>case_type_set4</v>
      </c>
      <c r="F10" t="b">
        <v>1</v>
      </c>
      <c r="G10" t="b">
        <v>1</v>
      </c>
      <c r="H10" t="b">
        <v>1</v>
      </c>
      <c r="I10" t="s">
        <v>132</v>
      </c>
      <c r="J10" s="4" t="str">
        <f>IF($I10="","",INDEX(CaseTypeColSet!$B:$B,MATCH($I10,CaseTypeColSet!$A:$A,0)))</f>
        <v>case_type_col_set1_1and2</v>
      </c>
      <c r="K10" t="s">
        <v>132</v>
      </c>
      <c r="L10" s="4" t="str">
        <f>IF($K10="","",INDEX(CaseTypeColSet!$B:$B,MATCH($K10,CaseTypeColSet!$A:$A,0)))</f>
        <v>case_type_col_set1_1and2</v>
      </c>
      <c r="M10" t="b">
        <v>1</v>
      </c>
      <c r="N10" t="b">
        <v>1</v>
      </c>
      <c r="O10" t="b">
        <v>1</v>
      </c>
      <c r="P10" t="b">
        <v>1</v>
      </c>
      <c r="Q10" s="4" t="str">
        <f>INDEX(User!$G:$G,MATCH($U10,User!$A:$A,0))</f>
        <v>0195d18c-1c92-d419-4c71-a570f428499b</v>
      </c>
      <c r="R10" s="4" t="str">
        <f>INDEX(Organization!$B:$B,MATCH($Q10,Organization!$A:$A,0))</f>
        <v>org4</v>
      </c>
      <c r="S10" s="4" t="str">
        <f t="shared" si="0"/>
        <v>org_user4_1: data_collection9, case_type_set4</v>
      </c>
      <c r="T10" s="6" t="str">
        <f t="shared" si="1"/>
        <v>user_case_policy4_1_9</v>
      </c>
      <c r="U10" t="s">
        <v>28</v>
      </c>
      <c r="V10" s="4" t="str">
        <f>INDEX(User!$D:$D,MATCH($U10,User!$A:$A,0))</f>
        <v>org_user4_1</v>
      </c>
      <c r="W10" s="6" t="str">
        <f t="shared" si="2"/>
        <v>0195d18c-1c9e-1c4a-1311-4f22f0d59f61|0195d18c-1ca3-4d34-d0e9-8f024ad8651a</v>
      </c>
    </row>
    <row r="11" spans="1:23" x14ac:dyDescent="0.3">
      <c r="A11" t="s">
        <v>77</v>
      </c>
      <c r="B11" t="s">
        <v>39</v>
      </c>
      <c r="C11" s="4" t="str">
        <f>INDEX(DataCollection!$B:$B,MATCH($B11,DataCollection!$A:$A,0))</f>
        <v>data_collection10</v>
      </c>
      <c r="D11" t="s">
        <v>68</v>
      </c>
      <c r="E11" s="4" t="str">
        <f>INDEX(CaseTypeSet!$B:$B,MATCH($D11,CaseTypeSet!$A:$A,0))</f>
        <v>case_type_set5</v>
      </c>
      <c r="F11" t="b">
        <v>1</v>
      </c>
      <c r="G11" t="b">
        <v>1</v>
      </c>
      <c r="H11" t="b">
        <v>1</v>
      </c>
      <c r="I11" t="s">
        <v>132</v>
      </c>
      <c r="J11" s="4" t="str">
        <f>IF($I11="","",INDEX(CaseTypeColSet!$B:$B,MATCH($I11,CaseTypeColSet!$A:$A,0)))</f>
        <v>case_type_col_set1_1and2</v>
      </c>
      <c r="K11" t="s">
        <v>132</v>
      </c>
      <c r="L11" s="4" t="str">
        <f>IF($K11="","",INDEX(CaseTypeColSet!$B:$B,MATCH($K11,CaseTypeColSet!$A:$A,0)))</f>
        <v>case_type_col_set1_1and2</v>
      </c>
      <c r="M11" t="b">
        <v>1</v>
      </c>
      <c r="N11" t="b">
        <v>1</v>
      </c>
      <c r="O11" t="b">
        <v>1</v>
      </c>
      <c r="P11" t="b">
        <v>1</v>
      </c>
      <c r="Q11" s="4" t="str">
        <f>INDEX(User!$G:$G,MATCH($U11,User!$A:$A,0))</f>
        <v>0195d18c-1c93-02a2-6920-7e4dbfb73ce0</v>
      </c>
      <c r="R11" s="4" t="str">
        <f>INDEX(Organization!$B:$B,MATCH($Q11,Organization!$A:$A,0))</f>
        <v>org5</v>
      </c>
      <c r="S11" s="4" t="str">
        <f t="shared" si="0"/>
        <v>org_user5_1: data_collection10, case_type_set5</v>
      </c>
      <c r="T11" s="6" t="str">
        <f t="shared" si="1"/>
        <v>user_case_policy5_1_10</v>
      </c>
      <c r="U11" t="s">
        <v>34</v>
      </c>
      <c r="V11" s="4" t="str">
        <f>INDEX(User!$D:$D,MATCH($U11,User!$A:$A,0))</f>
        <v>org_user5_1</v>
      </c>
      <c r="W11" s="6" t="str">
        <f t="shared" si="2"/>
        <v>0195d18c-1ca0-e0db-7a87-6237ad6380c8|0195d18c-1ca3-11a2-bf20-8eaaa09cc070</v>
      </c>
    </row>
  </sheetData>
  <autoFilter ref="A1:V11" xr:uid="{413B6EDF-4214-4325-A1BD-732A42D052EA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A0CE-352C-4E69-8986-540397C3CD9D}">
  <dimension ref="A1:P2"/>
  <sheetViews>
    <sheetView workbookViewId="0">
      <pane ySplit="1" topLeftCell="A2" activePane="bottomLeft" state="frozen"/>
      <selection pane="bottomLeft" activeCell="O1" sqref="O1"/>
    </sheetView>
  </sheetViews>
  <sheetFormatPr defaultColWidth="8.77734375" defaultRowHeight="14.4" x14ac:dyDescent="0.3"/>
  <cols>
    <col min="1" max="2" width="35.44140625" bestFit="1" customWidth="1"/>
    <col min="3" max="3" width="23.664062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7773437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23.6640625" bestFit="1" customWidth="1"/>
    <col min="15" max="15" width="35.44140625" bestFit="1" customWidth="1"/>
    <col min="16" max="16" width="13.33203125" bestFit="1" customWidth="1"/>
  </cols>
  <sheetData>
    <row r="1" spans="1:16" x14ac:dyDescent="0.3">
      <c r="A1" t="s">
        <v>0</v>
      </c>
      <c r="B1" t="s">
        <v>2</v>
      </c>
      <c r="C1" s="3" t="s">
        <v>793</v>
      </c>
      <c r="D1" t="s">
        <v>58</v>
      </c>
      <c r="E1" s="3" t="s">
        <v>777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206</v>
      </c>
      <c r="L1" s="3" t="s">
        <v>799</v>
      </c>
      <c r="M1" s="6" t="s">
        <v>796</v>
      </c>
      <c r="N1" s="3" t="s">
        <v>797</v>
      </c>
      <c r="O1" s="7" t="s">
        <v>1</v>
      </c>
      <c r="P1" s="8" t="s">
        <v>798</v>
      </c>
    </row>
    <row r="2" spans="1:16" x14ac:dyDescent="0.3">
      <c r="A2" t="s">
        <v>272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s="4" t="str">
        <f>INDEX(User!$G:$G,MATCH($O2,User!$A:$A,0))</f>
        <v>018d074d-ea0c-e942-07db-a3cc0ba1d653</v>
      </c>
      <c r="N2" s="4" t="str">
        <f>INDEX(Organization!$B:$B,MATCH($M2,Organization!$A:$A,0))</f>
        <v>org1</v>
      </c>
      <c r="O2" t="s">
        <v>10</v>
      </c>
      <c r="P2" s="4" t="str">
        <f>INDEX(User!$D:$D,MATCH($O2,User!$A:$A,0))</f>
        <v>org_user1_1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3A8B-A0A1-46B6-957F-B8B3E001E975}">
  <dimension ref="A1:N2"/>
  <sheetViews>
    <sheetView workbookViewId="0">
      <pane ySplit="1" topLeftCell="A2" activePane="bottomLeft" state="frozen"/>
      <selection pane="bottomLeft" sqref="A1:XFD1048576"/>
    </sheetView>
  </sheetViews>
  <sheetFormatPr defaultColWidth="8.77734375" defaultRowHeight="14.4" x14ac:dyDescent="0.3"/>
  <cols>
    <col min="1" max="1" width="35.44140625" bestFit="1" customWidth="1"/>
    <col min="2" max="2" width="35.33203125" bestFit="1" customWidth="1"/>
    <col min="3" max="3" width="22.10937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7773437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19.44140625" bestFit="1" customWidth="1"/>
  </cols>
  <sheetData>
    <row r="1" spans="1:14" x14ac:dyDescent="0.3">
      <c r="A1" t="s">
        <v>0</v>
      </c>
      <c r="B1" t="s">
        <v>2</v>
      </c>
      <c r="C1" s="3" t="s">
        <v>793</v>
      </c>
      <c r="D1" t="s">
        <v>58</v>
      </c>
      <c r="E1" s="3" t="s">
        <v>777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206</v>
      </c>
      <c r="L1" s="3" t="s">
        <v>799</v>
      </c>
      <c r="M1" t="s">
        <v>41</v>
      </c>
      <c r="N1" s="3" t="s">
        <v>769</v>
      </c>
    </row>
    <row r="2" spans="1:14" x14ac:dyDescent="0.3">
      <c r="A2" t="s">
        <v>272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t="s">
        <v>43</v>
      </c>
      <c r="N2" s="4" t="str">
        <f>INDEX(Organization!$B:$B,MATCH($M2,Organization!$A:$A,0))</f>
        <v>org1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ConceptSet</vt:lpstr>
      <vt:lpstr>Concept</vt:lpstr>
      <vt:lpstr>ConceptRelation</vt:lpstr>
      <vt:lpstr>RegionSet</vt:lpstr>
      <vt:lpstr>Region</vt:lpstr>
      <vt:lpstr>RegionRelation</vt:lpstr>
      <vt:lpstr>GeneticDistanceProtocol</vt:lpstr>
      <vt:lpstr>AssemblyProtocol</vt:lpstr>
      <vt:lpstr>SequencingProtocol</vt:lpstr>
      <vt:lpstr>Organization</vt:lpstr>
      <vt:lpstr>DataCollection</vt:lpstr>
      <vt:lpstr>IdentifierIssuer</vt:lpstr>
      <vt:lpstr>User</vt:lpstr>
      <vt:lpstr>UserInvitation</vt:lpstr>
      <vt:lpstr>Dim</vt:lpstr>
      <vt:lpstr>Col</vt:lpstr>
      <vt:lpstr>Disease</vt:lpstr>
      <vt:lpstr>EtiologicalAgent</vt:lpstr>
      <vt:lpstr>CaseType</vt:lpstr>
      <vt:lpstr>CaseTypeSetCategory</vt:lpstr>
      <vt:lpstr>CaseTypeSet</vt:lpstr>
      <vt:lpstr>CaseTypeSetMember</vt:lpstr>
      <vt:lpstr>CaseTypeDim</vt:lpstr>
      <vt:lpstr>CaseTypeCol</vt:lpstr>
      <vt:lpstr>ValidateCasesCommand</vt:lpstr>
      <vt:lpstr>UploadCasesCommand</vt:lpstr>
      <vt:lpstr>_CaseData</vt:lpstr>
      <vt:lpstr>_CaseContentData</vt:lpstr>
      <vt:lpstr>CaseTypeColSet</vt:lpstr>
      <vt:lpstr>CaseTypeColSetMember</vt:lpstr>
      <vt:lpstr>OrganizationAdminPolicy</vt:lpstr>
      <vt:lpstr>OrganizationAccessCasePolicy</vt:lpstr>
      <vt:lpstr>UserAccessCasePolicy</vt:lpstr>
      <vt:lpstr>UserShareCasePolicy</vt:lpstr>
      <vt:lpstr>OrganizationShareCasePolicy</vt:lpstr>
      <vt:lpstr>GeneticDistanceProtocol!_FilterDatabase</vt:lpstr>
      <vt:lpstr>GeneticDistanceProtocol!_FilterDatabase_0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Van Walle</cp:lastModifiedBy>
  <dcterms:created xsi:type="dcterms:W3CDTF">2025-03-26T08:22:55Z</dcterms:created>
  <dcterms:modified xsi:type="dcterms:W3CDTF">2025-12-18T00:45:30Z</dcterms:modified>
</cp:coreProperties>
</file>