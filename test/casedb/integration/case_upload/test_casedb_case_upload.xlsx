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38F616FE-5BD1-45E8-96C4-FB67CFE7DE87}" xr6:coauthVersionLast="47" xr6:coauthVersionMax="47" xr10:uidLastSave="{00000000-0000-0000-0000-000000000000}"/>
  <bookViews>
    <workbookView xWindow="-108" yWindow="-108" windowWidth="41496" windowHeight="16776" tabRatio="913" firstSheet="2" activeTab="19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Dim" sheetId="36" r:id="rId19"/>
    <sheet name="CaseTypeCol" sheetId="11" r:id="rId20"/>
    <sheet name="ValidateCasesCommand" sheetId="24" r:id="rId21"/>
    <sheet name="_CaseData" sheetId="33" r:id="rId22"/>
    <sheet name="_CaseContentData" sheetId="32" r:id="rId23"/>
    <sheet name="CaseTypeColSet" sheetId="10" r:id="rId24"/>
    <sheet name="CaseTypeColSetMember" sheetId="9" r:id="rId25"/>
    <sheet name="OrganizationAdminPolicy" sheetId="2" r:id="rId26"/>
    <sheet name="OrganizationAccessCasePolicy" sheetId="20" r:id="rId27"/>
    <sheet name="UserAccessCasePolicy" sheetId="21" r:id="rId28"/>
    <sheet name="UserShareCasePolicy" sheetId="23" r:id="rId29"/>
    <sheet name="OrganizationShareCasePolicy" sheetId="22" r:id="rId30"/>
  </sheets>
  <definedNames>
    <definedName name="_xlnm._FilterDatabase" localSheetId="22" hidden="1">_CaseContentData!$A$1:$R$58</definedName>
    <definedName name="_xlnm._FilterDatabase" localSheetId="21" hidden="1">_CaseData!$A$1:$A$33</definedName>
    <definedName name="_xlnm._FilterDatabase" localSheetId="19" hidden="1">CaseTypeCol!$A$1:$U$58</definedName>
    <definedName name="_xlnm._FilterDatabase" localSheetId="24" hidden="1">CaseTypeColSetMember!$A$1:$H$96</definedName>
    <definedName name="_xlnm._FilterDatabase" localSheetId="17" hidden="1">CaseTypeSetMember!$A$1:$G$26</definedName>
    <definedName name="_xlnm._FilterDatabase" localSheetId="26" hidden="1">OrganizationAccessCasePolicy!$A$1:$U$11</definedName>
    <definedName name="_xlnm._FilterDatabase" localSheetId="27" hidden="1">UserAccessCasePolicy!$A$1:$V$11</definedName>
    <definedName name="_xlnm._FilterDatabase" localSheetId="20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36" l="1"/>
  <c r="G44" i="36"/>
  <c r="C44" i="36"/>
  <c r="I44" i="36" s="1"/>
  <c r="K44" i="36" s="1"/>
  <c r="H43" i="36"/>
  <c r="G43" i="36"/>
  <c r="C43" i="36"/>
  <c r="I43" i="36" s="1"/>
  <c r="K43" i="36" s="1"/>
  <c r="H42" i="36"/>
  <c r="G42" i="36"/>
  <c r="C42" i="36"/>
  <c r="I42" i="36" s="1"/>
  <c r="K42" i="36" s="1"/>
  <c r="I3" i="36"/>
  <c r="I4" i="36"/>
  <c r="I5" i="36"/>
  <c r="I6" i="36"/>
  <c r="I7" i="36"/>
  <c r="I8" i="36"/>
  <c r="I9" i="36"/>
  <c r="I10" i="36"/>
  <c r="I11" i="36"/>
  <c r="I12" i="36"/>
  <c r="I13" i="36"/>
  <c r="I14" i="36"/>
  <c r="I15" i="36"/>
  <c r="I16" i="36"/>
  <c r="I17" i="36"/>
  <c r="I18" i="36"/>
  <c r="I19" i="36"/>
  <c r="I20" i="36"/>
  <c r="I21" i="36"/>
  <c r="I22" i="36"/>
  <c r="I23" i="36"/>
  <c r="I24" i="36"/>
  <c r="I25" i="36"/>
  <c r="I26" i="36"/>
  <c r="I27" i="36"/>
  <c r="I28" i="36"/>
  <c r="I29" i="36"/>
  <c r="I30" i="36"/>
  <c r="I31" i="36"/>
  <c r="I32" i="36"/>
  <c r="I33" i="36"/>
  <c r="I34" i="36"/>
  <c r="I35" i="36"/>
  <c r="I36" i="36"/>
  <c r="I37" i="36"/>
  <c r="I2" i="36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" i="14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2" i="11"/>
  <c r="H22" i="36"/>
  <c r="H2" i="36"/>
  <c r="H21" i="36"/>
  <c r="C3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I38" i="36" s="1"/>
  <c r="C39" i="36"/>
  <c r="I39" i="36" s="1"/>
  <c r="C40" i="36"/>
  <c r="I40" i="36" s="1"/>
  <c r="C41" i="36"/>
  <c r="I41" i="36" s="1"/>
  <c r="C2" i="36"/>
  <c r="B3" i="8"/>
  <c r="B4" i="8"/>
  <c r="B5" i="8"/>
  <c r="B6" i="8"/>
  <c r="B2" i="8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F3" i="35"/>
  <c r="E3" i="35"/>
  <c r="F2" i="35"/>
  <c r="E2" i="35"/>
  <c r="G3" i="35"/>
  <c r="H3" i="35"/>
  <c r="H2" i="35"/>
  <c r="G2" i="35"/>
  <c r="K22" i="36" l="1"/>
  <c r="G2" i="11"/>
  <c r="H2" i="11" s="1"/>
  <c r="J2" i="11" s="1"/>
  <c r="K2" i="36"/>
  <c r="H26" i="36"/>
  <c r="H10" i="36"/>
  <c r="G59" i="11"/>
  <c r="H59" i="11" s="1"/>
  <c r="J59" i="11" s="1"/>
  <c r="H9" i="36"/>
  <c r="H24" i="36"/>
  <c r="H8" i="36"/>
  <c r="G40" i="11"/>
  <c r="H40" i="11" s="1"/>
  <c r="J40" i="11" s="1"/>
  <c r="H41" i="36"/>
  <c r="H6" i="36"/>
  <c r="H39" i="36"/>
  <c r="K39" i="36" s="1"/>
  <c r="H37" i="36"/>
  <c r="H5" i="36"/>
  <c r="H23" i="36"/>
  <c r="H36" i="36"/>
  <c r="H20" i="36"/>
  <c r="H4" i="36"/>
  <c r="H38" i="36"/>
  <c r="H35" i="36"/>
  <c r="H19" i="36"/>
  <c r="H3" i="36"/>
  <c r="H25" i="36"/>
  <c r="H34" i="36"/>
  <c r="H18" i="36"/>
  <c r="H7" i="36"/>
  <c r="K41" i="36"/>
  <c r="K25" i="36"/>
  <c r="H33" i="36"/>
  <c r="K33" i="36" s="1"/>
  <c r="H17" i="36"/>
  <c r="H40" i="36"/>
  <c r="K23" i="36"/>
  <c r="H32" i="36"/>
  <c r="H16" i="36"/>
  <c r="H15" i="36"/>
  <c r="K37" i="36"/>
  <c r="H30" i="36"/>
  <c r="H14" i="36"/>
  <c r="H31" i="36"/>
  <c r="K31" i="36" s="1"/>
  <c r="H29" i="36"/>
  <c r="K29" i="36" s="1"/>
  <c r="H13" i="36"/>
  <c r="K35" i="36"/>
  <c r="H28" i="36"/>
  <c r="H12" i="36"/>
  <c r="G61" i="11"/>
  <c r="H61" i="11" s="1"/>
  <c r="J61" i="11" s="1"/>
  <c r="H27" i="36"/>
  <c r="K27" i="36" s="1"/>
  <c r="H11" i="36"/>
  <c r="G60" i="11"/>
  <c r="H60" i="11" s="1"/>
  <c r="J60" i="11" s="1"/>
  <c r="D3" i="35"/>
  <c r="D2" i="35"/>
  <c r="K13" i="36" l="1"/>
  <c r="G16" i="11"/>
  <c r="H16" i="11" s="1"/>
  <c r="J16" i="11" s="1"/>
  <c r="G17" i="11"/>
  <c r="H17" i="11" s="1"/>
  <c r="J17" i="11" s="1"/>
  <c r="G18" i="11"/>
  <c r="H18" i="11" s="1"/>
  <c r="J18" i="11" s="1"/>
  <c r="G19" i="11"/>
  <c r="H19" i="11" s="1"/>
  <c r="J19" i="11" s="1"/>
  <c r="K5" i="36"/>
  <c r="G5" i="11"/>
  <c r="H5" i="11" s="1"/>
  <c r="J5" i="11" s="1"/>
  <c r="K7" i="36"/>
  <c r="G7" i="11"/>
  <c r="H7" i="11" s="1"/>
  <c r="J7" i="11" s="1"/>
  <c r="K14" i="36"/>
  <c r="G20" i="11"/>
  <c r="H20" i="11" s="1"/>
  <c r="J20" i="11" s="1"/>
  <c r="G21" i="11"/>
  <c r="H21" i="11" s="1"/>
  <c r="J21" i="11" s="1"/>
  <c r="G22" i="11"/>
  <c r="H22" i="11" s="1"/>
  <c r="J22" i="11" s="1"/>
  <c r="G23" i="11"/>
  <c r="H23" i="11" s="1"/>
  <c r="J23" i="11" s="1"/>
  <c r="G24" i="11"/>
  <c r="H24" i="11" s="1"/>
  <c r="J24" i="11" s="1"/>
  <c r="K30" i="36"/>
  <c r="G44" i="11"/>
  <c r="H44" i="11" s="1"/>
  <c r="J44" i="11" s="1"/>
  <c r="K3" i="36"/>
  <c r="G3" i="11"/>
  <c r="H3" i="11" s="1"/>
  <c r="J3" i="11" s="1"/>
  <c r="K15" i="36"/>
  <c r="G28" i="11"/>
  <c r="H28" i="11" s="1"/>
  <c r="J28" i="11" s="1"/>
  <c r="G29" i="11"/>
  <c r="H29" i="11" s="1"/>
  <c r="J29" i="11" s="1"/>
  <c r="G25" i="11"/>
  <c r="H25" i="11" s="1"/>
  <c r="J25" i="11" s="1"/>
  <c r="G26" i="11"/>
  <c r="H26" i="11" s="1"/>
  <c r="J26" i="11" s="1"/>
  <c r="G27" i="11"/>
  <c r="H27" i="11" s="1"/>
  <c r="J27" i="11" s="1"/>
  <c r="K19" i="36"/>
  <c r="G35" i="11"/>
  <c r="H35" i="11" s="1"/>
  <c r="J35" i="11" s="1"/>
  <c r="G36" i="11"/>
  <c r="H36" i="11" s="1"/>
  <c r="J36" i="11" s="1"/>
  <c r="G37" i="11"/>
  <c r="H37" i="11" s="1"/>
  <c r="J37" i="11" s="1"/>
  <c r="K11" i="36"/>
  <c r="G11" i="11"/>
  <c r="H11" i="11" s="1"/>
  <c r="J11" i="11" s="1"/>
  <c r="K16" i="36"/>
  <c r="G30" i="11"/>
  <c r="H30" i="11" s="1"/>
  <c r="J30" i="11" s="1"/>
  <c r="K38" i="36"/>
  <c r="G55" i="11"/>
  <c r="H55" i="11" s="1"/>
  <c r="J55" i="11" s="1"/>
  <c r="G56" i="11"/>
  <c r="H56" i="11" s="1"/>
  <c r="J56" i="11" s="1"/>
  <c r="G57" i="11"/>
  <c r="H57" i="11" s="1"/>
  <c r="J57" i="11" s="1"/>
  <c r="K9" i="36"/>
  <c r="G9" i="11"/>
  <c r="H9" i="11" s="1"/>
  <c r="J9" i="11" s="1"/>
  <c r="K4" i="36"/>
  <c r="G4" i="11"/>
  <c r="H4" i="11" s="1"/>
  <c r="J4" i="11" s="1"/>
  <c r="K12" i="36"/>
  <c r="G12" i="11"/>
  <c r="H12" i="11" s="1"/>
  <c r="J12" i="11" s="1"/>
  <c r="G13" i="11"/>
  <c r="H13" i="11" s="1"/>
  <c r="J13" i="11" s="1"/>
  <c r="G14" i="11"/>
  <c r="H14" i="11" s="1"/>
  <c r="J14" i="11" s="1"/>
  <c r="G15" i="11"/>
  <c r="H15" i="11" s="1"/>
  <c r="J15" i="11" s="1"/>
  <c r="K40" i="36"/>
  <c r="G58" i="11"/>
  <c r="H58" i="11" s="1"/>
  <c r="J58" i="11" s="1"/>
  <c r="K28" i="36"/>
  <c r="G43" i="11"/>
  <c r="H43" i="11" s="1"/>
  <c r="J43" i="11" s="1"/>
  <c r="K8" i="36"/>
  <c r="G8" i="11"/>
  <c r="H8" i="11" s="1"/>
  <c r="J8" i="11" s="1"/>
  <c r="K24" i="36"/>
  <c r="G41" i="11"/>
  <c r="H41" i="11" s="1"/>
  <c r="J41" i="11" s="1"/>
  <c r="K17" i="36"/>
  <c r="G31" i="11"/>
  <c r="H31" i="11" s="1"/>
  <c r="J31" i="11" s="1"/>
  <c r="K21" i="36"/>
  <c r="G39" i="11"/>
  <c r="H39" i="11" s="1"/>
  <c r="J39" i="11" s="1"/>
  <c r="K20" i="36"/>
  <c r="G38" i="11"/>
  <c r="H38" i="11" s="1"/>
  <c r="J38" i="11" s="1"/>
  <c r="K10" i="36"/>
  <c r="G10" i="11"/>
  <c r="H10" i="11" s="1"/>
  <c r="J10" i="11" s="1"/>
  <c r="K18" i="36"/>
  <c r="G32" i="11"/>
  <c r="H32" i="11" s="1"/>
  <c r="J32" i="11" s="1"/>
  <c r="G33" i="11"/>
  <c r="H33" i="11" s="1"/>
  <c r="J33" i="11" s="1"/>
  <c r="G34" i="11"/>
  <c r="H34" i="11" s="1"/>
  <c r="J34" i="11" s="1"/>
  <c r="K26" i="36"/>
  <c r="G42" i="11"/>
  <c r="H42" i="11" s="1"/>
  <c r="J42" i="11" s="1"/>
  <c r="K34" i="36"/>
  <c r="G49" i="11"/>
  <c r="H49" i="11" s="1"/>
  <c r="J49" i="11" s="1"/>
  <c r="G50" i="11"/>
  <c r="H50" i="11" s="1"/>
  <c r="J50" i="11" s="1"/>
  <c r="G51" i="11"/>
  <c r="H51" i="11" s="1"/>
  <c r="J51" i="11" s="1"/>
  <c r="G52" i="11"/>
  <c r="H52" i="11" s="1"/>
  <c r="J52" i="11" s="1"/>
  <c r="G53" i="11"/>
  <c r="H53" i="11" s="1"/>
  <c r="J53" i="11" s="1"/>
  <c r="K6" i="36"/>
  <c r="G6" i="11"/>
  <c r="H6" i="11" s="1"/>
  <c r="J6" i="11" s="1"/>
  <c r="K32" i="36"/>
  <c r="G45" i="11"/>
  <c r="H45" i="11" s="1"/>
  <c r="J45" i="11" s="1"/>
  <c r="G48" i="11"/>
  <c r="H48" i="11" s="1"/>
  <c r="J48" i="11" s="1"/>
  <c r="G46" i="11"/>
  <c r="H46" i="11" s="1"/>
  <c r="J46" i="11" s="1"/>
  <c r="G47" i="11"/>
  <c r="H47" i="11" s="1"/>
  <c r="J47" i="11" s="1"/>
  <c r="K36" i="36"/>
  <c r="G54" i="11"/>
  <c r="H54" i="11" s="1"/>
  <c r="J54" i="11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S44" i="32" s="1"/>
  <c r="G44" i="32" s="1"/>
  <c r="N28" i="32"/>
  <c r="N12" i="32"/>
  <c r="N2" i="32"/>
  <c r="N43" i="32"/>
  <c r="N27" i="32"/>
  <c r="N11" i="32"/>
  <c r="S11" i="32" s="1"/>
  <c r="G11" i="32" s="1"/>
  <c r="N58" i="32"/>
  <c r="N42" i="32"/>
  <c r="N26" i="32"/>
  <c r="N10" i="32"/>
  <c r="S10" i="32" s="1"/>
  <c r="G10" i="32" s="1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S41" i="32" l="1"/>
  <c r="S57" i="32"/>
  <c r="S32" i="32"/>
  <c r="G32" i="32"/>
  <c r="S5" i="32"/>
  <c r="G9" i="32"/>
  <c r="S9" i="32"/>
  <c r="S48" i="32"/>
  <c r="G48" i="32"/>
  <c r="G21" i="32"/>
  <c r="S21" i="32"/>
  <c r="G25" i="32"/>
  <c r="S25" i="32"/>
  <c r="S53" i="32"/>
  <c r="G53" i="32"/>
  <c r="S29" i="32"/>
  <c r="G29" i="32"/>
  <c r="G22" i="32"/>
  <c r="S22" i="32"/>
  <c r="S26" i="32"/>
  <c r="G26" i="32"/>
  <c r="S33" i="32"/>
  <c r="S34" i="32"/>
  <c r="G38" i="32"/>
  <c r="S38" i="32"/>
  <c r="S42" i="32"/>
  <c r="G42" i="32"/>
  <c r="S50" i="32"/>
  <c r="G50" i="32"/>
  <c r="G54" i="32"/>
  <c r="S54" i="32"/>
  <c r="S58" i="32"/>
  <c r="G58" i="32"/>
  <c r="G6" i="32"/>
  <c r="S6" i="32"/>
  <c r="S3" i="32"/>
  <c r="G7" i="32"/>
  <c r="S7" i="32"/>
  <c r="S47" i="32"/>
  <c r="G47" i="32"/>
  <c r="S13" i="32"/>
  <c r="G13" i="32"/>
  <c r="S30" i="32"/>
  <c r="G30" i="32"/>
  <c r="S19" i="32"/>
  <c r="G23" i="32"/>
  <c r="S23" i="32"/>
  <c r="S27" i="32"/>
  <c r="G27" i="32"/>
  <c r="S37" i="32"/>
  <c r="G35" i="32"/>
  <c r="S35" i="32"/>
  <c r="G39" i="32"/>
  <c r="S39" i="32"/>
  <c r="S43" i="32"/>
  <c r="G43" i="32"/>
  <c r="S18" i="32"/>
  <c r="G18" i="32"/>
  <c r="S51" i="32"/>
  <c r="G51" i="32"/>
  <c r="S4" i="32"/>
  <c r="G8" i="32"/>
  <c r="S8" i="32"/>
  <c r="G12" i="32"/>
  <c r="S12" i="32"/>
  <c r="S14" i="32"/>
  <c r="G14" i="32"/>
  <c r="S31" i="32"/>
  <c r="G31" i="32"/>
  <c r="G55" i="32"/>
  <c r="S55" i="32"/>
  <c r="S2" i="32"/>
  <c r="S20" i="32"/>
  <c r="G20" i="32"/>
  <c r="G24" i="32"/>
  <c r="S24" i="32"/>
  <c r="S28" i="32"/>
  <c r="G28" i="32"/>
  <c r="S46" i="32"/>
  <c r="G46" i="32"/>
  <c r="S36" i="32"/>
  <c r="S40" i="32"/>
  <c r="S17" i="32"/>
  <c r="G17" i="32"/>
  <c r="S49" i="32"/>
  <c r="G49" i="32"/>
  <c r="S16" i="32"/>
  <c r="G16" i="32"/>
  <c r="G52" i="32"/>
  <c r="S52" i="32"/>
  <c r="S56" i="32"/>
  <c r="S15" i="32"/>
  <c r="G15" i="32"/>
  <c r="S45" i="32"/>
  <c r="G45" i="32"/>
  <c r="U35" i="32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G19" i="32" s="1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18" i="13"/>
  <c r="G18" i="13" s="1"/>
  <c r="E36" i="13"/>
  <c r="O36" i="13" s="1"/>
  <c r="E30" i="13"/>
  <c r="G30" i="13" s="1"/>
  <c r="E16" i="13"/>
  <c r="G16" i="13" s="1"/>
  <c r="E19" i="13"/>
  <c r="G19" i="13" s="1"/>
  <c r="E21" i="13"/>
  <c r="G21" i="13" s="1"/>
  <c r="E11" i="13"/>
  <c r="O11" i="13" s="1"/>
  <c r="E9" i="13"/>
  <c r="G9" i="13" s="1"/>
  <c r="E13" i="13"/>
  <c r="O13" i="13" s="1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G40" i="32" s="1"/>
  <c r="Q4" i="32"/>
  <c r="G4" i="32" s="1"/>
  <c r="Q6" i="32"/>
  <c r="Q34" i="32"/>
  <c r="G34" i="32" s="1"/>
  <c r="Q7" i="32"/>
  <c r="Q3" i="32"/>
  <c r="G3" i="32" s="1"/>
  <c r="Q33" i="32"/>
  <c r="G33" i="32" s="1"/>
  <c r="Q37" i="32"/>
  <c r="G37" i="32" s="1"/>
  <c r="Q5" i="32"/>
  <c r="G5" i="32" s="1"/>
  <c r="Q36" i="32"/>
  <c r="G36" i="32" s="1"/>
  <c r="Q41" i="32"/>
  <c r="G41" i="32" s="1"/>
  <c r="Q56" i="32"/>
  <c r="G56" i="32" s="1"/>
  <c r="Q2" i="32"/>
  <c r="G2" i="32" s="1"/>
  <c r="Q57" i="32"/>
  <c r="G57" i="32" s="1"/>
  <c r="Q42" i="32"/>
  <c r="J4" i="32"/>
  <c r="H4" i="32" s="1"/>
  <c r="J12" i="32"/>
  <c r="H12" i="32" s="1"/>
  <c r="J28" i="32"/>
  <c r="H28" i="32" s="1"/>
  <c r="J36" i="32"/>
  <c r="H36" i="32" s="1"/>
  <c r="O35" i="13"/>
  <c r="O24" i="13"/>
  <c r="O39" i="13"/>
  <c r="O23" i="13"/>
  <c r="O8" i="13"/>
  <c r="O34" i="13"/>
  <c r="O32" i="13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I3" i="8"/>
  <c r="I4" i="8"/>
  <c r="I5" i="8"/>
  <c r="I6" i="8"/>
  <c r="I2" i="8"/>
  <c r="F3" i="8"/>
  <c r="F4" i="8"/>
  <c r="F5" i="8"/>
  <c r="F6" i="8"/>
  <c r="F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O38" i="13" l="1"/>
  <c r="O18" i="13"/>
  <c r="G13" i="13"/>
  <c r="O3" i="13"/>
  <c r="O17" i="13"/>
  <c r="O26" i="13"/>
  <c r="O33" i="13"/>
  <c r="O27" i="13"/>
  <c r="O29" i="13"/>
  <c r="O20" i="13"/>
  <c r="M11" i="15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28" i="13"/>
  <c r="D28" i="32" s="1"/>
  <c r="O25" i="13"/>
  <c r="F63" i="9" s="1"/>
  <c r="O30" i="13"/>
  <c r="F16" i="9" s="1"/>
  <c r="O9" i="13"/>
  <c r="D9" i="32" s="1"/>
  <c r="O15" i="13"/>
  <c r="F10" i="9" s="1"/>
  <c r="O12" i="13"/>
  <c r="F17" i="9"/>
  <c r="O10" i="13"/>
  <c r="F82" i="9" s="1"/>
  <c r="O22" i="13"/>
  <c r="O4" i="13"/>
  <c r="O5" i="13"/>
  <c r="D5" i="32" s="1"/>
  <c r="G7" i="13"/>
  <c r="G11" i="13"/>
  <c r="O6" i="13"/>
  <c r="D6" i="32" s="1"/>
  <c r="O14" i="13"/>
  <c r="F85" i="9" s="1"/>
  <c r="F90" i="9"/>
  <c r="O31" i="13"/>
  <c r="D31" i="32" s="1"/>
  <c r="F77" i="9"/>
  <c r="O21" i="13"/>
  <c r="G2" i="13"/>
  <c r="O16" i="13"/>
  <c r="F54" i="9" s="1"/>
  <c r="D58" i="32"/>
  <c r="G36" i="13"/>
  <c r="O19" i="13"/>
  <c r="F57" i="9" s="1"/>
  <c r="F19" i="9"/>
  <c r="G37" i="13"/>
  <c r="F8" i="9"/>
  <c r="F61" i="9"/>
  <c r="F37" i="9"/>
  <c r="F95" i="9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F71" i="9"/>
  <c r="F40" i="9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37" i="32"/>
  <c r="F75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J16" i="24" a="1"/>
  <c r="I16" i="24" a="1"/>
  <c r="J6" i="24" a="1"/>
  <c r="I14" i="24" a="1"/>
  <c r="K15" i="24" a="1"/>
  <c r="K14" i="24" a="1"/>
  <c r="M14" i="24" a="1"/>
  <c r="I2" i="24" a="1"/>
  <c r="J4" i="24" a="1"/>
  <c r="J2" i="24" a="1"/>
  <c r="J17" i="24" a="1"/>
  <c r="I15" i="24" a="1"/>
  <c r="N14" i="24" a="1"/>
  <c r="K5" i="24" a="1"/>
  <c r="J15" i="24" a="1"/>
  <c r="I17" i="24" a="1"/>
  <c r="J14" i="24" a="1"/>
  <c r="K7" i="24" a="1"/>
  <c r="K9" i="24" a="1"/>
  <c r="O14" i="24" a="1"/>
  <c r="K16" i="24" a="1"/>
  <c r="I5" i="24" a="1"/>
  <c r="I6" i="24" a="1"/>
  <c r="K2" i="24" a="1"/>
  <c r="M6" i="24" a="1"/>
  <c r="I4" i="24" a="1"/>
  <c r="J8" i="24" a="1"/>
  <c r="K3" i="24" a="1"/>
  <c r="K4" i="24" a="1"/>
  <c r="J5" i="24" a="1"/>
  <c r="I9" i="24" a="1"/>
  <c r="K17" i="24" a="1"/>
  <c r="K6" i="24" a="1"/>
  <c r="O6" i="24" a="1"/>
  <c r="J9" i="24" a="1"/>
  <c r="D30" i="32" l="1"/>
  <c r="F68" i="9"/>
  <c r="F47" i="9"/>
  <c r="D25" i="32"/>
  <c r="D54" i="32"/>
  <c r="D13" i="32"/>
  <c r="F28" i="9"/>
  <c r="F22" i="9"/>
  <c r="D41" i="32"/>
  <c r="F86" i="9"/>
  <c r="D47" i="32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F23" i="9"/>
  <c r="D39" i="32"/>
  <c r="F6" i="9"/>
  <c r="F48" i="9"/>
  <c r="D10" i="32"/>
  <c r="D15" i="32"/>
  <c r="F53" i="9"/>
  <c r="D34" i="32"/>
  <c r="F51" i="9"/>
  <c r="F72" i="9"/>
  <c r="D48" i="32"/>
  <c r="F25" i="9"/>
  <c r="D23" i="32"/>
  <c r="F14" i="9"/>
  <c r="F39" i="9"/>
  <c r="F96" i="9"/>
  <c r="F38" i="9"/>
  <c r="D33" i="32"/>
  <c r="F18" i="9"/>
  <c r="D57" i="32"/>
  <c r="F9" i="9"/>
  <c r="F79" i="9"/>
  <c r="F21" i="9"/>
  <c r="F15" i="9"/>
  <c r="F91" i="9"/>
  <c r="D43" i="32"/>
  <c r="D8" i="32"/>
  <c r="F11" i="9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8" i="24" a="1"/>
  <c r="J3" i="24" a="1"/>
  <c r="J7" i="24" a="1"/>
  <c r="I7" i="24" a="1"/>
  <c r="I3" i="24" a="1"/>
  <c r="K8" i="24" a="1"/>
  <c r="N6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<sst xmlns="http://schemas.openxmlformats.org/spreadsheetml/2006/main" count="2625" uniqueCount="931">
  <si>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</si>
  <si>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</si>
  <si>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</si>
  <si>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</si>
  <si>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</si>
  <si>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</si>
  <si>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</si>
  <si>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</si>
  <si>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</si>
  <si>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</si>
  <si>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</si>
  <si>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</si>
  <si>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</si>
  <si>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</si>
  <si>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</si>
  <si>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</si>
  <si>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</si>
  <si>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</si>
  <si>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</si>
  <si>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</si>
  <si>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</si>
  <si>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</si>
  <si>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</si>
  <si>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</si>
  <si>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</si>
  <si>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</si>
  <si>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</si>
  <si>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</si>
  <si>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</si>
  <si>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</si>
  <si>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</si>
  <si>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</si>
  <si>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</si>
  <si>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</si>
  <si>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</si>
  <si>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</si>
  <si>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</si>
  <si>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</si>
  <si>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</si>
  <si>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</si>
  <si>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</si>
  <si>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</si>
  <si>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</si>
  <si>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</si>
  <si>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</si>
  <si>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</si>
  <si>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</si>
  <si>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</si>
  <si>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</si>
  <si>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</si>
  <si>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</si>
  <si>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</si>
  <si>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</si>
  <si>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</si>
  <si>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</si>
  <si>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</si>
  <si>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</si>
  <si>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</si>
  <si>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</si>
  <si>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</si>
  <si>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</si>
  <si>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</si>
  <si>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</si>
  <si>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</si>
  <si>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</si>
  <si>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</si>
  <si>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</si>
  <si>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</si>
  <si>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</si>
  <si>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</si>
  <si>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</si>
  <si>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</si>
  <si>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</si>
  <si>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</si>
  <si>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</si>
  <si>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</si>
  <si>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</si>
  <si>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</si>
  <si>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</si>
  <si>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</si>
  <si>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</si>
  <si>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</si>
  <si>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</si>
  <si>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</si>
  <si>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</si>
  <si>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</si>
  <si>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</si>
  <si>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</si>
  <si>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</si>
  <si>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</si>
  <si>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</si>
  <si>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</si>
  <si>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</si>
  <si>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</si>
  <si>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</si>
  <si>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</si>
  <si>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</si>
  <si>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</si>
  <si>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</si>
  <si>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</si>
  <si>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</si>
  <si>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</si>
  <si>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</si>
  <si>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</si>
  <si>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</si>
  <si>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</si>
  <si>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</si>
  <si>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</si>
  <si>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</si>
  <si>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</si>
  <si>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</si>
  <si>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</si>
  <si>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</si>
  <si>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</si>
  <si>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</si>
  <si>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</si>
  <si>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0195d18c-1ca4-6d4f-99b8-10458cd57f32</t>
  </si>
  <si>
    <t>0195d18c-1ca4-82bc-c40f-054b28401ddd</t>
  </si>
  <si>
    <t>0195d18c-1ca6-752a-ec56-ed1b3d0cb095</t>
  </si>
  <si>
    <t>0195d18c-1ca4-2098-2e1c-1f2c2d58cd41</t>
  </si>
  <si>
    <t>0195d18c-1ca4-d963-1fbd-e9bf6dbb100c</t>
  </si>
  <si>
    <t>0195d18c-1ca6-0243-1762-326add8a5d71</t>
  </si>
  <si>
    <t>0195d18c-1ca4-9f3c-a017-a8f11202fb1c</t>
  </si>
  <si>
    <t>0195d18c-1ca5-5802-0739-33f87df230d4</t>
  </si>
  <si>
    <t>0195d18c-1ca7-7209-a21c-556dc4fd3057</t>
  </si>
  <si>
    <t>0195d18c-1ca4-86bf-f4e7-8c2a92ff370d</t>
  </si>
  <si>
    <t>0195d18c-1ca5-6d25-b2ad-a663425c8c15</t>
  </si>
  <si>
    <t>0195d18c-1ca7-ae33-0f89-bd1fd65da091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</si>
  <si>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</si>
  <si>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</si>
  <si>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</si>
  <si>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</si>
  <si>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</si>
  <si>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</si>
  <si>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</si>
  <si>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</si>
  <si>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</si>
  <si>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</si>
  <si>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</si>
  <si>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</si>
  <si>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</si>
  <si>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</si>
  <si>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</si>
  <si>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</si>
  <si>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</si>
  <si>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</si>
  <si>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</si>
  <si>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</si>
  <si>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</si>
  <si>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</si>
  <si>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</si>
  <si>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</si>
  <si>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</si>
  <si>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</si>
  <si>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</si>
  <si>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</si>
  <si>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</si>
  <si>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</si>
  <si>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</si>
  <si>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</si>
  <si>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</si>
  <si>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</si>
  <si>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</si>
  <si>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</si>
  <si>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</si>
  <si>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</si>
  <si>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</si>
  <si>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</si>
  <si>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</si>
  <si>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</si>
  <si>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</si>
  <si>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</si>
  <si>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</si>
  <si>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</si>
  <si>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</si>
  <si>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</si>
  <si>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</si>
  <si>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</si>
  <si>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</si>
  <si>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</si>
  <si>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</si>
  <si>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</si>
  <si>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</si>
  <si>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</si>
  <si>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</si>
  <si>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</si>
  <si>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</si>
  <si>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</si>
  <si>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</si>
  <si>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</si>
  <si>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</si>
  <si>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</si>
  <si>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</si>
  <si>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</si>
  <si>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</si>
  <si>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</si>
  <si>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</si>
  <si>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</si>
  <si>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</si>
  <si>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</si>
  <si>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</si>
  <si>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</si>
  <si>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</si>
  <si>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</si>
  <si>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</si>
  <si>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</si>
  <si>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</si>
  <si>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</si>
  <si>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</si>
  <si>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</si>
  <si>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</si>
  <si>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</si>
  <si>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</si>
  <si>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</si>
  <si>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</si>
  <si>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</si>
  <si>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</si>
  <si>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</si>
  <si>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</si>
  <si>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</si>
  <si>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</si>
  <si>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</si>
  <si>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</si>
  <si>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</si>
  <si>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</si>
  <si>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</si>
  <si>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</si>
  <si>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</si>
  <si>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</si>
  <si>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</si>
  <si>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</si>
  <si>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</si>
  <si>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</si>
  <si>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</si>
  <si>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</si>
  <si>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</si>
  <si>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</si>
  <si>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</si>
  <si>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</si>
  <si>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</si>
  <si>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</si>
  <si>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</si>
  <si>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</si>
  <si>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</si>
  <si>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</si>
  <si>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</si>
  <si>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</si>
  <si>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</si>
  <si>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</si>
  <si>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</si>
  <si>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</si>
  <si>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</si>
  <si>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</si>
  <si>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</si>
  <si>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</si>
  <si>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</si>
  <si>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</si>
  <si>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</si>
  <si>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</si>
  <si>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</si>
  <si>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</si>
  <si>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</si>
  <si>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</si>
  <si>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</si>
  <si>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</si>
  <si>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</si>
  <si>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</si>
  <si>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</si>
  <si>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</si>
  <si>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</si>
  <si>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</si>
  <si>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</si>
  <si>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</si>
  <si>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</si>
  <si>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</si>
  <si>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</si>
  <si>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</si>
  <si>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</si>
  <si>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</si>
  <si>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</si>
  <si>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</si>
  <si>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</si>
  <si>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</si>
  <si>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</si>
  <si>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</si>
  <si>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</si>
  <si>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</si>
  <si>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</si>
  <si>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</si>
  <si>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</si>
  <si>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</si>
  <si>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</si>
  <si>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</si>
  <si>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</si>
  <si>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</si>
  <si>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</si>
  <si>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</si>
  <si>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</si>
  <si>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</si>
  <si>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</si>
  <si>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</si>
  <si>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</si>
  <si>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</si>
  <si>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</si>
  <si>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</si>
  <si>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</si>
  <si>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</si>
  <si>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</si>
  <si>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</si>
  <si>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</si>
  <si>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</si>
  <si>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</si>
  <si>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</si>
  <si>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</si>
  <si>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</si>
  <si>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</si>
  <si>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</si>
  <si>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</si>
  <si>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</si>
  <si>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</si>
  <si>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</si>
  <si>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</si>
  <si>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</si>
  <si>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</si>
  <si>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</si>
  <si>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</si>
  <si>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</si>
  <si>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</si>
  <si>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</si>
  <si>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</si>
  <si>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</si>
  <si>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</si>
  <si>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</si>
  <si>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</si>
  <si>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</si>
  <si>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</si>
  <si>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</si>
  <si>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</si>
  <si>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</si>
  <si>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</si>
  <si>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</si>
  <si>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</si>
  <si>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</si>
  <si>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</si>
  <si>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</si>
  <si>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</si>
  <si>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</si>
  <si>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</si>
  <si>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</si>
  <si>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</si>
  <si>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</si>
  <si>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</si>
  <si>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</si>
  <si>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</si>
  <si>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</si>
  <si>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</si>
  <si>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</si>
  <si>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</si>
  <si>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</si>
  <si>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</si>
  <si>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</si>
  <si>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</si>
  <si>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</si>
  <si>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</si>
  <si>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</si>
  <si>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</si>
  <si>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</si>
  <si>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</si>
  <si>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</si>
  <si>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</si>
  <si>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</si>
  <si>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</si>
  <si>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</si>
  <si>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</si>
  <si>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</si>
  <si>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</si>
  <si>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</si>
  <si>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</si>
  <si>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</si>
  <si>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</si>
  <si>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</si>
  <si>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</si>
  <si>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</si>
  <si>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</si>
  <si>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</si>
  <si>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</si>
  <si>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</si>
  <si>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</si>
  <si>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</si>
  <si>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</si>
  <si>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</si>
  <si>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</si>
  <si>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</si>
  <si>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</si>
  <si>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</si>
  <si>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</si>
  <si>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</si>
  <si>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</si>
  <si>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</si>
  <si>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</si>
  <si>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</si>
  <si>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</si>
  <si>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</si>
  <si>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</si>
  <si>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</si>
  <si>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</si>
  <si>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</si>
  <si>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</si>
  <si>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</si>
  <si>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</si>
  <si>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</si>
  <si>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</si>
  <si>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</si>
  <si>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</si>
  <si>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</si>
  <si>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</si>
  <si>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</si>
  <si>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</si>
  <si>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</si>
  <si>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</si>
  <si>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</si>
  <si>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</si>
  <si>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</si>
  <si>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</si>
  <si>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</si>
  <si>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</si>
  <si>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</si>
  <si>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</si>
  <si>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</si>
  <si>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</si>
  <si>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</si>
  <si>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</si>
  <si>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</si>
  <si>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</si>
  <si>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TIME</t>
  </si>
  <si>
    <t>ORGANIZATION</t>
  </si>
  <si>
    <t>GEO</t>
  </si>
  <si>
    <t>IDENTIFIER</t>
  </si>
  <si>
    <t>NUMBER</t>
  </si>
  <si>
    <t>OTHER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</si>
  <si>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</si>
  <si>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</si>
  <si>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</si>
  <si>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</si>
  <si>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</si>
  <si>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</si>
  <si>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</si>
  <si>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</si>
  <si>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</si>
  <si>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</si>
  <si>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</si>
  <si>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</si>
  <si>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</si>
  <si>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</si>
  <si>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</si>
  <si>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</si>
  <si>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</si>
  <si>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</si>
  <si>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</si>
  <si>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</si>
  <si>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</si>
  <si>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</si>
  <si>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</si>
  <si>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</si>
  <si>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</si>
  <si>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</si>
  <si>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</si>
  <si>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</si>
  <si>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</si>
  <si>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</si>
  <si>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</si>
  <si>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</si>
  <si>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</si>
  <si>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</si>
  <si>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</si>
  <si>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</si>
  <si>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</si>
  <si>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</si>
  <si>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</si>
  <si>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</si>
  <si>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</si>
  <si>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</si>
  <si>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</si>
  <si>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</si>
  <si>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</si>
  <si>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</si>
  <si>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</si>
  <si>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</si>
  <si>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</si>
  <si>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</si>
  <si>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</si>
  <si>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</si>
  <si>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</si>
  <si>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</si>
  <si>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</si>
  <si>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</si>
  <si>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</si>
  <si>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</si>
  <si>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</si>
  <si>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</si>
  <si>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</si>
  <si>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</si>
  <si>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</si>
  <si>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</si>
  <si>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</si>
  <si>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</si>
  <si>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</si>
  <si>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</si>
  <si>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</si>
  <si>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</si>
  <si>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</si>
  <si>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</si>
  <si>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</si>
  <si>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</si>
  <si>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</si>
  <si>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</si>
  <si>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</si>
  <si>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</si>
  <si>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</si>
  <si>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</si>
  <si>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</si>
  <si>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</si>
  <si>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</si>
  <si>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</si>
  <si>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</si>
  <si>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</si>
  <si>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</si>
  <si>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</si>
  <si>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</si>
  <si>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</si>
  <si>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</si>
  <si>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</si>
  <si>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</si>
  <si>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</si>
  <si>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</si>
  <si>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</si>
  <si>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</si>
  <si>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</si>
  <si>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</si>
  <si>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</si>
  <si>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</si>
  <si>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</si>
  <si>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</si>
  <si>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</si>
  <si>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</si>
  <si>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</si>
  <si>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</si>
  <si>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</si>
  <si>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</si>
  <si>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</si>
  <si>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</si>
  <si>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</si>
  <si>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</si>
  <si>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</si>
  <si>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</si>
  <si>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</si>
  <si>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</si>
  <si>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</si>
  <si>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</si>
  <si>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</si>
  <si>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</si>
  <si>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</si>
  <si>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</si>
  <si>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</si>
  <si>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</si>
  <si>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</si>
  <si>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</si>
  <si>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</si>
  <si>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</si>
  <si>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</si>
  <si>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</si>
  <si>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</si>
  <si>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</si>
  <si>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</si>
  <si>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</si>
  <si>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</si>
  <si>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</si>
  <si>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</si>
  <si>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</si>
  <si>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</si>
  <si>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</si>
  <si>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</si>
  <si>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</si>
  <si>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</si>
  <si>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</si>
  <si>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</si>
  <si>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</si>
  <si>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</si>
  <si>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</si>
  <si>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</si>
  <si>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</si>
  <si>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</si>
  <si>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</si>
  <si>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</si>
  <si>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</si>
  <si>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</si>
  <si>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</si>
  <si>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</si>
  <si>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</si>
  <si>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</si>
  <si>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</si>
  <si>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</si>
  <si>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</si>
  <si>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</si>
  <si>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</si>
  <si>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</si>
  <si>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</si>
  <si>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</si>
  <si>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</si>
  <si>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</si>
  <si>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</si>
  <si>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</si>
  <si>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</si>
  <si>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</si>
  <si>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</si>
  <si>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</si>
  <si>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</si>
  <si>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</si>
  <si>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</si>
  <si>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</si>
  <si>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</si>
  <si>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</si>
  <si>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</si>
  <si>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</si>
  <si>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</si>
  <si>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</si>
  <si>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</si>
  <si>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</si>
  <si>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</si>
  <si>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</si>
  <si>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</si>
  <si>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</si>
  <si>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</si>
  <si>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</si>
  <si>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</si>
  <si>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</si>
  <si>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</si>
  <si>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</si>
  <si>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</si>
  <si>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</si>
  <si>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</si>
  <si>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</si>
  <si>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</si>
  <si>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</si>
  <si>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</si>
  <si>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</si>
  <si>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</si>
  <si>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</si>
  <si>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</si>
  <si>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</si>
  <si>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</si>
  <si>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</si>
  <si>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</si>
  <si>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</si>
  <si>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</si>
  <si>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</si>
  <si>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</si>
  <si>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</si>
  <si>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</si>
  <si>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</si>
  <si>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</si>
  <si>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</si>
  <si>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</si>
  <si>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</si>
  <si>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</si>
  <si>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</si>
  <si>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</si>
  <si>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</si>
  <si>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</si>
  <si>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</si>
  <si>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</si>
  <si>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</si>
  <si>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</si>
  <si>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</si>
  <si>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</si>
  <si>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</si>
  <si>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</si>
  <si>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</si>
  <si>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</si>
  <si>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</si>
  <si>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</si>
  <si>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</si>
  <si>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</si>
  <si>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</si>
  <si>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</si>
  <si>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</si>
  <si>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</si>
  <si>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</si>
  <si>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</si>
  <si>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</si>
  <si>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</si>
  <si>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</si>
  <si>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</si>
  <si>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</si>
  <si>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</si>
  <si>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</si>
  <si>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</si>
  <si>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</si>
  <si>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</si>
  <si>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</si>
  <si>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</si>
  <si>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</si>
  <si>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</si>
  <si>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</si>
  <si>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</si>
  <si>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</si>
  <si>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</si>
  <si>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</si>
  <si>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</si>
  <si>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</si>
  <si>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</si>
  <si>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</si>
  <si>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</si>
  <si>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</si>
  <si>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</si>
  <si>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</si>
  <si>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</si>
  <si>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</si>
  <si>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</si>
  <si>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</si>
  <si>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</si>
  <si>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</si>
  <si>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</si>
  <si>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</si>
  <si>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</si>
  <si>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</si>
  <si>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</si>
  <si>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</si>
  <si>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</si>
  <si>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</si>
  <si>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</si>
  <si>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</si>
  <si>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</si>
  <si>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</si>
  <si>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</si>
  <si>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</si>
  <si>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</si>
  <si>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</si>
  <si>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</si>
  <si>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</si>
  <si>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</si>
  <si>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</si>
  <si>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</si>
  <si>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</si>
  <si>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</si>
  <si>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</si>
  <si>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</si>
  <si>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</si>
  <si>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</si>
  <si>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</si>
  <si>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</si>
  <si>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</si>
  <si>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</si>
  <si>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</si>
  <si>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</si>
  <si>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</si>
  <si>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</si>
  <si>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</si>
  <si>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</si>
  <si>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</si>
  <si>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</si>
  <si>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</si>
  <si>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</si>
  <si>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</si>
  <si>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</si>
  <si>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</si>
  <si>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</si>
  <si>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</si>
  <si>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</si>
  <si>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</si>
  <si>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</si>
  <si>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</si>
  <si>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</si>
  <si>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</si>
  <si>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</si>
  <si>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</si>
  <si>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</si>
  <si>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</si>
  <si>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</si>
  <si>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</si>
  <si>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</si>
  <si>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</si>
  <si>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</si>
  <si>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</si>
  <si>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</si>
  <si>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</si>
  <si>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</si>
  <si>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</si>
  <si>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</si>
  <si>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</si>
  <si>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</si>
  <si>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</si>
  <si>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</si>
  <si>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</si>
  <si>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</si>
  <si>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</si>
  <si>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</si>
  <si>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</si>
  <si>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</si>
  <si>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</si>
  <si>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</si>
  <si>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</si>
  <si>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</si>
  <si>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</si>
  <si>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</si>
  <si>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</si>
  <si>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</si>
  <si>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</si>
  <si>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</si>
  <si>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</si>
  <si>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</si>
  <si>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</si>
  <si>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</si>
  <si>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</si>
  <si>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</si>
  <si>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</si>
  <si>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</si>
  <si>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</si>
  <si>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</si>
  <si>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</si>
  <si>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</si>
  <si>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</si>
  <si>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</si>
  <si>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</si>
  <si>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</si>
  <si>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</si>
  <si>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</si>
  <si>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</si>
  <si>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</si>
  <si>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</si>
  <si>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</si>
  <si>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</si>
  <si>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</si>
  <si>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</si>
  <si>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</si>
  <si>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</si>
  <si>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</si>
  <si>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</si>
  <si>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</si>
  <si>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</si>
  <si>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</si>
  <si>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</si>
  <si>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</si>
  <si>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</si>
  <si>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</si>
  <si>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</si>
  <si>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</si>
  <si>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</si>
  <si>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</si>
  <si>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</si>
  <si>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</si>
  <si>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</si>
  <si>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</si>
  <si>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</si>
  <si>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</si>
  <si>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</si>
  <si>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</si>
  <si>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</si>
  <si>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</si>
  <si>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</si>
  <si>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</si>
  <si>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</si>
  <si>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</si>
  <si>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</si>
  <si>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</si>
  <si>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</si>
  <si>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</si>
  <si>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</si>
  <si>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</si>
  <si>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</si>
  <si>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</si>
  <si>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</si>
  <si>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</si>
  <si>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</si>
  <si>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</si>
  <si>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</si>
  <si>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</si>
  <si>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</si>
  <si>
    <t>is_case_date_dim</t>
  </si>
  <si>
    <t>dm.dim.dim_type</t>
  </si>
  <si>
    <t>ID_PERSON</t>
  </si>
  <si>
    <t>ID_CASE</t>
  </si>
  <si>
    <t>019a8753-bf2c-11a3-ffc0-920ea3cc02d3</t>
  </si>
  <si>
    <t>019a8753-bf2c-7723-2de8-7a1e80d0f90e</t>
  </si>
  <si>
    <t>019a8753-bf2c-7f23-5feb-5856f75e3ac4</t>
  </si>
  <si>
    <t>019a8753-bf2c-e120-df50-ee274d4d0bea</t>
  </si>
  <si>
    <t>019a8753-bf2c-2576-37b2-48d393c0805b</t>
  </si>
  <si>
    <t>019a8753-bf2c-21c8-0283-22d2864e1a10</t>
  </si>
  <si>
    <t>019a8753-bf2c-75ce-52ad-567429f69a79</t>
  </si>
  <si>
    <t>019a8753-bf2c-b92e-74d8-3cf4632872eb</t>
  </si>
  <si>
    <t>019a8753-bf2c-cfe8-b31f-d4d69b923add</t>
  </si>
  <si>
    <t>019a8753-bf2c-2a28-5638-214464e36193</t>
  </si>
  <si>
    <t>019a8753-bf2c-dd77-ce96-388e4cb1d50d</t>
  </si>
  <si>
    <t>019a8753-bf2c-6c1f-a038-a54fc110a17d</t>
  </si>
  <si>
    <t>019a8753-bf2c-4af7-405c-e41281bd4768</t>
  </si>
  <si>
    <t>019a8753-bf2c-9eb6-17e8-54eecf44bef0</t>
  </si>
  <si>
    <t>019a8753-bf2c-36d9-d411-21f51909e93d</t>
  </si>
  <si>
    <t>019a8753-bf2c-fd41-03f4-5970bcc2a450</t>
  </si>
  <si>
    <t>019a8753-bf2c-dc84-0965-a443a68e4f56</t>
  </si>
  <si>
    <t>019a8753-bf2c-520b-217f-8333392abe0d</t>
  </si>
  <si>
    <t>019a8753-bf2c-c9ac-f09f-7f0f89e89bfe</t>
  </si>
  <si>
    <t>019a8753-bf2c-dff3-b839-55291986b38f</t>
  </si>
  <si>
    <t>019a8753-bf2c-3724-e24d-31ab9949942c</t>
  </si>
  <si>
    <t>019a8753-bf2c-2906-eccb-8e3fdc01c4e9</t>
  </si>
  <si>
    <t>019a8753-bf2c-c782-24a8-ed9df57dc9c2</t>
  </si>
  <si>
    <t>019a8753-bf2c-1831-af92-c53eaeb82232</t>
  </si>
  <si>
    <t>019a8753-bf2c-d926-4504-bb8132902e1f</t>
  </si>
  <si>
    <t>019a8753-bf2c-7bb5-c0ed-b57447a8373c</t>
  </si>
  <si>
    <t>019a8753-bf2c-3dd8-97f0-772130e63e6d</t>
  </si>
  <si>
    <t>019a8753-bf2c-75f8-b973-28c80241e65e</t>
  </si>
  <si>
    <t>019a8753-bf2c-d779-5819-b6b424cd9746</t>
  </si>
  <si>
    <t>019a8753-bf2c-2ca6-16b7-29203dfa94f8</t>
  </si>
  <si>
    <t>019a8753-bf2c-8af4-e868-a63b3e955d0a</t>
  </si>
  <si>
    <t>019a8753-bf2c-ccf6-da92-9c171249af6e</t>
  </si>
  <si>
    <t>019a8753-bf2c-4df7-8008-1baf7cdebb77</t>
  </si>
  <si>
    <t>019a8753-bf2c-18f2-9d15-4ee94bf4a605</t>
  </si>
  <si>
    <t>019a8753-bf2c-2942-e0d4-0692318cb410</t>
  </si>
  <si>
    <t>019a8753-bf2c-8e28-ca36-ce2bcab6e3d6</t>
  </si>
  <si>
    <t>019a8753-bf2c-d39d-b2fb-bda1c25f9d48</t>
  </si>
  <si>
    <t>019a8753-bf2c-5462-557c-cd80c194c864</t>
  </si>
  <si>
    <t>019a8753-bf2c-890c-caa2-cc05be078ce2</t>
  </si>
  <si>
    <t>019a8753-bf2c-43e0-9b12-3aa7a3345580</t>
  </si>
  <si>
    <t>dm.code</t>
  </si>
  <si>
    <t>dm.case_type.code</t>
  </si>
  <si>
    <t>dm.dim.code</t>
  </si>
  <si>
    <t>case_type_dim_id</t>
  </si>
  <si>
    <t>dm.case_type_dim.code</t>
  </si>
  <si>
    <t>dm.col.col_type</t>
  </si>
  <si>
    <t>019a8753-bf2c-560b-3a96-5a85cc1810ab</t>
  </si>
  <si>
    <t>019a8753-bf2c-28c0-1120-5f8e8209028d</t>
  </si>
  <si>
    <t>019a8753-bf2c-2b71-e049-02021035fa92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</si>
</sst>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137</v>
      </c>
      <c r="C1" t="s">
        <v>57</v>
      </c>
      <c r="D1" t="s">
        <v>287</v>
      </c>
      <c r="E1" t="s">
        <v>295</v>
      </c>
      <c r="F1" t="s">
        <v>296</v>
      </c>
      <c r="G1" t="s">
        <v>297</v>
      </c>
      <c r="H1" t="s">
        <v>78</v>
      </c>
    </row>
    <row r="2" spans="1:8" x14ac:dyDescent="0.3">
      <c r="A2" t="s">
        <v>332</v>
      </c>
      <c r="B2" t="s">
        <v>700</v>
      </c>
      <c r="C2" t="s">
        <v>701</v>
      </c>
      <c r="D2" t="s">
        <v>299</v>
      </c>
      <c r="H2" t="s">
        <v>506</v>
      </c>
    </row>
    <row r="3" spans="1:8" x14ac:dyDescent="0.3">
      <c r="A3" t="s">
        <v>333</v>
      </c>
      <c r="B3" t="s">
        <v>702</v>
      </c>
      <c r="C3" t="s">
        <v>703</v>
      </c>
      <c r="D3" t="s">
        <v>299</v>
      </c>
      <c r="H3" t="s">
        <v>507</v>
      </c>
    </row>
    <row r="4" spans="1:8" x14ac:dyDescent="0.3">
      <c r="A4" t="s">
        <v>334</v>
      </c>
      <c r="B4" t="s">
        <v>704</v>
      </c>
      <c r="C4" t="s">
        <v>705</v>
      </c>
      <c r="D4" t="s">
        <v>298</v>
      </c>
      <c r="H4" t="s">
        <v>508</v>
      </c>
    </row>
    <row r="5" spans="1:8" x14ac:dyDescent="0.3">
      <c r="A5" t="s">
        <v>335</v>
      </c>
      <c r="B5" t="s">
        <v>706</v>
      </c>
      <c r="C5" t="s">
        <v>707</v>
      </c>
      <c r="D5" t="s">
        <v>298</v>
      </c>
      <c r="H5" t="s">
        <v>509</v>
      </c>
    </row>
    <row r="6" spans="1:8" x14ac:dyDescent="0.3">
      <c r="A6" t="s">
        <v>336</v>
      </c>
      <c r="B6" t="s">
        <v>708</v>
      </c>
      <c r="C6" t="s">
        <v>300</v>
      </c>
      <c r="D6" t="s">
        <v>343</v>
      </c>
      <c r="H6" t="s">
        <v>300</v>
      </c>
    </row>
    <row r="7" spans="1:8" x14ac:dyDescent="0.3">
      <c r="A7" t="s">
        <v>337</v>
      </c>
      <c r="B7" t="s">
        <v>709</v>
      </c>
      <c r="C7" t="s">
        <v>301</v>
      </c>
      <c r="D7" t="s">
        <v>343</v>
      </c>
      <c r="H7" t="s">
        <v>301</v>
      </c>
    </row>
    <row r="8" spans="1:8" x14ac:dyDescent="0.3">
      <c r="A8" t="s">
        <v>338</v>
      </c>
      <c r="B8" t="s">
        <v>710</v>
      </c>
      <c r="C8" t="s">
        <v>302</v>
      </c>
      <c r="D8" t="s">
        <v>343</v>
      </c>
      <c r="H8" t="s">
        <v>302</v>
      </c>
    </row>
    <row r="9" spans="1:8" x14ac:dyDescent="0.3">
      <c r="A9" t="s">
        <v>339</v>
      </c>
      <c r="B9" t="s">
        <v>711</v>
      </c>
      <c r="C9" t="s">
        <v>303</v>
      </c>
      <c r="D9" t="s">
        <v>343</v>
      </c>
      <c r="H9" t="s">
        <v>303</v>
      </c>
    </row>
    <row r="10" spans="1:8" x14ac:dyDescent="0.3">
      <c r="A10" t="s">
        <v>340</v>
      </c>
      <c r="B10" t="s">
        <v>712</v>
      </c>
      <c r="C10" t="s">
        <v>304</v>
      </c>
      <c r="D10" t="s">
        <v>343</v>
      </c>
      <c r="H10" t="s">
        <v>304</v>
      </c>
    </row>
    <row r="11" spans="1:8" x14ac:dyDescent="0.3">
      <c r="A11" t="s">
        <v>341</v>
      </c>
      <c r="B11" t="s">
        <v>713</v>
      </c>
      <c r="C11" t="s">
        <v>714</v>
      </c>
      <c r="D11" t="s">
        <v>305</v>
      </c>
      <c r="E11" t="s">
        <v>510</v>
      </c>
      <c r="H11" t="s">
        <v>510</v>
      </c>
    </row>
    <row r="12" spans="1:8" x14ac:dyDescent="0.3">
      <c r="A12" t="s">
        <v>342</v>
      </c>
      <c r="B12" t="s">
        <v>715</v>
      </c>
      <c r="C12" t="s">
        <v>716</v>
      </c>
      <c r="D12" t="s">
        <v>305</v>
      </c>
      <c r="E12" t="s">
        <v>511</v>
      </c>
      <c r="H12" t="s">
        <v>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137</v>
      </c>
      <c r="C1" t="s">
        <v>57</v>
      </c>
      <c r="D1" t="s">
        <v>78</v>
      </c>
      <c r="E1" t="s">
        <v>81</v>
      </c>
      <c r="F1" t="s">
        <v>148</v>
      </c>
      <c r="G1" t="s">
        <v>306</v>
      </c>
      <c r="H1" t="s">
        <v>307</v>
      </c>
      <c r="I1" s="6" t="s">
        <v>771</v>
      </c>
      <c r="J1" t="s">
        <v>179</v>
      </c>
      <c r="K1" s="6" t="s">
        <v>808</v>
      </c>
      <c r="L1" s="6" t="s">
        <v>806</v>
      </c>
      <c r="M1" s="6" t="s">
        <v>807</v>
      </c>
    </row>
    <row r="2" spans="1:13" x14ac:dyDescent="0.3">
      <c r="A2" t="s">
        <v>310</v>
      </c>
      <c r="B2" t="s">
        <v>327</v>
      </c>
      <c r="C2" t="s">
        <v>345</v>
      </c>
      <c r="F2" t="s">
        <v>149</v>
      </c>
      <c r="I2" s="6" t="str">
        <f>INDEX(ConceptSet!$B:$B,MATCH($J2,ConceptSet!$A:$A,0))</f>
        <v>NOMINAL_1</v>
      </c>
      <c r="J2" t="s">
        <v>332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309</v>
      </c>
      <c r="B3" t="s">
        <v>328</v>
      </c>
      <c r="C3" t="s">
        <v>346</v>
      </c>
      <c r="F3" t="s">
        <v>149</v>
      </c>
      <c r="I3" s="6" t="str">
        <f>INDEX(ConceptSet!$B:$B,MATCH($J3,ConceptSet!$A:$A,0))</f>
        <v>NOMINAL_1</v>
      </c>
      <c r="J3" t="s">
        <v>332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358</v>
      </c>
      <c r="B4" t="s">
        <v>347</v>
      </c>
      <c r="C4" t="s">
        <v>348</v>
      </c>
      <c r="F4" t="s">
        <v>149</v>
      </c>
      <c r="I4" s="6" t="str">
        <f>INDEX(ConceptSet!$B:$B,MATCH($J4,ConceptSet!$A:$A,0))</f>
        <v>NOMINAL_1</v>
      </c>
      <c r="J4" t="s">
        <v>332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359</v>
      </c>
      <c r="B5" t="s">
        <v>327</v>
      </c>
      <c r="C5" t="s">
        <v>349</v>
      </c>
      <c r="F5" t="s">
        <v>149</v>
      </c>
      <c r="I5" s="6" t="str">
        <f>INDEX(ConceptSet!$B:$B,MATCH($J5,ConceptSet!$A:$A,0))</f>
        <v>NOMINAL_2</v>
      </c>
      <c r="J5" t="s">
        <v>333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360</v>
      </c>
      <c r="B6" t="s">
        <v>328</v>
      </c>
      <c r="C6" t="s">
        <v>350</v>
      </c>
      <c r="F6" t="s">
        <v>149</v>
      </c>
      <c r="I6" s="6" t="str">
        <f>INDEX(ConceptSet!$B:$B,MATCH($J6,ConceptSet!$A:$A,0))</f>
        <v>NOMINAL_2</v>
      </c>
      <c r="J6" t="s">
        <v>333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361</v>
      </c>
      <c r="B7" t="s">
        <v>347</v>
      </c>
      <c r="C7" t="s">
        <v>351</v>
      </c>
      <c r="F7" t="s">
        <v>149</v>
      </c>
      <c r="I7" s="6" t="str">
        <f>INDEX(ConceptSet!$B:$B,MATCH($J7,ConceptSet!$A:$A,0))</f>
        <v>NOMINAL_2</v>
      </c>
      <c r="J7" t="s">
        <v>333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362</v>
      </c>
      <c r="B8" t="s">
        <v>329</v>
      </c>
      <c r="C8" t="s">
        <v>352</v>
      </c>
      <c r="E8">
        <v>1</v>
      </c>
      <c r="F8" t="s">
        <v>149</v>
      </c>
      <c r="I8" s="6" t="str">
        <f>INDEX(ConceptSet!$B:$B,MATCH($J8,ConceptSet!$A:$A,0))</f>
        <v>ORDINAL_1</v>
      </c>
      <c r="J8" t="s">
        <v>334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363</v>
      </c>
      <c r="B9" t="s">
        <v>330</v>
      </c>
      <c r="C9" t="s">
        <v>353</v>
      </c>
      <c r="E9">
        <v>2</v>
      </c>
      <c r="F9" t="s">
        <v>149</v>
      </c>
      <c r="I9" s="6" t="str">
        <f>INDEX(ConceptSet!$B:$B,MATCH($J9,ConceptSet!$A:$A,0))</f>
        <v>ORDINAL_1</v>
      </c>
      <c r="J9" t="s">
        <v>334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364</v>
      </c>
      <c r="B10" t="s">
        <v>331</v>
      </c>
      <c r="C10" t="s">
        <v>354</v>
      </c>
      <c r="E10">
        <v>3</v>
      </c>
      <c r="F10" t="s">
        <v>149</v>
      </c>
      <c r="I10" s="6" t="str">
        <f>INDEX(ConceptSet!$B:$B,MATCH($J10,ConceptSet!$A:$A,0))</f>
        <v>ORDINAL_1</v>
      </c>
      <c r="J10" t="s">
        <v>334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365</v>
      </c>
      <c r="B11" t="s">
        <v>329</v>
      </c>
      <c r="C11" t="s">
        <v>355</v>
      </c>
      <c r="E11">
        <v>1</v>
      </c>
      <c r="F11" t="s">
        <v>149</v>
      </c>
      <c r="I11" s="6" t="str">
        <f>INDEX(ConceptSet!$B:$B,MATCH($J11,ConceptSet!$A:$A,0))</f>
        <v>ORDINAL_2</v>
      </c>
      <c r="J11" t="s">
        <v>335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366</v>
      </c>
      <c r="B12" t="s">
        <v>330</v>
      </c>
      <c r="C12" t="s">
        <v>356</v>
      </c>
      <c r="E12">
        <v>2</v>
      </c>
      <c r="F12" t="s">
        <v>149</v>
      </c>
      <c r="I12" s="6" t="str">
        <f>INDEX(ConceptSet!$B:$B,MATCH($J12,ConceptSet!$A:$A,0))</f>
        <v>ORDINAL_2</v>
      </c>
      <c r="J12" t="s">
        <v>335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367</v>
      </c>
      <c r="B13" t="s">
        <v>331</v>
      </c>
      <c r="C13" t="s">
        <v>357</v>
      </c>
      <c r="E13">
        <v>3</v>
      </c>
      <c r="F13" t="s">
        <v>149</v>
      </c>
      <c r="I13" s="6" t="str">
        <f>INDEX(ConceptSet!$B:$B,MATCH($J13,ConceptSet!$A:$A,0))</f>
        <v>ORDINAL_2</v>
      </c>
      <c r="J13" t="s">
        <v>335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368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336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369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336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370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336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322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336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321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336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320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337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319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337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318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338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317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338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316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338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315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338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314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339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313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339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312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339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311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339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326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340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325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340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324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340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323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340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833</v>
      </c>
      <c r="C1" t="s">
        <v>834</v>
      </c>
      <c r="D1" s="6" t="s">
        <v>835</v>
      </c>
      <c r="E1" t="s">
        <v>840</v>
      </c>
      <c r="F1" t="s">
        <v>841</v>
      </c>
      <c r="G1" t="s">
        <v>836</v>
      </c>
      <c r="H1" t="s">
        <v>837</v>
      </c>
      <c r="I1" t="s">
        <v>411</v>
      </c>
    </row>
    <row r="2" spans="1:9" x14ac:dyDescent="0.3">
      <c r="A2" t="s">
        <v>838</v>
      </c>
      <c r="B2" t="s">
        <v>310</v>
      </c>
      <c r="C2" t="s">
        <v>359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412</v>
      </c>
    </row>
    <row r="3" spans="1:9" x14ac:dyDescent="0.3">
      <c r="A3" t="s">
        <v>839</v>
      </c>
      <c r="B3" t="s">
        <v>310</v>
      </c>
      <c r="C3" t="s">
        <v>360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137</v>
      </c>
      <c r="C1" s="21" t="s">
        <v>57</v>
      </c>
      <c r="D1" s="1" t="s">
        <v>877</v>
      </c>
      <c r="E1" s="21" t="s">
        <v>371</v>
      </c>
    </row>
    <row r="2" spans="1:5" x14ac:dyDescent="0.3">
      <c r="A2" t="s">
        <v>382</v>
      </c>
      <c r="B2" t="s">
        <v>717</v>
      </c>
      <c r="C2" t="s">
        <v>372</v>
      </c>
      <c r="D2">
        <v>4</v>
      </c>
      <c r="E2" t="b">
        <v>1</v>
      </c>
    </row>
    <row r="3" spans="1:5" x14ac:dyDescent="0.3">
      <c r="A3" t="s">
        <v>383</v>
      </c>
      <c r="B3" t="s">
        <v>718</v>
      </c>
      <c r="C3" t="s">
        <v>373</v>
      </c>
      <c r="D3">
        <v>3</v>
      </c>
      <c r="E3" t="b">
        <v>1</v>
      </c>
    </row>
    <row r="4" spans="1:5" x14ac:dyDescent="0.3">
      <c r="A4" t="s">
        <v>384</v>
      </c>
      <c r="B4" t="s">
        <v>377</v>
      </c>
      <c r="C4" t="s">
        <v>374</v>
      </c>
      <c r="D4">
        <v>2</v>
      </c>
      <c r="E4" t="b">
        <v>0</v>
      </c>
    </row>
    <row r="5" spans="1:5" x14ac:dyDescent="0.3">
      <c r="A5" t="s">
        <v>385</v>
      </c>
      <c r="B5" t="s">
        <v>376</v>
      </c>
      <c r="C5" t="s">
        <v>375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180</v>
      </c>
      <c r="C1" s="21" t="s">
        <v>719</v>
      </c>
      <c r="D1" s="21" t="s">
        <v>137</v>
      </c>
      <c r="E1" s="21" t="s">
        <v>57</v>
      </c>
      <c r="F1" s="21" t="s">
        <v>378</v>
      </c>
      <c r="G1" s="21" t="s">
        <v>379</v>
      </c>
      <c r="H1" s="21" t="s">
        <v>380</v>
      </c>
      <c r="I1" s="21" t="s">
        <v>381</v>
      </c>
      <c r="J1" s="25" t="s">
        <v>809</v>
      </c>
      <c r="K1" s="25" t="s">
        <v>807</v>
      </c>
    </row>
    <row r="2" spans="1:11" x14ac:dyDescent="0.3">
      <c r="A2" t="s">
        <v>395</v>
      </c>
      <c r="B2" t="s">
        <v>382</v>
      </c>
      <c r="C2" t="str">
        <f>INDEX(RegionSet!$C:$C,MATCH($B2,RegionSet!$A:$A,0))</f>
        <v>Postal codes - Level 4</v>
      </c>
      <c r="D2" s="11" t="s">
        <v>387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396</v>
      </c>
      <c r="B3" t="s">
        <v>382</v>
      </c>
      <c r="C3" t="str">
        <f>INDEX(RegionSet!$C:$C,MATCH($B3,RegionSet!$A:$A,0))</f>
        <v>Postal codes - Level 4</v>
      </c>
      <c r="D3" s="11" t="s">
        <v>391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397</v>
      </c>
      <c r="B4" t="s">
        <v>382</v>
      </c>
      <c r="C4" t="str">
        <f>INDEX(RegionSet!$C:$C,MATCH($B4,RegionSet!$A:$A,0))</f>
        <v>Postal codes - Level 4</v>
      </c>
      <c r="D4" s="11" t="s">
        <v>392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398</v>
      </c>
      <c r="B5" t="s">
        <v>382</v>
      </c>
      <c r="C5" t="str">
        <f>INDEX(RegionSet!$C:$C,MATCH($B5,RegionSet!$A:$A,0))</f>
        <v>Postal codes - Level 4</v>
      </c>
      <c r="D5" s="11" t="s">
        <v>389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399</v>
      </c>
      <c r="B6" t="s">
        <v>382</v>
      </c>
      <c r="C6" t="str">
        <f>INDEX(RegionSet!$C:$C,MATCH($B6,RegionSet!$A:$A,0))</f>
        <v>Postal codes - Level 4</v>
      </c>
      <c r="D6" s="11" t="s">
        <v>388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400</v>
      </c>
      <c r="B7" t="s">
        <v>382</v>
      </c>
      <c r="C7" t="str">
        <f>INDEX(RegionSet!$C:$C,MATCH($B7,RegionSet!$A:$A,0))</f>
        <v>Postal codes - Level 4</v>
      </c>
      <c r="D7" s="11" t="s">
        <v>390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401</v>
      </c>
      <c r="B8" t="s">
        <v>383</v>
      </c>
      <c r="C8" t="str">
        <f>INDEX(RegionSet!$C:$C,MATCH($B8,RegionSet!$A:$A,0))</f>
        <v>Postal codes - Level 3</v>
      </c>
      <c r="D8" s="11" t="s">
        <v>393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402</v>
      </c>
      <c r="B9" t="s">
        <v>383</v>
      </c>
      <c r="C9" t="str">
        <f>INDEX(RegionSet!$C:$C,MATCH($B9,RegionSet!$A:$A,0))</f>
        <v>Postal codes - Level 3</v>
      </c>
      <c r="D9" s="11" t="s">
        <v>394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403</v>
      </c>
      <c r="B10" t="s">
        <v>384</v>
      </c>
      <c r="C10" t="str">
        <f>INDEX(RegionSet!$C:$C,MATCH($B10,RegionSet!$A:$A,0))</f>
        <v>Municipalities</v>
      </c>
      <c r="D10" t="s">
        <v>386</v>
      </c>
      <c r="E10" t="s">
        <v>720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404</v>
      </c>
      <c r="B11" t="s">
        <v>384</v>
      </c>
      <c r="C11" t="str">
        <f>INDEX(RegionSet!$C:$C,MATCH($B11,RegionSet!$A:$A,0))</f>
        <v>Municipalities</v>
      </c>
      <c r="D11" t="s">
        <v>810</v>
      </c>
      <c r="E11" t="s">
        <v>721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405</v>
      </c>
      <c r="B12" t="s">
        <v>384</v>
      </c>
      <c r="C12" t="str">
        <f>INDEX(RegionSet!$C:$C,MATCH($B12,RegionSet!$A:$A,0))</f>
        <v>Municipalities</v>
      </c>
      <c r="D12" t="s">
        <v>811</v>
      </c>
      <c r="E12" t="s">
        <v>722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406</v>
      </c>
      <c r="B13" t="s">
        <v>385</v>
      </c>
      <c r="C13" t="str">
        <f>INDEX(RegionSet!$C:$C,MATCH($B13,RegionSet!$A:$A,0))</f>
        <v>Provinces</v>
      </c>
      <c r="D13" t="s">
        <v>723</v>
      </c>
      <c r="E13" t="s">
        <v>812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407</v>
      </c>
      <c r="B14" t="s">
        <v>385</v>
      </c>
      <c r="C14" t="str">
        <f>INDEX(RegionSet!$C:$C,MATCH($B14,RegionSet!$A:$A,0))</f>
        <v>Provinces</v>
      </c>
      <c r="D14" t="s">
        <v>724</v>
      </c>
      <c r="E14" t="s">
        <v>813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408</v>
      </c>
      <c r="B15" t="s">
        <v>385</v>
      </c>
      <c r="C15" t="str">
        <f>INDEX(RegionSet!$C:$C,MATCH($B15,RegionSet!$A:$A,0))</f>
        <v>Provinces</v>
      </c>
      <c r="D15" t="s">
        <v>725</v>
      </c>
      <c r="E15" t="s">
        <v>814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409</v>
      </c>
      <c r="C1" s="21" t="s">
        <v>726</v>
      </c>
      <c r="D1" s="21" t="s">
        <v>410</v>
      </c>
      <c r="E1" s="21" t="s">
        <v>727</v>
      </c>
      <c r="F1" s="21" t="s">
        <v>411</v>
      </c>
    </row>
    <row r="2" spans="1:6" x14ac:dyDescent="0.3">
      <c r="A2" t="s">
        <v>413</v>
      </c>
      <c r="B2" t="s">
        <v>401</v>
      </c>
      <c r="C2" t="str">
        <f>INDEX(Region!$E:$E,MATCH($B2,Region!$A:$A,0))</f>
        <v>PC_101</v>
      </c>
      <c r="D2" t="s">
        <v>395</v>
      </c>
      <c r="E2" t="str">
        <f>INDEX(Region!$E:$E,MATCH($D2,Region!$A:$A,0))</f>
        <v>PC_1011</v>
      </c>
      <c r="F2" t="s">
        <v>412</v>
      </c>
    </row>
    <row r="3" spans="1:6" x14ac:dyDescent="0.3">
      <c r="A3" t="s">
        <v>414</v>
      </c>
      <c r="B3" t="s">
        <v>401</v>
      </c>
      <c r="C3" t="str">
        <f>INDEX(Region!$E:$E,MATCH($B3,Region!$A:$A,0))</f>
        <v>PC_101</v>
      </c>
      <c r="D3" t="s">
        <v>396</v>
      </c>
      <c r="E3" t="str">
        <f>INDEX(Region!$E:$E,MATCH($D3,Region!$A:$A,0))</f>
        <v>PC_1012</v>
      </c>
      <c r="F3" t="s">
        <v>412</v>
      </c>
    </row>
    <row r="4" spans="1:6" x14ac:dyDescent="0.3">
      <c r="A4" t="s">
        <v>415</v>
      </c>
      <c r="B4" t="s">
        <v>401</v>
      </c>
      <c r="C4" t="str">
        <f>INDEX(Region!$E:$E,MATCH($B4,Region!$A:$A,0))</f>
        <v>PC_101</v>
      </c>
      <c r="D4" t="s">
        <v>397</v>
      </c>
      <c r="E4" t="str">
        <f>INDEX(Region!$E:$E,MATCH($D4,Region!$A:$A,0))</f>
        <v>PC_1013</v>
      </c>
      <c r="F4" t="s">
        <v>412</v>
      </c>
    </row>
    <row r="5" spans="1:6" x14ac:dyDescent="0.3">
      <c r="A5" t="s">
        <v>416</v>
      </c>
      <c r="B5" t="s">
        <v>402</v>
      </c>
      <c r="C5" t="str">
        <f>INDEX(Region!$E:$E,MATCH($B5,Region!$A:$A,0))</f>
        <v>PC_102</v>
      </c>
      <c r="D5" t="s">
        <v>398</v>
      </c>
      <c r="E5" t="str">
        <f>INDEX(Region!$E:$E,MATCH($D5,Region!$A:$A,0))</f>
        <v>PC_1021</v>
      </c>
      <c r="F5" t="s">
        <v>412</v>
      </c>
    </row>
    <row r="6" spans="1:6" x14ac:dyDescent="0.3">
      <c r="A6" t="s">
        <v>417</v>
      </c>
      <c r="B6" t="s">
        <v>402</v>
      </c>
      <c r="C6" t="str">
        <f>INDEX(Region!$E:$E,MATCH($B6,Region!$A:$A,0))</f>
        <v>PC_102</v>
      </c>
      <c r="D6" t="s">
        <v>399</v>
      </c>
      <c r="E6" t="str">
        <f>INDEX(Region!$E:$E,MATCH($D6,Region!$A:$A,0))</f>
        <v>PC_1022</v>
      </c>
      <c r="F6" t="s">
        <v>412</v>
      </c>
    </row>
    <row r="7" spans="1:6" x14ac:dyDescent="0.3">
      <c r="A7" t="s">
        <v>418</v>
      </c>
      <c r="B7" t="s">
        <v>402</v>
      </c>
      <c r="C7" t="str">
        <f>INDEX(Region!$E:$E,MATCH($B7,Region!$A:$A,0))</f>
        <v>PC_102</v>
      </c>
      <c r="D7" t="s">
        <v>400</v>
      </c>
      <c r="E7" t="str">
        <f>INDEX(Region!$E:$E,MATCH($D7,Region!$A:$A,0))</f>
        <v>PC_1023</v>
      </c>
      <c r="F7" t="s">
        <v>412</v>
      </c>
    </row>
    <row r="8" spans="1:6" x14ac:dyDescent="0.3">
      <c r="A8" t="s">
        <v>419</v>
      </c>
      <c r="B8" t="s">
        <v>403</v>
      </c>
      <c r="C8" t="str">
        <f>INDEX(Region!$E:$E,MATCH($B8,Region!$A:$A,0))</f>
        <v>MUN_A</v>
      </c>
      <c r="D8" t="s">
        <v>395</v>
      </c>
      <c r="E8" t="str">
        <f>INDEX(Region!$E:$E,MATCH($D8,Region!$A:$A,0))</f>
        <v>PC_1011</v>
      </c>
      <c r="F8" t="s">
        <v>412</v>
      </c>
    </row>
    <row r="9" spans="1:6" x14ac:dyDescent="0.3">
      <c r="A9" t="s">
        <v>420</v>
      </c>
      <c r="B9" t="s">
        <v>403</v>
      </c>
      <c r="C9" t="str">
        <f>INDEX(Region!$E:$E,MATCH($B9,Region!$A:$A,0))</f>
        <v>MUN_A</v>
      </c>
      <c r="D9" t="s">
        <v>396</v>
      </c>
      <c r="E9" t="str">
        <f>INDEX(Region!$E:$E,MATCH($D9,Region!$A:$A,0))</f>
        <v>PC_1012</v>
      </c>
      <c r="F9" t="s">
        <v>412</v>
      </c>
    </row>
    <row r="10" spans="1:6" x14ac:dyDescent="0.3">
      <c r="A10" t="s">
        <v>421</v>
      </c>
      <c r="B10" t="s">
        <v>404</v>
      </c>
      <c r="C10" t="str">
        <f>INDEX(Region!$E:$E,MATCH($B10,Region!$A:$A,0))</f>
        <v>MUN_B</v>
      </c>
      <c r="D10" t="s">
        <v>397</v>
      </c>
      <c r="E10" t="str">
        <f>INDEX(Region!$E:$E,MATCH($D10,Region!$A:$A,0))</f>
        <v>PC_1013</v>
      </c>
      <c r="F10" t="s">
        <v>412</v>
      </c>
    </row>
    <row r="11" spans="1:6" x14ac:dyDescent="0.3">
      <c r="A11" t="s">
        <v>422</v>
      </c>
      <c r="B11" t="s">
        <v>404</v>
      </c>
      <c r="C11" t="str">
        <f>INDEX(Region!$E:$E,MATCH($B11,Region!$A:$A,0))</f>
        <v>MUN_B</v>
      </c>
      <c r="D11" t="s">
        <v>398</v>
      </c>
      <c r="E11" t="str">
        <f>INDEX(Region!$E:$E,MATCH($D11,Region!$A:$A,0))</f>
        <v>PC_1021</v>
      </c>
      <c r="F11" t="s">
        <v>412</v>
      </c>
    </row>
    <row r="12" spans="1:6" x14ac:dyDescent="0.3">
      <c r="A12" t="s">
        <v>423</v>
      </c>
      <c r="B12" t="s">
        <v>405</v>
      </c>
      <c r="C12" t="str">
        <f>INDEX(Region!$E:$E,MATCH($B12,Region!$A:$A,0))</f>
        <v>MUN_C</v>
      </c>
      <c r="D12" t="s">
        <v>399</v>
      </c>
      <c r="E12" t="str">
        <f>INDEX(Region!$E:$E,MATCH($D12,Region!$A:$A,0))</f>
        <v>PC_1022</v>
      </c>
      <c r="F12" t="s">
        <v>412</v>
      </c>
    </row>
    <row r="13" spans="1:6" x14ac:dyDescent="0.3">
      <c r="A13" t="s">
        <v>424</v>
      </c>
      <c r="B13" t="s">
        <v>405</v>
      </c>
      <c r="C13" t="str">
        <f>INDEX(Region!$E:$E,MATCH($B13,Region!$A:$A,0))</f>
        <v>MUN_C</v>
      </c>
      <c r="D13" t="s">
        <v>400</v>
      </c>
      <c r="E13" t="str">
        <f>INDEX(Region!$E:$E,MATCH($D13,Region!$A:$A,0))</f>
        <v>PC_1023</v>
      </c>
      <c r="F13" t="s">
        <v>412</v>
      </c>
    </row>
    <row r="14" spans="1:6" x14ac:dyDescent="0.3">
      <c r="A14" t="s">
        <v>425</v>
      </c>
      <c r="B14" t="s">
        <v>406</v>
      </c>
      <c r="C14" t="str">
        <f>INDEX(Region!$E:$E,MATCH($B14,Region!$A:$A,0))</f>
        <v>Province_1</v>
      </c>
      <c r="D14" t="s">
        <v>395</v>
      </c>
      <c r="E14" t="str">
        <f>INDEX(Region!$E:$E,MATCH($D14,Region!$A:$A,0))</f>
        <v>PC_1011</v>
      </c>
      <c r="F14" t="s">
        <v>412</v>
      </c>
    </row>
    <row r="15" spans="1:6" x14ac:dyDescent="0.3">
      <c r="A15" t="s">
        <v>426</v>
      </c>
      <c r="B15" t="s">
        <v>406</v>
      </c>
      <c r="C15" t="str">
        <f>INDEX(Region!$E:$E,MATCH($B15,Region!$A:$A,0))</f>
        <v>Province_1</v>
      </c>
      <c r="D15" t="s">
        <v>396</v>
      </c>
      <c r="E15" t="str">
        <f>INDEX(Region!$E:$E,MATCH($D15,Region!$A:$A,0))</f>
        <v>PC_1012</v>
      </c>
      <c r="F15" t="s">
        <v>412</v>
      </c>
    </row>
    <row r="16" spans="1:6" x14ac:dyDescent="0.3">
      <c r="A16" t="s">
        <v>427</v>
      </c>
      <c r="B16" t="s">
        <v>406</v>
      </c>
      <c r="C16" t="str">
        <f>INDEX(Region!$E:$E,MATCH($B16,Region!$A:$A,0))</f>
        <v>Province_1</v>
      </c>
      <c r="D16" t="s">
        <v>397</v>
      </c>
      <c r="E16" t="str">
        <f>INDEX(Region!$E:$E,MATCH($D16,Region!$A:$A,0))</f>
        <v>PC_1013</v>
      </c>
      <c r="F16" t="s">
        <v>412</v>
      </c>
    </row>
    <row r="17" spans="1:6" x14ac:dyDescent="0.3">
      <c r="A17" t="s">
        <v>428</v>
      </c>
      <c r="B17" t="s">
        <v>406</v>
      </c>
      <c r="C17" t="str">
        <f>INDEX(Region!$E:$E,MATCH($B17,Region!$A:$A,0))</f>
        <v>Province_1</v>
      </c>
      <c r="D17" t="s">
        <v>398</v>
      </c>
      <c r="E17" t="str">
        <f>INDEX(Region!$E:$E,MATCH($D17,Region!$A:$A,0))</f>
        <v>PC_1021</v>
      </c>
      <c r="F17" t="s">
        <v>412</v>
      </c>
    </row>
    <row r="18" spans="1:6" x14ac:dyDescent="0.3">
      <c r="A18" t="s">
        <v>429</v>
      </c>
      <c r="B18" t="s">
        <v>407</v>
      </c>
      <c r="C18" t="str">
        <f>INDEX(Region!$E:$E,MATCH($B18,Region!$A:$A,0))</f>
        <v>Province_2</v>
      </c>
      <c r="D18" t="s">
        <v>399</v>
      </c>
      <c r="E18" t="str">
        <f>INDEX(Region!$E:$E,MATCH($D18,Region!$A:$A,0))</f>
        <v>PC_1022</v>
      </c>
      <c r="F18" t="s">
        <v>412</v>
      </c>
    </row>
    <row r="19" spans="1:6" x14ac:dyDescent="0.3">
      <c r="A19" t="s">
        <v>430</v>
      </c>
      <c r="B19" t="s">
        <v>407</v>
      </c>
      <c r="C19" t="str">
        <f>INDEX(Region!$E:$E,MATCH($B19,Region!$A:$A,0))</f>
        <v>Province_2</v>
      </c>
      <c r="D19" t="s">
        <v>400</v>
      </c>
      <c r="E19" t="str">
        <f>INDEX(Region!$E:$E,MATCH($D19,Region!$A:$A,0))</f>
        <v>PC_1023</v>
      </c>
      <c r="F19" t="s">
        <v>412</v>
      </c>
    </row>
    <row r="20" spans="1:6" x14ac:dyDescent="0.3">
      <c r="A20" t="s">
        <v>431</v>
      </c>
      <c r="B20" t="s">
        <v>406</v>
      </c>
      <c r="C20" t="str">
        <f>INDEX(Region!$E:$E,MATCH($B20,Region!$A:$A,0))</f>
        <v>Province_1</v>
      </c>
      <c r="D20" t="s">
        <v>403</v>
      </c>
      <c r="E20" t="str">
        <f>INDEX(Region!$E:$E,MATCH($D20,Region!$A:$A,0))</f>
        <v>MUN_A</v>
      </c>
      <c r="F20" t="s">
        <v>412</v>
      </c>
    </row>
    <row r="21" spans="1:6" x14ac:dyDescent="0.3">
      <c r="A21" t="s">
        <v>432</v>
      </c>
      <c r="B21" t="s">
        <v>406</v>
      </c>
      <c r="C21" t="str">
        <f>INDEX(Region!$E:$E,MATCH($B21,Region!$A:$A,0))</f>
        <v>Province_1</v>
      </c>
      <c r="D21" t="s">
        <v>404</v>
      </c>
      <c r="E21" t="str">
        <f>INDEX(Region!$E:$E,MATCH($D21,Region!$A:$A,0))</f>
        <v>MUN_B</v>
      </c>
      <c r="F21" t="s">
        <v>412</v>
      </c>
    </row>
    <row r="22" spans="1:6" x14ac:dyDescent="0.3">
      <c r="A22" t="s">
        <v>433</v>
      </c>
      <c r="B22" t="s">
        <v>407</v>
      </c>
      <c r="C22" t="str">
        <f>INDEX(Region!$E:$E,MATCH($B22,Region!$A:$A,0))</f>
        <v>Province_2</v>
      </c>
      <c r="D22" t="s">
        <v>405</v>
      </c>
      <c r="E22" t="str">
        <f>INDEX(Region!$E:$E,MATCH($D22,Region!$A:$A,0))</f>
        <v>MUN_C</v>
      </c>
      <c r="F22" t="s">
        <v>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200</v>
      </c>
      <c r="D1" s="1" t="s">
        <v>201</v>
      </c>
      <c r="E1" s="1" t="s">
        <v>202</v>
      </c>
    </row>
    <row r="2" spans="1:5" x14ac:dyDescent="0.3">
      <c r="A2" t="s">
        <v>43</v>
      </c>
      <c r="B2" t="s">
        <v>203</v>
      </c>
      <c r="C2" t="s">
        <v>203</v>
      </c>
    </row>
    <row r="3" spans="1:5" x14ac:dyDescent="0.3">
      <c r="A3" t="s">
        <v>46</v>
      </c>
      <c r="B3" t="s">
        <v>204</v>
      </c>
      <c r="C3" t="s">
        <v>204</v>
      </c>
    </row>
    <row r="4" spans="1:5" x14ac:dyDescent="0.3">
      <c r="A4" t="s">
        <v>49</v>
      </c>
      <c r="B4" t="s">
        <v>205</v>
      </c>
      <c r="C4" t="s">
        <v>205</v>
      </c>
    </row>
    <row r="5" spans="1:5" x14ac:dyDescent="0.3">
      <c r="A5" t="s">
        <v>52</v>
      </c>
      <c r="B5" t="s">
        <v>206</v>
      </c>
      <c r="C5" t="s">
        <v>206</v>
      </c>
    </row>
    <row r="6" spans="1:5" x14ac:dyDescent="0.3">
      <c r="A6" t="s">
        <v>55</v>
      </c>
      <c r="B6" t="s">
        <v>207</v>
      </c>
      <c r="C6" t="s">
        <v>207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189</v>
      </c>
      <c r="C2" s="6" t="str">
        <f>"dc"&amp;RIGHT($B2,LEN($B2)-15)</f>
        <v>dc1</v>
      </c>
    </row>
    <row r="3" spans="1:3" x14ac:dyDescent="0.3">
      <c r="A3" t="s">
        <v>17</v>
      </c>
      <c r="B3" t="s">
        <v>190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191</v>
      </c>
      <c r="C4" s="6" t="str">
        <f t="shared" si="0"/>
        <v>dc3</v>
      </c>
    </row>
    <row r="5" spans="1:3" x14ac:dyDescent="0.3">
      <c r="A5" t="s">
        <v>29</v>
      </c>
      <c r="B5" t="s">
        <v>192</v>
      </c>
      <c r="C5" s="6" t="str">
        <f t="shared" si="0"/>
        <v>dc4</v>
      </c>
    </row>
    <row r="6" spans="1:3" x14ac:dyDescent="0.3">
      <c r="A6" t="s">
        <v>35</v>
      </c>
      <c r="B6" t="s">
        <v>193</v>
      </c>
      <c r="C6" s="6" t="str">
        <f t="shared" si="0"/>
        <v>dc5</v>
      </c>
    </row>
    <row r="7" spans="1:3" x14ac:dyDescent="0.3">
      <c r="A7" t="s">
        <v>15</v>
      </c>
      <c r="B7" t="s">
        <v>194</v>
      </c>
      <c r="C7" s="6" t="str">
        <f t="shared" si="0"/>
        <v>dc6</v>
      </c>
    </row>
    <row r="8" spans="1:3" x14ac:dyDescent="0.3">
      <c r="A8" t="s">
        <v>21</v>
      </c>
      <c r="B8" t="s">
        <v>195</v>
      </c>
      <c r="C8" s="6" t="str">
        <f t="shared" si="0"/>
        <v>dc7</v>
      </c>
    </row>
    <row r="9" spans="1:3" x14ac:dyDescent="0.3">
      <c r="A9" t="s">
        <v>27</v>
      </c>
      <c r="B9" t="s">
        <v>196</v>
      </c>
      <c r="C9" s="6" t="str">
        <f t="shared" si="0"/>
        <v>dc8</v>
      </c>
    </row>
    <row r="10" spans="1:3" x14ac:dyDescent="0.3">
      <c r="A10" t="s">
        <v>33</v>
      </c>
      <c r="B10" t="s">
        <v>197</v>
      </c>
      <c r="C10" s="6" t="str">
        <f t="shared" si="0"/>
        <v>dc9</v>
      </c>
    </row>
    <row r="11" spans="1:3" x14ac:dyDescent="0.3">
      <c r="A11" t="s">
        <v>39</v>
      </c>
      <c r="B11" t="s">
        <v>198</v>
      </c>
      <c r="C11" s="6" t="str">
        <f t="shared" si="0"/>
        <v>dc10</v>
      </c>
    </row>
    <row r="12" spans="1:3" x14ac:dyDescent="0.3">
      <c r="A12" t="s">
        <v>40</v>
      </c>
      <c r="B12" t="s">
        <v>199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C7" sqref="C7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843</v>
      </c>
      <c r="C1" s="1" t="s">
        <v>185</v>
      </c>
      <c r="D1" s="1" t="s">
        <v>57</v>
      </c>
      <c r="E1" s="1" t="s">
        <v>3</v>
      </c>
      <c r="F1" s="1" t="s">
        <v>186</v>
      </c>
      <c r="G1" s="1" t="s">
        <v>41</v>
      </c>
      <c r="H1" s="5" t="s">
        <v>772</v>
      </c>
      <c r="I1" s="5" t="s">
        <v>773</v>
      </c>
      <c r="J1" s="5" t="s">
        <v>774</v>
      </c>
      <c r="K1" s="5" t="s">
        <v>775</v>
      </c>
      <c r="L1" s="5" t="s">
        <v>776</v>
      </c>
      <c r="M1" s="17" t="s">
        <v>280</v>
      </c>
    </row>
    <row r="2" spans="1:13" x14ac:dyDescent="0.3">
      <c r="A2" t="s">
        <v>842</v>
      </c>
      <c r="B2" t="s">
        <v>849</v>
      </c>
      <c r="C2" t="s">
        <v>849</v>
      </c>
      <c r="D2" t="str">
        <f>LEFT(C2,FIND("@",C2)-1)</f>
        <v>root1_1</v>
      </c>
      <c r="E2" t="b">
        <v>1</v>
      </c>
      <c r="F2" t="s">
        <v>848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187</v>
      </c>
      <c r="B3" t="s">
        <v>850</v>
      </c>
      <c r="C3" t="s">
        <v>850</v>
      </c>
      <c r="D3" t="str">
        <f t="shared" ref="D3:D29" si="0">LEFT(C3,FIND("@",C3)-1)</f>
        <v>app_admin1_1</v>
      </c>
      <c r="E3" t="b">
        <v>1</v>
      </c>
      <c r="F3" t="s">
        <v>844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188</v>
      </c>
      <c r="B4" s="20" t="s">
        <v>851</v>
      </c>
      <c r="C4" s="20" t="s">
        <v>851</v>
      </c>
      <c r="D4" t="str">
        <f t="shared" si="0"/>
        <v>refdata_admin1_1</v>
      </c>
      <c r="E4" t="b">
        <v>1</v>
      </c>
      <c r="F4" t="s">
        <v>845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852</v>
      </c>
      <c r="C5" t="s">
        <v>852</v>
      </c>
      <c r="D5" t="str">
        <f t="shared" si="0"/>
        <v>org_admin1_1</v>
      </c>
      <c r="E5" t="b">
        <v>1</v>
      </c>
      <c r="F5" t="s">
        <v>846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853</v>
      </c>
      <c r="C6" t="s">
        <v>853</v>
      </c>
      <c r="D6" t="str">
        <f t="shared" si="0"/>
        <v>org_admin2_1</v>
      </c>
      <c r="E6" t="b">
        <v>1</v>
      </c>
      <c r="F6" t="s">
        <v>846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854</v>
      </c>
      <c r="C7" t="s">
        <v>854</v>
      </c>
      <c r="D7" t="str">
        <f t="shared" si="0"/>
        <v>org_admin3_1</v>
      </c>
      <c r="E7" t="b">
        <v>1</v>
      </c>
      <c r="F7" t="s">
        <v>846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855</v>
      </c>
      <c r="C8" t="s">
        <v>855</v>
      </c>
      <c r="D8" t="str">
        <f t="shared" si="0"/>
        <v>org_admin4_1</v>
      </c>
      <c r="E8" t="b">
        <v>1</v>
      </c>
      <c r="F8" t="s">
        <v>846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856</v>
      </c>
      <c r="C9" t="s">
        <v>856</v>
      </c>
      <c r="D9" t="str">
        <f t="shared" si="0"/>
        <v>org_admin5_1</v>
      </c>
      <c r="E9" t="b">
        <v>1</v>
      </c>
      <c r="F9" t="s">
        <v>846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857</v>
      </c>
      <c r="C10" t="s">
        <v>857</v>
      </c>
      <c r="D10" t="str">
        <f t="shared" si="0"/>
        <v>org_user1_1</v>
      </c>
      <c r="E10" t="b">
        <v>1</v>
      </c>
      <c r="F10" t="s">
        <v>847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858</v>
      </c>
      <c r="C11" t="s">
        <v>858</v>
      </c>
      <c r="D11" t="str">
        <f t="shared" si="0"/>
        <v>org_user1_2</v>
      </c>
      <c r="E11" t="b">
        <v>1</v>
      </c>
      <c r="F11" t="s">
        <v>847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859</v>
      </c>
      <c r="C12" t="s">
        <v>859</v>
      </c>
      <c r="D12" t="str">
        <f t="shared" si="0"/>
        <v>org_user1_3</v>
      </c>
      <c r="E12" t="b">
        <v>1</v>
      </c>
      <c r="F12" t="s">
        <v>847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860</v>
      </c>
      <c r="C13" t="s">
        <v>860</v>
      </c>
      <c r="D13" t="str">
        <f t="shared" si="0"/>
        <v>org_user1_4</v>
      </c>
      <c r="E13" t="b">
        <v>1</v>
      </c>
      <c r="F13" t="s">
        <v>847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861</v>
      </c>
      <c r="C14" t="s">
        <v>861</v>
      </c>
      <c r="D14" t="str">
        <f t="shared" si="0"/>
        <v>org_user2_1</v>
      </c>
      <c r="E14" t="b">
        <v>1</v>
      </c>
      <c r="F14" t="s">
        <v>847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862</v>
      </c>
      <c r="C15" t="s">
        <v>862</v>
      </c>
      <c r="D15" t="str">
        <f t="shared" si="0"/>
        <v>org_user2_2</v>
      </c>
      <c r="E15" t="b">
        <v>1</v>
      </c>
      <c r="F15" t="s">
        <v>847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863</v>
      </c>
      <c r="C16" t="s">
        <v>863</v>
      </c>
      <c r="D16" t="str">
        <f t="shared" si="0"/>
        <v>org_user2_3</v>
      </c>
      <c r="E16" t="b">
        <v>1</v>
      </c>
      <c r="F16" t="s">
        <v>847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864</v>
      </c>
      <c r="C17" t="s">
        <v>864</v>
      </c>
      <c r="D17" t="str">
        <f t="shared" si="0"/>
        <v>org_user2_4</v>
      </c>
      <c r="E17" t="b">
        <v>1</v>
      </c>
      <c r="F17" t="s">
        <v>847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865</v>
      </c>
      <c r="C18" t="s">
        <v>865</v>
      </c>
      <c r="D18" t="str">
        <f t="shared" si="0"/>
        <v>org_user3_1</v>
      </c>
      <c r="E18" t="b">
        <v>1</v>
      </c>
      <c r="F18" t="s">
        <v>847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866</v>
      </c>
      <c r="C19" t="s">
        <v>866</v>
      </c>
      <c r="D19" t="str">
        <f t="shared" si="0"/>
        <v>org_user3_2</v>
      </c>
      <c r="E19" t="b">
        <v>1</v>
      </c>
      <c r="F19" t="s">
        <v>847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867</v>
      </c>
      <c r="C20" t="s">
        <v>867</v>
      </c>
      <c r="D20" t="str">
        <f t="shared" si="0"/>
        <v>org_user3_3</v>
      </c>
      <c r="E20" t="b">
        <v>1</v>
      </c>
      <c r="F20" t="s">
        <v>847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868</v>
      </c>
      <c r="C21" t="s">
        <v>868</v>
      </c>
      <c r="D21" t="str">
        <f t="shared" si="0"/>
        <v>org_user3_4</v>
      </c>
      <c r="E21" t="b">
        <v>1</v>
      </c>
      <c r="F21" t="s">
        <v>847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869</v>
      </c>
      <c r="C22" t="s">
        <v>869</v>
      </c>
      <c r="D22" t="str">
        <f t="shared" si="0"/>
        <v>org_user4_1</v>
      </c>
      <c r="E22" t="b">
        <v>1</v>
      </c>
      <c r="F22" t="s">
        <v>847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870</v>
      </c>
      <c r="C23" t="s">
        <v>870</v>
      </c>
      <c r="D23" t="str">
        <f t="shared" si="0"/>
        <v>org_user4_2</v>
      </c>
      <c r="E23" t="b">
        <v>1</v>
      </c>
      <c r="F23" t="s">
        <v>847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871</v>
      </c>
      <c r="C24" t="s">
        <v>871</v>
      </c>
      <c r="D24" t="str">
        <f t="shared" si="0"/>
        <v>org_user4_3</v>
      </c>
      <c r="E24" t="b">
        <v>1</v>
      </c>
      <c r="F24" t="s">
        <v>847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872</v>
      </c>
      <c r="C25" t="s">
        <v>872</v>
      </c>
      <c r="D25" t="str">
        <f t="shared" si="0"/>
        <v>org_user4_4</v>
      </c>
      <c r="E25" t="b">
        <v>1</v>
      </c>
      <c r="F25" t="s">
        <v>847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873</v>
      </c>
      <c r="C26" t="s">
        <v>873</v>
      </c>
      <c r="D26" t="str">
        <f t="shared" si="0"/>
        <v>org_user5_1</v>
      </c>
      <c r="E26" t="b">
        <v>1</v>
      </c>
      <c r="F26" t="s">
        <v>847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874</v>
      </c>
      <c r="C27" t="s">
        <v>874</v>
      </c>
      <c r="D27" t="str">
        <f t="shared" si="0"/>
        <v>org_user5_2</v>
      </c>
      <c r="E27" t="b">
        <v>1</v>
      </c>
      <c r="F27" t="s">
        <v>847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875</v>
      </c>
      <c r="C28" t="s">
        <v>875</v>
      </c>
      <c r="D28" t="str">
        <f t="shared" si="0"/>
        <v>org_user5_3</v>
      </c>
      <c r="E28" t="b">
        <v>1</v>
      </c>
      <c r="F28" t="s">
        <v>847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876</v>
      </c>
      <c r="C29" t="s">
        <v>876</v>
      </c>
      <c r="D29" t="str">
        <f t="shared" si="0"/>
        <v>org_user5_4</v>
      </c>
      <c r="E29" t="b">
        <v>1</v>
      </c>
      <c r="F29" t="s">
        <v>847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843</v>
      </c>
      <c r="C1" s="1" t="s">
        <v>185</v>
      </c>
      <c r="D1" s="10" t="s">
        <v>272</v>
      </c>
      <c r="E1" s="1" t="s">
        <v>209</v>
      </c>
      <c r="F1" s="1" t="s">
        <v>210</v>
      </c>
      <c r="G1" s="1" t="s">
        <v>186</v>
      </c>
      <c r="H1" s="1" t="s">
        <v>211</v>
      </c>
      <c r="I1" s="10" t="s">
        <v>275</v>
      </c>
      <c r="J1" s="1" t="s">
        <v>41</v>
      </c>
      <c r="K1" s="10" t="s">
        <v>268</v>
      </c>
    </row>
    <row r="2" spans="1:11" x14ac:dyDescent="0.3">
      <c r="A2" t="s">
        <v>212</v>
      </c>
      <c r="B2" t="s">
        <v>728</v>
      </c>
      <c r="C2" t="s">
        <v>728</v>
      </c>
      <c r="D2" s="6" t="str">
        <f>LEFT($C2,LEN($C2)-9)</f>
        <v>app_admin1_1</v>
      </c>
      <c r="E2" t="s">
        <v>213</v>
      </c>
      <c r="F2" s="2">
        <v>45743.390918726589</v>
      </c>
      <c r="G2" t="s">
        <v>844</v>
      </c>
      <c r="H2" t="s">
        <v>842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214</v>
      </c>
      <c r="B3" s="20" t="s">
        <v>729</v>
      </c>
      <c r="C3" s="20" t="s">
        <v>729</v>
      </c>
      <c r="D3" s="6" t="str">
        <f t="shared" ref="D3:D28" si="0">LEFT($C3,LEN($C3)-9)</f>
        <v>refdata_admin1_1</v>
      </c>
      <c r="E3" t="s">
        <v>215</v>
      </c>
      <c r="F3" s="2">
        <v>45743.390918741461</v>
      </c>
      <c r="G3" t="s">
        <v>845</v>
      </c>
      <c r="H3" t="s">
        <v>187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216</v>
      </c>
      <c r="B4" t="s">
        <v>730</v>
      </c>
      <c r="C4" t="s">
        <v>730</v>
      </c>
      <c r="D4" s="6" t="str">
        <f t="shared" si="0"/>
        <v>org_admin1_1</v>
      </c>
      <c r="E4" t="s">
        <v>217</v>
      </c>
      <c r="F4" s="2">
        <v>45743.390918746562</v>
      </c>
      <c r="G4" t="s">
        <v>846</v>
      </c>
      <c r="H4" t="s">
        <v>187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218</v>
      </c>
      <c r="B5" t="s">
        <v>731</v>
      </c>
      <c r="C5" t="s">
        <v>731</v>
      </c>
      <c r="D5" s="6" t="str">
        <f t="shared" si="0"/>
        <v>org_admin2_1</v>
      </c>
      <c r="E5" t="s">
        <v>219</v>
      </c>
      <c r="F5" s="2">
        <v>45743.390918763551</v>
      </c>
      <c r="G5" t="s">
        <v>846</v>
      </c>
      <c r="H5" t="s">
        <v>187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220</v>
      </c>
      <c r="B6" t="s">
        <v>732</v>
      </c>
      <c r="C6" t="s">
        <v>732</v>
      </c>
      <c r="D6" s="6" t="str">
        <f t="shared" si="0"/>
        <v>org_admin3_1</v>
      </c>
      <c r="E6" t="s">
        <v>221</v>
      </c>
      <c r="F6" s="2">
        <v>45743.390918772537</v>
      </c>
      <c r="G6" t="s">
        <v>846</v>
      </c>
      <c r="H6" t="s">
        <v>187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222</v>
      </c>
      <c r="B7" t="s">
        <v>733</v>
      </c>
      <c r="C7" t="s">
        <v>733</v>
      </c>
      <c r="D7" s="6" t="str">
        <f t="shared" si="0"/>
        <v>org_admin4_1</v>
      </c>
      <c r="E7" t="s">
        <v>223</v>
      </c>
      <c r="F7" s="2">
        <v>45743.390918781181</v>
      </c>
      <c r="G7" t="s">
        <v>846</v>
      </c>
      <c r="H7" t="s">
        <v>187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224</v>
      </c>
      <c r="B8" t="s">
        <v>734</v>
      </c>
      <c r="C8" t="s">
        <v>734</v>
      </c>
      <c r="D8" s="6" t="str">
        <f t="shared" si="0"/>
        <v>org_admin5_1</v>
      </c>
      <c r="E8" t="s">
        <v>225</v>
      </c>
      <c r="F8" s="2">
        <v>45743.3909187889</v>
      </c>
      <c r="G8" t="s">
        <v>846</v>
      </c>
      <c r="H8" t="s">
        <v>187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226</v>
      </c>
      <c r="B9" t="s">
        <v>735</v>
      </c>
      <c r="C9" t="s">
        <v>735</v>
      </c>
      <c r="D9" s="6" t="str">
        <f t="shared" si="0"/>
        <v>org_user1_1</v>
      </c>
      <c r="E9" t="s">
        <v>227</v>
      </c>
      <c r="F9" s="2">
        <v>45743.390918796598</v>
      </c>
      <c r="G9" t="s">
        <v>847</v>
      </c>
      <c r="H9" t="s">
        <v>187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228</v>
      </c>
      <c r="B10" t="s">
        <v>736</v>
      </c>
      <c r="C10" t="s">
        <v>736</v>
      </c>
      <c r="D10" s="6" t="str">
        <f t="shared" si="0"/>
        <v>org_user1_2</v>
      </c>
      <c r="E10" t="s">
        <v>229</v>
      </c>
      <c r="F10" s="2">
        <v>45743.390918801953</v>
      </c>
      <c r="G10" t="s">
        <v>847</v>
      </c>
      <c r="H10" t="s">
        <v>187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230</v>
      </c>
      <c r="B11" t="s">
        <v>737</v>
      </c>
      <c r="C11" t="s">
        <v>737</v>
      </c>
      <c r="D11" s="6" t="str">
        <f t="shared" si="0"/>
        <v>org_user1_3</v>
      </c>
      <c r="E11" t="s">
        <v>231</v>
      </c>
      <c r="F11" s="2">
        <v>45743.390918807163</v>
      </c>
      <c r="G11" t="s">
        <v>847</v>
      </c>
      <c r="H11" t="s">
        <v>187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232</v>
      </c>
      <c r="B12" t="s">
        <v>738</v>
      </c>
      <c r="C12" t="s">
        <v>738</v>
      </c>
      <c r="D12" s="6" t="str">
        <f t="shared" si="0"/>
        <v>org_user1_4</v>
      </c>
      <c r="E12" t="s">
        <v>233</v>
      </c>
      <c r="F12" s="2">
        <v>45743.3909188123</v>
      </c>
      <c r="G12" t="s">
        <v>847</v>
      </c>
      <c r="H12" t="s">
        <v>187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234</v>
      </c>
      <c r="B13" t="s">
        <v>739</v>
      </c>
      <c r="C13" t="s">
        <v>739</v>
      </c>
      <c r="D13" s="6" t="str">
        <f t="shared" si="0"/>
        <v>org_user2_1</v>
      </c>
      <c r="E13" t="s">
        <v>235</v>
      </c>
      <c r="F13" s="2">
        <v>45743.390918817633</v>
      </c>
      <c r="G13" t="s">
        <v>847</v>
      </c>
      <c r="H13" t="s">
        <v>187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236</v>
      </c>
      <c r="B14" t="s">
        <v>740</v>
      </c>
      <c r="C14" t="s">
        <v>740</v>
      </c>
      <c r="D14" s="6" t="str">
        <f t="shared" si="0"/>
        <v>org_user2_2</v>
      </c>
      <c r="E14" t="s">
        <v>237</v>
      </c>
      <c r="F14" s="2">
        <v>45743.390918822908</v>
      </c>
      <c r="G14" t="s">
        <v>847</v>
      </c>
      <c r="H14" t="s">
        <v>187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238</v>
      </c>
      <c r="B15" t="s">
        <v>741</v>
      </c>
      <c r="C15" t="s">
        <v>741</v>
      </c>
      <c r="D15" s="6" t="str">
        <f t="shared" si="0"/>
        <v>org_user2_3</v>
      </c>
      <c r="E15" t="s">
        <v>239</v>
      </c>
      <c r="F15" s="2">
        <v>45743.390918828743</v>
      </c>
      <c r="G15" t="s">
        <v>847</v>
      </c>
      <c r="H15" t="s">
        <v>187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240</v>
      </c>
      <c r="B16" t="s">
        <v>742</v>
      </c>
      <c r="C16" t="s">
        <v>742</v>
      </c>
      <c r="D16" s="6" t="str">
        <f t="shared" si="0"/>
        <v>org_user2_4</v>
      </c>
      <c r="E16" t="s">
        <v>241</v>
      </c>
      <c r="F16" s="2">
        <v>45743.390918834302</v>
      </c>
      <c r="G16" t="s">
        <v>847</v>
      </c>
      <c r="H16" t="s">
        <v>187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242</v>
      </c>
      <c r="B17" t="s">
        <v>743</v>
      </c>
      <c r="C17" t="s">
        <v>743</v>
      </c>
      <c r="D17" s="6" t="str">
        <f t="shared" si="0"/>
        <v>org_user3_1</v>
      </c>
      <c r="E17" t="s">
        <v>243</v>
      </c>
      <c r="F17" s="2">
        <v>45743.390918839839</v>
      </c>
      <c r="G17" t="s">
        <v>847</v>
      </c>
      <c r="H17" t="s">
        <v>187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244</v>
      </c>
      <c r="B18" t="s">
        <v>744</v>
      </c>
      <c r="C18" t="s">
        <v>744</v>
      </c>
      <c r="D18" s="6" t="str">
        <f t="shared" si="0"/>
        <v>org_user3_2</v>
      </c>
      <c r="E18" t="s">
        <v>245</v>
      </c>
      <c r="F18" s="2">
        <v>45743.390918845187</v>
      </c>
      <c r="G18" t="s">
        <v>847</v>
      </c>
      <c r="H18" t="s">
        <v>187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246</v>
      </c>
      <c r="B19" t="s">
        <v>745</v>
      </c>
      <c r="C19" t="s">
        <v>745</v>
      </c>
      <c r="D19" s="6" t="str">
        <f t="shared" si="0"/>
        <v>org_user3_3</v>
      </c>
      <c r="E19" t="s">
        <v>247</v>
      </c>
      <c r="F19" s="2">
        <v>45743.390918851088</v>
      </c>
      <c r="G19" t="s">
        <v>847</v>
      </c>
      <c r="H19" t="s">
        <v>187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248</v>
      </c>
      <c r="B20" t="s">
        <v>746</v>
      </c>
      <c r="C20" t="s">
        <v>746</v>
      </c>
      <c r="D20" s="6" t="str">
        <f t="shared" si="0"/>
        <v>org_user3_4</v>
      </c>
      <c r="E20" t="s">
        <v>249</v>
      </c>
      <c r="F20" s="2">
        <v>45743.39091885696</v>
      </c>
      <c r="G20" t="s">
        <v>847</v>
      </c>
      <c r="H20" t="s">
        <v>187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250</v>
      </c>
      <c r="B21" t="s">
        <v>747</v>
      </c>
      <c r="C21" t="s">
        <v>747</v>
      </c>
      <c r="D21" s="6" t="str">
        <f t="shared" si="0"/>
        <v>org_user4_1</v>
      </c>
      <c r="E21" t="s">
        <v>251</v>
      </c>
      <c r="F21" s="2">
        <v>45743.390918862962</v>
      </c>
      <c r="G21" t="s">
        <v>847</v>
      </c>
      <c r="H21" t="s">
        <v>187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252</v>
      </c>
      <c r="B22" t="s">
        <v>748</v>
      </c>
      <c r="C22" t="s">
        <v>748</v>
      </c>
      <c r="D22" s="6" t="str">
        <f t="shared" si="0"/>
        <v>org_user4_2</v>
      </c>
      <c r="E22" t="s">
        <v>253</v>
      </c>
      <c r="F22" s="2">
        <v>45743.390918868739</v>
      </c>
      <c r="G22" t="s">
        <v>847</v>
      </c>
      <c r="H22" t="s">
        <v>187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254</v>
      </c>
      <c r="B23" t="s">
        <v>749</v>
      </c>
      <c r="C23" t="s">
        <v>749</v>
      </c>
      <c r="D23" s="6" t="str">
        <f t="shared" si="0"/>
        <v>org_user4_3</v>
      </c>
      <c r="E23" t="s">
        <v>255</v>
      </c>
      <c r="F23" s="2">
        <v>45743.390918874728</v>
      </c>
      <c r="G23" t="s">
        <v>847</v>
      </c>
      <c r="H23" t="s">
        <v>187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256</v>
      </c>
      <c r="B24" t="s">
        <v>750</v>
      </c>
      <c r="C24" t="s">
        <v>750</v>
      </c>
      <c r="D24" s="6" t="str">
        <f t="shared" si="0"/>
        <v>org_user4_4</v>
      </c>
      <c r="E24" t="s">
        <v>257</v>
      </c>
      <c r="F24" s="2">
        <v>45743.390918881109</v>
      </c>
      <c r="G24" t="s">
        <v>847</v>
      </c>
      <c r="H24" t="s">
        <v>187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258</v>
      </c>
      <c r="B25" t="s">
        <v>751</v>
      </c>
      <c r="C25" t="s">
        <v>751</v>
      </c>
      <c r="D25" s="6" t="str">
        <f t="shared" si="0"/>
        <v>org_user5_1</v>
      </c>
      <c r="E25" t="s">
        <v>259</v>
      </c>
      <c r="F25" s="2">
        <v>45743.390918887373</v>
      </c>
      <c r="G25" t="s">
        <v>847</v>
      </c>
      <c r="H25" t="s">
        <v>187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260</v>
      </c>
      <c r="B26" t="s">
        <v>752</v>
      </c>
      <c r="C26" t="s">
        <v>752</v>
      </c>
      <c r="D26" s="6" t="str">
        <f t="shared" si="0"/>
        <v>org_user5_2</v>
      </c>
      <c r="E26" t="s">
        <v>261</v>
      </c>
      <c r="F26" s="2">
        <v>45743.39091889358</v>
      </c>
      <c r="G26" t="s">
        <v>847</v>
      </c>
      <c r="H26" t="s">
        <v>187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262</v>
      </c>
      <c r="B27" t="s">
        <v>753</v>
      </c>
      <c r="C27" t="s">
        <v>753</v>
      </c>
      <c r="D27" s="6" t="str">
        <f t="shared" si="0"/>
        <v>org_user5_3</v>
      </c>
      <c r="E27" t="s">
        <v>263</v>
      </c>
      <c r="F27" s="2">
        <v>45743.390918900091</v>
      </c>
      <c r="G27" t="s">
        <v>847</v>
      </c>
      <c r="H27" t="s">
        <v>187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264</v>
      </c>
      <c r="B28" t="s">
        <v>754</v>
      </c>
      <c r="C28" t="s">
        <v>754</v>
      </c>
      <c r="D28" s="6" t="str">
        <f t="shared" si="0"/>
        <v>org_user5_4</v>
      </c>
      <c r="E28" t="s">
        <v>265</v>
      </c>
      <c r="F28" s="2">
        <v>45743.390918906553</v>
      </c>
      <c r="G28" t="s">
        <v>847</v>
      </c>
      <c r="H28" t="s">
        <v>187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3" width="9" style="6" bestFit="1" customWidth="1"/>
    <col min="4" max="4" width="20.109375" style="6" bestFit="1" customWidth="1"/>
    <col min="5" max="5" width="4.77734375" bestFit="1" customWidth="1"/>
    <col min="6" max="6" width="14.44140625" style="6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183</v>
      </c>
      <c r="C1" s="10" t="s">
        <v>137</v>
      </c>
      <c r="D1" s="10" t="s">
        <v>138</v>
      </c>
      <c r="E1" s="1" t="s">
        <v>81</v>
      </c>
      <c r="F1" s="10" t="s">
        <v>184</v>
      </c>
      <c r="G1" s="10" t="s">
        <v>78</v>
      </c>
      <c r="H1" s="1" t="s">
        <v>148</v>
      </c>
    </row>
    <row r="2" spans="1:8" x14ac:dyDescent="0.3">
      <c r="A2" t="s">
        <v>440</v>
      </c>
      <c r="B2" t="s">
        <v>266</v>
      </c>
      <c r="C2" s="6" t="str">
        <f>"dim"&amp;E2</f>
        <v>dim1</v>
      </c>
      <c r="D2" s="6" t="str">
        <f>$C2&amp;"_"&amp;$B2</f>
        <v>dim1_TEXT</v>
      </c>
      <c r="E2">
        <v>1</v>
      </c>
      <c r="F2" s="6" t="str">
        <f>E2&amp;"_"</f>
        <v>1_</v>
      </c>
      <c r="G2" s="6" t="str">
        <f>$D2</f>
        <v>dim1_TEXT</v>
      </c>
      <c r="H2" t="s">
        <v>149</v>
      </c>
    </row>
    <row r="3" spans="1:8" x14ac:dyDescent="0.3">
      <c r="A3" t="s">
        <v>441</v>
      </c>
      <c r="B3" t="s">
        <v>266</v>
      </c>
      <c r="C3" s="6" t="str">
        <f t="shared" ref="C3:C21" si="0">"dim"&amp;E3</f>
        <v>dim2</v>
      </c>
      <c r="D3" s="6" t="str">
        <f t="shared" ref="D3:D21" si="1">$C3&amp;"_"&amp;$B3</f>
        <v>dim2_TEXT</v>
      </c>
      <c r="E3">
        <f>E2+1</f>
        <v>2</v>
      </c>
      <c r="F3" s="6" t="str">
        <f t="shared" ref="F3:F21" si="2">E3&amp;"_"</f>
        <v>2_</v>
      </c>
      <c r="G3" s="6" t="str">
        <f t="shared" ref="G3:G21" si="3">$D3</f>
        <v>dim2_TEXT</v>
      </c>
      <c r="H3" t="s">
        <v>149</v>
      </c>
    </row>
    <row r="4" spans="1:8" x14ac:dyDescent="0.3">
      <c r="A4" t="s">
        <v>442</v>
      </c>
      <c r="B4" t="s">
        <v>266</v>
      </c>
      <c r="C4" s="6" t="str">
        <f t="shared" si="0"/>
        <v>dim3</v>
      </c>
      <c r="D4" s="6" t="str">
        <f t="shared" si="1"/>
        <v>dim3_TEXT</v>
      </c>
      <c r="E4">
        <f t="shared" ref="E4:F21" si="4">E3+1</f>
        <v>3</v>
      </c>
      <c r="F4" s="6" t="str">
        <f t="shared" si="2"/>
        <v>3_</v>
      </c>
      <c r="G4" s="6" t="str">
        <f t="shared" si="3"/>
        <v>dim3_TEXT</v>
      </c>
      <c r="H4" t="s">
        <v>149</v>
      </c>
    </row>
    <row r="5" spans="1:8" x14ac:dyDescent="0.3">
      <c r="A5" t="s">
        <v>443</v>
      </c>
      <c r="B5" t="s">
        <v>266</v>
      </c>
      <c r="C5" s="6" t="str">
        <f t="shared" si="0"/>
        <v>dim4</v>
      </c>
      <c r="D5" s="6" t="str">
        <f t="shared" si="1"/>
        <v>dim4_TEXT</v>
      </c>
      <c r="E5">
        <f t="shared" si="4"/>
        <v>4</v>
      </c>
      <c r="F5" s="6" t="str">
        <f t="shared" si="2"/>
        <v>4_</v>
      </c>
      <c r="G5" s="6" t="str">
        <f t="shared" si="3"/>
        <v>dim4_TEXT</v>
      </c>
      <c r="H5" t="s">
        <v>149</v>
      </c>
    </row>
    <row r="6" spans="1:8" x14ac:dyDescent="0.3">
      <c r="A6" t="s">
        <v>444</v>
      </c>
      <c r="B6" t="s">
        <v>266</v>
      </c>
      <c r="C6" s="6" t="str">
        <f t="shared" si="0"/>
        <v>dim5</v>
      </c>
      <c r="D6" s="6" t="str">
        <f t="shared" si="1"/>
        <v>dim5_TEXT</v>
      </c>
      <c r="E6">
        <f t="shared" si="4"/>
        <v>5</v>
      </c>
      <c r="F6" s="6" t="str">
        <f t="shared" si="2"/>
        <v>5_</v>
      </c>
      <c r="G6" s="6" t="str">
        <f t="shared" si="3"/>
        <v>dim5_TEXT</v>
      </c>
      <c r="H6" t="s">
        <v>149</v>
      </c>
    </row>
    <row r="7" spans="1:8" x14ac:dyDescent="0.3">
      <c r="A7" t="s">
        <v>445</v>
      </c>
      <c r="B7" t="s">
        <v>266</v>
      </c>
      <c r="C7" s="6" t="str">
        <f t="shared" si="0"/>
        <v>dim6</v>
      </c>
      <c r="D7" s="6" t="str">
        <f t="shared" si="1"/>
        <v>dim6_TEXT</v>
      </c>
      <c r="E7">
        <f t="shared" si="4"/>
        <v>6</v>
      </c>
      <c r="F7" s="6" t="str">
        <f t="shared" si="2"/>
        <v>6_</v>
      </c>
      <c r="G7" s="6" t="str">
        <f t="shared" si="3"/>
        <v>dim6_TEXT</v>
      </c>
      <c r="H7" t="s">
        <v>149</v>
      </c>
    </row>
    <row r="8" spans="1:8" x14ac:dyDescent="0.3">
      <c r="A8" t="s">
        <v>446</v>
      </c>
      <c r="B8" t="s">
        <v>266</v>
      </c>
      <c r="C8" s="6" t="str">
        <f t="shared" si="0"/>
        <v>dim7</v>
      </c>
      <c r="D8" s="6" t="str">
        <f t="shared" si="1"/>
        <v>dim7_TEXT</v>
      </c>
      <c r="E8">
        <f t="shared" si="4"/>
        <v>7</v>
      </c>
      <c r="F8" s="6" t="str">
        <f t="shared" si="2"/>
        <v>7_</v>
      </c>
      <c r="G8" s="6" t="str">
        <f t="shared" si="3"/>
        <v>dim7_TEXT</v>
      </c>
      <c r="H8" t="s">
        <v>149</v>
      </c>
    </row>
    <row r="9" spans="1:8" x14ac:dyDescent="0.3">
      <c r="A9" t="s">
        <v>447</v>
      </c>
      <c r="B9" t="s">
        <v>266</v>
      </c>
      <c r="C9" s="6" t="str">
        <f t="shared" si="0"/>
        <v>dim8</v>
      </c>
      <c r="D9" s="6" t="str">
        <f t="shared" si="1"/>
        <v>dim8_TEXT</v>
      </c>
      <c r="E9">
        <f t="shared" si="4"/>
        <v>8</v>
      </c>
      <c r="F9" s="6" t="str">
        <f t="shared" si="2"/>
        <v>8_</v>
      </c>
      <c r="G9" s="6" t="str">
        <f t="shared" si="3"/>
        <v>dim8_TEXT</v>
      </c>
      <c r="H9" t="s">
        <v>149</v>
      </c>
    </row>
    <row r="10" spans="1:8" x14ac:dyDescent="0.3">
      <c r="A10" t="s">
        <v>448</v>
      </c>
      <c r="B10" t="s">
        <v>435</v>
      </c>
      <c r="C10" s="6" t="str">
        <f t="shared" si="0"/>
        <v>dim9</v>
      </c>
      <c r="D10" s="6" t="str">
        <f t="shared" si="1"/>
        <v>dim9_ORGANIZATION</v>
      </c>
      <c r="E10">
        <f t="shared" si="4"/>
        <v>9</v>
      </c>
      <c r="F10" s="6" t="str">
        <f t="shared" si="2"/>
        <v>9_</v>
      </c>
      <c r="G10" s="6" t="str">
        <f t="shared" si="3"/>
        <v>dim9_ORGANIZATION</v>
      </c>
      <c r="H10" t="s">
        <v>149</v>
      </c>
    </row>
    <row r="11" spans="1:8" x14ac:dyDescent="0.3">
      <c r="A11" t="s">
        <v>449</v>
      </c>
      <c r="B11" t="s">
        <v>435</v>
      </c>
      <c r="C11" s="6" t="str">
        <f t="shared" si="0"/>
        <v>dim10</v>
      </c>
      <c r="D11" s="6" t="str">
        <f t="shared" si="1"/>
        <v>dim10_ORGANIZATION</v>
      </c>
      <c r="E11">
        <f t="shared" si="4"/>
        <v>10</v>
      </c>
      <c r="F11" s="6" t="str">
        <f t="shared" si="2"/>
        <v>10_</v>
      </c>
      <c r="G11" s="6" t="str">
        <f t="shared" si="3"/>
        <v>dim10_ORGANIZATION</v>
      </c>
      <c r="H11" t="s">
        <v>149</v>
      </c>
    </row>
    <row r="12" spans="1:8" x14ac:dyDescent="0.3">
      <c r="A12" t="s">
        <v>450</v>
      </c>
      <c r="B12" t="s">
        <v>436</v>
      </c>
      <c r="C12" s="6" t="str">
        <f t="shared" si="0"/>
        <v>dim11</v>
      </c>
      <c r="D12" s="6" t="str">
        <f t="shared" si="1"/>
        <v>dim11_GEO</v>
      </c>
      <c r="E12">
        <f t="shared" si="4"/>
        <v>11</v>
      </c>
      <c r="F12" s="6" t="str">
        <f t="shared" si="2"/>
        <v>11_</v>
      </c>
      <c r="G12" s="6" t="str">
        <f t="shared" si="3"/>
        <v>dim11_GEO</v>
      </c>
      <c r="H12" t="s">
        <v>149</v>
      </c>
    </row>
    <row r="13" spans="1:8" x14ac:dyDescent="0.3">
      <c r="A13" t="s">
        <v>451</v>
      </c>
      <c r="B13" t="s">
        <v>436</v>
      </c>
      <c r="C13" s="6" t="str">
        <f t="shared" si="0"/>
        <v>dim12</v>
      </c>
      <c r="D13" s="6" t="str">
        <f t="shared" si="1"/>
        <v>dim12_GEO</v>
      </c>
      <c r="E13">
        <f t="shared" si="4"/>
        <v>12</v>
      </c>
      <c r="F13" s="6" t="str">
        <f t="shared" si="2"/>
        <v>12_</v>
      </c>
      <c r="G13" s="6" t="str">
        <f t="shared" si="3"/>
        <v>dim12_GEO</v>
      </c>
      <c r="H13" t="s">
        <v>149</v>
      </c>
    </row>
    <row r="14" spans="1:8" x14ac:dyDescent="0.3">
      <c r="A14" t="s">
        <v>452</v>
      </c>
      <c r="B14" t="s">
        <v>434</v>
      </c>
      <c r="C14" s="6" t="str">
        <f t="shared" si="0"/>
        <v>dim13</v>
      </c>
      <c r="D14" s="6" t="str">
        <f t="shared" si="1"/>
        <v>dim13_TIME</v>
      </c>
      <c r="E14">
        <f t="shared" si="4"/>
        <v>13</v>
      </c>
      <c r="F14" s="6" t="str">
        <f t="shared" si="2"/>
        <v>13_</v>
      </c>
      <c r="G14" s="6" t="str">
        <f t="shared" si="3"/>
        <v>dim13_TIME</v>
      </c>
      <c r="H14" t="s">
        <v>149</v>
      </c>
    </row>
    <row r="15" spans="1:8" x14ac:dyDescent="0.3">
      <c r="A15" t="s">
        <v>453</v>
      </c>
      <c r="B15" t="s">
        <v>434</v>
      </c>
      <c r="C15" s="6" t="str">
        <f t="shared" si="0"/>
        <v>dim14</v>
      </c>
      <c r="D15" s="6" t="str">
        <f t="shared" si="1"/>
        <v>dim14_TIME</v>
      </c>
      <c r="E15">
        <f t="shared" si="4"/>
        <v>14</v>
      </c>
      <c r="F15" s="6" t="str">
        <f t="shared" si="2"/>
        <v>14_</v>
      </c>
      <c r="G15" s="6" t="str">
        <f t="shared" si="3"/>
        <v>dim14_TIME</v>
      </c>
      <c r="H15" t="s">
        <v>149</v>
      </c>
    </row>
    <row r="16" spans="1:8" x14ac:dyDescent="0.3">
      <c r="A16" t="s">
        <v>454</v>
      </c>
      <c r="B16" t="s">
        <v>437</v>
      </c>
      <c r="C16" s="6" t="str">
        <f t="shared" si="0"/>
        <v>dim15</v>
      </c>
      <c r="D16" s="6" t="str">
        <f t="shared" si="1"/>
        <v>dim15_IDENTIFIER</v>
      </c>
      <c r="E16">
        <f t="shared" si="4"/>
        <v>15</v>
      </c>
      <c r="F16" s="6" t="str">
        <f t="shared" si="2"/>
        <v>15_</v>
      </c>
      <c r="G16" s="6" t="str">
        <f t="shared" si="3"/>
        <v>dim15_IDENTIFIER</v>
      </c>
      <c r="H16" t="s">
        <v>149</v>
      </c>
    </row>
    <row r="17" spans="1:8" x14ac:dyDescent="0.3">
      <c r="A17" t="s">
        <v>455</v>
      </c>
      <c r="B17" t="s">
        <v>437</v>
      </c>
      <c r="C17" s="6" t="str">
        <f t="shared" si="0"/>
        <v>dim16</v>
      </c>
      <c r="D17" s="6" t="str">
        <f t="shared" si="1"/>
        <v>dim16_IDENTIFIER</v>
      </c>
      <c r="E17">
        <f t="shared" si="4"/>
        <v>16</v>
      </c>
      <c r="F17" s="6" t="str">
        <f t="shared" si="2"/>
        <v>16_</v>
      </c>
      <c r="G17" s="6" t="str">
        <f t="shared" si="3"/>
        <v>dim16_IDENTIFIER</v>
      </c>
      <c r="H17" t="s">
        <v>149</v>
      </c>
    </row>
    <row r="18" spans="1:8" x14ac:dyDescent="0.3">
      <c r="A18" t="s">
        <v>456</v>
      </c>
      <c r="B18" t="s">
        <v>438</v>
      </c>
      <c r="C18" s="6" t="str">
        <f t="shared" si="0"/>
        <v>dim17</v>
      </c>
      <c r="D18" s="6" t="str">
        <f t="shared" si="1"/>
        <v>dim17_NUMBER</v>
      </c>
      <c r="E18">
        <f t="shared" si="4"/>
        <v>17</v>
      </c>
      <c r="F18" s="6" t="str">
        <f t="shared" si="2"/>
        <v>17_</v>
      </c>
      <c r="G18" s="6" t="str">
        <f t="shared" si="3"/>
        <v>dim17_NUMBER</v>
      </c>
      <c r="H18" t="s">
        <v>149</v>
      </c>
    </row>
    <row r="19" spans="1:8" x14ac:dyDescent="0.3">
      <c r="A19" t="s">
        <v>457</v>
      </c>
      <c r="B19" t="s">
        <v>438</v>
      </c>
      <c r="C19" s="6" t="str">
        <f t="shared" si="0"/>
        <v>dim18</v>
      </c>
      <c r="D19" s="6" t="str">
        <f t="shared" si="1"/>
        <v>dim18_NUMBER</v>
      </c>
      <c r="E19">
        <f t="shared" si="4"/>
        <v>18</v>
      </c>
      <c r="F19" s="6" t="str">
        <f t="shared" si="2"/>
        <v>18_</v>
      </c>
      <c r="G19" s="6" t="str">
        <f t="shared" si="3"/>
        <v>dim18_NUMBER</v>
      </c>
      <c r="H19" t="s">
        <v>149</v>
      </c>
    </row>
    <row r="20" spans="1:8" x14ac:dyDescent="0.3">
      <c r="A20" t="s">
        <v>458</v>
      </c>
      <c r="B20" t="s">
        <v>439</v>
      </c>
      <c r="C20" s="6" t="str">
        <f t="shared" si="0"/>
        <v>dim19</v>
      </c>
      <c r="D20" s="6" t="str">
        <f t="shared" si="1"/>
        <v>dim19_OTHER</v>
      </c>
      <c r="E20">
        <f t="shared" si="4"/>
        <v>19</v>
      </c>
      <c r="F20" s="6" t="str">
        <f t="shared" si="2"/>
        <v>19_</v>
      </c>
      <c r="G20" s="6" t="str">
        <f t="shared" si="3"/>
        <v>dim19_OTHER</v>
      </c>
      <c r="H20" t="s">
        <v>149</v>
      </c>
    </row>
    <row r="21" spans="1:8" x14ac:dyDescent="0.3">
      <c r="A21" t="s">
        <v>459</v>
      </c>
      <c r="B21" t="s">
        <v>439</v>
      </c>
      <c r="C21" s="6" t="str">
        <f t="shared" si="0"/>
        <v>dim20</v>
      </c>
      <c r="D21" s="6" t="str">
        <f t="shared" si="1"/>
        <v>dim20_OTHER</v>
      </c>
      <c r="E21">
        <f t="shared" si="4"/>
        <v>20</v>
      </c>
      <c r="F21" s="6" t="str">
        <f t="shared" si="2"/>
        <v>20_</v>
      </c>
      <c r="G21" s="6" t="str">
        <f t="shared" si="3"/>
        <v>dim20_OTHER</v>
      </c>
      <c r="H21" t="s">
        <v>149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workbookViewId="0">
      <selection activeCell="H31" sqref="H31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175</v>
      </c>
      <c r="C1" s="10" t="s">
        <v>755</v>
      </c>
      <c r="D1" s="1" t="s">
        <v>176</v>
      </c>
      <c r="E1" s="10" t="s">
        <v>137</v>
      </c>
      <c r="F1" s="10" t="s">
        <v>177</v>
      </c>
      <c r="G1" s="10" t="s">
        <v>138</v>
      </c>
      <c r="H1" s="1" t="s">
        <v>178</v>
      </c>
      <c r="I1" s="1" t="s">
        <v>179</v>
      </c>
      <c r="J1" s="10" t="s">
        <v>756</v>
      </c>
      <c r="K1" s="1" t="s">
        <v>180</v>
      </c>
      <c r="L1" s="10" t="s">
        <v>719</v>
      </c>
      <c r="M1" s="1" t="s">
        <v>181</v>
      </c>
      <c r="N1" s="1" t="s">
        <v>182</v>
      </c>
      <c r="O1" s="10" t="s">
        <v>78</v>
      </c>
      <c r="P1" s="1" t="s">
        <v>148</v>
      </c>
    </row>
    <row r="2" spans="1:16" x14ac:dyDescent="0.3">
      <c r="A2" t="s">
        <v>460</v>
      </c>
      <c r="B2" t="s">
        <v>440</v>
      </c>
      <c r="C2" s="6" t="str">
        <f>INDEX(Dim!$C:$C,MATCH($B2,Dim!$A:$A,0))</f>
        <v>dim1</v>
      </c>
      <c r="D2" s="11" t="s">
        <v>757</v>
      </c>
      <c r="E2" s="6" t="str">
        <f>$C2&amp;$D2</f>
        <v>dim1_1</v>
      </c>
      <c r="F2" s="6">
        <f>RIGHT($D2,LEN($D2)-1)+1-1</f>
        <v>1</v>
      </c>
      <c r="G2" s="6" t="str">
        <f>$E2</f>
        <v>dim1_1</v>
      </c>
      <c r="H2" t="s">
        <v>299</v>
      </c>
      <c r="I2" t="s">
        <v>332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dim1_1 (NOMINAL;Nominal_1)</v>
      </c>
      <c r="P2" t="s">
        <v>149</v>
      </c>
    </row>
    <row r="3" spans="1:16" x14ac:dyDescent="0.3">
      <c r="A3" t="s">
        <v>461</v>
      </c>
      <c r="B3" t="s">
        <v>441</v>
      </c>
      <c r="C3" s="6" t="str">
        <f>INDEX(Dim!$C:$C,MATCH($B3,Dim!$A:$A,0))</f>
        <v>dim2</v>
      </c>
      <c r="D3" s="11" t="s">
        <v>757</v>
      </c>
      <c r="E3" s="6" t="str">
        <f t="shared" ref="E3:E39" si="0">$C3&amp;$D3</f>
        <v>dim2_1</v>
      </c>
      <c r="F3" s="6">
        <f t="shared" ref="F3:F39" si="1">RIGHT($D3,LEN($D3)-1)+1-1</f>
        <v>1</v>
      </c>
      <c r="G3" s="6" t="str">
        <f t="shared" ref="G3:G39" si="2">$E3</f>
        <v>dim2_1</v>
      </c>
      <c r="H3" t="s">
        <v>299</v>
      </c>
      <c r="I3" t="s">
        <v>333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dim2_1 (NOMINAL;Nominal_2)</v>
      </c>
      <c r="P3" t="s">
        <v>149</v>
      </c>
    </row>
    <row r="4" spans="1:16" x14ac:dyDescent="0.3">
      <c r="A4" t="s">
        <v>462</v>
      </c>
      <c r="B4" t="s">
        <v>442</v>
      </c>
      <c r="C4" s="6" t="str">
        <f>INDEX(Dim!$C:$C,MATCH($B4,Dim!$A:$A,0))</f>
        <v>dim3</v>
      </c>
      <c r="D4" s="11" t="s">
        <v>757</v>
      </c>
      <c r="E4" s="6" t="str">
        <f t="shared" si="0"/>
        <v>dim3_1</v>
      </c>
      <c r="F4" s="6">
        <f t="shared" si="1"/>
        <v>1</v>
      </c>
      <c r="G4" s="6" t="str">
        <f t="shared" si="2"/>
        <v>dim3_1</v>
      </c>
      <c r="H4" t="s">
        <v>298</v>
      </c>
      <c r="I4" t="s">
        <v>334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dim3_1 (ORDINAL;Ordinal_1)</v>
      </c>
      <c r="P4" t="s">
        <v>149</v>
      </c>
    </row>
    <row r="5" spans="1:16" x14ac:dyDescent="0.3">
      <c r="A5" t="s">
        <v>463</v>
      </c>
      <c r="B5" t="s">
        <v>443</v>
      </c>
      <c r="C5" s="6" t="str">
        <f>INDEX(Dim!$C:$C,MATCH($B5,Dim!$A:$A,0))</f>
        <v>dim4</v>
      </c>
      <c r="D5" s="11" t="s">
        <v>757</v>
      </c>
      <c r="E5" s="6" t="str">
        <f t="shared" si="0"/>
        <v>dim4_1</v>
      </c>
      <c r="F5" s="6">
        <f t="shared" si="1"/>
        <v>1</v>
      </c>
      <c r="G5" s="6" t="str">
        <f t="shared" si="2"/>
        <v>dim4_1</v>
      </c>
      <c r="H5" t="s">
        <v>298</v>
      </c>
      <c r="I5" t="s">
        <v>335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dim4_1 (ORDINAL;Ordinal_2)</v>
      </c>
      <c r="P5" t="s">
        <v>149</v>
      </c>
    </row>
    <row r="6" spans="1:16" x14ac:dyDescent="0.3">
      <c r="A6" t="s">
        <v>464</v>
      </c>
      <c r="B6" t="s">
        <v>444</v>
      </c>
      <c r="C6" s="6" t="str">
        <f>INDEX(Dim!$C:$C,MATCH($B6,Dim!$A:$A,0))</f>
        <v>dim5</v>
      </c>
      <c r="D6" s="11" t="s">
        <v>757</v>
      </c>
      <c r="E6" s="6" t="str">
        <f t="shared" si="0"/>
        <v>dim5_1</v>
      </c>
      <c r="F6" s="6">
        <f t="shared" si="1"/>
        <v>1</v>
      </c>
      <c r="G6" s="6" t="str">
        <f t="shared" si="2"/>
        <v>dim5_1</v>
      </c>
      <c r="H6" t="s">
        <v>305</v>
      </c>
      <c r="I6" t="s">
        <v>341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dim5_1 (REGULAR_LANGUAGE;Regex_1)</v>
      </c>
      <c r="P6" t="s">
        <v>149</v>
      </c>
    </row>
    <row r="7" spans="1:16" x14ac:dyDescent="0.3">
      <c r="A7" t="s">
        <v>465</v>
      </c>
      <c r="B7" t="s">
        <v>445</v>
      </c>
      <c r="C7" s="6" t="str">
        <f>INDEX(Dim!$C:$C,MATCH($B7,Dim!$A:$A,0))</f>
        <v>dim6</v>
      </c>
      <c r="D7" s="11" t="s">
        <v>757</v>
      </c>
      <c r="E7" s="6" t="str">
        <f t="shared" si="0"/>
        <v>dim6_1</v>
      </c>
      <c r="F7" s="6">
        <f t="shared" si="1"/>
        <v>1</v>
      </c>
      <c r="G7" s="6" t="str">
        <f t="shared" si="2"/>
        <v>dim6_1</v>
      </c>
      <c r="H7" t="s">
        <v>305</v>
      </c>
      <c r="I7" t="s">
        <v>342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dim6_1 (REGULAR_LANGUAGE;Regex_2)</v>
      </c>
      <c r="P7" t="s">
        <v>149</v>
      </c>
    </row>
    <row r="8" spans="1:16" x14ac:dyDescent="0.3">
      <c r="A8" t="s">
        <v>466</v>
      </c>
      <c r="B8" t="s">
        <v>446</v>
      </c>
      <c r="C8" s="6" t="str">
        <f>INDEX(Dim!$C:$C,MATCH($B8,Dim!$A:$A,0))</f>
        <v>dim7</v>
      </c>
      <c r="D8" s="11" t="s">
        <v>757</v>
      </c>
      <c r="E8" s="6" t="str">
        <f t="shared" si="0"/>
        <v>dim7_1</v>
      </c>
      <c r="F8" s="6">
        <f t="shared" si="1"/>
        <v>1</v>
      </c>
      <c r="G8" s="6" t="str">
        <f t="shared" si="2"/>
        <v>dim7_1</v>
      </c>
      <c r="H8" t="s">
        <v>266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dim7_1 (TEXT)</v>
      </c>
      <c r="P8" t="s">
        <v>149</v>
      </c>
    </row>
    <row r="9" spans="1:16" x14ac:dyDescent="0.3">
      <c r="A9" t="s">
        <v>467</v>
      </c>
      <c r="B9" t="s">
        <v>447</v>
      </c>
      <c r="C9" s="6" t="str">
        <f>INDEX(Dim!$C:$C,MATCH($B9,Dim!$A:$A,0))</f>
        <v>dim8</v>
      </c>
      <c r="D9" s="11" t="s">
        <v>757</v>
      </c>
      <c r="E9" s="6" t="str">
        <f t="shared" si="0"/>
        <v>dim8_1</v>
      </c>
      <c r="F9" s="6">
        <f t="shared" si="1"/>
        <v>1</v>
      </c>
      <c r="G9" s="6" t="str">
        <f t="shared" si="2"/>
        <v>dim8_1</v>
      </c>
      <c r="H9" t="s">
        <v>266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dim8_1 (TEXT)</v>
      </c>
      <c r="P9" t="s">
        <v>149</v>
      </c>
    </row>
    <row r="10" spans="1:16" x14ac:dyDescent="0.3">
      <c r="A10" t="s">
        <v>468</v>
      </c>
      <c r="B10" t="s">
        <v>448</v>
      </c>
      <c r="C10" s="6" t="str">
        <f>INDEX(Dim!$C:$C,MATCH($B10,Dim!$A:$A,0))</f>
        <v>dim9</v>
      </c>
      <c r="D10" s="11" t="s">
        <v>757</v>
      </c>
      <c r="E10" s="6" t="str">
        <f t="shared" si="0"/>
        <v>dim9_1</v>
      </c>
      <c r="F10" s="6">
        <f t="shared" si="1"/>
        <v>1</v>
      </c>
      <c r="G10" s="6" t="str">
        <f t="shared" si="2"/>
        <v>dim9_1</v>
      </c>
      <c r="H10" t="s">
        <v>435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dim9_1 (ORGANIZATION)</v>
      </c>
      <c r="P10" t="s">
        <v>149</v>
      </c>
    </row>
    <row r="11" spans="1:16" x14ac:dyDescent="0.3">
      <c r="A11" t="s">
        <v>469</v>
      </c>
      <c r="B11" t="s">
        <v>449</v>
      </c>
      <c r="C11" s="6" t="str">
        <f>INDEX(Dim!$C:$C,MATCH($B11,Dim!$A:$A,0))</f>
        <v>dim10</v>
      </c>
      <c r="D11" s="11" t="s">
        <v>757</v>
      </c>
      <c r="E11" s="6" t="str">
        <f t="shared" si="0"/>
        <v>dim10_1</v>
      </c>
      <c r="F11" s="6">
        <f t="shared" si="1"/>
        <v>1</v>
      </c>
      <c r="G11" s="6" t="str">
        <f t="shared" si="2"/>
        <v>dim10_1</v>
      </c>
      <c r="H11" t="s">
        <v>435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dim10_1 (ORGANIZATION)</v>
      </c>
      <c r="P11" t="s">
        <v>149</v>
      </c>
    </row>
    <row r="12" spans="1:16" x14ac:dyDescent="0.3">
      <c r="A12" t="s">
        <v>470</v>
      </c>
      <c r="B12" t="s">
        <v>450</v>
      </c>
      <c r="C12" s="6" t="str">
        <f>INDEX(Dim!$C:$C,MATCH($B12,Dim!$A:$A,0))</f>
        <v>dim11</v>
      </c>
      <c r="D12" s="11" t="s">
        <v>757</v>
      </c>
      <c r="E12" s="6" t="str">
        <f t="shared" si="0"/>
        <v>dim11_1</v>
      </c>
      <c r="F12" s="6">
        <f t="shared" si="1"/>
        <v>1</v>
      </c>
      <c r="G12" s="6" t="str">
        <f t="shared" si="2"/>
        <v>dim11_1</v>
      </c>
      <c r="H12" t="s">
        <v>494</v>
      </c>
      <c r="J12" s="6" t="str">
        <f>IF($I12="","",INDEX(ConceptSet!$C:$C,MATCH($I12,ConceptSet!$A:$A,0)))</f>
        <v/>
      </c>
      <c r="K12" t="s">
        <v>382</v>
      </c>
      <c r="L12" s="6" t="str">
        <f>IF($K12="","",INDEX(RegionSet!$B:$B,MATCH($K12,RegionSet!$A:$A,0)))</f>
        <v>PC_L4</v>
      </c>
      <c r="O12" s="6" t="str">
        <f t="shared" si="3"/>
        <v>dim11_1 (GEO_REGION;PC_L4)</v>
      </c>
      <c r="P12" t="s">
        <v>149</v>
      </c>
    </row>
    <row r="13" spans="1:16" x14ac:dyDescent="0.3">
      <c r="A13" t="s">
        <v>471</v>
      </c>
      <c r="B13" t="s">
        <v>450</v>
      </c>
      <c r="C13" s="6" t="str">
        <f>INDEX(Dim!$C:$C,MATCH($B13,Dim!$A:$A,0))</f>
        <v>dim11</v>
      </c>
      <c r="D13" s="11" t="s">
        <v>758</v>
      </c>
      <c r="E13" s="6" t="str">
        <f t="shared" si="0"/>
        <v>dim11_2</v>
      </c>
      <c r="F13" s="6">
        <f t="shared" si="1"/>
        <v>2</v>
      </c>
      <c r="G13" s="6" t="str">
        <f t="shared" si="2"/>
        <v>dim11_2</v>
      </c>
      <c r="H13" t="s">
        <v>494</v>
      </c>
      <c r="J13" s="6" t="str">
        <f>IF($I13="","",INDEX(ConceptSet!$C:$C,MATCH($I13,ConceptSet!$A:$A,0)))</f>
        <v/>
      </c>
      <c r="K13" t="s">
        <v>383</v>
      </c>
      <c r="L13" s="6" t="str">
        <f>IF($K13="","",INDEX(RegionSet!$B:$B,MATCH($K13,RegionSet!$A:$A,0)))</f>
        <v>PC_L3</v>
      </c>
      <c r="O13" s="6" t="str">
        <f t="shared" si="3"/>
        <v>dim11_2 (GEO_REGION;PC_L3)</v>
      </c>
      <c r="P13" t="s">
        <v>149</v>
      </c>
    </row>
    <row r="14" spans="1:16" x14ac:dyDescent="0.3">
      <c r="A14" t="s">
        <v>472</v>
      </c>
      <c r="B14" t="s">
        <v>450</v>
      </c>
      <c r="C14" s="6" t="str">
        <f>INDEX(Dim!$C:$C,MATCH($B14,Dim!$A:$A,0))</f>
        <v>dim11</v>
      </c>
      <c r="D14" s="11" t="s">
        <v>759</v>
      </c>
      <c r="E14" s="6" t="str">
        <f t="shared" si="0"/>
        <v>dim11_3</v>
      </c>
      <c r="F14" s="6">
        <f t="shared" si="1"/>
        <v>3</v>
      </c>
      <c r="G14" s="6" t="str">
        <f t="shared" si="2"/>
        <v>dim11_3</v>
      </c>
      <c r="H14" t="s">
        <v>494</v>
      </c>
      <c r="J14" s="6" t="str">
        <f>IF($I14="","",INDEX(ConceptSet!$C:$C,MATCH($I14,ConceptSet!$A:$A,0)))</f>
        <v/>
      </c>
      <c r="K14" t="s">
        <v>384</v>
      </c>
      <c r="L14" s="6" t="str">
        <f>IF($K14="","",INDEX(RegionSet!$B:$B,MATCH($K14,RegionSet!$A:$A,0)))</f>
        <v>MUN</v>
      </c>
      <c r="O14" s="6" t="str">
        <f t="shared" si="3"/>
        <v>dim11_3 (GEO_REGION;MUN)</v>
      </c>
      <c r="P14" t="s">
        <v>149</v>
      </c>
    </row>
    <row r="15" spans="1:16" x14ac:dyDescent="0.3">
      <c r="A15" t="s">
        <v>473</v>
      </c>
      <c r="B15" t="s">
        <v>450</v>
      </c>
      <c r="C15" s="6" t="str">
        <f>INDEX(Dim!$C:$C,MATCH($B15,Dim!$A:$A,0))</f>
        <v>dim11</v>
      </c>
      <c r="D15" s="11" t="s">
        <v>760</v>
      </c>
      <c r="E15" s="6" t="str">
        <f t="shared" si="0"/>
        <v>dim11_4</v>
      </c>
      <c r="F15" s="6">
        <f t="shared" si="1"/>
        <v>4</v>
      </c>
      <c r="G15" s="6" t="str">
        <f t="shared" si="2"/>
        <v>dim11_4</v>
      </c>
      <c r="H15" t="s">
        <v>494</v>
      </c>
      <c r="J15" s="6" t="str">
        <f>IF($I15="","",INDEX(ConceptSet!$C:$C,MATCH($I15,ConceptSet!$A:$A,0)))</f>
        <v/>
      </c>
      <c r="K15" t="s">
        <v>385</v>
      </c>
      <c r="L15" s="6" t="str">
        <f>IF($K15="","",INDEX(RegionSet!$B:$B,MATCH($K15,RegionSet!$A:$A,0)))</f>
        <v>PV</v>
      </c>
      <c r="O15" s="6" t="str">
        <f t="shared" si="3"/>
        <v>dim11_4 (GEO_REGION;PV)</v>
      </c>
      <c r="P15" t="s">
        <v>149</v>
      </c>
    </row>
    <row r="16" spans="1:16" x14ac:dyDescent="0.3">
      <c r="A16" t="s">
        <v>474</v>
      </c>
      <c r="B16" t="s">
        <v>451</v>
      </c>
      <c r="C16" s="6" t="str">
        <f>INDEX(Dim!$C:$C,MATCH($B16,Dim!$A:$A,0))</f>
        <v>dim12</v>
      </c>
      <c r="D16" s="11" t="s">
        <v>757</v>
      </c>
      <c r="E16" s="6" t="str">
        <f t="shared" si="0"/>
        <v>dim12_1</v>
      </c>
      <c r="F16" s="6">
        <f t="shared" si="1"/>
        <v>1</v>
      </c>
      <c r="G16" s="6" t="str">
        <f t="shared" si="2"/>
        <v>dim12_1</v>
      </c>
      <c r="H16" t="s">
        <v>494</v>
      </c>
      <c r="J16" s="6" t="str">
        <f>IF($I16="","",INDEX(ConceptSet!$C:$C,MATCH($I16,ConceptSet!$A:$A,0)))</f>
        <v/>
      </c>
      <c r="K16" t="s">
        <v>382</v>
      </c>
      <c r="L16" s="6" t="str">
        <f>IF($K16="","",INDEX(RegionSet!$B:$B,MATCH($K16,RegionSet!$A:$A,0)))</f>
        <v>PC_L4</v>
      </c>
      <c r="O16" s="6" t="str">
        <f t="shared" si="3"/>
        <v>dim12_1 (GEO_REGION;PC_L4)</v>
      </c>
      <c r="P16" t="s">
        <v>149</v>
      </c>
    </row>
    <row r="17" spans="1:16" x14ac:dyDescent="0.3">
      <c r="A17" t="s">
        <v>475</v>
      </c>
      <c r="B17" t="s">
        <v>451</v>
      </c>
      <c r="C17" s="6" t="str">
        <f>INDEX(Dim!$C:$C,MATCH($B17,Dim!$A:$A,0))</f>
        <v>dim12</v>
      </c>
      <c r="D17" s="11" t="s">
        <v>758</v>
      </c>
      <c r="E17" s="6" t="str">
        <f t="shared" si="0"/>
        <v>dim12_2</v>
      </c>
      <c r="F17" s="6">
        <f t="shared" si="1"/>
        <v>2</v>
      </c>
      <c r="G17" s="6" t="str">
        <f t="shared" si="2"/>
        <v>dim12_2</v>
      </c>
      <c r="H17" t="s">
        <v>494</v>
      </c>
      <c r="J17" s="6" t="str">
        <f>IF($I17="","",INDEX(ConceptSet!$C:$C,MATCH($I17,ConceptSet!$A:$A,0)))</f>
        <v/>
      </c>
      <c r="K17" t="s">
        <v>383</v>
      </c>
      <c r="L17" s="6" t="str">
        <f>IF($K17="","",INDEX(RegionSet!$B:$B,MATCH($K17,RegionSet!$A:$A,0)))</f>
        <v>PC_L3</v>
      </c>
      <c r="O17" s="6" t="str">
        <f t="shared" si="3"/>
        <v>dim12_2 (GEO_REGION;PC_L3)</v>
      </c>
      <c r="P17" t="s">
        <v>149</v>
      </c>
    </row>
    <row r="18" spans="1:16" x14ac:dyDescent="0.3">
      <c r="A18" t="s">
        <v>476</v>
      </c>
      <c r="B18" t="s">
        <v>451</v>
      </c>
      <c r="C18" s="6" t="str">
        <f>INDEX(Dim!$C:$C,MATCH($B18,Dim!$A:$A,0))</f>
        <v>dim12</v>
      </c>
      <c r="D18" s="11" t="s">
        <v>759</v>
      </c>
      <c r="E18" s="6" t="str">
        <f t="shared" si="0"/>
        <v>dim12_3</v>
      </c>
      <c r="F18" s="6">
        <f t="shared" si="1"/>
        <v>3</v>
      </c>
      <c r="G18" s="6" t="str">
        <f t="shared" si="2"/>
        <v>dim12_3</v>
      </c>
      <c r="H18" t="s">
        <v>494</v>
      </c>
      <c r="J18" s="6" t="str">
        <f>IF($I18="","",INDEX(ConceptSet!$C:$C,MATCH($I18,ConceptSet!$A:$A,0)))</f>
        <v/>
      </c>
      <c r="K18" t="s">
        <v>384</v>
      </c>
      <c r="L18" s="6" t="str">
        <f>IF($K18="","",INDEX(RegionSet!$B:$B,MATCH($K18,RegionSet!$A:$A,0)))</f>
        <v>MUN</v>
      </c>
      <c r="O18" s="6" t="str">
        <f t="shared" si="3"/>
        <v>dim12_3 (GEO_REGION;MUN)</v>
      </c>
      <c r="P18" t="s">
        <v>149</v>
      </c>
    </row>
    <row r="19" spans="1:16" x14ac:dyDescent="0.3">
      <c r="A19" t="s">
        <v>477</v>
      </c>
      <c r="B19" t="s">
        <v>451</v>
      </c>
      <c r="C19" s="6" t="str">
        <f>INDEX(Dim!$C:$C,MATCH($B19,Dim!$A:$A,0))</f>
        <v>dim12</v>
      </c>
      <c r="D19" s="11" t="s">
        <v>760</v>
      </c>
      <c r="E19" s="6" t="str">
        <f t="shared" si="0"/>
        <v>dim12_4</v>
      </c>
      <c r="F19" s="6">
        <f t="shared" si="1"/>
        <v>4</v>
      </c>
      <c r="G19" s="6" t="str">
        <f t="shared" si="2"/>
        <v>dim12_4</v>
      </c>
      <c r="H19" t="s">
        <v>494</v>
      </c>
      <c r="J19" s="6" t="str">
        <f>IF($I19="","",INDEX(ConceptSet!$C:$C,MATCH($I19,ConceptSet!$A:$A,0)))</f>
        <v/>
      </c>
      <c r="K19" t="s">
        <v>385</v>
      </c>
      <c r="L19" s="6" t="str">
        <f>IF($K19="","",INDEX(RegionSet!$B:$B,MATCH($K19,RegionSet!$A:$A,0)))</f>
        <v>PV</v>
      </c>
      <c r="O19" s="6" t="str">
        <f t="shared" si="3"/>
        <v>dim12_4 (GEO_REGION;PV)</v>
      </c>
      <c r="P19" t="s">
        <v>149</v>
      </c>
    </row>
    <row r="20" spans="1:16" x14ac:dyDescent="0.3">
      <c r="A20" t="s">
        <v>478</v>
      </c>
      <c r="B20" t="s">
        <v>452</v>
      </c>
      <c r="C20" s="6" t="str">
        <f>INDEX(Dim!$C:$C,MATCH($B20,Dim!$A:$A,0))</f>
        <v>dim13</v>
      </c>
      <c r="D20" s="11" t="s">
        <v>757</v>
      </c>
      <c r="E20" s="6" t="str">
        <f t="shared" si="0"/>
        <v>dim13_1</v>
      </c>
      <c r="F20" s="6">
        <f t="shared" si="1"/>
        <v>1</v>
      </c>
      <c r="G20" s="6" t="str">
        <f t="shared" si="2"/>
        <v>dim13_1</v>
      </c>
      <c r="H20" t="s">
        <v>495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dim13_1 (TIME_DAY)</v>
      </c>
      <c r="P20" t="s">
        <v>149</v>
      </c>
    </row>
    <row r="21" spans="1:16" x14ac:dyDescent="0.3">
      <c r="A21" t="s">
        <v>479</v>
      </c>
      <c r="B21" t="s">
        <v>452</v>
      </c>
      <c r="C21" s="6" t="str">
        <f>INDEX(Dim!$C:$C,MATCH($B21,Dim!$A:$A,0))</f>
        <v>dim13</v>
      </c>
      <c r="D21" s="11" t="s">
        <v>758</v>
      </c>
      <c r="E21" s="6" t="str">
        <f t="shared" si="0"/>
        <v>dim13_2</v>
      </c>
      <c r="F21" s="6">
        <f t="shared" si="1"/>
        <v>2</v>
      </c>
      <c r="G21" s="6" t="str">
        <f t="shared" si="2"/>
        <v>dim13_2</v>
      </c>
      <c r="H21" t="s">
        <v>496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dim13_2 (TIME_WEEK)</v>
      </c>
      <c r="P21" t="s">
        <v>149</v>
      </c>
    </row>
    <row r="22" spans="1:16" x14ac:dyDescent="0.3">
      <c r="A22" t="s">
        <v>480</v>
      </c>
      <c r="B22" t="s">
        <v>452</v>
      </c>
      <c r="C22" s="6" t="str">
        <f>INDEX(Dim!$C:$C,MATCH($B22,Dim!$A:$A,0))</f>
        <v>dim13</v>
      </c>
      <c r="D22" s="11" t="s">
        <v>759</v>
      </c>
      <c r="E22" s="6" t="str">
        <f t="shared" si="0"/>
        <v>dim13_3</v>
      </c>
      <c r="F22" s="6">
        <f t="shared" si="1"/>
        <v>3</v>
      </c>
      <c r="G22" s="6" t="str">
        <f t="shared" si="2"/>
        <v>dim13_3</v>
      </c>
      <c r="H22" t="s">
        <v>497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dim13_3 (TIME_MONTH)</v>
      </c>
      <c r="P22" t="s">
        <v>149</v>
      </c>
    </row>
    <row r="23" spans="1:16" x14ac:dyDescent="0.3">
      <c r="A23" t="s">
        <v>481</v>
      </c>
      <c r="B23" t="s">
        <v>452</v>
      </c>
      <c r="C23" s="6" t="str">
        <f>INDEX(Dim!$C:$C,MATCH($B23,Dim!$A:$A,0))</f>
        <v>dim13</v>
      </c>
      <c r="D23" s="11" t="s">
        <v>760</v>
      </c>
      <c r="E23" s="6" t="str">
        <f t="shared" si="0"/>
        <v>dim13_4</v>
      </c>
      <c r="F23" s="6">
        <f t="shared" si="1"/>
        <v>4</v>
      </c>
      <c r="G23" s="6" t="str">
        <f t="shared" si="2"/>
        <v>dim13_4</v>
      </c>
      <c r="H23" t="s">
        <v>498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dim13_4 (TIME_QUARTER)</v>
      </c>
      <c r="P23" t="s">
        <v>149</v>
      </c>
    </row>
    <row r="24" spans="1:16" x14ac:dyDescent="0.3">
      <c r="A24" t="s">
        <v>482</v>
      </c>
      <c r="B24" t="s">
        <v>452</v>
      </c>
      <c r="C24" s="6" t="str">
        <f>INDEX(Dim!$C:$C,MATCH($B24,Dim!$A:$A,0))</f>
        <v>dim13</v>
      </c>
      <c r="D24" s="11" t="s">
        <v>761</v>
      </c>
      <c r="E24" s="6" t="str">
        <f t="shared" si="0"/>
        <v>dim13_5</v>
      </c>
      <c r="F24" s="6">
        <f t="shared" si="1"/>
        <v>5</v>
      </c>
      <c r="G24" s="6" t="str">
        <f t="shared" si="2"/>
        <v>dim13_5</v>
      </c>
      <c r="H24" t="s">
        <v>499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dim13_5 (TIME_YEAR)</v>
      </c>
      <c r="P24" t="s">
        <v>149</v>
      </c>
    </row>
    <row r="25" spans="1:16" x14ac:dyDescent="0.3">
      <c r="A25" t="s">
        <v>483</v>
      </c>
      <c r="B25" t="s">
        <v>453</v>
      </c>
      <c r="C25" s="6" t="str">
        <f>INDEX(Dim!$C:$C,MATCH($B25,Dim!$A:$A,0))</f>
        <v>dim14</v>
      </c>
      <c r="D25" s="11" t="s">
        <v>757</v>
      </c>
      <c r="E25" s="6" t="str">
        <f t="shared" si="0"/>
        <v>dim14_1</v>
      </c>
      <c r="F25" s="6">
        <f t="shared" si="1"/>
        <v>1</v>
      </c>
      <c r="G25" s="6" t="str">
        <f t="shared" si="2"/>
        <v>dim14_1</v>
      </c>
      <c r="H25" t="s">
        <v>495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dim14_1 (TIME_DAY)</v>
      </c>
      <c r="P25" t="s">
        <v>149</v>
      </c>
    </row>
    <row r="26" spans="1:16" x14ac:dyDescent="0.3">
      <c r="A26" t="s">
        <v>484</v>
      </c>
      <c r="B26" t="s">
        <v>453</v>
      </c>
      <c r="C26" s="6" t="str">
        <f>INDEX(Dim!$C:$C,MATCH($B26,Dim!$A:$A,0))</f>
        <v>dim14</v>
      </c>
      <c r="D26" s="11" t="s">
        <v>758</v>
      </c>
      <c r="E26" s="6" t="str">
        <f t="shared" si="0"/>
        <v>dim14_2</v>
      </c>
      <c r="F26" s="6">
        <f t="shared" si="1"/>
        <v>2</v>
      </c>
      <c r="G26" s="6" t="str">
        <f t="shared" si="2"/>
        <v>dim14_2</v>
      </c>
      <c r="H26" t="s">
        <v>496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dim14_2 (TIME_WEEK)</v>
      </c>
      <c r="P26" t="s">
        <v>149</v>
      </c>
    </row>
    <row r="27" spans="1:16" x14ac:dyDescent="0.3">
      <c r="A27" t="s">
        <v>485</v>
      </c>
      <c r="B27" t="s">
        <v>453</v>
      </c>
      <c r="C27" s="6" t="str">
        <f>INDEX(Dim!$C:$C,MATCH($B27,Dim!$A:$A,0))</f>
        <v>dim14</v>
      </c>
      <c r="D27" s="11" t="s">
        <v>759</v>
      </c>
      <c r="E27" s="6" t="str">
        <f t="shared" si="0"/>
        <v>dim14_3</v>
      </c>
      <c r="F27" s="6">
        <f t="shared" si="1"/>
        <v>3</v>
      </c>
      <c r="G27" s="6" t="str">
        <f t="shared" si="2"/>
        <v>dim14_3</v>
      </c>
      <c r="H27" t="s">
        <v>497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dim14_3 (TIME_MONTH)</v>
      </c>
      <c r="P27" t="s">
        <v>149</v>
      </c>
    </row>
    <row r="28" spans="1:16" x14ac:dyDescent="0.3">
      <c r="A28" t="s">
        <v>486</v>
      </c>
      <c r="B28" t="s">
        <v>453</v>
      </c>
      <c r="C28" s="6" t="str">
        <f>INDEX(Dim!$C:$C,MATCH($B28,Dim!$A:$A,0))</f>
        <v>dim14</v>
      </c>
      <c r="D28" s="11" t="s">
        <v>760</v>
      </c>
      <c r="E28" s="6" t="str">
        <f t="shared" si="0"/>
        <v>dim14_4</v>
      </c>
      <c r="F28" s="6">
        <f t="shared" si="1"/>
        <v>4</v>
      </c>
      <c r="G28" s="6" t="str">
        <f t="shared" si="2"/>
        <v>dim14_4</v>
      </c>
      <c r="H28" t="s">
        <v>498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dim14_4 (TIME_QUARTER)</v>
      </c>
      <c r="P28" t="s">
        <v>149</v>
      </c>
    </row>
    <row r="29" spans="1:16" x14ac:dyDescent="0.3">
      <c r="A29" t="s">
        <v>487</v>
      </c>
      <c r="B29" t="s">
        <v>453</v>
      </c>
      <c r="C29" s="6" t="str">
        <f>INDEX(Dim!$C:$C,MATCH($B29,Dim!$A:$A,0))</f>
        <v>dim14</v>
      </c>
      <c r="D29" s="11" t="s">
        <v>761</v>
      </c>
      <c r="E29" s="6" t="str">
        <f t="shared" si="0"/>
        <v>dim14_5</v>
      </c>
      <c r="F29" s="6">
        <f t="shared" si="1"/>
        <v>5</v>
      </c>
      <c r="G29" s="6" t="str">
        <f t="shared" si="2"/>
        <v>dim14_5</v>
      </c>
      <c r="H29" t="s">
        <v>499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dim14_5 (TIME_YEAR)</v>
      </c>
      <c r="P29" t="s">
        <v>149</v>
      </c>
    </row>
    <row r="30" spans="1:16" x14ac:dyDescent="0.3">
      <c r="A30" t="s">
        <v>488</v>
      </c>
      <c r="B30" t="s">
        <v>454</v>
      </c>
      <c r="C30" s="6" t="str">
        <f>INDEX(Dim!$C:$C,MATCH($B30,Dim!$A:$A,0))</f>
        <v>dim15</v>
      </c>
      <c r="D30" s="11" t="s">
        <v>757</v>
      </c>
      <c r="E30" s="6" t="str">
        <f t="shared" si="0"/>
        <v>dim15_1</v>
      </c>
      <c r="F30" s="6">
        <f t="shared" si="1"/>
        <v>1</v>
      </c>
      <c r="G30" s="6" t="str">
        <f t="shared" si="2"/>
        <v>dim15_1</v>
      </c>
      <c r="H30" t="s">
        <v>880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dim15_1 (ID_PERSON)</v>
      </c>
      <c r="P30" t="s">
        <v>149</v>
      </c>
    </row>
    <row r="31" spans="1:16" x14ac:dyDescent="0.3">
      <c r="A31" t="s">
        <v>489</v>
      </c>
      <c r="B31" t="s">
        <v>455</v>
      </c>
      <c r="C31" s="6" t="str">
        <f>INDEX(Dim!$C:$C,MATCH($B31,Dim!$A:$A,0))</f>
        <v>dim16</v>
      </c>
      <c r="D31" s="11" t="s">
        <v>757</v>
      </c>
      <c r="E31" s="6" t="str">
        <f t="shared" si="0"/>
        <v>dim16_1</v>
      </c>
      <c r="F31" s="6">
        <f t="shared" si="1"/>
        <v>1</v>
      </c>
      <c r="G31" s="6" t="str">
        <f t="shared" si="2"/>
        <v>dim16_1</v>
      </c>
      <c r="H31" t="s">
        <v>881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dim16_1 (ID_CASE)</v>
      </c>
      <c r="P31" t="s">
        <v>149</v>
      </c>
    </row>
    <row r="32" spans="1:16" x14ac:dyDescent="0.3">
      <c r="A32" t="s">
        <v>490</v>
      </c>
      <c r="B32" t="s">
        <v>456</v>
      </c>
      <c r="C32" s="6" t="str">
        <f>INDEX(Dim!$C:$C,MATCH($B32,Dim!$A:$A,0))</f>
        <v>dim17</v>
      </c>
      <c r="D32" s="11" t="s">
        <v>757</v>
      </c>
      <c r="E32" s="6" t="str">
        <f t="shared" si="0"/>
        <v>dim17_1</v>
      </c>
      <c r="F32" s="6">
        <f t="shared" si="1"/>
        <v>1</v>
      </c>
      <c r="G32" s="6" t="str">
        <f t="shared" si="2"/>
        <v>dim17_1</v>
      </c>
      <c r="H32" t="s">
        <v>504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dim17_1 (DECIMAL_0)</v>
      </c>
      <c r="P32" t="s">
        <v>149</v>
      </c>
    </row>
    <row r="33" spans="1:16" x14ac:dyDescent="0.3">
      <c r="A33" t="s">
        <v>500</v>
      </c>
      <c r="B33" t="s">
        <v>456</v>
      </c>
      <c r="C33" s="6" t="str">
        <f>INDEX(Dim!$C:$C,MATCH($B33,Dim!$A:$A,0))</f>
        <v>dim17</v>
      </c>
      <c r="D33" s="11" t="s">
        <v>757</v>
      </c>
      <c r="E33" s="6" t="str">
        <f t="shared" si="0"/>
        <v>dim17_1</v>
      </c>
      <c r="F33" s="6">
        <f t="shared" si="1"/>
        <v>1</v>
      </c>
      <c r="G33" s="6" t="str">
        <f t="shared" si="2"/>
        <v>dim17_1</v>
      </c>
      <c r="H33" t="s">
        <v>343</v>
      </c>
      <c r="I33" t="s">
        <v>336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dim17_1 (INTERVAL;Age in years, intervals 0, 5, 15, 25, 45, 65)</v>
      </c>
      <c r="P33" t="s">
        <v>149</v>
      </c>
    </row>
    <row r="34" spans="1:16" x14ac:dyDescent="0.3">
      <c r="A34" t="s">
        <v>501</v>
      </c>
      <c r="B34" t="s">
        <v>456</v>
      </c>
      <c r="C34" s="6" t="str">
        <f>INDEX(Dim!$C:$C,MATCH($B34,Dim!$A:$A,0))</f>
        <v>dim17</v>
      </c>
      <c r="D34" s="11" t="s">
        <v>757</v>
      </c>
      <c r="E34" s="6" t="str">
        <f t="shared" si="0"/>
        <v>dim17_1</v>
      </c>
      <c r="F34" s="6">
        <f t="shared" si="1"/>
        <v>1</v>
      </c>
      <c r="G34" s="6" t="str">
        <f t="shared" si="2"/>
        <v>dim17_1</v>
      </c>
      <c r="H34" t="s">
        <v>343</v>
      </c>
      <c r="I34" t="s">
        <v>337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dim17_1 (INTERVAL;Age in years, intervals 0, 5, 19, 65)</v>
      </c>
      <c r="P34" t="s">
        <v>149</v>
      </c>
    </row>
    <row r="35" spans="1:16" x14ac:dyDescent="0.3">
      <c r="A35" t="s">
        <v>491</v>
      </c>
      <c r="B35" t="s">
        <v>457</v>
      </c>
      <c r="C35" s="6" t="str">
        <f>INDEX(Dim!$C:$C,MATCH($B35,Dim!$A:$A,0))</f>
        <v>dim18</v>
      </c>
      <c r="D35" s="11" t="s">
        <v>757</v>
      </c>
      <c r="E35" s="6" t="str">
        <f t="shared" si="0"/>
        <v>dim18_1</v>
      </c>
      <c r="F35" s="6">
        <f t="shared" si="1"/>
        <v>1</v>
      </c>
      <c r="G35" s="6" t="str">
        <f t="shared" si="2"/>
        <v>dim18_1</v>
      </c>
      <c r="H35" t="s">
        <v>505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dim18_1 (DECIMAL_2)</v>
      </c>
      <c r="P35" t="s">
        <v>149</v>
      </c>
    </row>
    <row r="36" spans="1:16" x14ac:dyDescent="0.3">
      <c r="A36" t="s">
        <v>502</v>
      </c>
      <c r="B36" t="s">
        <v>457</v>
      </c>
      <c r="C36" s="6" t="str">
        <f>INDEX(Dim!$C:$C,MATCH($B36,Dim!$A:$A,0))</f>
        <v>dim18</v>
      </c>
      <c r="D36" s="11" t="s">
        <v>757</v>
      </c>
      <c r="E36" s="6" t="str">
        <f t="shared" si="0"/>
        <v>dim18_1</v>
      </c>
      <c r="F36" s="6">
        <f t="shared" si="1"/>
        <v>1</v>
      </c>
      <c r="G36" s="6" t="str">
        <f t="shared" si="2"/>
        <v>dim18_1</v>
      </c>
      <c r="H36" t="s">
        <v>343</v>
      </c>
      <c r="I36" t="s">
        <v>340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dim18_1 (INTERVAL;Age in months, intervals 0, 1, 2, 3)</v>
      </c>
      <c r="P36" t="s">
        <v>149</v>
      </c>
    </row>
    <row r="37" spans="1:16" x14ac:dyDescent="0.3">
      <c r="A37" t="s">
        <v>503</v>
      </c>
      <c r="B37" t="s">
        <v>457</v>
      </c>
      <c r="C37" s="6" t="str">
        <f>INDEX(Dim!$C:$C,MATCH($B37,Dim!$A:$A,0))</f>
        <v>dim18</v>
      </c>
      <c r="D37" s="11" t="s">
        <v>757</v>
      </c>
      <c r="E37" s="6" t="str">
        <f t="shared" si="0"/>
        <v>dim18_1</v>
      </c>
      <c r="F37" s="6">
        <f t="shared" si="1"/>
        <v>1</v>
      </c>
      <c r="G37" s="6" t="str">
        <f t="shared" si="2"/>
        <v>dim18_1</v>
      </c>
      <c r="H37" t="s">
        <v>343</v>
      </c>
      <c r="I37" t="s">
        <v>338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dim18_1 (INTERVAL;Age in years, intervals 0, 15, 25, 35, 45)</v>
      </c>
      <c r="P37" t="s">
        <v>149</v>
      </c>
    </row>
    <row r="38" spans="1:16" x14ac:dyDescent="0.3">
      <c r="A38" t="s">
        <v>492</v>
      </c>
      <c r="B38" t="s">
        <v>458</v>
      </c>
      <c r="C38" s="6" t="str">
        <f>INDEX(Dim!$C:$C,MATCH($B38,Dim!$A:$A,0))</f>
        <v>dim19</v>
      </c>
      <c r="D38" s="11" t="s">
        <v>757</v>
      </c>
      <c r="E38" s="6" t="str">
        <f t="shared" si="0"/>
        <v>dim19_1</v>
      </c>
      <c r="F38" s="6">
        <f t="shared" si="1"/>
        <v>1</v>
      </c>
      <c r="G38" s="6" t="str">
        <f t="shared" si="2"/>
        <v>dim19_1</v>
      </c>
      <c r="H38" t="s">
        <v>439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dim19_1 (OTHER)</v>
      </c>
      <c r="P38" t="s">
        <v>149</v>
      </c>
    </row>
    <row r="39" spans="1:16" x14ac:dyDescent="0.3">
      <c r="A39" t="s">
        <v>493</v>
      </c>
      <c r="B39" t="s">
        <v>459</v>
      </c>
      <c r="C39" s="6" t="str">
        <f>INDEX(Dim!$C:$C,MATCH($B39,Dim!$A:$A,0))</f>
        <v>dim20</v>
      </c>
      <c r="D39" s="11" t="s">
        <v>757</v>
      </c>
      <c r="E39" s="6" t="str">
        <f t="shared" si="0"/>
        <v>dim20_1</v>
      </c>
      <c r="F39" s="6">
        <f t="shared" si="1"/>
        <v>1</v>
      </c>
      <c r="G39" s="6" t="str">
        <f t="shared" si="2"/>
        <v>dim20_1</v>
      </c>
      <c r="H39" t="s">
        <v>439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dim20_1 (OTHER)</v>
      </c>
      <c r="P39" t="s">
        <v>149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281</v>
      </c>
    </row>
    <row r="2" spans="1:3" x14ac:dyDescent="0.3">
      <c r="A2" t="s">
        <v>116</v>
      </c>
      <c r="B2" t="s">
        <v>282</v>
      </c>
    </row>
    <row r="3" spans="1:3" x14ac:dyDescent="0.3">
      <c r="A3" t="s">
        <v>119</v>
      </c>
      <c r="B3" t="s">
        <v>283</v>
      </c>
    </row>
    <row r="4" spans="1:3" x14ac:dyDescent="0.3">
      <c r="A4" t="s">
        <v>122</v>
      </c>
      <c r="B4" t="s">
        <v>284</v>
      </c>
    </row>
    <row r="5" spans="1:3" x14ac:dyDescent="0.3">
      <c r="A5" t="s">
        <v>125</v>
      </c>
      <c r="B5" t="s">
        <v>285</v>
      </c>
    </row>
    <row r="6" spans="1:3" x14ac:dyDescent="0.3">
      <c r="A6" t="s">
        <v>128</v>
      </c>
      <c r="B6" t="s">
        <v>286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287</v>
      </c>
    </row>
    <row r="2" spans="1:3" x14ac:dyDescent="0.3">
      <c r="A2" t="s">
        <v>117</v>
      </c>
      <c r="B2" t="s">
        <v>288</v>
      </c>
      <c r="C2" t="s">
        <v>293</v>
      </c>
    </row>
    <row r="3" spans="1:3" x14ac:dyDescent="0.3">
      <c r="A3" t="s">
        <v>120</v>
      </c>
      <c r="B3" t="s">
        <v>289</v>
      </c>
      <c r="C3" t="s">
        <v>293</v>
      </c>
    </row>
    <row r="4" spans="1:3" x14ac:dyDescent="0.3">
      <c r="A4" t="s">
        <v>123</v>
      </c>
      <c r="B4" t="s">
        <v>290</v>
      </c>
      <c r="C4" t="s">
        <v>293</v>
      </c>
    </row>
    <row r="5" spans="1:3" x14ac:dyDescent="0.3">
      <c r="A5" t="s">
        <v>126</v>
      </c>
      <c r="B5" t="s">
        <v>291</v>
      </c>
      <c r="C5" t="s">
        <v>293</v>
      </c>
    </row>
    <row r="6" spans="1:3" x14ac:dyDescent="0.3">
      <c r="A6" t="s">
        <v>129</v>
      </c>
      <c r="B6" t="s">
        <v>292</v>
      </c>
      <c r="C6" t="s">
        <v>293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B2" sqref="B2"/>
    </sheetView>
  </sheetViews>
  <sheetFormatPr defaultColWidth="8.77734375" defaultRowHeight="14.4" x14ac:dyDescent="0.3"/>
  <cols>
    <col min="1" max="1" width="35.44140625" bestFit="1" customWidth="1"/>
    <col min="2" max="2" width="10" style="6" bestFit="1" customWidth="1"/>
    <col min="3" max="3" width="10" customWidth="1"/>
    <col min="4" max="4" width="10" bestFit="1" customWidth="1"/>
    <col min="5" max="5" width="34.77734375" bestFit="1" customWidth="1"/>
    <col min="6" max="6" width="34.77734375" style="13" customWidth="1"/>
    <col min="7" max="7" width="7" bestFit="1" customWidth="1"/>
    <col min="8" max="8" width="35.33203125" bestFit="1" customWidth="1"/>
    <col min="9" max="9" width="35.33203125" style="13" customWidth="1"/>
    <col min="10" max="10" width="15" bestFit="1" customWidth="1"/>
  </cols>
  <sheetData>
    <row r="1" spans="1:10" x14ac:dyDescent="0.3">
      <c r="A1" s="1" t="s">
        <v>0</v>
      </c>
      <c r="B1" s="10" t="s">
        <v>57</v>
      </c>
      <c r="C1" s="1" t="s">
        <v>922</v>
      </c>
      <c r="D1" s="1" t="s">
        <v>78</v>
      </c>
      <c r="E1" s="1" t="s">
        <v>111</v>
      </c>
      <c r="F1" s="12" t="s">
        <v>777</v>
      </c>
      <c r="G1" s="1" t="s">
        <v>112</v>
      </c>
      <c r="H1" s="1" t="s">
        <v>113</v>
      </c>
      <c r="I1" s="12" t="s">
        <v>778</v>
      </c>
      <c r="J1" s="1" t="s">
        <v>114</v>
      </c>
    </row>
    <row r="2" spans="1:10" x14ac:dyDescent="0.3">
      <c r="A2" t="s">
        <v>115</v>
      </c>
      <c r="B2" s="6" t="str">
        <f>"case_type"&amp;$C2</f>
        <v>case_type1</v>
      </c>
      <c r="C2">
        <v>1</v>
      </c>
      <c r="E2" t="s">
        <v>116</v>
      </c>
      <c r="F2" s="13" t="str">
        <f>INDEX(Disease!$B:$B,MATCH($E2,Disease!$A:$A,0))</f>
        <v>disease1</v>
      </c>
      <c r="H2" t="s">
        <v>117</v>
      </c>
      <c r="I2" s="13" t="str">
        <f>INDEX(EtiologicalAgent!$B:$B,MATCH($H2,EtiologicalAgent!$A:$A,0))</f>
        <v>etiological_agent1</v>
      </c>
    </row>
    <row r="3" spans="1:10" x14ac:dyDescent="0.3">
      <c r="A3" t="s">
        <v>118</v>
      </c>
      <c r="B3" s="6" t="str">
        <f t="shared" ref="B3:B6" si="0">"case_type"&amp;$C3</f>
        <v>case_type2</v>
      </c>
      <c r="C3">
        <v>2</v>
      </c>
      <c r="E3" t="s">
        <v>119</v>
      </c>
      <c r="F3" s="13" t="str">
        <f>INDEX(Disease!$B:$B,MATCH($E3,Disease!$A:$A,0))</f>
        <v>disease2</v>
      </c>
      <c r="H3" t="s">
        <v>120</v>
      </c>
      <c r="I3" s="13" t="str">
        <f>INDEX(EtiologicalAgent!$B:$B,MATCH($H3,EtiologicalAgent!$A:$A,0))</f>
        <v>etiological_agent2</v>
      </c>
    </row>
    <row r="4" spans="1:10" x14ac:dyDescent="0.3">
      <c r="A4" t="s">
        <v>121</v>
      </c>
      <c r="B4" s="6" t="str">
        <f t="shared" si="0"/>
        <v>case_type3</v>
      </c>
      <c r="C4">
        <v>3</v>
      </c>
      <c r="E4" t="s">
        <v>122</v>
      </c>
      <c r="F4" s="13" t="str">
        <f>INDEX(Disease!$B:$B,MATCH($E4,Disease!$A:$A,0))</f>
        <v>disease3</v>
      </c>
      <c r="H4" t="s">
        <v>123</v>
      </c>
      <c r="I4" s="13" t="str">
        <f>INDEX(EtiologicalAgent!$B:$B,MATCH($H4,EtiologicalAgent!$A:$A,0))</f>
        <v>etiological_agent3</v>
      </c>
    </row>
    <row r="5" spans="1:10" x14ac:dyDescent="0.3">
      <c r="A5" t="s">
        <v>124</v>
      </c>
      <c r="B5" s="6" t="str">
        <f t="shared" si="0"/>
        <v>case_type4</v>
      </c>
      <c r="C5">
        <v>4</v>
      </c>
      <c r="E5" t="s">
        <v>125</v>
      </c>
      <c r="F5" s="13" t="str">
        <f>INDEX(Disease!$B:$B,MATCH($E5,Disease!$A:$A,0))</f>
        <v>disease4</v>
      </c>
      <c r="H5" t="s">
        <v>126</v>
      </c>
      <c r="I5" s="13" t="str">
        <f>INDEX(EtiologicalAgent!$B:$B,MATCH($H5,EtiologicalAgent!$A:$A,0))</f>
        <v>etiological_agent4</v>
      </c>
    </row>
    <row r="6" spans="1:10" x14ac:dyDescent="0.3">
      <c r="A6" t="s">
        <v>127</v>
      </c>
      <c r="B6" s="6" t="str">
        <f t="shared" si="0"/>
        <v>case_type5</v>
      </c>
      <c r="C6">
        <v>5</v>
      </c>
      <c r="E6" t="s">
        <v>128</v>
      </c>
      <c r="F6" s="13" t="str">
        <f>INDEX(Disease!$B:$B,MATCH($E6,Disease!$A:$A,0))</f>
        <v>disease5</v>
      </c>
      <c r="H6" t="s">
        <v>129</v>
      </c>
      <c r="I6" s="13" t="str">
        <f>INDEX(EtiologicalAgent!$B:$B,MATCH($H6,EtiologicalAgent!$A:$A,0))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779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780</v>
      </c>
      <c r="D1" s="1" t="s">
        <v>59</v>
      </c>
      <c r="E1" s="1" t="s">
        <v>133</v>
      </c>
      <c r="F1" s="10" t="s">
        <v>781</v>
      </c>
      <c r="G1" s="1" t="s">
        <v>134</v>
      </c>
      <c r="H1" s="16" t="s">
        <v>279</v>
      </c>
    </row>
    <row r="2" spans="1:8" x14ac:dyDescent="0.3">
      <c r="A2" t="s">
        <v>150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151</v>
      </c>
      <c r="B3" t="s">
        <v>65</v>
      </c>
      <c r="C3" s="6" t="str">
        <f>INDEX(CaseTypeSet!$B:$B,MATCH($B3,CaseTypeSet!$A:$A,0))</f>
        <v>case_type_set2</v>
      </c>
      <c r="E3" t="s">
        <v>118</v>
      </c>
      <c r="F3" s="6" t="str">
        <f>INDEX(CaseType!$B:$B,MATCH($E3,CaseType!$A:$A,0))</f>
        <v>case_type2</v>
      </c>
      <c r="H3"/>
    </row>
    <row r="4" spans="1:8" hidden="1" x14ac:dyDescent="0.3">
      <c r="A4" t="s">
        <v>152</v>
      </c>
      <c r="B4" t="s">
        <v>66</v>
      </c>
      <c r="C4" s="6" t="str">
        <f>INDEX(CaseTypeSet!$B:$B,MATCH($B4,CaseTypeSet!$A:$A,0))</f>
        <v>case_type_set3</v>
      </c>
      <c r="E4" t="s">
        <v>121</v>
      </c>
      <c r="F4" s="6" t="str">
        <f>INDEX(CaseType!$B:$B,MATCH($E4,CaseType!$A:$A,0))</f>
        <v>case_type3</v>
      </c>
      <c r="H4"/>
    </row>
    <row r="5" spans="1:8" hidden="1" x14ac:dyDescent="0.3">
      <c r="A5" t="s">
        <v>153</v>
      </c>
      <c r="B5" t="s">
        <v>67</v>
      </c>
      <c r="C5" s="6" t="str">
        <f>INDEX(CaseTypeSet!$B:$B,MATCH($B5,CaseTypeSet!$A:$A,0))</f>
        <v>case_type_set4</v>
      </c>
      <c r="E5" t="s">
        <v>124</v>
      </c>
      <c r="F5" s="6" t="str">
        <f>INDEX(CaseType!$B:$B,MATCH($E5,CaseType!$A:$A,0))</f>
        <v>case_type4</v>
      </c>
      <c r="H5"/>
    </row>
    <row r="6" spans="1:8" hidden="1" x14ac:dyDescent="0.3">
      <c r="A6" t="s">
        <v>154</v>
      </c>
      <c r="B6" t="s">
        <v>68</v>
      </c>
      <c r="C6" s="6" t="str">
        <f>INDEX(CaseTypeSet!$B:$B,MATCH($B6,CaseTypeSet!$A:$A,0))</f>
        <v>case_type_set5</v>
      </c>
      <c r="E6" t="s">
        <v>127</v>
      </c>
      <c r="F6" s="6" t="str">
        <f>INDEX(CaseType!$B:$B,MATCH($E6,CaseType!$A:$A,0))</f>
        <v>case_type5</v>
      </c>
      <c r="H6"/>
    </row>
    <row r="7" spans="1:8" x14ac:dyDescent="0.3">
      <c r="A7" t="s">
        <v>155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156</v>
      </c>
      <c r="B8" t="s">
        <v>88</v>
      </c>
      <c r="C8" s="6" t="str">
        <f>INDEX(CaseTypeSet!$B:$B,MATCH($B8,CaseTypeSet!$A:$A,0))</f>
        <v>case_type_set1,2</v>
      </c>
      <c r="E8" t="s">
        <v>118</v>
      </c>
      <c r="F8" s="6" t="str">
        <f>INDEX(CaseType!$B:$B,MATCH($E8,CaseType!$A:$A,0))</f>
        <v>case_type2</v>
      </c>
      <c r="H8"/>
    </row>
    <row r="9" spans="1:8" hidden="1" x14ac:dyDescent="0.3">
      <c r="A9" t="s">
        <v>157</v>
      </c>
      <c r="B9" t="s">
        <v>90</v>
      </c>
      <c r="C9" s="6" t="str">
        <f>INDEX(CaseTypeSet!$B:$B,MATCH($B9,CaseTypeSet!$A:$A,0))</f>
        <v>case_type_set1,3</v>
      </c>
      <c r="E9" t="s">
        <v>121</v>
      </c>
      <c r="F9" s="6" t="str">
        <f>INDEX(CaseType!$B:$B,MATCH($E9,CaseType!$A:$A,0))</f>
        <v>case_type3</v>
      </c>
      <c r="H9"/>
    </row>
    <row r="10" spans="1:8" x14ac:dyDescent="0.3">
      <c r="A10" t="s">
        <v>158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159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160</v>
      </c>
      <c r="B12" t="s">
        <v>92</v>
      </c>
      <c r="C12" s="6" t="str">
        <f>INDEX(CaseTypeSet!$B:$B,MATCH($B12,CaseTypeSet!$A:$A,0))</f>
        <v>case_type_set1,4</v>
      </c>
      <c r="E12" t="s">
        <v>124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161</v>
      </c>
      <c r="B13" t="s">
        <v>94</v>
      </c>
      <c r="C13" s="6" t="str">
        <f>INDEX(CaseTypeSet!$B:$B,MATCH($B13,CaseTypeSet!$A:$A,0))</f>
        <v>case_type_set1,5</v>
      </c>
      <c r="E13" t="s">
        <v>127</v>
      </c>
      <c r="F13" s="6" t="str">
        <f>INDEX(CaseType!$B:$B,MATCH($E13,CaseType!$A:$A,0))</f>
        <v>case_type5</v>
      </c>
      <c r="H13"/>
    </row>
    <row r="14" spans="1:8" x14ac:dyDescent="0.3">
      <c r="A14" t="s">
        <v>162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163</v>
      </c>
      <c r="B15" t="s">
        <v>96</v>
      </c>
      <c r="C15" s="6" t="str">
        <f>INDEX(CaseTypeSet!$B:$B,MATCH($B15,CaseTypeSet!$A:$A,0))</f>
        <v>case_type_set2,3</v>
      </c>
      <c r="E15" t="s">
        <v>121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164</v>
      </c>
      <c r="B16" t="s">
        <v>96</v>
      </c>
      <c r="C16" s="6" t="str">
        <f>INDEX(CaseTypeSet!$B:$B,MATCH($B16,CaseTypeSet!$A:$A,0))</f>
        <v>case_type_set2,3</v>
      </c>
      <c r="E16" t="s">
        <v>118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165</v>
      </c>
      <c r="B17" t="s">
        <v>98</v>
      </c>
      <c r="C17" s="6" t="str">
        <f>INDEX(CaseTypeSet!$B:$B,MATCH($B17,CaseTypeSet!$A:$A,0))</f>
        <v>case_type_set2,4</v>
      </c>
      <c r="E17" t="s">
        <v>124</v>
      </c>
      <c r="F17" s="6" t="str">
        <f>INDEX(CaseType!$B:$B,MATCH($E17,CaseType!$A:$A,0))</f>
        <v>case_type4</v>
      </c>
    </row>
    <row r="18" spans="1:6" customFormat="1" hidden="1" x14ac:dyDescent="0.3">
      <c r="A18" t="s">
        <v>166</v>
      </c>
      <c r="B18" t="s">
        <v>98</v>
      </c>
      <c r="C18" s="6" t="str">
        <f>INDEX(CaseTypeSet!$B:$B,MATCH($B18,CaseTypeSet!$A:$A,0))</f>
        <v>case_type_set2,4</v>
      </c>
      <c r="E18" t="s">
        <v>118</v>
      </c>
      <c r="F18" s="6" t="str">
        <f>INDEX(CaseType!$B:$B,MATCH($E18,CaseType!$A:$A,0))</f>
        <v>case_type2</v>
      </c>
    </row>
    <row r="19" spans="1:6" customFormat="1" hidden="1" x14ac:dyDescent="0.3">
      <c r="A19" t="s">
        <v>167</v>
      </c>
      <c r="B19" t="s">
        <v>100</v>
      </c>
      <c r="C19" s="6" t="str">
        <f>INDEX(CaseTypeSet!$B:$B,MATCH($B19,CaseTypeSet!$A:$A,0))</f>
        <v>case_type_set2,5</v>
      </c>
      <c r="E19" t="s">
        <v>127</v>
      </c>
      <c r="F19" s="6" t="str">
        <f>INDEX(CaseType!$B:$B,MATCH($E19,CaseType!$A:$A,0))</f>
        <v>case_type5</v>
      </c>
    </row>
    <row r="20" spans="1:6" customFormat="1" hidden="1" x14ac:dyDescent="0.3">
      <c r="A20" t="s">
        <v>168</v>
      </c>
      <c r="B20" t="s">
        <v>100</v>
      </c>
      <c r="C20" s="6" t="str">
        <f>INDEX(CaseTypeSet!$B:$B,MATCH($B20,CaseTypeSet!$A:$A,0))</f>
        <v>case_type_set2,5</v>
      </c>
      <c r="E20" t="s">
        <v>118</v>
      </c>
      <c r="F20" s="6" t="str">
        <f>INDEX(CaseType!$B:$B,MATCH($E20,CaseType!$A:$A,0))</f>
        <v>case_type2</v>
      </c>
    </row>
    <row r="21" spans="1:6" customFormat="1" hidden="1" x14ac:dyDescent="0.3">
      <c r="A21" t="s">
        <v>169</v>
      </c>
      <c r="B21" t="s">
        <v>102</v>
      </c>
      <c r="C21" s="6" t="str">
        <f>INDEX(CaseTypeSet!$B:$B,MATCH($B21,CaseTypeSet!$A:$A,0))</f>
        <v>case_type_set3,4</v>
      </c>
      <c r="E21" t="s">
        <v>121</v>
      </c>
      <c r="F21" s="6" t="str">
        <f>INDEX(CaseType!$B:$B,MATCH($E21,CaseType!$A:$A,0))</f>
        <v>case_type3</v>
      </c>
    </row>
    <row r="22" spans="1:6" customFormat="1" hidden="1" x14ac:dyDescent="0.3">
      <c r="A22" t="s">
        <v>170</v>
      </c>
      <c r="B22" t="s">
        <v>102</v>
      </c>
      <c r="C22" s="6" t="str">
        <f>INDEX(CaseTypeSet!$B:$B,MATCH($B22,CaseTypeSet!$A:$A,0))</f>
        <v>case_type_set3,4</v>
      </c>
      <c r="E22" t="s">
        <v>124</v>
      </c>
      <c r="F22" s="6" t="str">
        <f>INDEX(CaseType!$B:$B,MATCH($E22,CaseType!$A:$A,0))</f>
        <v>case_type4</v>
      </c>
    </row>
    <row r="23" spans="1:6" customFormat="1" hidden="1" x14ac:dyDescent="0.3">
      <c r="A23" t="s">
        <v>171</v>
      </c>
      <c r="B23" t="s">
        <v>104</v>
      </c>
      <c r="C23" s="6" t="str">
        <f>INDEX(CaseTypeSet!$B:$B,MATCH($B23,CaseTypeSet!$A:$A,0))</f>
        <v>case_type_set3,5</v>
      </c>
      <c r="E23" t="s">
        <v>121</v>
      </c>
      <c r="F23" s="6" t="str">
        <f>INDEX(CaseType!$B:$B,MATCH($E23,CaseType!$A:$A,0))</f>
        <v>case_type3</v>
      </c>
    </row>
    <row r="24" spans="1:6" customFormat="1" hidden="1" x14ac:dyDescent="0.3">
      <c r="A24" t="s">
        <v>172</v>
      </c>
      <c r="B24" t="s">
        <v>104</v>
      </c>
      <c r="C24" s="6" t="str">
        <f>INDEX(CaseTypeSet!$B:$B,MATCH($B24,CaseTypeSet!$A:$A,0))</f>
        <v>case_type_set3,5</v>
      </c>
      <c r="E24" t="s">
        <v>127</v>
      </c>
      <c r="F24" s="6" t="str">
        <f>INDEX(CaseType!$B:$B,MATCH($E24,CaseType!$A:$A,0))</f>
        <v>case_type5</v>
      </c>
    </row>
    <row r="25" spans="1:6" customFormat="1" hidden="1" x14ac:dyDescent="0.3">
      <c r="A25" t="s">
        <v>173</v>
      </c>
      <c r="B25" t="s">
        <v>106</v>
      </c>
      <c r="C25" s="6" t="str">
        <f>INDEX(CaseTypeSet!$B:$B,MATCH($B25,CaseTypeSet!$A:$A,0))</f>
        <v>case_type_set4,5</v>
      </c>
      <c r="E25" t="s">
        <v>127</v>
      </c>
      <c r="F25" s="6" t="str">
        <f>INDEX(CaseType!$B:$B,MATCH($E25,CaseType!$A:$A,0))</f>
        <v>case_type5</v>
      </c>
    </row>
    <row r="26" spans="1:6" customFormat="1" hidden="1" x14ac:dyDescent="0.3">
      <c r="A26" t="s">
        <v>174</v>
      </c>
      <c r="B26" t="s">
        <v>106</v>
      </c>
      <c r="C26" s="6" t="str">
        <f>INDEX(CaseTypeSet!$B:$B,MATCH($B26,CaseTypeSet!$A:$A,0))</f>
        <v>case_type_set4,5</v>
      </c>
      <c r="E26" t="s">
        <v>124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A12C-F397-4060-B31F-06C426A004AD}">
  <dimension ref="A1:L44"/>
  <sheetViews>
    <sheetView workbookViewId="0">
      <pane ySplit="1" topLeftCell="A17" activePane="bottomLeft" state="frozen"/>
      <selection pane="bottomLeft" activeCell="A42" sqref="A42:A44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7" style="6" bestFit="1" customWidth="1"/>
    <col min="4" max="4" width="10.109375" bestFit="1" customWidth="1"/>
    <col min="5" max="5" width="36.21875" bestFit="1" customWidth="1"/>
    <col min="6" max="6" width="15.6640625" bestFit="1" customWidth="1"/>
    <col min="7" max="7" width="15.33203125" style="6" bestFit="1" customWidth="1"/>
    <col min="8" max="8" width="15.33203125" style="6" customWidth="1"/>
    <col min="9" max="9" width="7" style="6" bestFit="1" customWidth="1"/>
    <col min="10" max="10" width="7" bestFit="1" customWidth="1"/>
    <col min="11" max="11" width="36.77734375" style="6" bestFit="1" customWidth="1"/>
    <col min="12" max="12" width="49.6640625" bestFit="1" customWidth="1"/>
  </cols>
  <sheetData>
    <row r="1" spans="1:12" x14ac:dyDescent="0.3">
      <c r="A1" t="s">
        <v>0</v>
      </c>
      <c r="B1" t="s">
        <v>133</v>
      </c>
      <c r="C1" s="6" t="s">
        <v>923</v>
      </c>
      <c r="D1" t="s">
        <v>136</v>
      </c>
      <c r="E1" t="s">
        <v>175</v>
      </c>
      <c r="F1" t="s">
        <v>878</v>
      </c>
      <c r="G1" s="6" t="s">
        <v>879</v>
      </c>
      <c r="H1" s="6" t="s">
        <v>924</v>
      </c>
      <c r="I1" s="6" t="s">
        <v>137</v>
      </c>
      <c r="J1" t="s">
        <v>81</v>
      </c>
      <c r="K1" s="6" t="s">
        <v>138</v>
      </c>
      <c r="L1" t="s">
        <v>78</v>
      </c>
    </row>
    <row r="2" spans="1:12" x14ac:dyDescent="0.3">
      <c r="A2" t="s">
        <v>882</v>
      </c>
      <c r="B2" t="s">
        <v>115</v>
      </c>
      <c r="C2" s="6">
        <f>INDEX(CaseType!$C:$C,MATCH($B2,CaseType!$A:$A,0))</f>
        <v>1</v>
      </c>
      <c r="D2">
        <v>0</v>
      </c>
      <c r="E2" t="s">
        <v>440</v>
      </c>
      <c r="F2" t="b">
        <v>0</v>
      </c>
      <c r="G2" s="6" t="str">
        <f>INDEX(Dim!$B:$B,MATCH($E2,Dim!$A:$A,0))</f>
        <v>TEXT</v>
      </c>
      <c r="H2" s="6" t="str">
        <f>INDEX(Dim!$F:$F,MATCH($E2,Dim!$A:$A,0))</f>
        <v>1_</v>
      </c>
      <c r="I2" s="6" t="str">
        <f>$C2&amp;"_"&amp;$H2&amp;$D2</f>
        <v>1_1_0</v>
      </c>
      <c r="J2">
        <v>1</v>
      </c>
      <c r="K2" s="6" t="str">
        <f>"case_type_dim"&amp;$I2</f>
        <v>case_type_dim1_1_0</v>
      </c>
    </row>
    <row r="3" spans="1:12" x14ac:dyDescent="0.3">
      <c r="A3" t="s">
        <v>883</v>
      </c>
      <c r="B3" t="s">
        <v>115</v>
      </c>
      <c r="C3" s="6">
        <f>INDEX(CaseType!$C:$C,MATCH($B3,CaseType!$A:$A,0))</f>
        <v>1</v>
      </c>
      <c r="D3">
        <v>0</v>
      </c>
      <c r="E3" t="s">
        <v>441</v>
      </c>
      <c r="F3" t="b">
        <v>0</v>
      </c>
      <c r="G3" s="6" t="str">
        <f>INDEX(Dim!$B:$B,MATCH($E3,Dim!$A:$A,0))</f>
        <v>TEXT</v>
      </c>
      <c r="H3" s="6" t="str">
        <f>INDEX(Dim!$F:$F,MATCH($E3,Dim!$A:$A,0))</f>
        <v>2_</v>
      </c>
      <c r="I3" s="6" t="str">
        <f t="shared" ref="I3:I44" si="0">$C3&amp;"_"&amp;$H3&amp;$D3</f>
        <v>1_2_0</v>
      </c>
      <c r="J3">
        <v>2</v>
      </c>
      <c r="K3" s="6" t="str">
        <f>"case_type_dim"&amp;$I3</f>
        <v>case_type_dim1_2_0</v>
      </c>
    </row>
    <row r="4" spans="1:12" x14ac:dyDescent="0.3">
      <c r="A4" t="s">
        <v>884</v>
      </c>
      <c r="B4" t="s">
        <v>115</v>
      </c>
      <c r="C4" s="6">
        <f>INDEX(CaseType!$C:$C,MATCH($B4,CaseType!$A:$A,0))</f>
        <v>1</v>
      </c>
      <c r="D4">
        <v>0</v>
      </c>
      <c r="E4" t="s">
        <v>442</v>
      </c>
      <c r="F4" t="b">
        <v>0</v>
      </c>
      <c r="G4" s="6" t="str">
        <f>INDEX(Dim!$B:$B,MATCH($E4,Dim!$A:$A,0))</f>
        <v>TEXT</v>
      </c>
      <c r="H4" s="6" t="str">
        <f>INDEX(Dim!$F:$F,MATCH($E4,Dim!$A:$A,0))</f>
        <v>3_</v>
      </c>
      <c r="I4" s="6" t="str">
        <f t="shared" si="0"/>
        <v>1_3_0</v>
      </c>
      <c r="J4">
        <v>3</v>
      </c>
      <c r="K4" s="6" t="str">
        <f>"case_type_dim"&amp;$I4</f>
        <v>case_type_dim1_3_0</v>
      </c>
    </row>
    <row r="5" spans="1:12" x14ac:dyDescent="0.3">
      <c r="A5" t="s">
        <v>885</v>
      </c>
      <c r="B5" t="s">
        <v>115</v>
      </c>
      <c r="C5" s="6">
        <f>INDEX(CaseType!$C:$C,MATCH($B5,CaseType!$A:$A,0))</f>
        <v>1</v>
      </c>
      <c r="D5">
        <v>0</v>
      </c>
      <c r="E5" t="s">
        <v>443</v>
      </c>
      <c r="F5" t="b">
        <v>0</v>
      </c>
      <c r="G5" s="6" t="str">
        <f>INDEX(Dim!$B:$B,MATCH($E5,Dim!$A:$A,0))</f>
        <v>TEXT</v>
      </c>
      <c r="H5" s="6" t="str">
        <f>INDEX(Dim!$F:$F,MATCH($E5,Dim!$A:$A,0))</f>
        <v>4_</v>
      </c>
      <c r="I5" s="6" t="str">
        <f t="shared" si="0"/>
        <v>1_4_0</v>
      </c>
      <c r="J5">
        <v>4</v>
      </c>
      <c r="K5" s="6" t="str">
        <f>"case_type_dim"&amp;$I5</f>
        <v>case_type_dim1_4_0</v>
      </c>
    </row>
    <row r="6" spans="1:12" x14ac:dyDescent="0.3">
      <c r="A6" t="s">
        <v>886</v>
      </c>
      <c r="B6" t="s">
        <v>115</v>
      </c>
      <c r="C6" s="6">
        <f>INDEX(CaseType!$C:$C,MATCH($B6,CaseType!$A:$A,0))</f>
        <v>1</v>
      </c>
      <c r="D6">
        <v>0</v>
      </c>
      <c r="E6" t="s">
        <v>444</v>
      </c>
      <c r="F6" t="b">
        <v>0</v>
      </c>
      <c r="G6" s="6" t="str">
        <f>INDEX(Dim!$B:$B,MATCH($E6,Dim!$A:$A,0))</f>
        <v>TEXT</v>
      </c>
      <c r="H6" s="6" t="str">
        <f>INDEX(Dim!$F:$F,MATCH($E6,Dim!$A:$A,0))</f>
        <v>5_</v>
      </c>
      <c r="I6" s="6" t="str">
        <f t="shared" si="0"/>
        <v>1_5_0</v>
      </c>
      <c r="J6">
        <v>5</v>
      </c>
      <c r="K6" s="6" t="str">
        <f>"case_type_dim"&amp;$I6</f>
        <v>case_type_dim1_5_0</v>
      </c>
    </row>
    <row r="7" spans="1:12" x14ac:dyDescent="0.3">
      <c r="A7" t="s">
        <v>887</v>
      </c>
      <c r="B7" t="s">
        <v>115</v>
      </c>
      <c r="C7" s="6">
        <f>INDEX(CaseType!$C:$C,MATCH($B7,CaseType!$A:$A,0))</f>
        <v>1</v>
      </c>
      <c r="D7">
        <v>0</v>
      </c>
      <c r="E7" t="s">
        <v>445</v>
      </c>
      <c r="F7" t="b">
        <v>0</v>
      </c>
      <c r="G7" s="6" t="str">
        <f>INDEX(Dim!$B:$B,MATCH($E7,Dim!$A:$A,0))</f>
        <v>TEXT</v>
      </c>
      <c r="H7" s="6" t="str">
        <f>INDEX(Dim!$F:$F,MATCH($E7,Dim!$A:$A,0))</f>
        <v>6_</v>
      </c>
      <c r="I7" s="6" t="str">
        <f t="shared" si="0"/>
        <v>1_6_0</v>
      </c>
      <c r="J7">
        <v>6</v>
      </c>
      <c r="K7" s="6" t="str">
        <f>"case_type_dim"&amp;$I7</f>
        <v>case_type_dim1_6_0</v>
      </c>
    </row>
    <row r="8" spans="1:12" x14ac:dyDescent="0.3">
      <c r="A8" t="s">
        <v>888</v>
      </c>
      <c r="B8" t="s">
        <v>115</v>
      </c>
      <c r="C8" s="6">
        <f>INDEX(CaseType!$C:$C,MATCH($B8,CaseType!$A:$A,0))</f>
        <v>1</v>
      </c>
      <c r="D8">
        <v>0</v>
      </c>
      <c r="E8" t="s">
        <v>446</v>
      </c>
      <c r="F8" t="b">
        <v>0</v>
      </c>
      <c r="G8" s="6" t="str">
        <f>INDEX(Dim!$B:$B,MATCH($E8,Dim!$A:$A,0))</f>
        <v>TEXT</v>
      </c>
      <c r="H8" s="6" t="str">
        <f>INDEX(Dim!$F:$F,MATCH($E8,Dim!$A:$A,0))</f>
        <v>7_</v>
      </c>
      <c r="I8" s="6" t="str">
        <f t="shared" si="0"/>
        <v>1_7_0</v>
      </c>
      <c r="J8">
        <v>7</v>
      </c>
      <c r="K8" s="6" t="str">
        <f>"case_type_dim"&amp;$I8</f>
        <v>case_type_dim1_7_0</v>
      </c>
    </row>
    <row r="9" spans="1:12" x14ac:dyDescent="0.3">
      <c r="A9" t="s">
        <v>889</v>
      </c>
      <c r="B9" t="s">
        <v>115</v>
      </c>
      <c r="C9" s="6">
        <f>INDEX(CaseType!$C:$C,MATCH($B9,CaseType!$A:$A,0))</f>
        <v>1</v>
      </c>
      <c r="D9">
        <v>0</v>
      </c>
      <c r="E9" t="s">
        <v>447</v>
      </c>
      <c r="F9" t="b">
        <v>0</v>
      </c>
      <c r="G9" s="6" t="str">
        <f>INDEX(Dim!$B:$B,MATCH($E9,Dim!$A:$A,0))</f>
        <v>TEXT</v>
      </c>
      <c r="H9" s="6" t="str">
        <f>INDEX(Dim!$F:$F,MATCH($E9,Dim!$A:$A,0))</f>
        <v>8_</v>
      </c>
      <c r="I9" s="6" t="str">
        <f t="shared" si="0"/>
        <v>1_8_0</v>
      </c>
      <c r="J9">
        <v>8</v>
      </c>
      <c r="K9" s="6" t="str">
        <f>"case_type_dim"&amp;$I9</f>
        <v>case_type_dim1_8_0</v>
      </c>
    </row>
    <row r="10" spans="1:12" x14ac:dyDescent="0.3">
      <c r="A10" t="s">
        <v>890</v>
      </c>
      <c r="B10" t="s">
        <v>115</v>
      </c>
      <c r="C10" s="6">
        <f>INDEX(CaseType!$C:$C,MATCH($B10,CaseType!$A:$A,0))</f>
        <v>1</v>
      </c>
      <c r="D10">
        <v>0</v>
      </c>
      <c r="E10" t="s">
        <v>448</v>
      </c>
      <c r="F10" t="b">
        <v>0</v>
      </c>
      <c r="G10" s="6" t="str">
        <f>INDEX(Dim!$B:$B,MATCH($E10,Dim!$A:$A,0))</f>
        <v>ORGANIZATION</v>
      </c>
      <c r="H10" s="6" t="str">
        <f>INDEX(Dim!$F:$F,MATCH($E10,Dim!$A:$A,0))</f>
        <v>9_</v>
      </c>
      <c r="I10" s="6" t="str">
        <f t="shared" si="0"/>
        <v>1_9_0</v>
      </c>
      <c r="J10">
        <v>9</v>
      </c>
      <c r="K10" s="6" t="str">
        <f>"case_type_dim"&amp;$I10</f>
        <v>case_type_dim1_9_0</v>
      </c>
    </row>
    <row r="11" spans="1:12" x14ac:dyDescent="0.3">
      <c r="A11" t="s">
        <v>891</v>
      </c>
      <c r="B11" t="s">
        <v>115</v>
      </c>
      <c r="C11" s="6">
        <f>INDEX(CaseType!$C:$C,MATCH($B11,CaseType!$A:$A,0))</f>
        <v>1</v>
      </c>
      <c r="D11">
        <v>0</v>
      </c>
      <c r="E11" t="s">
        <v>449</v>
      </c>
      <c r="F11" t="b">
        <v>0</v>
      </c>
      <c r="G11" s="6" t="str">
        <f>INDEX(Dim!$B:$B,MATCH($E11,Dim!$A:$A,0))</f>
        <v>ORGANIZATION</v>
      </c>
      <c r="H11" s="6" t="str">
        <f>INDEX(Dim!$F:$F,MATCH($E11,Dim!$A:$A,0))</f>
        <v>10_</v>
      </c>
      <c r="I11" s="6" t="str">
        <f t="shared" si="0"/>
        <v>1_10_0</v>
      </c>
      <c r="J11">
        <v>10</v>
      </c>
      <c r="K11" s="6" t="str">
        <f>"case_type_dim"&amp;$I11</f>
        <v>case_type_dim1_10_0</v>
      </c>
    </row>
    <row r="12" spans="1:12" x14ac:dyDescent="0.3">
      <c r="A12" t="s">
        <v>892</v>
      </c>
      <c r="B12" t="s">
        <v>115</v>
      </c>
      <c r="C12" s="6">
        <f>INDEX(CaseType!$C:$C,MATCH($B12,CaseType!$A:$A,0))</f>
        <v>1</v>
      </c>
      <c r="D12">
        <v>0</v>
      </c>
      <c r="E12" t="s">
        <v>450</v>
      </c>
      <c r="F12" t="b">
        <v>0</v>
      </c>
      <c r="G12" s="6" t="str">
        <f>INDEX(Dim!$B:$B,MATCH($E12,Dim!$A:$A,0))</f>
        <v>GEO</v>
      </c>
      <c r="H12" s="6" t="str">
        <f>INDEX(Dim!$F:$F,MATCH($E12,Dim!$A:$A,0))</f>
        <v>11_</v>
      </c>
      <c r="I12" s="6" t="str">
        <f t="shared" si="0"/>
        <v>1_11_0</v>
      </c>
      <c r="J12">
        <v>11</v>
      </c>
      <c r="K12" s="6" t="str">
        <f>"case_type_dim"&amp;$I12</f>
        <v>case_type_dim1_11_0</v>
      </c>
    </row>
    <row r="13" spans="1:12" x14ac:dyDescent="0.3">
      <c r="A13" t="s">
        <v>893</v>
      </c>
      <c r="B13" t="s">
        <v>115</v>
      </c>
      <c r="C13" s="6">
        <f>INDEX(CaseType!$C:$C,MATCH($B13,CaseType!$A:$A,0))</f>
        <v>1</v>
      </c>
      <c r="D13">
        <v>0</v>
      </c>
      <c r="E13" t="s">
        <v>451</v>
      </c>
      <c r="F13" t="b">
        <v>0</v>
      </c>
      <c r="G13" s="6" t="str">
        <f>INDEX(Dim!$B:$B,MATCH($E13,Dim!$A:$A,0))</f>
        <v>GEO</v>
      </c>
      <c r="H13" s="6" t="str">
        <f>INDEX(Dim!$F:$F,MATCH($E13,Dim!$A:$A,0))</f>
        <v>12_</v>
      </c>
      <c r="I13" s="6" t="str">
        <f t="shared" si="0"/>
        <v>1_12_0</v>
      </c>
      <c r="J13">
        <v>12</v>
      </c>
      <c r="K13" s="6" t="str">
        <f>"case_type_dim"&amp;$I13</f>
        <v>case_type_dim1_12_0</v>
      </c>
    </row>
    <row r="14" spans="1:12" x14ac:dyDescent="0.3">
      <c r="A14" t="s">
        <v>894</v>
      </c>
      <c r="B14" t="s">
        <v>115</v>
      </c>
      <c r="C14" s="6">
        <f>INDEX(CaseType!$C:$C,MATCH($B14,CaseType!$A:$A,0))</f>
        <v>1</v>
      </c>
      <c r="D14">
        <v>0</v>
      </c>
      <c r="E14" t="s">
        <v>452</v>
      </c>
      <c r="F14" t="b">
        <v>0</v>
      </c>
      <c r="G14" s="6" t="str">
        <f>INDEX(Dim!$B:$B,MATCH($E14,Dim!$A:$A,0))</f>
        <v>TIME</v>
      </c>
      <c r="H14" s="6" t="str">
        <f>INDEX(Dim!$F:$F,MATCH($E14,Dim!$A:$A,0))</f>
        <v>13_</v>
      </c>
      <c r="I14" s="6" t="str">
        <f t="shared" si="0"/>
        <v>1_13_0</v>
      </c>
      <c r="J14">
        <v>13</v>
      </c>
      <c r="K14" s="6" t="str">
        <f>"case_type_dim"&amp;$I14</f>
        <v>case_type_dim1_13_0</v>
      </c>
    </row>
    <row r="15" spans="1:12" x14ac:dyDescent="0.3">
      <c r="A15" t="s">
        <v>895</v>
      </c>
      <c r="B15" t="s">
        <v>115</v>
      </c>
      <c r="C15" s="6">
        <f>INDEX(CaseType!$C:$C,MATCH($B15,CaseType!$A:$A,0))</f>
        <v>1</v>
      </c>
      <c r="D15">
        <v>0</v>
      </c>
      <c r="E15" t="s">
        <v>453</v>
      </c>
      <c r="F15" t="b">
        <v>0</v>
      </c>
      <c r="G15" s="6" t="str">
        <f>INDEX(Dim!$B:$B,MATCH($E15,Dim!$A:$A,0))</f>
        <v>TIME</v>
      </c>
      <c r="H15" s="6" t="str">
        <f>INDEX(Dim!$F:$F,MATCH($E15,Dim!$A:$A,0))</f>
        <v>14_</v>
      </c>
      <c r="I15" s="6" t="str">
        <f t="shared" si="0"/>
        <v>1_14_0</v>
      </c>
      <c r="J15">
        <v>14</v>
      </c>
      <c r="K15" s="6" t="str">
        <f>"case_type_dim"&amp;$I15</f>
        <v>case_type_dim1_14_0</v>
      </c>
    </row>
    <row r="16" spans="1:12" x14ac:dyDescent="0.3">
      <c r="A16" t="s">
        <v>896</v>
      </c>
      <c r="B16" t="s">
        <v>115</v>
      </c>
      <c r="C16" s="6">
        <f>INDEX(CaseType!$C:$C,MATCH($B16,CaseType!$A:$A,0))</f>
        <v>1</v>
      </c>
      <c r="D16">
        <v>0</v>
      </c>
      <c r="E16" t="s">
        <v>454</v>
      </c>
      <c r="F16" t="b">
        <v>0</v>
      </c>
      <c r="G16" s="6" t="str">
        <f>INDEX(Dim!$B:$B,MATCH($E16,Dim!$A:$A,0))</f>
        <v>IDENTIFIER</v>
      </c>
      <c r="H16" s="6" t="str">
        <f>INDEX(Dim!$F:$F,MATCH($E16,Dim!$A:$A,0))</f>
        <v>15_</v>
      </c>
      <c r="I16" s="6" t="str">
        <f t="shared" si="0"/>
        <v>1_15_0</v>
      </c>
      <c r="J16">
        <v>15</v>
      </c>
      <c r="K16" s="6" t="str">
        <f>"case_type_dim"&amp;$I16</f>
        <v>case_type_dim1_15_0</v>
      </c>
    </row>
    <row r="17" spans="1:11" x14ac:dyDescent="0.3">
      <c r="A17" t="s">
        <v>897</v>
      </c>
      <c r="B17" t="s">
        <v>115</v>
      </c>
      <c r="C17" s="6">
        <f>INDEX(CaseType!$C:$C,MATCH($B17,CaseType!$A:$A,0))</f>
        <v>1</v>
      </c>
      <c r="D17">
        <v>0</v>
      </c>
      <c r="E17" t="s">
        <v>455</v>
      </c>
      <c r="F17" t="b">
        <v>0</v>
      </c>
      <c r="G17" s="6" t="str">
        <f>INDEX(Dim!$B:$B,MATCH($E17,Dim!$A:$A,0))</f>
        <v>IDENTIFIER</v>
      </c>
      <c r="H17" s="6" t="str">
        <f>INDEX(Dim!$F:$F,MATCH($E17,Dim!$A:$A,0))</f>
        <v>16_</v>
      </c>
      <c r="I17" s="6" t="str">
        <f t="shared" si="0"/>
        <v>1_16_0</v>
      </c>
      <c r="J17">
        <v>16</v>
      </c>
      <c r="K17" s="6" t="str">
        <f>"case_type_dim"&amp;$I17</f>
        <v>case_type_dim1_16_0</v>
      </c>
    </row>
    <row r="18" spans="1:11" x14ac:dyDescent="0.3">
      <c r="A18" t="s">
        <v>898</v>
      </c>
      <c r="B18" t="s">
        <v>115</v>
      </c>
      <c r="C18" s="6">
        <f>INDEX(CaseType!$C:$C,MATCH($B18,CaseType!$A:$A,0))</f>
        <v>1</v>
      </c>
      <c r="D18">
        <v>0</v>
      </c>
      <c r="E18" t="s">
        <v>456</v>
      </c>
      <c r="F18" t="b">
        <v>0</v>
      </c>
      <c r="G18" s="6" t="str">
        <f>INDEX(Dim!$B:$B,MATCH($E18,Dim!$A:$A,0))</f>
        <v>NUMBER</v>
      </c>
      <c r="H18" s="6" t="str">
        <f>INDEX(Dim!$F:$F,MATCH($E18,Dim!$A:$A,0))</f>
        <v>17_</v>
      </c>
      <c r="I18" s="6" t="str">
        <f t="shared" si="0"/>
        <v>1_17_0</v>
      </c>
      <c r="J18">
        <v>17</v>
      </c>
      <c r="K18" s="6" t="str">
        <f>"case_type_dim"&amp;$I18</f>
        <v>case_type_dim1_17_0</v>
      </c>
    </row>
    <row r="19" spans="1:11" x14ac:dyDescent="0.3">
      <c r="A19" t="s">
        <v>899</v>
      </c>
      <c r="B19" t="s">
        <v>115</v>
      </c>
      <c r="C19" s="6">
        <f>INDEX(CaseType!$C:$C,MATCH($B19,CaseType!$A:$A,0))</f>
        <v>1</v>
      </c>
      <c r="D19">
        <v>0</v>
      </c>
      <c r="E19" t="s">
        <v>457</v>
      </c>
      <c r="F19" t="b">
        <v>0</v>
      </c>
      <c r="G19" s="6" t="str">
        <f>INDEX(Dim!$B:$B,MATCH($E19,Dim!$A:$A,0))</f>
        <v>NUMBER</v>
      </c>
      <c r="H19" s="6" t="str">
        <f>INDEX(Dim!$F:$F,MATCH($E19,Dim!$A:$A,0))</f>
        <v>18_</v>
      </c>
      <c r="I19" s="6" t="str">
        <f t="shared" si="0"/>
        <v>1_18_0</v>
      </c>
      <c r="J19">
        <v>18</v>
      </c>
      <c r="K19" s="6" t="str">
        <f>"case_type_dim"&amp;$I19</f>
        <v>case_type_dim1_18_0</v>
      </c>
    </row>
    <row r="20" spans="1:11" x14ac:dyDescent="0.3">
      <c r="A20" t="s">
        <v>900</v>
      </c>
      <c r="B20" t="s">
        <v>115</v>
      </c>
      <c r="C20" s="6">
        <f>INDEX(CaseType!$C:$C,MATCH($B20,CaseType!$A:$A,0))</f>
        <v>1</v>
      </c>
      <c r="D20">
        <v>0</v>
      </c>
      <c r="E20" t="s">
        <v>458</v>
      </c>
      <c r="F20" t="b">
        <v>0</v>
      </c>
      <c r="G20" s="6" t="str">
        <f>INDEX(Dim!$B:$B,MATCH($E20,Dim!$A:$A,0))</f>
        <v>OTHER</v>
      </c>
      <c r="H20" s="6" t="str">
        <f>INDEX(Dim!$F:$F,MATCH($E20,Dim!$A:$A,0))</f>
        <v>19_</v>
      </c>
      <c r="I20" s="6" t="str">
        <f t="shared" si="0"/>
        <v>1_19_0</v>
      </c>
      <c r="J20">
        <v>19</v>
      </c>
      <c r="K20" s="6" t="str">
        <f>"case_type_dim"&amp;$I20</f>
        <v>case_type_dim1_19_0</v>
      </c>
    </row>
    <row r="21" spans="1:11" x14ac:dyDescent="0.3">
      <c r="A21" t="s">
        <v>901</v>
      </c>
      <c r="B21" t="s">
        <v>115</v>
      </c>
      <c r="C21" s="6">
        <f>INDEX(CaseType!$C:$C,MATCH($B21,CaseType!$A:$A,0))</f>
        <v>1</v>
      </c>
      <c r="D21">
        <v>0</v>
      </c>
      <c r="E21" t="s">
        <v>459</v>
      </c>
      <c r="F21" t="b">
        <v>0</v>
      </c>
      <c r="G21" s="6" t="str">
        <f>INDEX(Dim!$B:$B,MATCH($E21,Dim!$A:$A,0))</f>
        <v>OTHER</v>
      </c>
      <c r="H21" s="6" t="str">
        <f>INDEX(Dim!$F:$F,MATCH($E21,Dim!$A:$A,0))</f>
        <v>20_</v>
      </c>
      <c r="I21" s="6" t="str">
        <f t="shared" si="0"/>
        <v>1_20_0</v>
      </c>
      <c r="J21">
        <v>20</v>
      </c>
      <c r="K21" s="6" t="str">
        <f>"case_type_dim"&amp;$I21</f>
        <v>case_type_dim1_20_0</v>
      </c>
    </row>
    <row r="22" spans="1:11" x14ac:dyDescent="0.3">
      <c r="A22" t="s">
        <v>902</v>
      </c>
      <c r="B22" t="s">
        <v>118</v>
      </c>
      <c r="C22" s="6">
        <f>INDEX(CaseType!$C:$C,MATCH($B22,CaseType!$A:$A,0))</f>
        <v>2</v>
      </c>
      <c r="D22">
        <v>0</v>
      </c>
      <c r="E22" t="s">
        <v>440</v>
      </c>
      <c r="F22" t="b">
        <v>0</v>
      </c>
      <c r="G22" s="6" t="str">
        <f>INDEX(Dim!$B:$B,MATCH($E22,Dim!$A:$A,0))</f>
        <v>TEXT</v>
      </c>
      <c r="H22" s="6" t="str">
        <f>INDEX(Dim!$F:$F,MATCH($E22,Dim!$A:$A,0))</f>
        <v>1_</v>
      </c>
      <c r="I22" s="6" t="str">
        <f t="shared" si="0"/>
        <v>2_1_0</v>
      </c>
      <c r="J22">
        <v>1</v>
      </c>
      <c r="K22" s="6" t="str">
        <f>"case_type_dim"&amp;$I22</f>
        <v>case_type_dim2_1_0</v>
      </c>
    </row>
    <row r="23" spans="1:11" x14ac:dyDescent="0.3">
      <c r="A23" t="s">
        <v>903</v>
      </c>
      <c r="B23" t="s">
        <v>118</v>
      </c>
      <c r="C23" s="6">
        <f>INDEX(CaseType!$C:$C,MATCH($B23,CaseType!$A:$A,0))</f>
        <v>2</v>
      </c>
      <c r="D23">
        <v>0</v>
      </c>
      <c r="E23" t="s">
        <v>441</v>
      </c>
      <c r="F23" t="b">
        <v>0</v>
      </c>
      <c r="G23" s="6" t="str">
        <f>INDEX(Dim!$B:$B,MATCH($E23,Dim!$A:$A,0))</f>
        <v>TEXT</v>
      </c>
      <c r="H23" s="6" t="str">
        <f>INDEX(Dim!$F:$F,MATCH($E23,Dim!$A:$A,0))</f>
        <v>2_</v>
      </c>
      <c r="I23" s="6" t="str">
        <f t="shared" si="0"/>
        <v>2_2_0</v>
      </c>
      <c r="J23">
        <v>2</v>
      </c>
      <c r="K23" s="6" t="str">
        <f>"case_type_dim"&amp;$I23</f>
        <v>case_type_dim2_2_0</v>
      </c>
    </row>
    <row r="24" spans="1:11" x14ac:dyDescent="0.3">
      <c r="A24" t="s">
        <v>904</v>
      </c>
      <c r="B24" t="s">
        <v>118</v>
      </c>
      <c r="C24" s="6">
        <f>INDEX(CaseType!$C:$C,MATCH($B24,CaseType!$A:$A,0))</f>
        <v>2</v>
      </c>
      <c r="D24">
        <v>0</v>
      </c>
      <c r="E24" t="s">
        <v>442</v>
      </c>
      <c r="F24" t="b">
        <v>0</v>
      </c>
      <c r="G24" s="6" t="str">
        <f>INDEX(Dim!$B:$B,MATCH($E24,Dim!$A:$A,0))</f>
        <v>TEXT</v>
      </c>
      <c r="H24" s="6" t="str">
        <f>INDEX(Dim!$F:$F,MATCH($E24,Dim!$A:$A,0))</f>
        <v>3_</v>
      </c>
      <c r="I24" s="6" t="str">
        <f t="shared" si="0"/>
        <v>2_3_0</v>
      </c>
      <c r="J24">
        <v>3</v>
      </c>
      <c r="K24" s="6" t="str">
        <f>"case_type_dim"&amp;$I24</f>
        <v>case_type_dim2_3_0</v>
      </c>
    </row>
    <row r="25" spans="1:11" x14ac:dyDescent="0.3">
      <c r="A25" t="s">
        <v>905</v>
      </c>
      <c r="B25" t="s">
        <v>118</v>
      </c>
      <c r="C25" s="6">
        <f>INDEX(CaseType!$C:$C,MATCH($B25,CaseType!$A:$A,0))</f>
        <v>2</v>
      </c>
      <c r="D25">
        <v>0</v>
      </c>
      <c r="E25" t="s">
        <v>443</v>
      </c>
      <c r="F25" t="b">
        <v>0</v>
      </c>
      <c r="G25" s="6" t="str">
        <f>INDEX(Dim!$B:$B,MATCH($E25,Dim!$A:$A,0))</f>
        <v>TEXT</v>
      </c>
      <c r="H25" s="6" t="str">
        <f>INDEX(Dim!$F:$F,MATCH($E25,Dim!$A:$A,0))</f>
        <v>4_</v>
      </c>
      <c r="I25" s="6" t="str">
        <f t="shared" si="0"/>
        <v>2_4_0</v>
      </c>
      <c r="J25">
        <v>4</v>
      </c>
      <c r="K25" s="6" t="str">
        <f>"case_type_dim"&amp;$I25</f>
        <v>case_type_dim2_4_0</v>
      </c>
    </row>
    <row r="26" spans="1:11" x14ac:dyDescent="0.3">
      <c r="A26" t="s">
        <v>906</v>
      </c>
      <c r="B26" t="s">
        <v>118</v>
      </c>
      <c r="C26" s="6">
        <f>INDEX(CaseType!$C:$C,MATCH($B26,CaseType!$A:$A,0))</f>
        <v>2</v>
      </c>
      <c r="D26">
        <v>0</v>
      </c>
      <c r="E26" t="s">
        <v>444</v>
      </c>
      <c r="F26" t="b">
        <v>0</v>
      </c>
      <c r="G26" s="6" t="str">
        <f>INDEX(Dim!$B:$B,MATCH($E26,Dim!$A:$A,0))</f>
        <v>TEXT</v>
      </c>
      <c r="H26" s="6" t="str">
        <f>INDEX(Dim!$F:$F,MATCH($E26,Dim!$A:$A,0))</f>
        <v>5_</v>
      </c>
      <c r="I26" s="6" t="str">
        <f t="shared" si="0"/>
        <v>2_5_0</v>
      </c>
      <c r="J26">
        <v>5</v>
      </c>
      <c r="K26" s="6" t="str">
        <f>"case_type_dim"&amp;$I26</f>
        <v>case_type_dim2_5_0</v>
      </c>
    </row>
    <row r="27" spans="1:11" x14ac:dyDescent="0.3">
      <c r="A27" t="s">
        <v>907</v>
      </c>
      <c r="B27" t="s">
        <v>118</v>
      </c>
      <c r="C27" s="6">
        <f>INDEX(CaseType!$C:$C,MATCH($B27,CaseType!$A:$A,0))</f>
        <v>2</v>
      </c>
      <c r="D27">
        <v>0</v>
      </c>
      <c r="E27" t="s">
        <v>445</v>
      </c>
      <c r="F27" t="b">
        <v>0</v>
      </c>
      <c r="G27" s="6" t="str">
        <f>INDEX(Dim!$B:$B,MATCH($E27,Dim!$A:$A,0))</f>
        <v>TEXT</v>
      </c>
      <c r="H27" s="6" t="str">
        <f>INDEX(Dim!$F:$F,MATCH($E27,Dim!$A:$A,0))</f>
        <v>6_</v>
      </c>
      <c r="I27" s="6" t="str">
        <f t="shared" si="0"/>
        <v>2_6_0</v>
      </c>
      <c r="J27">
        <v>6</v>
      </c>
      <c r="K27" s="6" t="str">
        <f>"case_type_dim"&amp;$I27</f>
        <v>case_type_dim2_6_0</v>
      </c>
    </row>
    <row r="28" spans="1:11" x14ac:dyDescent="0.3">
      <c r="A28" t="s">
        <v>908</v>
      </c>
      <c r="B28" t="s">
        <v>118</v>
      </c>
      <c r="C28" s="6">
        <f>INDEX(CaseType!$C:$C,MATCH($B28,CaseType!$A:$A,0))</f>
        <v>2</v>
      </c>
      <c r="D28">
        <v>0</v>
      </c>
      <c r="E28" t="s">
        <v>446</v>
      </c>
      <c r="F28" t="b">
        <v>0</v>
      </c>
      <c r="G28" s="6" t="str">
        <f>INDEX(Dim!$B:$B,MATCH($E28,Dim!$A:$A,0))</f>
        <v>TEXT</v>
      </c>
      <c r="H28" s="6" t="str">
        <f>INDEX(Dim!$F:$F,MATCH($E28,Dim!$A:$A,0))</f>
        <v>7_</v>
      </c>
      <c r="I28" s="6" t="str">
        <f t="shared" si="0"/>
        <v>2_7_0</v>
      </c>
      <c r="J28">
        <v>7</v>
      </c>
      <c r="K28" s="6" t="str">
        <f>"case_type_dim"&amp;$I28</f>
        <v>case_type_dim2_7_0</v>
      </c>
    </row>
    <row r="29" spans="1:11" x14ac:dyDescent="0.3">
      <c r="A29" t="s">
        <v>909</v>
      </c>
      <c r="B29" t="s">
        <v>118</v>
      </c>
      <c r="C29" s="6">
        <f>INDEX(CaseType!$C:$C,MATCH($B29,CaseType!$A:$A,0))</f>
        <v>2</v>
      </c>
      <c r="D29">
        <v>0</v>
      </c>
      <c r="E29" t="s">
        <v>447</v>
      </c>
      <c r="F29" t="b">
        <v>0</v>
      </c>
      <c r="G29" s="6" t="str">
        <f>INDEX(Dim!$B:$B,MATCH($E29,Dim!$A:$A,0))</f>
        <v>TEXT</v>
      </c>
      <c r="H29" s="6" t="str">
        <f>INDEX(Dim!$F:$F,MATCH($E29,Dim!$A:$A,0))</f>
        <v>8_</v>
      </c>
      <c r="I29" s="6" t="str">
        <f t="shared" si="0"/>
        <v>2_8_0</v>
      </c>
      <c r="J29">
        <v>8</v>
      </c>
      <c r="K29" s="6" t="str">
        <f>"case_type_dim"&amp;$I29</f>
        <v>case_type_dim2_8_0</v>
      </c>
    </row>
    <row r="30" spans="1:11" x14ac:dyDescent="0.3">
      <c r="A30" t="s">
        <v>910</v>
      </c>
      <c r="B30" t="s">
        <v>118</v>
      </c>
      <c r="C30" s="6">
        <f>INDEX(CaseType!$C:$C,MATCH($B30,CaseType!$A:$A,0))</f>
        <v>2</v>
      </c>
      <c r="D30">
        <v>0</v>
      </c>
      <c r="E30" t="s">
        <v>448</v>
      </c>
      <c r="F30" t="b">
        <v>0</v>
      </c>
      <c r="G30" s="6" t="str">
        <f>INDEX(Dim!$B:$B,MATCH($E30,Dim!$A:$A,0))</f>
        <v>ORGANIZATION</v>
      </c>
      <c r="H30" s="6" t="str">
        <f>INDEX(Dim!$F:$F,MATCH($E30,Dim!$A:$A,0))</f>
        <v>9_</v>
      </c>
      <c r="I30" s="6" t="str">
        <f t="shared" si="0"/>
        <v>2_9_0</v>
      </c>
      <c r="J30">
        <v>9</v>
      </c>
      <c r="K30" s="6" t="str">
        <f>"case_type_dim"&amp;$I30</f>
        <v>case_type_dim2_9_0</v>
      </c>
    </row>
    <row r="31" spans="1:11" x14ac:dyDescent="0.3">
      <c r="A31" t="s">
        <v>911</v>
      </c>
      <c r="B31" t="s">
        <v>118</v>
      </c>
      <c r="C31" s="6">
        <f>INDEX(CaseType!$C:$C,MATCH($B31,CaseType!$A:$A,0))</f>
        <v>2</v>
      </c>
      <c r="D31">
        <v>0</v>
      </c>
      <c r="E31" t="s">
        <v>449</v>
      </c>
      <c r="F31" t="b">
        <v>0</v>
      </c>
      <c r="G31" s="6" t="str">
        <f>INDEX(Dim!$B:$B,MATCH($E31,Dim!$A:$A,0))</f>
        <v>ORGANIZATION</v>
      </c>
      <c r="H31" s="6" t="str">
        <f>INDEX(Dim!$F:$F,MATCH($E31,Dim!$A:$A,0))</f>
        <v>10_</v>
      </c>
      <c r="I31" s="6" t="str">
        <f t="shared" si="0"/>
        <v>2_10_0</v>
      </c>
      <c r="J31">
        <v>10</v>
      </c>
      <c r="K31" s="6" t="str">
        <f>"case_type_dim"&amp;$I31</f>
        <v>case_type_dim2_10_0</v>
      </c>
    </row>
    <row r="32" spans="1:11" x14ac:dyDescent="0.3">
      <c r="A32" t="s">
        <v>912</v>
      </c>
      <c r="B32" t="s">
        <v>118</v>
      </c>
      <c r="C32" s="6">
        <f>INDEX(CaseType!$C:$C,MATCH($B32,CaseType!$A:$A,0))</f>
        <v>2</v>
      </c>
      <c r="D32">
        <v>0</v>
      </c>
      <c r="E32" t="s">
        <v>450</v>
      </c>
      <c r="F32" t="b">
        <v>0</v>
      </c>
      <c r="G32" s="6" t="str">
        <f>INDEX(Dim!$B:$B,MATCH($E32,Dim!$A:$A,0))</f>
        <v>GEO</v>
      </c>
      <c r="H32" s="6" t="str">
        <f>INDEX(Dim!$F:$F,MATCH($E32,Dim!$A:$A,0))</f>
        <v>11_</v>
      </c>
      <c r="I32" s="6" t="str">
        <f t="shared" si="0"/>
        <v>2_11_0</v>
      </c>
      <c r="J32">
        <v>11</v>
      </c>
      <c r="K32" s="6" t="str">
        <f>"case_type_dim"&amp;$I32</f>
        <v>case_type_dim2_11_0</v>
      </c>
    </row>
    <row r="33" spans="1:11" x14ac:dyDescent="0.3">
      <c r="A33" t="s">
        <v>913</v>
      </c>
      <c r="B33" t="s">
        <v>118</v>
      </c>
      <c r="C33" s="6">
        <f>INDEX(CaseType!$C:$C,MATCH($B33,CaseType!$A:$A,0))</f>
        <v>2</v>
      </c>
      <c r="D33">
        <v>0</v>
      </c>
      <c r="E33" t="s">
        <v>451</v>
      </c>
      <c r="F33" t="b">
        <v>0</v>
      </c>
      <c r="G33" s="6" t="str">
        <f>INDEX(Dim!$B:$B,MATCH($E33,Dim!$A:$A,0))</f>
        <v>GEO</v>
      </c>
      <c r="H33" s="6" t="str">
        <f>INDEX(Dim!$F:$F,MATCH($E33,Dim!$A:$A,0))</f>
        <v>12_</v>
      </c>
      <c r="I33" s="6" t="str">
        <f t="shared" si="0"/>
        <v>2_12_0</v>
      </c>
      <c r="J33">
        <v>12</v>
      </c>
      <c r="K33" s="6" t="str">
        <f>"case_type_dim"&amp;$I33</f>
        <v>case_type_dim2_12_0</v>
      </c>
    </row>
    <row r="34" spans="1:11" x14ac:dyDescent="0.3">
      <c r="A34" t="s">
        <v>914</v>
      </c>
      <c r="B34" t="s">
        <v>118</v>
      </c>
      <c r="C34" s="6">
        <f>INDEX(CaseType!$C:$C,MATCH($B34,CaseType!$A:$A,0))</f>
        <v>2</v>
      </c>
      <c r="D34">
        <v>0</v>
      </c>
      <c r="E34" t="s">
        <v>452</v>
      </c>
      <c r="F34" t="b">
        <v>0</v>
      </c>
      <c r="G34" s="6" t="str">
        <f>INDEX(Dim!$B:$B,MATCH($E34,Dim!$A:$A,0))</f>
        <v>TIME</v>
      </c>
      <c r="H34" s="6" t="str">
        <f>INDEX(Dim!$F:$F,MATCH($E34,Dim!$A:$A,0))</f>
        <v>13_</v>
      </c>
      <c r="I34" s="6" t="str">
        <f t="shared" si="0"/>
        <v>2_13_0</v>
      </c>
      <c r="J34">
        <v>13</v>
      </c>
      <c r="K34" s="6" t="str">
        <f>"case_type_dim"&amp;$I34</f>
        <v>case_type_dim2_13_0</v>
      </c>
    </row>
    <row r="35" spans="1:11" x14ac:dyDescent="0.3">
      <c r="A35" t="s">
        <v>915</v>
      </c>
      <c r="B35" t="s">
        <v>118</v>
      </c>
      <c r="C35" s="6">
        <f>INDEX(CaseType!$C:$C,MATCH($B35,CaseType!$A:$A,0))</f>
        <v>2</v>
      </c>
      <c r="D35">
        <v>0</v>
      </c>
      <c r="E35" t="s">
        <v>453</v>
      </c>
      <c r="F35" t="b">
        <v>0</v>
      </c>
      <c r="G35" s="6" t="str">
        <f>INDEX(Dim!$B:$B,MATCH($E35,Dim!$A:$A,0))</f>
        <v>TIME</v>
      </c>
      <c r="H35" s="6" t="str">
        <f>INDEX(Dim!$F:$F,MATCH($E35,Dim!$A:$A,0))</f>
        <v>14_</v>
      </c>
      <c r="I35" s="6" t="str">
        <f t="shared" si="0"/>
        <v>2_14_0</v>
      </c>
      <c r="J35">
        <v>14</v>
      </c>
      <c r="K35" s="6" t="str">
        <f>"case_type_dim"&amp;$I35</f>
        <v>case_type_dim2_14_0</v>
      </c>
    </row>
    <row r="36" spans="1:11" x14ac:dyDescent="0.3">
      <c r="A36" t="s">
        <v>916</v>
      </c>
      <c r="B36" t="s">
        <v>118</v>
      </c>
      <c r="C36" s="6">
        <f>INDEX(CaseType!$C:$C,MATCH($B36,CaseType!$A:$A,0))</f>
        <v>2</v>
      </c>
      <c r="D36">
        <v>0</v>
      </c>
      <c r="E36" t="s">
        <v>454</v>
      </c>
      <c r="F36" t="b">
        <v>0</v>
      </c>
      <c r="G36" s="6" t="str">
        <f>INDEX(Dim!$B:$B,MATCH($E36,Dim!$A:$A,0))</f>
        <v>IDENTIFIER</v>
      </c>
      <c r="H36" s="6" t="str">
        <f>INDEX(Dim!$F:$F,MATCH($E36,Dim!$A:$A,0))</f>
        <v>15_</v>
      </c>
      <c r="I36" s="6" t="str">
        <f t="shared" si="0"/>
        <v>2_15_0</v>
      </c>
      <c r="J36">
        <v>15</v>
      </c>
      <c r="K36" s="6" t="str">
        <f>"case_type_dim"&amp;$I36</f>
        <v>case_type_dim2_15_0</v>
      </c>
    </row>
    <row r="37" spans="1:11" x14ac:dyDescent="0.3">
      <c r="A37" t="s">
        <v>917</v>
      </c>
      <c r="B37" t="s">
        <v>118</v>
      </c>
      <c r="C37" s="6">
        <f>INDEX(CaseType!$C:$C,MATCH($B37,CaseType!$A:$A,0))</f>
        <v>2</v>
      </c>
      <c r="D37">
        <v>0</v>
      </c>
      <c r="E37" t="s">
        <v>455</v>
      </c>
      <c r="F37" t="b">
        <v>0</v>
      </c>
      <c r="G37" s="6" t="str">
        <f>INDEX(Dim!$B:$B,MATCH($E37,Dim!$A:$A,0))</f>
        <v>IDENTIFIER</v>
      </c>
      <c r="H37" s="6" t="str">
        <f>INDEX(Dim!$F:$F,MATCH($E37,Dim!$A:$A,0))</f>
        <v>16_</v>
      </c>
      <c r="I37" s="6" t="str">
        <f t="shared" si="0"/>
        <v>2_16_0</v>
      </c>
      <c r="J37">
        <v>16</v>
      </c>
      <c r="K37" s="6" t="str">
        <f>"case_type_dim"&amp;$I37</f>
        <v>case_type_dim2_16_0</v>
      </c>
    </row>
    <row r="38" spans="1:11" x14ac:dyDescent="0.3">
      <c r="A38" t="s">
        <v>918</v>
      </c>
      <c r="B38" t="s">
        <v>118</v>
      </c>
      <c r="C38" s="6">
        <f>INDEX(CaseType!$C:$C,MATCH($B38,CaseType!$A:$A,0))</f>
        <v>2</v>
      </c>
      <c r="D38">
        <v>0</v>
      </c>
      <c r="E38" t="s">
        <v>456</v>
      </c>
      <c r="F38" t="b">
        <v>0</v>
      </c>
      <c r="G38" s="6" t="str">
        <f>INDEX(Dim!$B:$B,MATCH($E38,Dim!$A:$A,0))</f>
        <v>NUMBER</v>
      </c>
      <c r="H38" s="6" t="str">
        <f>INDEX(Dim!$F:$F,MATCH($E38,Dim!$A:$A,0))</f>
        <v>17_</v>
      </c>
      <c r="I38" s="6" t="str">
        <f t="shared" si="0"/>
        <v>2_17_0</v>
      </c>
      <c r="J38">
        <v>17</v>
      </c>
      <c r="K38" s="6" t="str">
        <f>"case_type_dim"&amp;$I38</f>
        <v>case_type_dim2_17_0</v>
      </c>
    </row>
    <row r="39" spans="1:11" x14ac:dyDescent="0.3">
      <c r="A39" t="s">
        <v>919</v>
      </c>
      <c r="B39" t="s">
        <v>118</v>
      </c>
      <c r="C39" s="6">
        <f>INDEX(CaseType!$C:$C,MATCH($B39,CaseType!$A:$A,0))</f>
        <v>2</v>
      </c>
      <c r="D39">
        <v>0</v>
      </c>
      <c r="E39" t="s">
        <v>457</v>
      </c>
      <c r="F39" t="b">
        <v>0</v>
      </c>
      <c r="G39" s="6" t="str">
        <f>INDEX(Dim!$B:$B,MATCH($E39,Dim!$A:$A,0))</f>
        <v>NUMBER</v>
      </c>
      <c r="H39" s="6" t="str">
        <f>INDEX(Dim!$F:$F,MATCH($E39,Dim!$A:$A,0))</f>
        <v>18_</v>
      </c>
      <c r="I39" s="6" t="str">
        <f t="shared" si="0"/>
        <v>2_18_0</v>
      </c>
      <c r="J39">
        <v>18</v>
      </c>
      <c r="K39" s="6" t="str">
        <f>"case_type_dim"&amp;$I39</f>
        <v>case_type_dim2_18_0</v>
      </c>
    </row>
    <row r="40" spans="1:11" x14ac:dyDescent="0.3">
      <c r="A40" t="s">
        <v>920</v>
      </c>
      <c r="B40" t="s">
        <v>118</v>
      </c>
      <c r="C40" s="6">
        <f>INDEX(CaseType!$C:$C,MATCH($B40,CaseType!$A:$A,0))</f>
        <v>2</v>
      </c>
      <c r="D40">
        <v>0</v>
      </c>
      <c r="E40" t="s">
        <v>458</v>
      </c>
      <c r="F40" t="b">
        <v>0</v>
      </c>
      <c r="G40" s="6" t="str">
        <f>INDEX(Dim!$B:$B,MATCH($E40,Dim!$A:$A,0))</f>
        <v>OTHER</v>
      </c>
      <c r="H40" s="6" t="str">
        <f>INDEX(Dim!$F:$F,MATCH($E40,Dim!$A:$A,0))</f>
        <v>19_</v>
      </c>
      <c r="I40" s="6" t="str">
        <f t="shared" si="0"/>
        <v>2_19_0</v>
      </c>
      <c r="J40">
        <v>19</v>
      </c>
      <c r="K40" s="6" t="str">
        <f>"case_type_dim"&amp;$I40</f>
        <v>case_type_dim2_19_0</v>
      </c>
    </row>
    <row r="41" spans="1:11" x14ac:dyDescent="0.3">
      <c r="A41" t="s">
        <v>921</v>
      </c>
      <c r="B41" t="s">
        <v>118</v>
      </c>
      <c r="C41" s="6">
        <f>INDEX(CaseType!$C:$C,MATCH($B41,CaseType!$A:$A,0))</f>
        <v>2</v>
      </c>
      <c r="D41">
        <v>0</v>
      </c>
      <c r="E41" t="s">
        <v>459</v>
      </c>
      <c r="F41" t="b">
        <v>0</v>
      </c>
      <c r="G41" s="6" t="str">
        <f>INDEX(Dim!$B:$B,MATCH($E41,Dim!$A:$A,0))</f>
        <v>OTHER</v>
      </c>
      <c r="H41" s="6" t="str">
        <f>INDEX(Dim!$F:$F,MATCH($E41,Dim!$A:$A,0))</f>
        <v>20_</v>
      </c>
      <c r="I41" s="6" t="str">
        <f t="shared" si="0"/>
        <v>2_20_0</v>
      </c>
      <c r="J41">
        <v>20</v>
      </c>
      <c r="K41" s="6" t="str">
        <f>"case_type_dim"&amp;$I41</f>
        <v>case_type_dim2_20_0</v>
      </c>
    </row>
    <row r="42" spans="1:11" x14ac:dyDescent="0.3">
      <c r="A42" t="s">
        <v>928</v>
      </c>
      <c r="B42" t="s">
        <v>121</v>
      </c>
      <c r="C42" s="6">
        <f>INDEX(CaseType!$C:$C,MATCH($B42,CaseType!$A:$A,0))</f>
        <v>3</v>
      </c>
      <c r="D42">
        <v>0</v>
      </c>
      <c r="E42" t="s">
        <v>440</v>
      </c>
      <c r="F42" t="b">
        <v>0</v>
      </c>
      <c r="G42" s="6" t="str">
        <f>INDEX(Dim!$B:$B,MATCH($E42,Dim!$A:$A,0))</f>
        <v>TEXT</v>
      </c>
      <c r="H42" s="6" t="str">
        <f>INDEX(Dim!$F:$F,MATCH($E42,Dim!$A:$A,0))</f>
        <v>1_</v>
      </c>
      <c r="I42" s="6" t="str">
        <f t="shared" si="0"/>
        <v>3_1_0</v>
      </c>
      <c r="J42">
        <v>1</v>
      </c>
      <c r="K42" s="6" t="str">
        <f>"case_type_dim"&amp;$I42</f>
        <v>case_type_dim3_1_0</v>
      </c>
    </row>
    <row r="43" spans="1:11" x14ac:dyDescent="0.3">
      <c r="A43" t="s">
        <v>929</v>
      </c>
      <c r="B43" t="s">
        <v>124</v>
      </c>
      <c r="C43" s="6">
        <f>INDEX(CaseType!$C:$C,MATCH($B43,CaseType!$A:$A,0))</f>
        <v>4</v>
      </c>
      <c r="D43">
        <v>0</v>
      </c>
      <c r="E43" t="s">
        <v>440</v>
      </c>
      <c r="F43" t="b">
        <v>0</v>
      </c>
      <c r="G43" s="6" t="str">
        <f>INDEX(Dim!$B:$B,MATCH($E43,Dim!$A:$A,0))</f>
        <v>TEXT</v>
      </c>
      <c r="H43" s="6" t="str">
        <f>INDEX(Dim!$F:$F,MATCH($E43,Dim!$A:$A,0))</f>
        <v>1_</v>
      </c>
      <c r="I43" s="6" t="str">
        <f t="shared" si="0"/>
        <v>4_1_0</v>
      </c>
      <c r="J43">
        <v>1</v>
      </c>
      <c r="K43" s="6" t="str">
        <f t="shared" ref="K43:K44" si="1">"case_type_dim"&amp;$I43</f>
        <v>case_type_dim4_1_0</v>
      </c>
    </row>
    <row r="44" spans="1:11" x14ac:dyDescent="0.3">
      <c r="A44" t="s">
        <v>930</v>
      </c>
      <c r="B44" t="s">
        <v>127</v>
      </c>
      <c r="C44" s="6">
        <f>INDEX(CaseType!$C:$C,MATCH($B44,CaseType!$A:$A,0))</f>
        <v>5</v>
      </c>
      <c r="D44">
        <v>0</v>
      </c>
      <c r="E44" t="s">
        <v>440</v>
      </c>
      <c r="F44" t="b">
        <v>0</v>
      </c>
      <c r="G44" s="6" t="str">
        <f>INDEX(Dim!$B:$B,MATCH($E44,Dim!$A:$A,0))</f>
        <v>TEXT</v>
      </c>
      <c r="H44" s="6" t="str">
        <f>INDEX(Dim!$F:$F,MATCH($E44,Dim!$A:$A,0))</f>
        <v>1_</v>
      </c>
      <c r="I44" s="6" t="str">
        <f t="shared" si="0"/>
        <v>5_1_0</v>
      </c>
      <c r="J44">
        <v>1</v>
      </c>
      <c r="K44" s="6" t="str">
        <f t="shared" si="1"/>
        <v>case_type_dim5_1_0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61"/>
  <sheetViews>
    <sheetView tabSelected="1" workbookViewId="0">
      <pane ySplit="1" topLeftCell="A26" activePane="bottomLeft" state="frozen"/>
      <selection pane="bottomLeft" activeCell="A59" sqref="A59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9.77734375" style="6" bestFit="1" customWidth="1"/>
    <col min="4" max="4" width="35.33203125" bestFit="1" customWidth="1"/>
    <col min="5" max="5" width="19.21875" style="6" bestFit="1" customWidth="1"/>
    <col min="6" max="6" width="35.33203125" customWidth="1"/>
    <col min="7" max="7" width="35.33203125" style="6" customWidth="1"/>
    <col min="8" max="8" width="9.5546875" style="6" bestFit="1" customWidth="1"/>
    <col min="9" max="9" width="9.21875" bestFit="1" customWidth="1"/>
    <col min="10" max="10" width="39.44140625" style="6" bestFit="1" customWidth="1"/>
    <col min="11" max="11" width="10.6640625" bestFit="1" customWidth="1"/>
    <col min="12" max="12" width="10" bestFit="1" customWidth="1"/>
    <col min="13" max="13" width="10.21875" bestFit="1" customWidth="1"/>
    <col min="14" max="14" width="13.33203125" bestFit="1" customWidth="1"/>
    <col min="15" max="15" width="13.5546875" bestFit="1" customWidth="1"/>
    <col min="16" max="16" width="10.77734375" bestFit="1" customWidth="1"/>
    <col min="17" max="17" width="11.109375" bestFit="1" customWidth="1"/>
    <col min="18" max="18" width="7.33203125" bestFit="1" customWidth="1"/>
    <col min="19" max="19" width="33.21875" bestFit="1" customWidth="1"/>
    <col min="20" max="20" width="20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133</v>
      </c>
      <c r="C1" s="10" t="s">
        <v>762</v>
      </c>
      <c r="D1" s="1" t="s">
        <v>135</v>
      </c>
      <c r="E1" s="10" t="s">
        <v>927</v>
      </c>
      <c r="F1" s="1" t="s">
        <v>925</v>
      </c>
      <c r="G1" s="10" t="s">
        <v>926</v>
      </c>
      <c r="H1" s="10" t="s">
        <v>137</v>
      </c>
      <c r="I1" s="1" t="s">
        <v>81</v>
      </c>
      <c r="J1" s="10" t="s">
        <v>138</v>
      </c>
      <c r="K1" s="1" t="s">
        <v>78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147</v>
      </c>
      <c r="U1" s="1" t="s">
        <v>148</v>
      </c>
    </row>
    <row r="2" spans="1:21" x14ac:dyDescent="0.3">
      <c r="A2" t="s">
        <v>512</v>
      </c>
      <c r="B2" t="s">
        <v>115</v>
      </c>
      <c r="C2" s="6" t="str">
        <f>INDEX(CaseType!$B:$B,MATCH($B2,CaseType!$A:$A,0))</f>
        <v>case_type1</v>
      </c>
      <c r="D2" t="s">
        <v>460</v>
      </c>
      <c r="E2" s="6" t="str">
        <f>INDEX(Col!$H:$H,MATCH($D2,Col!$A:$A,0))</f>
        <v>NOMINAL</v>
      </c>
      <c r="F2" t="s">
        <v>882</v>
      </c>
      <c r="G2" s="6" t="str">
        <f>INDEX(CaseTypeDim!$I:$I,MATCH($F2,CaseTypeDim!$A:$A,0))</f>
        <v>1_1_0</v>
      </c>
      <c r="H2" s="6" t="str">
        <f>$G2&amp;"_"&amp;$I2</f>
        <v>1_1_0_1</v>
      </c>
      <c r="I2">
        <v>1</v>
      </c>
      <c r="J2" s="6" t="str">
        <f>"case_type_col"&amp;$H2&amp;"_"&amp;$E2</f>
        <v>case_type_col1_1_0_1_NOMINAL</v>
      </c>
      <c r="U2" t="s">
        <v>149</v>
      </c>
    </row>
    <row r="3" spans="1:21" x14ac:dyDescent="0.3">
      <c r="A3" t="s">
        <v>513</v>
      </c>
      <c r="B3" t="s">
        <v>115</v>
      </c>
      <c r="C3" s="6" t="str">
        <f>INDEX(CaseType!$B:$B,MATCH($B3,CaseType!$A:$A,0))</f>
        <v>case_type1</v>
      </c>
      <c r="D3" t="s">
        <v>461</v>
      </c>
      <c r="E3" s="6" t="str">
        <f>INDEX(Col!$H:$H,MATCH($D3,Col!$A:$A,0))</f>
        <v>NOMINAL</v>
      </c>
      <c r="F3" t="s">
        <v>883</v>
      </c>
      <c r="G3" s="6" t="str">
        <f>INDEX(CaseTypeDim!$I:$I,MATCH($F3,CaseTypeDim!$A:$A,0))</f>
        <v>1_2_0</v>
      </c>
      <c r="H3" s="6" t="str">
        <f>$G3&amp;"_"&amp;$I3</f>
        <v>1_2_0_1</v>
      </c>
      <c r="I3">
        <v>1</v>
      </c>
      <c r="J3" s="6" t="str">
        <f>"case_type_col"&amp;$H3&amp;"_"&amp;$E3</f>
        <v>case_type_col1_2_0_1_NOMINAL</v>
      </c>
      <c r="U3" t="s">
        <v>149</v>
      </c>
    </row>
    <row r="4" spans="1:21" x14ac:dyDescent="0.3">
      <c r="A4" t="s">
        <v>514</v>
      </c>
      <c r="B4" t="s">
        <v>115</v>
      </c>
      <c r="C4" s="6" t="str">
        <f>INDEX(CaseType!$B:$B,MATCH($B4,CaseType!$A:$A,0))</f>
        <v>case_type1</v>
      </c>
      <c r="D4" t="s">
        <v>462</v>
      </c>
      <c r="E4" s="6" t="str">
        <f>INDEX(Col!$H:$H,MATCH($D4,Col!$A:$A,0))</f>
        <v>ORDINAL</v>
      </c>
      <c r="F4" t="s">
        <v>884</v>
      </c>
      <c r="G4" s="6" t="str">
        <f>INDEX(CaseTypeDim!$I:$I,MATCH($F4,CaseTypeDim!$A:$A,0))</f>
        <v>1_3_0</v>
      </c>
      <c r="H4" s="6" t="str">
        <f>$G4&amp;"_"&amp;$I4</f>
        <v>1_3_0_1</v>
      </c>
      <c r="I4">
        <v>1</v>
      </c>
      <c r="J4" s="6" t="str">
        <f>"case_type_col"&amp;$H4&amp;"_"&amp;$E4</f>
        <v>case_type_col1_3_0_1_ORDINAL</v>
      </c>
      <c r="U4" t="s">
        <v>149</v>
      </c>
    </row>
    <row r="5" spans="1:21" x14ac:dyDescent="0.3">
      <c r="A5" t="s">
        <v>515</v>
      </c>
      <c r="B5" t="s">
        <v>115</v>
      </c>
      <c r="C5" s="6" t="str">
        <f>INDEX(CaseType!$B:$B,MATCH($B5,CaseType!$A:$A,0))</f>
        <v>case_type1</v>
      </c>
      <c r="D5" t="s">
        <v>463</v>
      </c>
      <c r="E5" s="6" t="str">
        <f>INDEX(Col!$H:$H,MATCH($D5,Col!$A:$A,0))</f>
        <v>ORDINAL</v>
      </c>
      <c r="F5" t="s">
        <v>885</v>
      </c>
      <c r="G5" s="6" t="str">
        <f>INDEX(CaseTypeDim!$I:$I,MATCH($F5,CaseTypeDim!$A:$A,0))</f>
        <v>1_4_0</v>
      </c>
      <c r="H5" s="6" t="str">
        <f>$G5&amp;"_"&amp;$I5</f>
        <v>1_4_0_1</v>
      </c>
      <c r="I5">
        <v>1</v>
      </c>
      <c r="J5" s="6" t="str">
        <f>"case_type_col"&amp;$H5&amp;"_"&amp;$E5</f>
        <v>case_type_col1_4_0_1_ORDINAL</v>
      </c>
      <c r="U5" t="s">
        <v>149</v>
      </c>
    </row>
    <row r="6" spans="1:21" x14ac:dyDescent="0.3">
      <c r="A6" t="s">
        <v>516</v>
      </c>
      <c r="B6" t="s">
        <v>115</v>
      </c>
      <c r="C6" s="6" t="str">
        <f>INDEX(CaseType!$B:$B,MATCH($B6,CaseType!$A:$A,0))</f>
        <v>case_type1</v>
      </c>
      <c r="D6" t="s">
        <v>464</v>
      </c>
      <c r="E6" s="6" t="str">
        <f>INDEX(Col!$H:$H,MATCH($D6,Col!$A:$A,0))</f>
        <v>REGULAR_LANGUAGE</v>
      </c>
      <c r="F6" t="s">
        <v>886</v>
      </c>
      <c r="G6" s="6" t="str">
        <f>INDEX(CaseTypeDim!$I:$I,MATCH($F6,CaseTypeDim!$A:$A,0))</f>
        <v>1_5_0</v>
      </c>
      <c r="H6" s="6" t="str">
        <f>$G6&amp;"_"&amp;$I6</f>
        <v>1_5_0_1</v>
      </c>
      <c r="I6">
        <v>1</v>
      </c>
      <c r="J6" s="6" t="str">
        <f>"case_type_col"&amp;$H6&amp;"_"&amp;$E6</f>
        <v>case_type_col1_5_0_1_REGULAR_LANGUAGE</v>
      </c>
      <c r="U6" t="s">
        <v>149</v>
      </c>
    </row>
    <row r="7" spans="1:21" x14ac:dyDescent="0.3">
      <c r="A7" t="s">
        <v>517</v>
      </c>
      <c r="B7" t="s">
        <v>115</v>
      </c>
      <c r="C7" s="6" t="str">
        <f>INDEX(CaseType!$B:$B,MATCH($B7,CaseType!$A:$A,0))</f>
        <v>case_type1</v>
      </c>
      <c r="D7" t="s">
        <v>465</v>
      </c>
      <c r="E7" s="6" t="str">
        <f>INDEX(Col!$H:$H,MATCH($D7,Col!$A:$A,0))</f>
        <v>REGULAR_LANGUAGE</v>
      </c>
      <c r="F7" t="s">
        <v>887</v>
      </c>
      <c r="G7" s="6" t="str">
        <f>INDEX(CaseTypeDim!$I:$I,MATCH($F7,CaseTypeDim!$A:$A,0))</f>
        <v>1_6_0</v>
      </c>
      <c r="H7" s="6" t="str">
        <f>$G7&amp;"_"&amp;$I7</f>
        <v>1_6_0_1</v>
      </c>
      <c r="I7">
        <v>1</v>
      </c>
      <c r="J7" s="6" t="str">
        <f>"case_type_col"&amp;$H7&amp;"_"&amp;$E7</f>
        <v>case_type_col1_6_0_1_REGULAR_LANGUAGE</v>
      </c>
      <c r="U7" t="s">
        <v>149</v>
      </c>
    </row>
    <row r="8" spans="1:21" x14ac:dyDescent="0.3">
      <c r="A8" t="s">
        <v>518</v>
      </c>
      <c r="B8" t="s">
        <v>115</v>
      </c>
      <c r="C8" s="6" t="str">
        <f>INDEX(CaseType!$B:$B,MATCH($B8,CaseType!$A:$A,0))</f>
        <v>case_type1</v>
      </c>
      <c r="D8" t="s">
        <v>466</v>
      </c>
      <c r="E8" s="6" t="str">
        <f>INDEX(Col!$H:$H,MATCH($D8,Col!$A:$A,0))</f>
        <v>TEXT</v>
      </c>
      <c r="F8" t="s">
        <v>888</v>
      </c>
      <c r="G8" s="6" t="str">
        <f>INDEX(CaseTypeDim!$I:$I,MATCH($F8,CaseTypeDim!$A:$A,0))</f>
        <v>1_7_0</v>
      </c>
      <c r="H8" s="6" t="str">
        <f>$G8&amp;"_"&amp;$I8</f>
        <v>1_7_0_1</v>
      </c>
      <c r="I8">
        <v>1</v>
      </c>
      <c r="J8" s="6" t="str">
        <f>"case_type_col"&amp;$H8&amp;"_"&amp;$E8</f>
        <v>case_type_col1_7_0_1_TEXT</v>
      </c>
      <c r="U8" t="s">
        <v>149</v>
      </c>
    </row>
    <row r="9" spans="1:21" x14ac:dyDescent="0.3">
      <c r="A9" t="s">
        <v>519</v>
      </c>
      <c r="B9" t="s">
        <v>115</v>
      </c>
      <c r="C9" s="6" t="str">
        <f>INDEX(CaseType!$B:$B,MATCH($B9,CaseType!$A:$A,0))</f>
        <v>case_type1</v>
      </c>
      <c r="D9" t="s">
        <v>467</v>
      </c>
      <c r="E9" s="6" t="str">
        <f>INDEX(Col!$H:$H,MATCH($D9,Col!$A:$A,0))</f>
        <v>TEXT</v>
      </c>
      <c r="F9" t="s">
        <v>889</v>
      </c>
      <c r="G9" s="6" t="str">
        <f>INDEX(CaseTypeDim!$I:$I,MATCH($F9,CaseTypeDim!$A:$A,0))</f>
        <v>1_8_0</v>
      </c>
      <c r="H9" s="6" t="str">
        <f>$G9&amp;"_"&amp;$I9</f>
        <v>1_8_0_1</v>
      </c>
      <c r="I9">
        <v>1</v>
      </c>
      <c r="J9" s="6" t="str">
        <f>"case_type_col"&amp;$H9&amp;"_"&amp;$E9</f>
        <v>case_type_col1_8_0_1_TEXT</v>
      </c>
      <c r="U9" t="s">
        <v>149</v>
      </c>
    </row>
    <row r="10" spans="1:21" x14ac:dyDescent="0.3">
      <c r="A10" t="s">
        <v>520</v>
      </c>
      <c r="B10" t="s">
        <v>115</v>
      </c>
      <c r="C10" s="6" t="str">
        <f>INDEX(CaseType!$B:$B,MATCH($B10,CaseType!$A:$A,0))</f>
        <v>case_type1</v>
      </c>
      <c r="D10" t="s">
        <v>468</v>
      </c>
      <c r="E10" s="6" t="str">
        <f>INDEX(Col!$H:$H,MATCH($D10,Col!$A:$A,0))</f>
        <v>ORGANIZATION</v>
      </c>
      <c r="F10" t="s">
        <v>890</v>
      </c>
      <c r="G10" s="6" t="str">
        <f>INDEX(CaseTypeDim!$I:$I,MATCH($F10,CaseTypeDim!$A:$A,0))</f>
        <v>1_9_0</v>
      </c>
      <c r="H10" s="6" t="str">
        <f>$G10&amp;"_"&amp;$I10</f>
        <v>1_9_0_1</v>
      </c>
      <c r="I10">
        <v>1</v>
      </c>
      <c r="J10" s="6" t="str">
        <f>"case_type_col"&amp;$H10&amp;"_"&amp;$E10</f>
        <v>case_type_col1_9_0_1_ORGANIZATION</v>
      </c>
      <c r="U10" t="s">
        <v>149</v>
      </c>
    </row>
    <row r="11" spans="1:21" x14ac:dyDescent="0.3">
      <c r="A11" t="s">
        <v>521</v>
      </c>
      <c r="B11" t="s">
        <v>115</v>
      </c>
      <c r="C11" s="6" t="str">
        <f>INDEX(CaseType!$B:$B,MATCH($B11,CaseType!$A:$A,0))</f>
        <v>case_type1</v>
      </c>
      <c r="D11" t="s">
        <v>469</v>
      </c>
      <c r="E11" s="6" t="str">
        <f>INDEX(Col!$H:$H,MATCH($D11,Col!$A:$A,0))</f>
        <v>ORGANIZATION</v>
      </c>
      <c r="F11" t="s">
        <v>891</v>
      </c>
      <c r="G11" s="6" t="str">
        <f>INDEX(CaseTypeDim!$I:$I,MATCH($F11,CaseTypeDim!$A:$A,0))</f>
        <v>1_10_0</v>
      </c>
      <c r="H11" s="6" t="str">
        <f>$G11&amp;"_"&amp;$I11</f>
        <v>1_10_0_1</v>
      </c>
      <c r="I11">
        <v>1</v>
      </c>
      <c r="J11" s="6" t="str">
        <f>"case_type_col"&amp;$H11&amp;"_"&amp;$E11</f>
        <v>case_type_col1_10_0_1_ORGANIZATION</v>
      </c>
      <c r="U11" t="s">
        <v>149</v>
      </c>
    </row>
    <row r="12" spans="1:21" x14ac:dyDescent="0.3">
      <c r="A12" t="s">
        <v>522</v>
      </c>
      <c r="B12" t="s">
        <v>115</v>
      </c>
      <c r="C12" s="6" t="str">
        <f>INDEX(CaseType!$B:$B,MATCH($B12,CaseType!$A:$A,0))</f>
        <v>case_type1</v>
      </c>
      <c r="D12" t="s">
        <v>470</v>
      </c>
      <c r="E12" s="6" t="str">
        <f>INDEX(Col!$H:$H,MATCH($D12,Col!$A:$A,0))</f>
        <v>GEO_REGION</v>
      </c>
      <c r="F12" t="s">
        <v>892</v>
      </c>
      <c r="G12" s="6" t="str">
        <f>INDEX(CaseTypeDim!$I:$I,MATCH($F12,CaseTypeDim!$A:$A,0))</f>
        <v>1_11_0</v>
      </c>
      <c r="H12" s="6" t="str">
        <f>$G12&amp;"_"&amp;$I12</f>
        <v>1_11_0_1</v>
      </c>
      <c r="I12">
        <v>1</v>
      </c>
      <c r="J12" s="6" t="str">
        <f>"case_type_col"&amp;$H12&amp;"_"&amp;$E12</f>
        <v>case_type_col1_11_0_1_GEO_REGION</v>
      </c>
      <c r="U12" t="s">
        <v>149</v>
      </c>
    </row>
    <row r="13" spans="1:21" x14ac:dyDescent="0.3">
      <c r="A13" t="s">
        <v>523</v>
      </c>
      <c r="B13" t="s">
        <v>115</v>
      </c>
      <c r="C13" s="6" t="str">
        <f>INDEX(CaseType!$B:$B,MATCH($B13,CaseType!$A:$A,0))</f>
        <v>case_type1</v>
      </c>
      <c r="D13" t="s">
        <v>471</v>
      </c>
      <c r="E13" s="6" t="str">
        <f>INDEX(Col!$H:$H,MATCH($D13,Col!$A:$A,0))</f>
        <v>GEO_REGION</v>
      </c>
      <c r="F13" t="s">
        <v>892</v>
      </c>
      <c r="G13" s="6" t="str">
        <f>INDEX(CaseTypeDim!$I:$I,MATCH($F13,CaseTypeDim!$A:$A,0))</f>
        <v>1_11_0</v>
      </c>
      <c r="H13" s="6" t="str">
        <f>$G13&amp;"_"&amp;$I13</f>
        <v>1_11_0_2</v>
      </c>
      <c r="I13">
        <v>2</v>
      </c>
      <c r="J13" s="6" t="str">
        <f>"case_type_col"&amp;$H13&amp;"_"&amp;$E13</f>
        <v>case_type_col1_11_0_2_GEO_REGION</v>
      </c>
      <c r="U13" t="s">
        <v>149</v>
      </c>
    </row>
    <row r="14" spans="1:21" x14ac:dyDescent="0.3">
      <c r="A14" t="s">
        <v>524</v>
      </c>
      <c r="B14" t="s">
        <v>115</v>
      </c>
      <c r="C14" s="6" t="str">
        <f>INDEX(CaseType!$B:$B,MATCH($B14,CaseType!$A:$A,0))</f>
        <v>case_type1</v>
      </c>
      <c r="D14" t="s">
        <v>472</v>
      </c>
      <c r="E14" s="6" t="str">
        <f>INDEX(Col!$H:$H,MATCH($D14,Col!$A:$A,0))</f>
        <v>GEO_REGION</v>
      </c>
      <c r="F14" t="s">
        <v>892</v>
      </c>
      <c r="G14" s="6" t="str">
        <f>INDEX(CaseTypeDim!$I:$I,MATCH($F14,CaseTypeDim!$A:$A,0))</f>
        <v>1_11_0</v>
      </c>
      <c r="H14" s="6" t="str">
        <f>$G14&amp;"_"&amp;$I14</f>
        <v>1_11_0_3</v>
      </c>
      <c r="I14">
        <v>3</v>
      </c>
      <c r="J14" s="6" t="str">
        <f>"case_type_col"&amp;$H14&amp;"_"&amp;$E14</f>
        <v>case_type_col1_11_0_3_GEO_REGION</v>
      </c>
      <c r="U14" t="s">
        <v>149</v>
      </c>
    </row>
    <row r="15" spans="1:21" x14ac:dyDescent="0.3">
      <c r="A15" t="s">
        <v>525</v>
      </c>
      <c r="B15" t="s">
        <v>115</v>
      </c>
      <c r="C15" s="6" t="str">
        <f>INDEX(CaseType!$B:$B,MATCH($B15,CaseType!$A:$A,0))</f>
        <v>case_type1</v>
      </c>
      <c r="D15" t="s">
        <v>473</v>
      </c>
      <c r="E15" s="6" t="str">
        <f>INDEX(Col!$H:$H,MATCH($D15,Col!$A:$A,0))</f>
        <v>GEO_REGION</v>
      </c>
      <c r="F15" t="s">
        <v>892</v>
      </c>
      <c r="G15" s="6" t="str">
        <f>INDEX(CaseTypeDim!$I:$I,MATCH($F15,CaseTypeDim!$A:$A,0))</f>
        <v>1_11_0</v>
      </c>
      <c r="H15" s="6" t="str">
        <f>$G15&amp;"_"&amp;$I15</f>
        <v>1_11_0_4</v>
      </c>
      <c r="I15">
        <v>4</v>
      </c>
      <c r="J15" s="6" t="str">
        <f>"case_type_col"&amp;$H15&amp;"_"&amp;$E15</f>
        <v>case_type_col1_11_0_4_GEO_REGION</v>
      </c>
      <c r="U15" t="s">
        <v>149</v>
      </c>
    </row>
    <row r="16" spans="1:21" x14ac:dyDescent="0.3">
      <c r="A16" t="s">
        <v>526</v>
      </c>
      <c r="B16" t="s">
        <v>115</v>
      </c>
      <c r="C16" s="6" t="str">
        <f>INDEX(CaseType!$B:$B,MATCH($B16,CaseType!$A:$A,0))</f>
        <v>case_type1</v>
      </c>
      <c r="D16" t="s">
        <v>474</v>
      </c>
      <c r="E16" s="6" t="str">
        <f>INDEX(Col!$H:$H,MATCH($D16,Col!$A:$A,0))</f>
        <v>GEO_REGION</v>
      </c>
      <c r="F16" t="s">
        <v>893</v>
      </c>
      <c r="G16" s="6" t="str">
        <f>INDEX(CaseTypeDim!$I:$I,MATCH($F16,CaseTypeDim!$A:$A,0))</f>
        <v>1_12_0</v>
      </c>
      <c r="H16" s="6" t="str">
        <f>$G16&amp;"_"&amp;$I16</f>
        <v>1_12_0_1</v>
      </c>
      <c r="I16">
        <v>1</v>
      </c>
      <c r="J16" s="6" t="str">
        <f>"case_type_col"&amp;$H16&amp;"_"&amp;$E16</f>
        <v>case_type_col1_12_0_1_GEO_REGION</v>
      </c>
      <c r="U16" t="s">
        <v>149</v>
      </c>
    </row>
    <row r="17" spans="1:21" x14ac:dyDescent="0.3">
      <c r="A17" t="s">
        <v>527</v>
      </c>
      <c r="B17" t="s">
        <v>115</v>
      </c>
      <c r="C17" s="6" t="str">
        <f>INDEX(CaseType!$B:$B,MATCH($B17,CaseType!$A:$A,0))</f>
        <v>case_type1</v>
      </c>
      <c r="D17" t="s">
        <v>475</v>
      </c>
      <c r="E17" s="6" t="str">
        <f>INDEX(Col!$H:$H,MATCH($D17,Col!$A:$A,0))</f>
        <v>GEO_REGION</v>
      </c>
      <c r="F17" t="s">
        <v>893</v>
      </c>
      <c r="G17" s="6" t="str">
        <f>INDEX(CaseTypeDim!$I:$I,MATCH($F17,CaseTypeDim!$A:$A,0))</f>
        <v>1_12_0</v>
      </c>
      <c r="H17" s="6" t="str">
        <f>$G17&amp;"_"&amp;$I17</f>
        <v>1_12_0_2</v>
      </c>
      <c r="I17">
        <v>2</v>
      </c>
      <c r="J17" s="6" t="str">
        <f>"case_type_col"&amp;$H17&amp;"_"&amp;$E17</f>
        <v>case_type_col1_12_0_2_GEO_REGION</v>
      </c>
      <c r="U17" t="s">
        <v>149</v>
      </c>
    </row>
    <row r="18" spans="1:21" x14ac:dyDescent="0.3">
      <c r="A18" t="s">
        <v>528</v>
      </c>
      <c r="B18" t="s">
        <v>115</v>
      </c>
      <c r="C18" s="6" t="str">
        <f>INDEX(CaseType!$B:$B,MATCH($B18,CaseType!$A:$A,0))</f>
        <v>case_type1</v>
      </c>
      <c r="D18" t="s">
        <v>476</v>
      </c>
      <c r="E18" s="6" t="str">
        <f>INDEX(Col!$H:$H,MATCH($D18,Col!$A:$A,0))</f>
        <v>GEO_REGION</v>
      </c>
      <c r="F18" t="s">
        <v>893</v>
      </c>
      <c r="G18" s="6" t="str">
        <f>INDEX(CaseTypeDim!$I:$I,MATCH($F18,CaseTypeDim!$A:$A,0))</f>
        <v>1_12_0</v>
      </c>
      <c r="H18" s="6" t="str">
        <f>$G18&amp;"_"&amp;$I18</f>
        <v>1_12_0_3</v>
      </c>
      <c r="I18">
        <v>3</v>
      </c>
      <c r="J18" s="6" t="str">
        <f>"case_type_col"&amp;$H18&amp;"_"&amp;$E18</f>
        <v>case_type_col1_12_0_3_GEO_REGION</v>
      </c>
      <c r="U18" t="s">
        <v>149</v>
      </c>
    </row>
    <row r="19" spans="1:21" x14ac:dyDescent="0.3">
      <c r="A19" t="s">
        <v>529</v>
      </c>
      <c r="B19" t="s">
        <v>115</v>
      </c>
      <c r="C19" s="6" t="str">
        <f>INDEX(CaseType!$B:$B,MATCH($B19,CaseType!$A:$A,0))</f>
        <v>case_type1</v>
      </c>
      <c r="D19" t="s">
        <v>477</v>
      </c>
      <c r="E19" s="6" t="str">
        <f>INDEX(Col!$H:$H,MATCH($D19,Col!$A:$A,0))</f>
        <v>GEO_REGION</v>
      </c>
      <c r="F19" t="s">
        <v>893</v>
      </c>
      <c r="G19" s="6" t="str">
        <f>INDEX(CaseTypeDim!$I:$I,MATCH($F19,CaseTypeDim!$A:$A,0))</f>
        <v>1_12_0</v>
      </c>
      <c r="H19" s="6" t="str">
        <f>$G19&amp;"_"&amp;$I19</f>
        <v>1_12_0_4</v>
      </c>
      <c r="I19">
        <v>4</v>
      </c>
      <c r="J19" s="6" t="str">
        <f>"case_type_col"&amp;$H19&amp;"_"&amp;$E19</f>
        <v>case_type_col1_12_0_4_GEO_REGION</v>
      </c>
      <c r="U19" t="s">
        <v>149</v>
      </c>
    </row>
    <row r="20" spans="1:21" x14ac:dyDescent="0.3">
      <c r="A20" t="s">
        <v>530</v>
      </c>
      <c r="B20" t="s">
        <v>115</v>
      </c>
      <c r="C20" s="6" t="str">
        <f>INDEX(CaseType!$B:$B,MATCH($B20,CaseType!$A:$A,0))</f>
        <v>case_type1</v>
      </c>
      <c r="D20" t="s">
        <v>478</v>
      </c>
      <c r="E20" s="6" t="str">
        <f>INDEX(Col!$H:$H,MATCH($D20,Col!$A:$A,0))</f>
        <v>TIME_DAY</v>
      </c>
      <c r="F20" t="s">
        <v>894</v>
      </c>
      <c r="G20" s="6" t="str">
        <f>INDEX(CaseTypeDim!$I:$I,MATCH($F20,CaseTypeDim!$A:$A,0))</f>
        <v>1_13_0</v>
      </c>
      <c r="H20" s="6" t="str">
        <f>$G20&amp;"_"&amp;$I20</f>
        <v>1_13_0_1</v>
      </c>
      <c r="I20">
        <v>1</v>
      </c>
      <c r="J20" s="6" t="str">
        <f>"case_type_col"&amp;$H20&amp;"_"&amp;$E20</f>
        <v>case_type_col1_13_0_1_TIME_DAY</v>
      </c>
      <c r="U20" t="s">
        <v>149</v>
      </c>
    </row>
    <row r="21" spans="1:21" x14ac:dyDescent="0.3">
      <c r="A21" t="s">
        <v>531</v>
      </c>
      <c r="B21" t="s">
        <v>115</v>
      </c>
      <c r="C21" s="6" t="str">
        <f>INDEX(CaseType!$B:$B,MATCH($B21,CaseType!$A:$A,0))</f>
        <v>case_type1</v>
      </c>
      <c r="D21" t="s">
        <v>479</v>
      </c>
      <c r="E21" s="6" t="str">
        <f>INDEX(Col!$H:$H,MATCH($D21,Col!$A:$A,0))</f>
        <v>TIME_WEEK</v>
      </c>
      <c r="F21" t="s">
        <v>894</v>
      </c>
      <c r="G21" s="6" t="str">
        <f>INDEX(CaseTypeDim!$I:$I,MATCH($F21,CaseTypeDim!$A:$A,0))</f>
        <v>1_13_0</v>
      </c>
      <c r="H21" s="6" t="str">
        <f>$G21&amp;"_"&amp;$I21</f>
        <v>1_13_0_2</v>
      </c>
      <c r="I21">
        <v>2</v>
      </c>
      <c r="J21" s="6" t="str">
        <f>"case_type_col"&amp;$H21&amp;"_"&amp;$E21</f>
        <v>case_type_col1_13_0_2_TIME_WEEK</v>
      </c>
      <c r="U21" t="s">
        <v>149</v>
      </c>
    </row>
    <row r="22" spans="1:21" x14ac:dyDescent="0.3">
      <c r="A22" t="s">
        <v>532</v>
      </c>
      <c r="B22" t="s">
        <v>115</v>
      </c>
      <c r="C22" s="6" t="str">
        <f>INDEX(CaseType!$B:$B,MATCH($B22,CaseType!$A:$A,0))</f>
        <v>case_type1</v>
      </c>
      <c r="D22" t="s">
        <v>480</v>
      </c>
      <c r="E22" s="6" t="str">
        <f>INDEX(Col!$H:$H,MATCH($D22,Col!$A:$A,0))</f>
        <v>TIME_MONTH</v>
      </c>
      <c r="F22" t="s">
        <v>894</v>
      </c>
      <c r="G22" s="6" t="str">
        <f>INDEX(CaseTypeDim!$I:$I,MATCH($F22,CaseTypeDim!$A:$A,0))</f>
        <v>1_13_0</v>
      </c>
      <c r="H22" s="6" t="str">
        <f>$G22&amp;"_"&amp;$I22</f>
        <v>1_13_0_3</v>
      </c>
      <c r="I22">
        <v>3</v>
      </c>
      <c r="J22" s="6" t="str">
        <f>"case_type_col"&amp;$H22&amp;"_"&amp;$E22</f>
        <v>case_type_col1_13_0_3_TIME_MONTH</v>
      </c>
      <c r="U22" t="s">
        <v>149</v>
      </c>
    </row>
    <row r="23" spans="1:21" x14ac:dyDescent="0.3">
      <c r="A23" t="s">
        <v>533</v>
      </c>
      <c r="B23" t="s">
        <v>115</v>
      </c>
      <c r="C23" s="6" t="str">
        <f>INDEX(CaseType!$B:$B,MATCH($B23,CaseType!$A:$A,0))</f>
        <v>case_type1</v>
      </c>
      <c r="D23" t="s">
        <v>481</v>
      </c>
      <c r="E23" s="6" t="str">
        <f>INDEX(Col!$H:$H,MATCH($D23,Col!$A:$A,0))</f>
        <v>TIME_QUARTER</v>
      </c>
      <c r="F23" t="s">
        <v>894</v>
      </c>
      <c r="G23" s="6" t="str">
        <f>INDEX(CaseTypeDim!$I:$I,MATCH($F23,CaseTypeDim!$A:$A,0))</f>
        <v>1_13_0</v>
      </c>
      <c r="H23" s="6" t="str">
        <f>$G23&amp;"_"&amp;$I23</f>
        <v>1_13_0_4</v>
      </c>
      <c r="I23">
        <v>4</v>
      </c>
      <c r="J23" s="6" t="str">
        <f>"case_type_col"&amp;$H23&amp;"_"&amp;$E23</f>
        <v>case_type_col1_13_0_4_TIME_QUARTER</v>
      </c>
      <c r="U23" t="s">
        <v>149</v>
      </c>
    </row>
    <row r="24" spans="1:21" x14ac:dyDescent="0.3">
      <c r="A24" t="s">
        <v>534</v>
      </c>
      <c r="B24" t="s">
        <v>115</v>
      </c>
      <c r="C24" s="6" t="str">
        <f>INDEX(CaseType!$B:$B,MATCH($B24,CaseType!$A:$A,0))</f>
        <v>case_type1</v>
      </c>
      <c r="D24" t="s">
        <v>482</v>
      </c>
      <c r="E24" s="6" t="str">
        <f>INDEX(Col!$H:$H,MATCH($D24,Col!$A:$A,0))</f>
        <v>TIME_YEAR</v>
      </c>
      <c r="F24" t="s">
        <v>894</v>
      </c>
      <c r="G24" s="6" t="str">
        <f>INDEX(CaseTypeDim!$I:$I,MATCH($F24,CaseTypeDim!$A:$A,0))</f>
        <v>1_13_0</v>
      </c>
      <c r="H24" s="6" t="str">
        <f>$G24&amp;"_"&amp;$I24</f>
        <v>1_13_0_5</v>
      </c>
      <c r="I24">
        <v>5</v>
      </c>
      <c r="J24" s="6" t="str">
        <f>"case_type_col"&amp;$H24&amp;"_"&amp;$E24</f>
        <v>case_type_col1_13_0_5_TIME_YEAR</v>
      </c>
      <c r="U24" t="s">
        <v>149</v>
      </c>
    </row>
    <row r="25" spans="1:21" x14ac:dyDescent="0.3">
      <c r="A25" t="s">
        <v>535</v>
      </c>
      <c r="B25" t="s">
        <v>115</v>
      </c>
      <c r="C25" s="6" t="str">
        <f>INDEX(CaseType!$B:$B,MATCH($B25,CaseType!$A:$A,0))</f>
        <v>case_type1</v>
      </c>
      <c r="D25" t="s">
        <v>483</v>
      </c>
      <c r="E25" s="6" t="str">
        <f>INDEX(Col!$H:$H,MATCH($D25,Col!$A:$A,0))</f>
        <v>TIME_DAY</v>
      </c>
      <c r="F25" t="s">
        <v>895</v>
      </c>
      <c r="G25" s="6" t="str">
        <f>INDEX(CaseTypeDim!$I:$I,MATCH($F25,CaseTypeDim!$A:$A,0))</f>
        <v>1_14_0</v>
      </c>
      <c r="H25" s="6" t="str">
        <f>$G25&amp;"_"&amp;$I25</f>
        <v>1_14_0_1</v>
      </c>
      <c r="I25">
        <v>1</v>
      </c>
      <c r="J25" s="6" t="str">
        <f>"case_type_col"&amp;$H25&amp;"_"&amp;$E25</f>
        <v>case_type_col1_14_0_1_TIME_DAY</v>
      </c>
      <c r="U25" t="s">
        <v>149</v>
      </c>
    </row>
    <row r="26" spans="1:21" x14ac:dyDescent="0.3">
      <c r="A26" t="s">
        <v>536</v>
      </c>
      <c r="B26" t="s">
        <v>115</v>
      </c>
      <c r="C26" s="6" t="str">
        <f>INDEX(CaseType!$B:$B,MATCH($B26,CaseType!$A:$A,0))</f>
        <v>case_type1</v>
      </c>
      <c r="D26" t="s">
        <v>484</v>
      </c>
      <c r="E26" s="6" t="str">
        <f>INDEX(Col!$H:$H,MATCH($D26,Col!$A:$A,0))</f>
        <v>TIME_WEEK</v>
      </c>
      <c r="F26" t="s">
        <v>895</v>
      </c>
      <c r="G26" s="6" t="str">
        <f>INDEX(CaseTypeDim!$I:$I,MATCH($F26,CaseTypeDim!$A:$A,0))</f>
        <v>1_14_0</v>
      </c>
      <c r="H26" s="6" t="str">
        <f>$G26&amp;"_"&amp;$I26</f>
        <v>1_14_0_2</v>
      </c>
      <c r="I26">
        <v>2</v>
      </c>
      <c r="J26" s="6" t="str">
        <f>"case_type_col"&amp;$H26&amp;"_"&amp;$E26</f>
        <v>case_type_col1_14_0_2_TIME_WEEK</v>
      </c>
      <c r="U26" t="s">
        <v>149</v>
      </c>
    </row>
    <row r="27" spans="1:21" x14ac:dyDescent="0.3">
      <c r="A27" t="s">
        <v>537</v>
      </c>
      <c r="B27" t="s">
        <v>115</v>
      </c>
      <c r="C27" s="6" t="str">
        <f>INDEX(CaseType!$B:$B,MATCH($B27,CaseType!$A:$A,0))</f>
        <v>case_type1</v>
      </c>
      <c r="D27" t="s">
        <v>485</v>
      </c>
      <c r="E27" s="6" t="str">
        <f>INDEX(Col!$H:$H,MATCH($D27,Col!$A:$A,0))</f>
        <v>TIME_MONTH</v>
      </c>
      <c r="F27" t="s">
        <v>895</v>
      </c>
      <c r="G27" s="6" t="str">
        <f>INDEX(CaseTypeDim!$I:$I,MATCH($F27,CaseTypeDim!$A:$A,0))</f>
        <v>1_14_0</v>
      </c>
      <c r="H27" s="6" t="str">
        <f>$G27&amp;"_"&amp;$I27</f>
        <v>1_14_0_3</v>
      </c>
      <c r="I27">
        <v>3</v>
      </c>
      <c r="J27" s="6" t="str">
        <f>"case_type_col"&amp;$H27&amp;"_"&amp;$E27</f>
        <v>case_type_col1_14_0_3_TIME_MONTH</v>
      </c>
      <c r="U27" t="s">
        <v>149</v>
      </c>
    </row>
    <row r="28" spans="1:21" x14ac:dyDescent="0.3">
      <c r="A28" t="s">
        <v>538</v>
      </c>
      <c r="B28" t="s">
        <v>115</v>
      </c>
      <c r="C28" s="6" t="str">
        <f>INDEX(CaseType!$B:$B,MATCH($B28,CaseType!$A:$A,0))</f>
        <v>case_type1</v>
      </c>
      <c r="D28" t="s">
        <v>486</v>
      </c>
      <c r="E28" s="6" t="str">
        <f>INDEX(Col!$H:$H,MATCH($D28,Col!$A:$A,0))</f>
        <v>TIME_QUARTER</v>
      </c>
      <c r="F28" t="s">
        <v>895</v>
      </c>
      <c r="G28" s="6" t="str">
        <f>INDEX(CaseTypeDim!$I:$I,MATCH($F28,CaseTypeDim!$A:$A,0))</f>
        <v>1_14_0</v>
      </c>
      <c r="H28" s="6" t="str">
        <f>$G28&amp;"_"&amp;$I28</f>
        <v>1_14_0_4</v>
      </c>
      <c r="I28">
        <v>4</v>
      </c>
      <c r="J28" s="6" t="str">
        <f>"case_type_col"&amp;$H28&amp;"_"&amp;$E28</f>
        <v>case_type_col1_14_0_4_TIME_QUARTER</v>
      </c>
      <c r="U28" t="s">
        <v>149</v>
      </c>
    </row>
    <row r="29" spans="1:21" x14ac:dyDescent="0.3">
      <c r="A29" t="s">
        <v>539</v>
      </c>
      <c r="B29" t="s">
        <v>115</v>
      </c>
      <c r="C29" s="6" t="str">
        <f>INDEX(CaseType!$B:$B,MATCH($B29,CaseType!$A:$A,0))</f>
        <v>case_type1</v>
      </c>
      <c r="D29" t="s">
        <v>487</v>
      </c>
      <c r="E29" s="6" t="str">
        <f>INDEX(Col!$H:$H,MATCH($D29,Col!$A:$A,0))</f>
        <v>TIME_YEAR</v>
      </c>
      <c r="F29" t="s">
        <v>895</v>
      </c>
      <c r="G29" s="6" t="str">
        <f>INDEX(CaseTypeDim!$I:$I,MATCH($F29,CaseTypeDim!$A:$A,0))</f>
        <v>1_14_0</v>
      </c>
      <c r="H29" s="6" t="str">
        <f>$G29&amp;"_"&amp;$I29</f>
        <v>1_14_0_5</v>
      </c>
      <c r="I29">
        <v>5</v>
      </c>
      <c r="J29" s="6" t="str">
        <f>"case_type_col"&amp;$H29&amp;"_"&amp;$E29</f>
        <v>case_type_col1_14_0_5_TIME_YEAR</v>
      </c>
      <c r="U29" t="s">
        <v>149</v>
      </c>
    </row>
    <row r="30" spans="1:21" x14ac:dyDescent="0.3">
      <c r="A30" t="s">
        <v>540</v>
      </c>
      <c r="B30" t="s">
        <v>115</v>
      </c>
      <c r="C30" s="6" t="str">
        <f>INDEX(CaseType!$B:$B,MATCH($B30,CaseType!$A:$A,0))</f>
        <v>case_type1</v>
      </c>
      <c r="D30" t="s">
        <v>488</v>
      </c>
      <c r="E30" s="6" t="str">
        <f>INDEX(Col!$H:$H,MATCH($D30,Col!$A:$A,0))</f>
        <v>ID_PERSON</v>
      </c>
      <c r="F30" t="s">
        <v>896</v>
      </c>
      <c r="G30" s="6" t="str">
        <f>INDEX(CaseTypeDim!$I:$I,MATCH($F30,CaseTypeDim!$A:$A,0))</f>
        <v>1_15_0</v>
      </c>
      <c r="H30" s="6" t="str">
        <f>$G30&amp;"_"&amp;$I30</f>
        <v>1_15_0_1</v>
      </c>
      <c r="I30">
        <v>1</v>
      </c>
      <c r="J30" s="6" t="str">
        <f>"case_type_col"&amp;$H30&amp;"_"&amp;$E30</f>
        <v>case_type_col1_15_0_1_ID_PERSON</v>
      </c>
      <c r="U30" t="s">
        <v>149</v>
      </c>
    </row>
    <row r="31" spans="1:21" x14ac:dyDescent="0.3">
      <c r="A31" t="s">
        <v>541</v>
      </c>
      <c r="B31" t="s">
        <v>115</v>
      </c>
      <c r="C31" s="6" t="str">
        <f>INDEX(CaseType!$B:$B,MATCH($B31,CaseType!$A:$A,0))</f>
        <v>case_type1</v>
      </c>
      <c r="D31" t="s">
        <v>489</v>
      </c>
      <c r="E31" s="6" t="str">
        <f>INDEX(Col!$H:$H,MATCH($D31,Col!$A:$A,0))</f>
        <v>ID_CASE</v>
      </c>
      <c r="F31" t="s">
        <v>897</v>
      </c>
      <c r="G31" s="6" t="str">
        <f>INDEX(CaseTypeDim!$I:$I,MATCH($F31,CaseTypeDim!$A:$A,0))</f>
        <v>1_16_0</v>
      </c>
      <c r="H31" s="6" t="str">
        <f>$G31&amp;"_"&amp;$I31</f>
        <v>1_16_0_1</v>
      </c>
      <c r="I31">
        <v>1</v>
      </c>
      <c r="J31" s="6" t="str">
        <f>"case_type_col"&amp;$H31&amp;"_"&amp;$E31</f>
        <v>case_type_col1_16_0_1_ID_CASE</v>
      </c>
      <c r="U31" t="s">
        <v>149</v>
      </c>
    </row>
    <row r="32" spans="1:21" x14ac:dyDescent="0.3">
      <c r="A32" t="s">
        <v>542</v>
      </c>
      <c r="B32" t="s">
        <v>115</v>
      </c>
      <c r="C32" s="6" t="str">
        <f>INDEX(CaseType!$B:$B,MATCH($B32,CaseType!$A:$A,0))</f>
        <v>case_type1</v>
      </c>
      <c r="D32" t="s">
        <v>490</v>
      </c>
      <c r="E32" s="6" t="str">
        <f>INDEX(Col!$H:$H,MATCH($D32,Col!$A:$A,0))</f>
        <v>DECIMAL_0</v>
      </c>
      <c r="F32" t="s">
        <v>898</v>
      </c>
      <c r="G32" s="6" t="str">
        <f>INDEX(CaseTypeDim!$I:$I,MATCH($F32,CaseTypeDim!$A:$A,0))</f>
        <v>1_17_0</v>
      </c>
      <c r="H32" s="6" t="str">
        <f>$G32&amp;"_"&amp;$I32</f>
        <v>1_17_0_1</v>
      </c>
      <c r="I32">
        <v>1</v>
      </c>
      <c r="J32" s="6" t="str">
        <f>"case_type_col"&amp;$H32&amp;"_"&amp;$E32</f>
        <v>case_type_col1_17_0_1_DECIMAL_0</v>
      </c>
      <c r="U32" t="s">
        <v>149</v>
      </c>
    </row>
    <row r="33" spans="1:21" x14ac:dyDescent="0.3">
      <c r="A33" t="s">
        <v>543</v>
      </c>
      <c r="B33" t="s">
        <v>115</v>
      </c>
      <c r="C33" s="6" t="str">
        <f>INDEX(CaseType!$B:$B,MATCH($B33,CaseType!$A:$A,0))</f>
        <v>case_type1</v>
      </c>
      <c r="D33" t="s">
        <v>500</v>
      </c>
      <c r="E33" s="6" t="str">
        <f>INDEX(Col!$H:$H,MATCH($D33,Col!$A:$A,0))</f>
        <v>INTERVAL</v>
      </c>
      <c r="F33" t="s">
        <v>898</v>
      </c>
      <c r="G33" s="6" t="str">
        <f>INDEX(CaseTypeDim!$I:$I,MATCH($F33,CaseTypeDim!$A:$A,0))</f>
        <v>1_17_0</v>
      </c>
      <c r="H33" s="6" t="str">
        <f>$G33&amp;"_"&amp;$I33</f>
        <v>1_17_0_2</v>
      </c>
      <c r="I33">
        <v>2</v>
      </c>
      <c r="J33" s="6" t="str">
        <f>"case_type_col"&amp;$H33&amp;"_"&amp;$E33</f>
        <v>case_type_col1_17_0_2_INTERVAL</v>
      </c>
      <c r="U33" t="s">
        <v>149</v>
      </c>
    </row>
    <row r="34" spans="1:21" x14ac:dyDescent="0.3">
      <c r="A34" t="s">
        <v>544</v>
      </c>
      <c r="B34" t="s">
        <v>115</v>
      </c>
      <c r="C34" s="6" t="str">
        <f>INDEX(CaseType!$B:$B,MATCH($B34,CaseType!$A:$A,0))</f>
        <v>case_type1</v>
      </c>
      <c r="D34" t="s">
        <v>501</v>
      </c>
      <c r="E34" s="6" t="str">
        <f>INDEX(Col!$H:$H,MATCH($D34,Col!$A:$A,0))</f>
        <v>INTERVAL</v>
      </c>
      <c r="F34" t="s">
        <v>898</v>
      </c>
      <c r="G34" s="6" t="str">
        <f>INDEX(CaseTypeDim!$I:$I,MATCH($F34,CaseTypeDim!$A:$A,0))</f>
        <v>1_17_0</v>
      </c>
      <c r="H34" s="6" t="str">
        <f>$G34&amp;"_"&amp;$I34</f>
        <v>1_17_0_3</v>
      </c>
      <c r="I34">
        <v>3</v>
      </c>
      <c r="J34" s="6" t="str">
        <f>"case_type_col"&amp;$H34&amp;"_"&amp;$E34</f>
        <v>case_type_col1_17_0_3_INTERVAL</v>
      </c>
      <c r="U34" t="s">
        <v>149</v>
      </c>
    </row>
    <row r="35" spans="1:21" x14ac:dyDescent="0.3">
      <c r="A35" t="s">
        <v>545</v>
      </c>
      <c r="B35" t="s">
        <v>115</v>
      </c>
      <c r="C35" s="6" t="str">
        <f>INDEX(CaseType!$B:$B,MATCH($B35,CaseType!$A:$A,0))</f>
        <v>case_type1</v>
      </c>
      <c r="D35" t="s">
        <v>491</v>
      </c>
      <c r="E35" s="6" t="str">
        <f>INDEX(Col!$H:$H,MATCH($D35,Col!$A:$A,0))</f>
        <v>DECIMAL_2</v>
      </c>
      <c r="F35" t="s">
        <v>899</v>
      </c>
      <c r="G35" s="6" t="str">
        <f>INDEX(CaseTypeDim!$I:$I,MATCH($F35,CaseTypeDim!$A:$A,0))</f>
        <v>1_18_0</v>
      </c>
      <c r="H35" s="6" t="str">
        <f>$G35&amp;"_"&amp;$I35</f>
        <v>1_18_0_1</v>
      </c>
      <c r="I35">
        <v>1</v>
      </c>
      <c r="J35" s="6" t="str">
        <f>"case_type_col"&amp;$H35&amp;"_"&amp;$E35</f>
        <v>case_type_col1_18_0_1_DECIMAL_2</v>
      </c>
      <c r="U35" t="s">
        <v>149</v>
      </c>
    </row>
    <row r="36" spans="1:21" x14ac:dyDescent="0.3">
      <c r="A36" t="s">
        <v>546</v>
      </c>
      <c r="B36" t="s">
        <v>115</v>
      </c>
      <c r="C36" s="6" t="str">
        <f>INDEX(CaseType!$B:$B,MATCH($B36,CaseType!$A:$A,0))</f>
        <v>case_type1</v>
      </c>
      <c r="D36" t="s">
        <v>502</v>
      </c>
      <c r="E36" s="6" t="str">
        <f>INDEX(Col!$H:$H,MATCH($D36,Col!$A:$A,0))</f>
        <v>INTERVAL</v>
      </c>
      <c r="F36" t="s">
        <v>899</v>
      </c>
      <c r="G36" s="6" t="str">
        <f>INDEX(CaseTypeDim!$I:$I,MATCH($F36,CaseTypeDim!$A:$A,0))</f>
        <v>1_18_0</v>
      </c>
      <c r="H36" s="6" t="str">
        <f>$G36&amp;"_"&amp;$I36</f>
        <v>1_18_0_2</v>
      </c>
      <c r="I36">
        <v>2</v>
      </c>
      <c r="J36" s="6" t="str">
        <f>"case_type_col"&amp;$H36&amp;"_"&amp;$E36</f>
        <v>case_type_col1_18_0_2_INTERVAL</v>
      </c>
      <c r="U36" t="s">
        <v>149</v>
      </c>
    </row>
    <row r="37" spans="1:21" x14ac:dyDescent="0.3">
      <c r="A37" t="s">
        <v>547</v>
      </c>
      <c r="B37" t="s">
        <v>115</v>
      </c>
      <c r="C37" s="6" t="str">
        <f>INDEX(CaseType!$B:$B,MATCH($B37,CaseType!$A:$A,0))</f>
        <v>case_type1</v>
      </c>
      <c r="D37" t="s">
        <v>503</v>
      </c>
      <c r="E37" s="6" t="str">
        <f>INDEX(Col!$H:$H,MATCH($D37,Col!$A:$A,0))</f>
        <v>INTERVAL</v>
      </c>
      <c r="F37" t="s">
        <v>899</v>
      </c>
      <c r="G37" s="6" t="str">
        <f>INDEX(CaseTypeDim!$I:$I,MATCH($F37,CaseTypeDim!$A:$A,0))</f>
        <v>1_18_0</v>
      </c>
      <c r="H37" s="6" t="str">
        <f>$G37&amp;"_"&amp;$I37</f>
        <v>1_18_0_3</v>
      </c>
      <c r="I37">
        <v>3</v>
      </c>
      <c r="J37" s="6" t="str">
        <f>"case_type_col"&amp;$H37&amp;"_"&amp;$E37</f>
        <v>case_type_col1_18_0_3_INTERVAL</v>
      </c>
      <c r="U37" t="s">
        <v>149</v>
      </c>
    </row>
    <row r="38" spans="1:21" x14ac:dyDescent="0.3">
      <c r="A38" t="s">
        <v>548</v>
      </c>
      <c r="B38" t="s">
        <v>115</v>
      </c>
      <c r="C38" s="6" t="str">
        <f>INDEX(CaseType!$B:$B,MATCH($B38,CaseType!$A:$A,0))</f>
        <v>case_type1</v>
      </c>
      <c r="D38" t="s">
        <v>492</v>
      </c>
      <c r="E38" s="6" t="str">
        <f>INDEX(Col!$H:$H,MATCH($D38,Col!$A:$A,0))</f>
        <v>OTHER</v>
      </c>
      <c r="F38" t="s">
        <v>900</v>
      </c>
      <c r="G38" s="6" t="str">
        <f>INDEX(CaseTypeDim!$I:$I,MATCH($F38,CaseTypeDim!$A:$A,0))</f>
        <v>1_19_0</v>
      </c>
      <c r="H38" s="6" t="str">
        <f>$G38&amp;"_"&amp;$I38</f>
        <v>1_19_0_1</v>
      </c>
      <c r="I38">
        <v>1</v>
      </c>
      <c r="J38" s="6" t="str">
        <f>"case_type_col"&amp;$H38&amp;"_"&amp;$E38</f>
        <v>case_type_col1_19_0_1_OTHER</v>
      </c>
      <c r="U38" t="s">
        <v>149</v>
      </c>
    </row>
    <row r="39" spans="1:21" x14ac:dyDescent="0.3">
      <c r="A39" t="s">
        <v>549</v>
      </c>
      <c r="B39" t="s">
        <v>115</v>
      </c>
      <c r="C39" s="6" t="str">
        <f>INDEX(CaseType!$B:$B,MATCH($B39,CaseType!$A:$A,0))</f>
        <v>case_type1</v>
      </c>
      <c r="D39" t="s">
        <v>493</v>
      </c>
      <c r="E39" s="6" t="str">
        <f>INDEX(Col!$H:$H,MATCH($D39,Col!$A:$A,0))</f>
        <v>OTHER</v>
      </c>
      <c r="F39" t="s">
        <v>901</v>
      </c>
      <c r="G39" s="6" t="str">
        <f>INDEX(CaseTypeDim!$I:$I,MATCH($F39,CaseTypeDim!$A:$A,0))</f>
        <v>1_20_0</v>
      </c>
      <c r="H39" s="6" t="str">
        <f>$G39&amp;"_"&amp;$I39</f>
        <v>1_20_0_1</v>
      </c>
      <c r="I39">
        <v>1</v>
      </c>
      <c r="J39" s="6" t="str">
        <f>"case_type_col"&amp;$H39&amp;"_"&amp;$E39</f>
        <v>case_type_col1_20_0_1_OTHER</v>
      </c>
      <c r="U39" t="s">
        <v>149</v>
      </c>
    </row>
    <row r="40" spans="1:21" x14ac:dyDescent="0.3">
      <c r="A40" t="s">
        <v>550</v>
      </c>
      <c r="B40" t="s">
        <v>118</v>
      </c>
      <c r="C40" s="6" t="str">
        <f>INDEX(CaseType!$B:$B,MATCH($B40,CaseType!$A:$A,0))</f>
        <v>case_type2</v>
      </c>
      <c r="D40" t="s">
        <v>460</v>
      </c>
      <c r="E40" s="6" t="str">
        <f>INDEX(Col!$H:$H,MATCH($D40,Col!$A:$A,0))</f>
        <v>NOMINAL</v>
      </c>
      <c r="F40" t="s">
        <v>902</v>
      </c>
      <c r="G40" s="6" t="str">
        <f>INDEX(CaseTypeDim!$I:$I,MATCH($F40,CaseTypeDim!$A:$A,0))</f>
        <v>2_1_0</v>
      </c>
      <c r="H40" s="6" t="str">
        <f>$G40&amp;"_"&amp;$I40</f>
        <v>2_1_0_1</v>
      </c>
      <c r="I40">
        <v>1</v>
      </c>
      <c r="J40" s="6" t="str">
        <f>"case_type_col"&amp;$H40&amp;"_"&amp;$E40</f>
        <v>case_type_col2_1_0_1_NOMINAL</v>
      </c>
      <c r="U40" t="s">
        <v>149</v>
      </c>
    </row>
    <row r="41" spans="1:21" x14ac:dyDescent="0.3">
      <c r="A41" t="s">
        <v>551</v>
      </c>
      <c r="B41" t="s">
        <v>118</v>
      </c>
      <c r="C41" s="6" t="str">
        <f>INDEX(CaseType!$B:$B,MATCH($B41,CaseType!$A:$A,0))</f>
        <v>case_type2</v>
      </c>
      <c r="D41" t="s">
        <v>462</v>
      </c>
      <c r="E41" s="6" t="str">
        <f>INDEX(Col!$H:$H,MATCH($D41,Col!$A:$A,0))</f>
        <v>ORDINAL</v>
      </c>
      <c r="F41" t="s">
        <v>904</v>
      </c>
      <c r="G41" s="6" t="str">
        <f>INDEX(CaseTypeDim!$I:$I,MATCH($F41,CaseTypeDim!$A:$A,0))</f>
        <v>2_3_0</v>
      </c>
      <c r="H41" s="6" t="str">
        <f>$G41&amp;"_"&amp;$I41</f>
        <v>2_3_0_1</v>
      </c>
      <c r="I41">
        <v>1</v>
      </c>
      <c r="J41" s="6" t="str">
        <f>"case_type_col"&amp;$H41&amp;"_"&amp;$E41</f>
        <v>case_type_col2_3_0_1_ORDINAL</v>
      </c>
      <c r="U41" t="s">
        <v>149</v>
      </c>
    </row>
    <row r="42" spans="1:21" x14ac:dyDescent="0.3">
      <c r="A42" t="s">
        <v>552</v>
      </c>
      <c r="B42" t="s">
        <v>118</v>
      </c>
      <c r="C42" s="6" t="str">
        <f>INDEX(CaseType!$B:$B,MATCH($B42,CaseType!$A:$A,0))</f>
        <v>case_type2</v>
      </c>
      <c r="D42" t="s">
        <v>464</v>
      </c>
      <c r="E42" s="6" t="str">
        <f>INDEX(Col!$H:$H,MATCH($D42,Col!$A:$A,0))</f>
        <v>REGULAR_LANGUAGE</v>
      </c>
      <c r="F42" t="s">
        <v>906</v>
      </c>
      <c r="G42" s="6" t="str">
        <f>INDEX(CaseTypeDim!$I:$I,MATCH($F42,CaseTypeDim!$A:$A,0))</f>
        <v>2_5_0</v>
      </c>
      <c r="H42" s="6" t="str">
        <f>$G42&amp;"_"&amp;$I42</f>
        <v>2_5_0_1</v>
      </c>
      <c r="I42">
        <v>1</v>
      </c>
      <c r="J42" s="6" t="str">
        <f>"case_type_col"&amp;$H42&amp;"_"&amp;$E42</f>
        <v>case_type_col2_5_0_1_REGULAR_LANGUAGE</v>
      </c>
      <c r="U42" t="s">
        <v>149</v>
      </c>
    </row>
    <row r="43" spans="1:21" x14ac:dyDescent="0.3">
      <c r="A43" t="s">
        <v>553</v>
      </c>
      <c r="B43" t="s">
        <v>118</v>
      </c>
      <c r="C43" s="6" t="str">
        <f>INDEX(CaseType!$B:$B,MATCH($B43,CaseType!$A:$A,0))</f>
        <v>case_type2</v>
      </c>
      <c r="D43" t="s">
        <v>466</v>
      </c>
      <c r="E43" s="6" t="str">
        <f>INDEX(Col!$H:$H,MATCH($D43,Col!$A:$A,0))</f>
        <v>TEXT</v>
      </c>
      <c r="F43" t="s">
        <v>908</v>
      </c>
      <c r="G43" s="6" t="str">
        <f>INDEX(CaseTypeDim!$I:$I,MATCH($F43,CaseTypeDim!$A:$A,0))</f>
        <v>2_7_0</v>
      </c>
      <c r="H43" s="6" t="str">
        <f>$G43&amp;"_"&amp;$I43</f>
        <v>2_7_0_1</v>
      </c>
      <c r="I43">
        <v>1</v>
      </c>
      <c r="J43" s="6" t="str">
        <f>"case_type_col"&amp;$H43&amp;"_"&amp;$E43</f>
        <v>case_type_col2_7_0_1_TEXT</v>
      </c>
      <c r="U43" t="s">
        <v>149</v>
      </c>
    </row>
    <row r="44" spans="1:21" x14ac:dyDescent="0.3">
      <c r="A44" t="s">
        <v>554</v>
      </c>
      <c r="B44" t="s">
        <v>118</v>
      </c>
      <c r="C44" s="6" t="str">
        <f>INDEX(CaseType!$B:$B,MATCH($B44,CaseType!$A:$A,0))</f>
        <v>case_type2</v>
      </c>
      <c r="D44" t="s">
        <v>468</v>
      </c>
      <c r="E44" s="6" t="str">
        <f>INDEX(Col!$H:$H,MATCH($D44,Col!$A:$A,0))</f>
        <v>ORGANIZATION</v>
      </c>
      <c r="F44" t="s">
        <v>910</v>
      </c>
      <c r="G44" s="6" t="str">
        <f>INDEX(CaseTypeDim!$I:$I,MATCH($F44,CaseTypeDim!$A:$A,0))</f>
        <v>2_9_0</v>
      </c>
      <c r="H44" s="6" t="str">
        <f>$G44&amp;"_"&amp;$I44</f>
        <v>2_9_0_1</v>
      </c>
      <c r="I44">
        <v>1</v>
      </c>
      <c r="J44" s="6" t="str">
        <f>"case_type_col"&amp;$H44&amp;"_"&amp;$E44</f>
        <v>case_type_col2_9_0_1_ORGANIZATION</v>
      </c>
      <c r="U44" t="s">
        <v>149</v>
      </c>
    </row>
    <row r="45" spans="1:21" x14ac:dyDescent="0.3">
      <c r="A45" t="s">
        <v>555</v>
      </c>
      <c r="B45" t="s">
        <v>118</v>
      </c>
      <c r="C45" s="6" t="str">
        <f>INDEX(CaseType!$B:$B,MATCH($B45,CaseType!$A:$A,0))</f>
        <v>case_type2</v>
      </c>
      <c r="D45" t="s">
        <v>470</v>
      </c>
      <c r="E45" s="6" t="str">
        <f>INDEX(Col!$H:$H,MATCH($D45,Col!$A:$A,0))</f>
        <v>GEO_REGION</v>
      </c>
      <c r="F45" t="s">
        <v>912</v>
      </c>
      <c r="G45" s="6" t="str">
        <f>INDEX(CaseTypeDim!$I:$I,MATCH($F45,CaseTypeDim!$A:$A,0))</f>
        <v>2_11_0</v>
      </c>
      <c r="H45" s="6" t="str">
        <f>$G45&amp;"_"&amp;$I45</f>
        <v>2_11_0_1</v>
      </c>
      <c r="I45">
        <v>1</v>
      </c>
      <c r="J45" s="6" t="str">
        <f>"case_type_col"&amp;$H45&amp;"_"&amp;$E45</f>
        <v>case_type_col2_11_0_1_GEO_REGION</v>
      </c>
      <c r="U45" t="s">
        <v>149</v>
      </c>
    </row>
    <row r="46" spans="1:21" x14ac:dyDescent="0.3">
      <c r="A46" t="s">
        <v>556</v>
      </c>
      <c r="B46" t="s">
        <v>118</v>
      </c>
      <c r="C46" s="6" t="str">
        <f>INDEX(CaseType!$B:$B,MATCH($B46,CaseType!$A:$A,0))</f>
        <v>case_type2</v>
      </c>
      <c r="D46" t="s">
        <v>471</v>
      </c>
      <c r="E46" s="6" t="str">
        <f>INDEX(Col!$H:$H,MATCH($D46,Col!$A:$A,0))</f>
        <v>GEO_REGION</v>
      </c>
      <c r="F46" t="s">
        <v>912</v>
      </c>
      <c r="G46" s="6" t="str">
        <f>INDEX(CaseTypeDim!$I:$I,MATCH($F46,CaseTypeDim!$A:$A,0))</f>
        <v>2_11_0</v>
      </c>
      <c r="H46" s="6" t="str">
        <f>$G46&amp;"_"&amp;$I46</f>
        <v>2_11_0_2</v>
      </c>
      <c r="I46">
        <v>2</v>
      </c>
      <c r="J46" s="6" t="str">
        <f>"case_type_col"&amp;$H46&amp;"_"&amp;$E46</f>
        <v>case_type_col2_11_0_2_GEO_REGION</v>
      </c>
      <c r="U46" t="s">
        <v>149</v>
      </c>
    </row>
    <row r="47" spans="1:21" x14ac:dyDescent="0.3">
      <c r="A47" t="s">
        <v>557</v>
      </c>
      <c r="B47" t="s">
        <v>118</v>
      </c>
      <c r="C47" s="6" t="str">
        <f>INDEX(CaseType!$B:$B,MATCH($B47,CaseType!$A:$A,0))</f>
        <v>case_type2</v>
      </c>
      <c r="D47" t="s">
        <v>472</v>
      </c>
      <c r="E47" s="6" t="str">
        <f>INDEX(Col!$H:$H,MATCH($D47,Col!$A:$A,0))</f>
        <v>GEO_REGION</v>
      </c>
      <c r="F47" t="s">
        <v>912</v>
      </c>
      <c r="G47" s="6" t="str">
        <f>INDEX(CaseTypeDim!$I:$I,MATCH($F47,CaseTypeDim!$A:$A,0))</f>
        <v>2_11_0</v>
      </c>
      <c r="H47" s="6" t="str">
        <f>$G47&amp;"_"&amp;$I47</f>
        <v>2_11_0_3</v>
      </c>
      <c r="I47">
        <v>3</v>
      </c>
      <c r="J47" s="6" t="str">
        <f>"case_type_col"&amp;$H47&amp;"_"&amp;$E47</f>
        <v>case_type_col2_11_0_3_GEO_REGION</v>
      </c>
      <c r="U47" t="s">
        <v>149</v>
      </c>
    </row>
    <row r="48" spans="1:21" x14ac:dyDescent="0.3">
      <c r="A48" t="s">
        <v>558</v>
      </c>
      <c r="B48" t="s">
        <v>118</v>
      </c>
      <c r="C48" s="6" t="str">
        <f>INDEX(CaseType!$B:$B,MATCH($B48,CaseType!$A:$A,0))</f>
        <v>case_type2</v>
      </c>
      <c r="D48" t="s">
        <v>473</v>
      </c>
      <c r="E48" s="6" t="str">
        <f>INDEX(Col!$H:$H,MATCH($D48,Col!$A:$A,0))</f>
        <v>GEO_REGION</v>
      </c>
      <c r="F48" t="s">
        <v>912</v>
      </c>
      <c r="G48" s="6" t="str">
        <f>INDEX(CaseTypeDim!$I:$I,MATCH($F48,CaseTypeDim!$A:$A,0))</f>
        <v>2_11_0</v>
      </c>
      <c r="H48" s="6" t="str">
        <f>$G48&amp;"_"&amp;$I48</f>
        <v>2_11_0_4</v>
      </c>
      <c r="I48">
        <v>4</v>
      </c>
      <c r="J48" s="6" t="str">
        <f>"case_type_col"&amp;$H48&amp;"_"&amp;$E48</f>
        <v>case_type_col2_11_0_4_GEO_REGION</v>
      </c>
      <c r="U48" t="s">
        <v>149</v>
      </c>
    </row>
    <row r="49" spans="1:21" x14ac:dyDescent="0.3">
      <c r="A49" t="s">
        <v>559</v>
      </c>
      <c r="B49" t="s">
        <v>118</v>
      </c>
      <c r="C49" s="6" t="str">
        <f>INDEX(CaseType!$B:$B,MATCH($B49,CaseType!$A:$A,0))</f>
        <v>case_type2</v>
      </c>
      <c r="D49" t="s">
        <v>478</v>
      </c>
      <c r="E49" s="6" t="str">
        <f>INDEX(Col!$H:$H,MATCH($D49,Col!$A:$A,0))</f>
        <v>TIME_DAY</v>
      </c>
      <c r="F49" t="s">
        <v>914</v>
      </c>
      <c r="G49" s="6" t="str">
        <f>INDEX(CaseTypeDim!$I:$I,MATCH($F49,CaseTypeDim!$A:$A,0))</f>
        <v>2_13_0</v>
      </c>
      <c r="H49" s="6" t="str">
        <f>$G49&amp;"_"&amp;$I49</f>
        <v>2_13_0_1</v>
      </c>
      <c r="I49">
        <v>1</v>
      </c>
      <c r="J49" s="6" t="str">
        <f>"case_type_col"&amp;$H49&amp;"_"&amp;$E49</f>
        <v>case_type_col2_13_0_1_TIME_DAY</v>
      </c>
      <c r="U49" t="s">
        <v>149</v>
      </c>
    </row>
    <row r="50" spans="1:21" x14ac:dyDescent="0.3">
      <c r="A50" t="s">
        <v>560</v>
      </c>
      <c r="B50" t="s">
        <v>118</v>
      </c>
      <c r="C50" s="6" t="str">
        <f>INDEX(CaseType!$B:$B,MATCH($B50,CaseType!$A:$A,0))</f>
        <v>case_type2</v>
      </c>
      <c r="D50" t="s">
        <v>479</v>
      </c>
      <c r="E50" s="6" t="str">
        <f>INDEX(Col!$H:$H,MATCH($D50,Col!$A:$A,0))</f>
        <v>TIME_WEEK</v>
      </c>
      <c r="F50" t="s">
        <v>914</v>
      </c>
      <c r="G50" s="6" t="str">
        <f>INDEX(CaseTypeDim!$I:$I,MATCH($F50,CaseTypeDim!$A:$A,0))</f>
        <v>2_13_0</v>
      </c>
      <c r="H50" s="6" t="str">
        <f>$G50&amp;"_"&amp;$I50</f>
        <v>2_13_0_2</v>
      </c>
      <c r="I50">
        <v>2</v>
      </c>
      <c r="J50" s="6" t="str">
        <f>"case_type_col"&amp;$H50&amp;"_"&amp;$E50</f>
        <v>case_type_col2_13_0_2_TIME_WEEK</v>
      </c>
      <c r="U50" t="s">
        <v>149</v>
      </c>
    </row>
    <row r="51" spans="1:21" x14ac:dyDescent="0.3">
      <c r="A51" t="s">
        <v>561</v>
      </c>
      <c r="B51" t="s">
        <v>118</v>
      </c>
      <c r="C51" s="6" t="str">
        <f>INDEX(CaseType!$B:$B,MATCH($B51,CaseType!$A:$A,0))</f>
        <v>case_type2</v>
      </c>
      <c r="D51" t="s">
        <v>480</v>
      </c>
      <c r="E51" s="6" t="str">
        <f>INDEX(Col!$H:$H,MATCH($D51,Col!$A:$A,0))</f>
        <v>TIME_MONTH</v>
      </c>
      <c r="F51" t="s">
        <v>914</v>
      </c>
      <c r="G51" s="6" t="str">
        <f>INDEX(CaseTypeDim!$I:$I,MATCH($F51,CaseTypeDim!$A:$A,0))</f>
        <v>2_13_0</v>
      </c>
      <c r="H51" s="6" t="str">
        <f>$G51&amp;"_"&amp;$I51</f>
        <v>2_13_0_3</v>
      </c>
      <c r="I51">
        <v>3</v>
      </c>
      <c r="J51" s="6" t="str">
        <f>"case_type_col"&amp;$H51&amp;"_"&amp;$E51</f>
        <v>case_type_col2_13_0_3_TIME_MONTH</v>
      </c>
      <c r="U51" t="s">
        <v>149</v>
      </c>
    </row>
    <row r="52" spans="1:21" x14ac:dyDescent="0.3">
      <c r="A52" t="s">
        <v>562</v>
      </c>
      <c r="B52" t="s">
        <v>118</v>
      </c>
      <c r="C52" s="6" t="str">
        <f>INDEX(CaseType!$B:$B,MATCH($B52,CaseType!$A:$A,0))</f>
        <v>case_type2</v>
      </c>
      <c r="D52" t="s">
        <v>481</v>
      </c>
      <c r="E52" s="6" t="str">
        <f>INDEX(Col!$H:$H,MATCH($D52,Col!$A:$A,0))</f>
        <v>TIME_QUARTER</v>
      </c>
      <c r="F52" t="s">
        <v>914</v>
      </c>
      <c r="G52" s="6" t="str">
        <f>INDEX(CaseTypeDim!$I:$I,MATCH($F52,CaseTypeDim!$A:$A,0))</f>
        <v>2_13_0</v>
      </c>
      <c r="H52" s="6" t="str">
        <f>$G52&amp;"_"&amp;$I52</f>
        <v>2_13_0_4</v>
      </c>
      <c r="I52">
        <v>4</v>
      </c>
      <c r="J52" s="6" t="str">
        <f>"case_type_col"&amp;$H52&amp;"_"&amp;$E52</f>
        <v>case_type_col2_13_0_4_TIME_QUARTER</v>
      </c>
      <c r="U52" t="s">
        <v>149</v>
      </c>
    </row>
    <row r="53" spans="1:21" x14ac:dyDescent="0.3">
      <c r="A53" t="s">
        <v>563</v>
      </c>
      <c r="B53" t="s">
        <v>118</v>
      </c>
      <c r="C53" s="6" t="str">
        <f>INDEX(CaseType!$B:$B,MATCH($B53,CaseType!$A:$A,0))</f>
        <v>case_type2</v>
      </c>
      <c r="D53" t="s">
        <v>482</v>
      </c>
      <c r="E53" s="6" t="str">
        <f>INDEX(Col!$H:$H,MATCH($D53,Col!$A:$A,0))</f>
        <v>TIME_YEAR</v>
      </c>
      <c r="F53" t="s">
        <v>914</v>
      </c>
      <c r="G53" s="6" t="str">
        <f>INDEX(CaseTypeDim!$I:$I,MATCH($F53,CaseTypeDim!$A:$A,0))</f>
        <v>2_13_0</v>
      </c>
      <c r="H53" s="6" t="str">
        <f>$G53&amp;"_"&amp;$I53</f>
        <v>2_13_0_5</v>
      </c>
      <c r="I53">
        <v>5</v>
      </c>
      <c r="J53" s="6" t="str">
        <f>"case_type_col"&amp;$H53&amp;"_"&amp;$E53</f>
        <v>case_type_col2_13_0_5_TIME_YEAR</v>
      </c>
      <c r="U53" t="s">
        <v>149</v>
      </c>
    </row>
    <row r="54" spans="1:21" x14ac:dyDescent="0.3">
      <c r="A54" t="s">
        <v>564</v>
      </c>
      <c r="B54" t="s">
        <v>118</v>
      </c>
      <c r="C54" s="6" t="str">
        <f>INDEX(CaseType!$B:$B,MATCH($B54,CaseType!$A:$A,0))</f>
        <v>case_type2</v>
      </c>
      <c r="D54" t="s">
        <v>488</v>
      </c>
      <c r="E54" s="6" t="str">
        <f>INDEX(Col!$H:$H,MATCH($D54,Col!$A:$A,0))</f>
        <v>ID_PERSON</v>
      </c>
      <c r="F54" t="s">
        <v>916</v>
      </c>
      <c r="G54" s="6" t="str">
        <f>INDEX(CaseTypeDim!$I:$I,MATCH($F54,CaseTypeDim!$A:$A,0))</f>
        <v>2_15_0</v>
      </c>
      <c r="H54" s="6" t="str">
        <f>$G54&amp;"_"&amp;$I54</f>
        <v>2_15_0_1</v>
      </c>
      <c r="I54">
        <v>1</v>
      </c>
      <c r="J54" s="6" t="str">
        <f>"case_type_col"&amp;$H54&amp;"_"&amp;$E54</f>
        <v>case_type_col2_15_0_1_ID_PERSON</v>
      </c>
      <c r="U54" t="s">
        <v>149</v>
      </c>
    </row>
    <row r="55" spans="1:21" x14ac:dyDescent="0.3">
      <c r="A55" t="s">
        <v>565</v>
      </c>
      <c r="B55" t="s">
        <v>118</v>
      </c>
      <c r="C55" s="6" t="str">
        <f>INDEX(CaseType!$B:$B,MATCH($B55,CaseType!$A:$A,0))</f>
        <v>case_type2</v>
      </c>
      <c r="D55" t="s">
        <v>490</v>
      </c>
      <c r="E55" s="6" t="str">
        <f>INDEX(Col!$H:$H,MATCH($D55,Col!$A:$A,0))</f>
        <v>DECIMAL_0</v>
      </c>
      <c r="F55" t="s">
        <v>918</v>
      </c>
      <c r="G55" s="6" t="str">
        <f>INDEX(CaseTypeDim!$I:$I,MATCH($F55,CaseTypeDim!$A:$A,0))</f>
        <v>2_17_0</v>
      </c>
      <c r="H55" s="6" t="str">
        <f>$G55&amp;"_"&amp;$I55</f>
        <v>2_17_0_1</v>
      </c>
      <c r="I55">
        <v>1</v>
      </c>
      <c r="J55" s="6" t="str">
        <f>"case_type_col"&amp;$H55&amp;"_"&amp;$E55</f>
        <v>case_type_col2_17_0_1_DECIMAL_0</v>
      </c>
      <c r="U55" t="s">
        <v>149</v>
      </c>
    </row>
    <row r="56" spans="1:21" x14ac:dyDescent="0.3">
      <c r="A56" t="s">
        <v>566</v>
      </c>
      <c r="B56" t="s">
        <v>118</v>
      </c>
      <c r="C56" s="6" t="str">
        <f>INDEX(CaseType!$B:$B,MATCH($B56,CaseType!$A:$A,0))</f>
        <v>case_type2</v>
      </c>
      <c r="D56" t="s">
        <v>500</v>
      </c>
      <c r="E56" s="6" t="str">
        <f>INDEX(Col!$H:$H,MATCH($D56,Col!$A:$A,0))</f>
        <v>INTERVAL</v>
      </c>
      <c r="F56" t="s">
        <v>918</v>
      </c>
      <c r="G56" s="6" t="str">
        <f>INDEX(CaseTypeDim!$I:$I,MATCH($F56,CaseTypeDim!$A:$A,0))</f>
        <v>2_17_0</v>
      </c>
      <c r="H56" s="6" t="str">
        <f>$G56&amp;"_"&amp;$I56</f>
        <v>2_17_0_2</v>
      </c>
      <c r="I56">
        <v>2</v>
      </c>
      <c r="J56" s="6" t="str">
        <f>"case_type_col"&amp;$H56&amp;"_"&amp;$E56</f>
        <v>case_type_col2_17_0_2_INTERVAL</v>
      </c>
      <c r="U56" t="s">
        <v>149</v>
      </c>
    </row>
    <row r="57" spans="1:21" x14ac:dyDescent="0.3">
      <c r="A57" t="s">
        <v>567</v>
      </c>
      <c r="B57" t="s">
        <v>118</v>
      </c>
      <c r="C57" s="6" t="str">
        <f>INDEX(CaseType!$B:$B,MATCH($B57,CaseType!$A:$A,0))</f>
        <v>case_type2</v>
      </c>
      <c r="D57" t="s">
        <v>501</v>
      </c>
      <c r="E57" s="6" t="str">
        <f>INDEX(Col!$H:$H,MATCH($D57,Col!$A:$A,0))</f>
        <v>INTERVAL</v>
      </c>
      <c r="F57" t="s">
        <v>918</v>
      </c>
      <c r="G57" s="6" t="str">
        <f>INDEX(CaseTypeDim!$I:$I,MATCH($F57,CaseTypeDim!$A:$A,0))</f>
        <v>2_17_0</v>
      </c>
      <c r="H57" s="6" t="str">
        <f>$G57&amp;"_"&amp;$I57</f>
        <v>2_17_0_3</v>
      </c>
      <c r="I57">
        <v>3</v>
      </c>
      <c r="J57" s="6" t="str">
        <f>"case_type_col"&amp;$H57&amp;"_"&amp;$E57</f>
        <v>case_type_col2_17_0_3_INTERVAL</v>
      </c>
      <c r="U57" t="s">
        <v>149</v>
      </c>
    </row>
    <row r="58" spans="1:21" x14ac:dyDescent="0.3">
      <c r="A58" t="s">
        <v>568</v>
      </c>
      <c r="B58" t="s">
        <v>118</v>
      </c>
      <c r="C58" s="6" t="str">
        <f>INDEX(CaseType!$B:$B,MATCH($B58,CaseType!$A:$A,0))</f>
        <v>case_type2</v>
      </c>
      <c r="D58" t="s">
        <v>492</v>
      </c>
      <c r="E58" s="6" t="str">
        <f>INDEX(Col!$H:$H,MATCH($D58,Col!$A:$A,0))</f>
        <v>OTHER</v>
      </c>
      <c r="F58" t="s">
        <v>920</v>
      </c>
      <c r="G58" s="6" t="str">
        <f>INDEX(CaseTypeDim!$I:$I,MATCH($F58,CaseTypeDim!$A:$A,0))</f>
        <v>2_19_0</v>
      </c>
      <c r="H58" s="6" t="str">
        <f>$G58&amp;"_"&amp;$I58</f>
        <v>2_19_0_1</v>
      </c>
      <c r="I58">
        <v>1</v>
      </c>
      <c r="J58" s="6" t="str">
        <f>"case_type_col"&amp;$H58&amp;"_"&amp;$E58</f>
        <v>case_type_col2_19_0_1_OTHER</v>
      </c>
      <c r="U58" t="s">
        <v>149</v>
      </c>
    </row>
    <row r="59" spans="1:21" x14ac:dyDescent="0.3">
      <c r="A59" t="s">
        <v>830</v>
      </c>
      <c r="B59" t="s">
        <v>121</v>
      </c>
      <c r="C59" s="6" t="str">
        <f>INDEX(CaseType!$B:$B,MATCH($B59,CaseType!$A:$A,0))</f>
        <v>case_type3</v>
      </c>
      <c r="D59" t="s">
        <v>460</v>
      </c>
      <c r="E59" s="6" t="str">
        <f>INDEX(Col!$H:$H,MATCH($D59,Col!$A:$A,0))</f>
        <v>NOMINAL</v>
      </c>
      <c r="F59" t="s">
        <v>928</v>
      </c>
      <c r="G59" s="6" t="str">
        <f>INDEX(CaseTypeDim!$I:$I,MATCH($F59,CaseTypeDim!$A:$A,0))</f>
        <v>3_1_0</v>
      </c>
      <c r="H59" s="6" t="str">
        <f>$G59&amp;"_"&amp;$I59</f>
        <v>3_1_0_1</v>
      </c>
      <c r="I59">
        <v>1</v>
      </c>
      <c r="J59" s="6" t="str">
        <f>"case_type_col"&amp;$H59&amp;"_"&amp;$E59</f>
        <v>case_type_col3_1_0_1_NOMINAL</v>
      </c>
      <c r="U59" t="s">
        <v>149</v>
      </c>
    </row>
    <row r="60" spans="1:21" x14ac:dyDescent="0.3">
      <c r="A60" t="s">
        <v>831</v>
      </c>
      <c r="B60" t="s">
        <v>124</v>
      </c>
      <c r="C60" s="6" t="str">
        <f>INDEX(CaseType!$B:$B,MATCH($B60,CaseType!$A:$A,0))</f>
        <v>case_type4</v>
      </c>
      <c r="D60" t="s">
        <v>460</v>
      </c>
      <c r="E60" s="6" t="str">
        <f>INDEX(Col!$H:$H,MATCH($D60,Col!$A:$A,0))</f>
        <v>NOMINAL</v>
      </c>
      <c r="F60" t="s">
        <v>929</v>
      </c>
      <c r="G60" s="6" t="str">
        <f>INDEX(CaseTypeDim!$I:$I,MATCH($F60,CaseTypeDim!$A:$A,0))</f>
        <v>4_1_0</v>
      </c>
      <c r="H60" s="6" t="str">
        <f>$G60&amp;"_"&amp;$I60</f>
        <v>4_1_0_2</v>
      </c>
      <c r="I60">
        <v>2</v>
      </c>
      <c r="J60" s="6" t="str">
        <f>"case_type_col"&amp;$H60&amp;"_"&amp;$E60</f>
        <v>case_type_col4_1_0_2_NOMINAL</v>
      </c>
      <c r="U60" t="s">
        <v>149</v>
      </c>
    </row>
    <row r="61" spans="1:21" x14ac:dyDescent="0.3">
      <c r="A61" t="s">
        <v>832</v>
      </c>
      <c r="B61" t="s">
        <v>127</v>
      </c>
      <c r="C61" s="6" t="str">
        <f>INDEX(CaseType!$B:$B,MATCH($B61,CaseType!$A:$A,0))</f>
        <v>case_type5</v>
      </c>
      <c r="D61" t="s">
        <v>460</v>
      </c>
      <c r="E61" s="6" t="str">
        <f>INDEX(Col!$H:$H,MATCH($D61,Col!$A:$A,0))</f>
        <v>NOMINAL</v>
      </c>
      <c r="F61" t="s">
        <v>930</v>
      </c>
      <c r="G61" s="6" t="str">
        <f>INDEX(CaseTypeDim!$I:$I,MATCH($F61,CaseTypeDim!$A:$A,0))</f>
        <v>5_1_0</v>
      </c>
      <c r="H61" s="6" t="str">
        <f>$G61&amp;"_"&amp;$I61</f>
        <v>5_1_0_3</v>
      </c>
      <c r="I61">
        <v>3</v>
      </c>
      <c r="J61" s="6" t="str">
        <f>"case_type_col"&amp;$H61&amp;"_"&amp;$E61</f>
        <v>case_type_col5_1_0_3_NOMINAL</v>
      </c>
      <c r="U61" t="s">
        <v>149</v>
      </c>
    </row>
  </sheetData>
  <autoFilter ref="A1:U58" xr:uid="{00000000-0001-0000-0A00-000000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276</v>
      </c>
      <c r="B1" t="s">
        <v>829</v>
      </c>
      <c r="C1" t="s">
        <v>277</v>
      </c>
      <c r="D1" s="6" t="s">
        <v>294</v>
      </c>
      <c r="E1" s="19" t="s">
        <v>278</v>
      </c>
      <c r="F1" s="6" t="s">
        <v>782</v>
      </c>
      <c r="G1" s="6" t="s">
        <v>783</v>
      </c>
      <c r="H1" s="6" t="s">
        <v>784</v>
      </c>
      <c r="I1" s="6" t="s">
        <v>785</v>
      </c>
      <c r="J1" s="6" t="s">
        <v>786</v>
      </c>
      <c r="K1" s="6" t="s">
        <v>787</v>
      </c>
      <c r="L1" s="6" t="s">
        <v>788</v>
      </c>
      <c r="M1" s="6" t="s">
        <v>789</v>
      </c>
      <c r="N1" s="6" t="s">
        <v>790</v>
      </c>
      <c r="O1" s="6" t="s">
        <v>791</v>
      </c>
      <c r="P1" t="s">
        <v>133</v>
      </c>
      <c r="Q1" s="6" t="s">
        <v>769</v>
      </c>
      <c r="R1" t="s">
        <v>693</v>
      </c>
      <c r="S1" s="6" t="s">
        <v>792</v>
      </c>
      <c r="T1" t="s">
        <v>828</v>
      </c>
      <c r="U1" t="s">
        <v>692</v>
      </c>
      <c r="V1" s="6" t="s">
        <v>763</v>
      </c>
      <c r="W1" t="s">
        <v>764</v>
      </c>
      <c r="X1" s="6" t="s">
        <v>793</v>
      </c>
      <c r="Y1" s="6" t="s">
        <v>794</v>
      </c>
    </row>
    <row r="2" spans="1:25" x14ac:dyDescent="0.3">
      <c r="A2">
        <v>1</v>
      </c>
      <c r="B2" t="b">
        <v>1</v>
      </c>
      <c r="C2" t="s">
        <v>842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669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187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669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188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669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669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669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842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669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187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669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669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669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669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669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669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669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669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669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669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669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669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669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669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669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669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669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669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669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669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669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669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669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669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669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669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133</v>
      </c>
      <c r="C1" s="22" t="s">
        <v>693</v>
      </c>
      <c r="D1" s="24" t="s">
        <v>694</v>
      </c>
      <c r="E1" s="22" t="s">
        <v>697</v>
      </c>
      <c r="F1" s="22" t="s">
        <v>698</v>
      </c>
      <c r="G1" s="24" t="s">
        <v>769</v>
      </c>
      <c r="H1" s="24" t="s">
        <v>278</v>
      </c>
      <c r="I1" s="24" t="s">
        <v>770</v>
      </c>
    </row>
    <row r="2" spans="1:9" x14ac:dyDescent="0.3">
      <c r="A2" t="s">
        <v>669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691</v>
      </c>
      <c r="B3" t="s">
        <v>118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765</v>
      </c>
      <c r="B1" s="6" t="s">
        <v>768</v>
      </c>
      <c r="C1" t="s">
        <v>130</v>
      </c>
      <c r="D1" s="6" t="s">
        <v>767</v>
      </c>
      <c r="E1" t="s">
        <v>668</v>
      </c>
      <c r="F1" t="s">
        <v>690</v>
      </c>
      <c r="G1" s="6" t="s">
        <v>819</v>
      </c>
      <c r="H1" s="6" t="s">
        <v>278</v>
      </c>
      <c r="I1" t="s">
        <v>766</v>
      </c>
      <c r="J1" s="6" t="s">
        <v>699</v>
      </c>
      <c r="K1" s="6" t="s">
        <v>695</v>
      </c>
      <c r="L1" s="6" t="s">
        <v>696</v>
      </c>
      <c r="M1" s="6" t="s">
        <v>803</v>
      </c>
      <c r="N1" s="6" t="s">
        <v>818</v>
      </c>
      <c r="O1" s="6" t="s">
        <v>804</v>
      </c>
      <c r="P1" s="6" t="s">
        <v>805</v>
      </c>
      <c r="Q1" s="6" t="s">
        <v>815</v>
      </c>
      <c r="R1" s="6" t="s">
        <v>816</v>
      </c>
      <c r="S1" s="6" t="s">
        <v>782</v>
      </c>
      <c r="T1" s="6" t="s">
        <v>825</v>
      </c>
      <c r="U1" s="6" t="s">
        <v>826</v>
      </c>
      <c r="V1" s="6" t="s">
        <v>827</v>
      </c>
      <c r="W1" t="s">
        <v>820</v>
      </c>
      <c r="X1" t="s">
        <v>821</v>
      </c>
    </row>
    <row r="2" spans="1:24" x14ac:dyDescent="0.3">
      <c r="A2" t="s">
        <v>669</v>
      </c>
      <c r="B2" s="6" t="str">
        <f>INDEX(_CaseData!$G:$G,MATCH($A2,_CaseData!$A:$A,0))</f>
        <v>case_type1</v>
      </c>
      <c r="C2" t="s">
        <v>512</v>
      </c>
      <c r="D2" s="6" t="str">
        <f>INDEX(CaseTypeCol!$H:$H,MATCH($C2,CaseTypeCol!$A:$A,0))</f>
        <v>1_1_0_1</v>
      </c>
      <c r="E2" t="s">
        <v>344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dim1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669</v>
      </c>
      <c r="B3" s="6" t="str">
        <f>INDEX(_CaseData!$G:$G,MATCH($A3,_CaseData!$A:$A,0))</f>
        <v>case_type1</v>
      </c>
      <c r="C3" t="s">
        <v>513</v>
      </c>
      <c r="D3" s="6" t="str">
        <f>INDEX(CaseTypeCol!$H:$H,MATCH($C3,CaseTypeCol!$A:$A,0))</f>
        <v>1_2_0_1</v>
      </c>
      <c r="E3" t="s">
        <v>670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dim2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669</v>
      </c>
      <c r="B4" s="6" t="str">
        <f>INDEX(_CaseData!$G:$G,MATCH($A4,_CaseData!$A:$A,0))</f>
        <v>case_type1</v>
      </c>
      <c r="C4" t="s">
        <v>514</v>
      </c>
      <c r="D4" s="6" t="str">
        <f>INDEX(CaseTypeCol!$H:$H,MATCH($C4,CaseTypeCol!$A:$A,0))</f>
        <v>1_3_0_1</v>
      </c>
      <c r="E4" t="s">
        <v>671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dim3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669</v>
      </c>
      <c r="B5" s="6" t="str">
        <f>INDEX(_CaseData!$G:$G,MATCH($A5,_CaseData!$A:$A,0))</f>
        <v>case_type1</v>
      </c>
      <c r="C5" t="s">
        <v>515</v>
      </c>
      <c r="D5" s="6" t="str">
        <f>INDEX(CaseTypeCol!$H:$H,MATCH($C5,CaseTypeCol!$A:$A,0))</f>
        <v>1_4_0_1</v>
      </c>
      <c r="E5" t="s">
        <v>817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dim4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669</v>
      </c>
      <c r="B6" s="6" t="str">
        <f>INDEX(_CaseData!$G:$G,MATCH($A6,_CaseData!$A:$A,0))</f>
        <v>case_type1</v>
      </c>
      <c r="C6" t="s">
        <v>516</v>
      </c>
      <c r="D6" s="6" t="str">
        <f>INDEX(CaseTypeCol!$H:$H,MATCH($C6,CaseTypeCol!$A:$A,0))</f>
        <v>1_5_0_1</v>
      </c>
      <c r="E6" t="s">
        <v>672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dim5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669</v>
      </c>
      <c r="B7" s="6" t="str">
        <f>INDEX(_CaseData!$G:$G,MATCH($A7,_CaseData!$A:$A,0))</f>
        <v>case_type1</v>
      </c>
      <c r="C7" t="s">
        <v>517</v>
      </c>
      <c r="D7" s="6" t="str">
        <f>INDEX(CaseTypeCol!$H:$H,MATCH($C7,CaseTypeCol!$A:$A,0))</f>
        <v>1_6_0_1</v>
      </c>
      <c r="E7" t="s">
        <v>673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dim6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669</v>
      </c>
      <c r="B8" s="6" t="str">
        <f>INDEX(_CaseData!$G:$G,MATCH($A8,_CaseData!$A:$A,0))</f>
        <v>case_type1</v>
      </c>
      <c r="C8" t="s">
        <v>518</v>
      </c>
      <c r="D8" s="6" t="str">
        <f>INDEX(CaseTypeCol!$H:$H,MATCH($C8,CaseTypeCol!$A:$A,0))</f>
        <v>1_7_0_1</v>
      </c>
      <c r="E8" t="s">
        <v>674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dim7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669</v>
      </c>
      <c r="B9" s="6" t="str">
        <f>INDEX(_CaseData!$G:$G,MATCH($A9,_CaseData!$A:$A,0))</f>
        <v>case_type1</v>
      </c>
      <c r="C9" t="s">
        <v>519</v>
      </c>
      <c r="D9" s="6" t="str">
        <f>INDEX(CaseTypeCol!$H:$H,MATCH($C9,CaseTypeCol!$A:$A,0))</f>
        <v>1_8_0_1</v>
      </c>
      <c r="E9" t="s">
        <v>308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dim8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669</v>
      </c>
      <c r="B10" s="6" t="str">
        <f>INDEX(_CaseData!$G:$G,MATCH($A10,_CaseData!$A:$A,0))</f>
        <v>case_type1</v>
      </c>
      <c r="C10" t="s">
        <v>520</v>
      </c>
      <c r="D10" s="6" t="str">
        <f>INDEX(CaseTypeCol!$H:$H,MATCH($C10,CaseTypeCol!$A:$A,0))</f>
        <v>1_9_0_1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dim9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669</v>
      </c>
      <c r="B11" s="6" t="str">
        <f>INDEX(_CaseData!$G:$G,MATCH($A11,_CaseData!$A:$A,0))</f>
        <v>case_type1</v>
      </c>
      <c r="C11" t="s">
        <v>521</v>
      </c>
      <c r="D11" s="6" t="str">
        <f>INDEX(CaseTypeCol!$H:$H,MATCH($C11,CaseTypeCol!$A:$A,0))</f>
        <v>1_10_0_1</v>
      </c>
      <c r="E11" t="s">
        <v>204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dim10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669</v>
      </c>
      <c r="B12" s="6" t="str">
        <f>INDEX(_CaseData!$G:$G,MATCH($A12,_CaseData!$A:$A,0))</f>
        <v>case_type1</v>
      </c>
      <c r="C12" t="s">
        <v>522</v>
      </c>
      <c r="D12" s="6" t="str">
        <f>INDEX(CaseTypeCol!$H:$H,MATCH($C12,CaseTypeCol!$A:$A,0))</f>
        <v>1_11_0_1</v>
      </c>
      <c r="E12" s="11" t="s">
        <v>387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dim11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669</v>
      </c>
      <c r="B13" s="6" t="str">
        <f>INDEX(_CaseData!$G:$G,MATCH($A13,_CaseData!$A:$A,0))</f>
        <v>case_type1</v>
      </c>
      <c r="C13" t="s">
        <v>523</v>
      </c>
      <c r="D13" s="6" t="str">
        <f>INDEX(CaseTypeCol!$H:$H,MATCH($C13,CaseTypeCol!$A:$A,0))</f>
        <v>1_11_0_2</v>
      </c>
      <c r="E13" s="11" t="s">
        <v>393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dim11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669</v>
      </c>
      <c r="B14" s="6" t="str">
        <f>INDEX(_CaseData!$G:$G,MATCH($A14,_CaseData!$A:$A,0))</f>
        <v>case_type1</v>
      </c>
      <c r="C14" t="s">
        <v>524</v>
      </c>
      <c r="D14" s="6" t="str">
        <f>INDEX(CaseTypeCol!$H:$H,MATCH($C14,CaseTypeCol!$A:$A,0))</f>
        <v>1_11_0_3</v>
      </c>
      <c r="E14" t="s">
        <v>720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dim11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669</v>
      </c>
      <c r="B15" s="6" t="str">
        <f>INDEX(_CaseData!$G:$G,MATCH($A15,_CaseData!$A:$A,0))</f>
        <v>case_type1</v>
      </c>
      <c r="C15" t="s">
        <v>525</v>
      </c>
      <c r="D15" s="6" t="str">
        <f>INDEX(CaseTypeCol!$H:$H,MATCH($C15,CaseTypeCol!$A:$A,0))</f>
        <v>1_11_0_4</v>
      </c>
      <c r="E15" t="s">
        <v>723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dim11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669</v>
      </c>
      <c r="B16" s="6" t="str">
        <f>INDEX(_CaseData!$G:$G,MATCH($A16,_CaseData!$A:$A,0))</f>
        <v>case_type1</v>
      </c>
      <c r="C16" t="s">
        <v>526</v>
      </c>
      <c r="D16" s="6" t="str">
        <f>INDEX(CaseTypeCol!$H:$H,MATCH($C16,CaseTypeCol!$A:$A,0))</f>
        <v>1_12_0_1</v>
      </c>
      <c r="E16" s="11" t="s">
        <v>389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dim12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669</v>
      </c>
      <c r="B17" s="6" t="str">
        <f>INDEX(_CaseData!$G:$G,MATCH($A17,_CaseData!$A:$A,0))</f>
        <v>case_type1</v>
      </c>
      <c r="C17" t="s">
        <v>527</v>
      </c>
      <c r="D17" s="6" t="str">
        <f>INDEX(CaseTypeCol!$H:$H,MATCH($C17,CaseTypeCol!$A:$A,0))</f>
        <v>1_12_0_2</v>
      </c>
      <c r="E17" s="11" t="s">
        <v>394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dim12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669</v>
      </c>
      <c r="B18" s="6" t="str">
        <f>INDEX(_CaseData!$G:$G,MATCH($A18,_CaseData!$A:$A,0))</f>
        <v>case_type1</v>
      </c>
      <c r="C18" t="s">
        <v>528</v>
      </c>
      <c r="D18" s="6" t="str">
        <f>INDEX(CaseTypeCol!$H:$H,MATCH($C18,CaseTypeCol!$A:$A,0))</f>
        <v>1_12_0_3</v>
      </c>
      <c r="E18" t="s">
        <v>721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dim12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669</v>
      </c>
      <c r="B19" s="6" t="str">
        <f>INDEX(_CaseData!$G:$G,MATCH($A19,_CaseData!$A:$A,0))</f>
        <v>case_type1</v>
      </c>
      <c r="C19" t="s">
        <v>529</v>
      </c>
      <c r="D19" s="6" t="str">
        <f>INDEX(CaseTypeCol!$H:$H,MATCH($C19,CaseTypeCol!$A:$A,0))</f>
        <v>1_12_0_4</v>
      </c>
      <c r="E19" t="s">
        <v>723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dim12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669</v>
      </c>
      <c r="B20" s="6" t="str">
        <f>INDEX(_CaseData!$G:$G,MATCH($A20,_CaseData!$A:$A,0))</f>
        <v>case_type1</v>
      </c>
      <c r="C20" t="s">
        <v>530</v>
      </c>
      <c r="D20" s="6" t="str">
        <f>INDEX(CaseTypeCol!$H:$H,MATCH($C20,CaseTypeCol!$A:$A,0))</f>
        <v>1_13_0_1</v>
      </c>
      <c r="E20" s="11" t="s">
        <v>675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dim13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669</v>
      </c>
      <c r="B21" s="6" t="str">
        <f>INDEX(_CaseData!$G:$G,MATCH($A21,_CaseData!$A:$A,0))</f>
        <v>case_type1</v>
      </c>
      <c r="C21" t="s">
        <v>531</v>
      </c>
      <c r="D21" s="6" t="str">
        <f>INDEX(CaseTypeCol!$H:$H,MATCH($C21,CaseTypeCol!$A:$A,0))</f>
        <v>1_13_0_2</v>
      </c>
      <c r="E21" s="11" t="s">
        <v>677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dim13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669</v>
      </c>
      <c r="B22" s="6" t="str">
        <f>INDEX(_CaseData!$G:$G,MATCH($A22,_CaseData!$A:$A,0))</f>
        <v>case_type1</v>
      </c>
      <c r="C22" t="s">
        <v>532</v>
      </c>
      <c r="D22" s="6" t="str">
        <f>INDEX(CaseTypeCol!$H:$H,MATCH($C22,CaseTypeCol!$A:$A,0))</f>
        <v>1_13_0_3</v>
      </c>
      <c r="E22" s="23" t="s">
        <v>676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dim13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669</v>
      </c>
      <c r="B23" s="6" t="str">
        <f>INDEX(_CaseData!$G:$G,MATCH($A23,_CaseData!$A:$A,0))</f>
        <v>case_type1</v>
      </c>
      <c r="C23" t="s">
        <v>533</v>
      </c>
      <c r="D23" s="6" t="str">
        <f>INDEX(CaseTypeCol!$H:$H,MATCH($C23,CaseTypeCol!$A:$A,0))</f>
        <v>1_13_0_4</v>
      </c>
      <c r="E23" s="11" t="s">
        <v>678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dim13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669</v>
      </c>
      <c r="B24" s="6" t="str">
        <f>INDEX(_CaseData!$G:$G,MATCH($A24,_CaseData!$A:$A,0))</f>
        <v>case_type1</v>
      </c>
      <c r="C24" t="s">
        <v>534</v>
      </c>
      <c r="D24" s="6" t="str">
        <f>INDEX(CaseTypeCol!$H:$H,MATCH($C24,CaseTypeCol!$A:$A,0))</f>
        <v>1_13_0_5</v>
      </c>
      <c r="E24" s="11" t="s">
        <v>679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dim13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669</v>
      </c>
      <c r="B25" s="6" t="str">
        <f>INDEX(_CaseData!$G:$G,MATCH($A25,_CaseData!$A:$A,0))</f>
        <v>case_type1</v>
      </c>
      <c r="C25" t="s">
        <v>535</v>
      </c>
      <c r="D25" s="6" t="str">
        <f>INDEX(CaseTypeCol!$H:$H,MATCH($C25,CaseTypeCol!$A:$A,0))</f>
        <v>1_14_0_1</v>
      </c>
      <c r="E25" s="11" t="s">
        <v>680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dim14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669</v>
      </c>
      <c r="B26" s="6" t="str">
        <f>INDEX(_CaseData!$G:$G,MATCH($A26,_CaseData!$A:$A,0))</f>
        <v>case_type1</v>
      </c>
      <c r="C26" t="s">
        <v>536</v>
      </c>
      <c r="D26" s="6" t="str">
        <f>INDEX(CaseTypeCol!$H:$H,MATCH($C26,CaseTypeCol!$A:$A,0))</f>
        <v>1_14_0_2</v>
      </c>
      <c r="E26" s="11" t="s">
        <v>681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dim14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669</v>
      </c>
      <c r="B27" s="6" t="str">
        <f>INDEX(_CaseData!$G:$G,MATCH($A27,_CaseData!$A:$A,0))</f>
        <v>case_type1</v>
      </c>
      <c r="C27" t="s">
        <v>537</v>
      </c>
      <c r="D27" s="6" t="str">
        <f>INDEX(CaseTypeCol!$H:$H,MATCH($C27,CaseTypeCol!$A:$A,0))</f>
        <v>1_14_0_3</v>
      </c>
      <c r="E27" s="11" t="s">
        <v>682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dim14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669</v>
      </c>
      <c r="B28" s="6" t="str">
        <f>INDEX(_CaseData!$G:$G,MATCH($A28,_CaseData!$A:$A,0))</f>
        <v>case_type1</v>
      </c>
      <c r="C28" t="s">
        <v>538</v>
      </c>
      <c r="D28" s="6" t="str">
        <f>INDEX(CaseTypeCol!$H:$H,MATCH($C28,CaseTypeCol!$A:$A,0))</f>
        <v>1_14_0_4</v>
      </c>
      <c r="E28" s="11" t="s">
        <v>683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dim14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669</v>
      </c>
      <c r="B29" s="6" t="str">
        <f>INDEX(_CaseData!$G:$G,MATCH($A29,_CaseData!$A:$A,0))</f>
        <v>case_type1</v>
      </c>
      <c r="C29" t="s">
        <v>539</v>
      </c>
      <c r="D29" s="6" t="str">
        <f>INDEX(CaseTypeCol!$H:$H,MATCH($C29,CaseTypeCol!$A:$A,0))</f>
        <v>1_14_0_5</v>
      </c>
      <c r="E29" s="11" t="s">
        <v>684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dim14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669</v>
      </c>
      <c r="B30" s="6" t="str">
        <f>INDEX(_CaseData!$G:$G,MATCH($A30,_CaseData!$A:$A,0))</f>
        <v>case_type1</v>
      </c>
      <c r="C30" t="s">
        <v>540</v>
      </c>
      <c r="D30" s="6" t="str">
        <f>INDEX(CaseTypeCol!$H:$H,MATCH($C30,CaseTypeCol!$A:$A,0))</f>
        <v>1_15_0_1</v>
      </c>
      <c r="E30" t="s">
        <v>685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ID_PERSON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dim15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669</v>
      </c>
      <c r="B31" s="6" t="str">
        <f>INDEX(_CaseData!$G:$G,MATCH($A31,_CaseData!$A:$A,0))</f>
        <v>case_type1</v>
      </c>
      <c r="C31" t="s">
        <v>541</v>
      </c>
      <c r="D31" s="6" t="str">
        <f>INDEX(CaseTypeCol!$H:$H,MATCH($C31,CaseTypeCol!$A:$A,0))</f>
        <v>1_16_0_1</v>
      </c>
      <c r="E31" t="s">
        <v>686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ID_CASE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dim16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669</v>
      </c>
      <c r="B32" s="6" t="str">
        <f>INDEX(_CaseData!$G:$G,MATCH($A32,_CaseData!$A:$A,0))</f>
        <v>case_type1</v>
      </c>
      <c r="C32" t="s">
        <v>542</v>
      </c>
      <c r="D32" s="6" t="str">
        <f>INDEX(CaseTypeCol!$H:$H,MATCH($C32,CaseTypeCol!$A:$A,0))</f>
        <v>1_17_0_1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dim17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669</v>
      </c>
      <c r="B33" s="6" t="str">
        <f>INDEX(_CaseData!$G:$G,MATCH($A33,_CaseData!$A:$A,0))</f>
        <v>case_type1</v>
      </c>
      <c r="C33" t="s">
        <v>543</v>
      </c>
      <c r="D33" s="6" t="str">
        <f>INDEX(CaseTypeCol!$H:$H,MATCH($C33,CaseTypeCol!$A:$A,0))</f>
        <v>1_17_0_2</v>
      </c>
      <c r="E33" s="11" t="s">
        <v>822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dim17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669</v>
      </c>
      <c r="B34" s="6" t="str">
        <f>INDEX(_CaseData!$G:$G,MATCH($A34,_CaseData!$A:$A,0))</f>
        <v>case_type1</v>
      </c>
      <c r="C34" t="s">
        <v>544</v>
      </c>
      <c r="D34" s="6" t="str">
        <f>INDEX(CaseTypeCol!$H:$H,MATCH($C34,CaseTypeCol!$A:$A,0))</f>
        <v>1_17_0_3</v>
      </c>
      <c r="E34" s="11" t="s">
        <v>823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dim17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669</v>
      </c>
      <c r="B35" s="6" t="str">
        <f>INDEX(_CaseData!$G:$G,MATCH($A35,_CaseData!$A:$A,0))</f>
        <v>case_type1</v>
      </c>
      <c r="C35" t="s">
        <v>545</v>
      </c>
      <c r="D35" s="6" t="str">
        <f>INDEX(CaseTypeCol!$H:$H,MATCH($C35,CaseTypeCol!$A:$A,0))</f>
        <v>1_18_0_1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dim18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669</v>
      </c>
      <c r="B36" s="6" t="str">
        <f>INDEX(_CaseData!$G:$G,MATCH($A36,_CaseData!$A:$A,0))</f>
        <v>case_type1</v>
      </c>
      <c r="C36" t="s">
        <v>546</v>
      </c>
      <c r="D36" s="6" t="str">
        <f>INDEX(CaseTypeCol!$H:$H,MATCH($C36,CaseTypeCol!$A:$A,0))</f>
        <v>1_18_0_2</v>
      </c>
      <c r="E36" s="11" t="s">
        <v>824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dim18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669</v>
      </c>
      <c r="B37" s="6" t="str">
        <f>INDEX(_CaseData!$G:$G,MATCH($A37,_CaseData!$A:$A,0))</f>
        <v>case_type1</v>
      </c>
      <c r="C37" t="s">
        <v>547</v>
      </c>
      <c r="D37" s="6" t="str">
        <f>INDEX(CaseTypeCol!$H:$H,MATCH($C37,CaseTypeCol!$A:$A,0))</f>
        <v>1_18_0_3</v>
      </c>
      <c r="E37" s="11" t="s">
        <v>687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dim18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669</v>
      </c>
      <c r="B38" s="6" t="str">
        <f>INDEX(_CaseData!$G:$G,MATCH($A38,_CaseData!$A:$A,0))</f>
        <v>case_type1</v>
      </c>
      <c r="C38" t="s">
        <v>548</v>
      </c>
      <c r="D38" s="6" t="str">
        <f>INDEX(CaseTypeCol!$H:$H,MATCH($C38,CaseTypeCol!$A:$A,0))</f>
        <v>1_19_0_1</v>
      </c>
      <c r="E38" t="s">
        <v>688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dim19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669</v>
      </c>
      <c r="B39" s="6" t="str">
        <f>INDEX(_CaseData!$G:$G,MATCH($A39,_CaseData!$A:$A,0))</f>
        <v>case_type1</v>
      </c>
      <c r="C39" t="s">
        <v>549</v>
      </c>
      <c r="D39" s="6" t="str">
        <f>INDEX(CaseTypeCol!$H:$H,MATCH($C39,CaseTypeCol!$A:$A,0))</f>
        <v>1_20_0_1</v>
      </c>
      <c r="E39" t="s">
        <v>689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dim20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691</v>
      </c>
      <c r="B40" s="6" t="str">
        <f>INDEX(_CaseData!$G:$G,MATCH($A40,_CaseData!$A:$A,0))</f>
        <v>case_type2</v>
      </c>
      <c r="C40" t="s">
        <v>550</v>
      </c>
      <c r="D40" s="6" t="str">
        <f>INDEX(CaseTypeCol!$H:$H,MATCH($C40,CaseTypeCol!$A:$A,0))</f>
        <v>2_1_0_1</v>
      </c>
      <c r="E40" t="s">
        <v>344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dim1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691</v>
      </c>
      <c r="B41" s="6" t="str">
        <f>INDEX(_CaseData!$G:$G,MATCH($A41,_CaseData!$A:$A,0))</f>
        <v>case_type2</v>
      </c>
      <c r="C41" t="s">
        <v>551</v>
      </c>
      <c r="D41" s="6" t="str">
        <f>INDEX(CaseTypeCol!$H:$H,MATCH($C41,CaseTypeCol!$A:$A,0))</f>
        <v>2_3_0_1</v>
      </c>
      <c r="E41" t="s">
        <v>671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dim3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691</v>
      </c>
      <c r="B42" s="6" t="str">
        <f>INDEX(_CaseData!$G:$G,MATCH($A42,_CaseData!$A:$A,0))</f>
        <v>case_type2</v>
      </c>
      <c r="C42" t="s">
        <v>552</v>
      </c>
      <c r="D42" s="6" t="str">
        <f>INDEX(CaseTypeCol!$H:$H,MATCH($C42,CaseTypeCol!$A:$A,0))</f>
        <v>2_5_0_1</v>
      </c>
      <c r="E42" t="s">
        <v>672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dim5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691</v>
      </c>
      <c r="B43" s="6" t="str">
        <f>INDEX(_CaseData!$G:$G,MATCH($A43,_CaseData!$A:$A,0))</f>
        <v>case_type2</v>
      </c>
      <c r="C43" t="s">
        <v>553</v>
      </c>
      <c r="D43" s="6" t="str">
        <f>INDEX(CaseTypeCol!$H:$H,MATCH($C43,CaseTypeCol!$A:$A,0))</f>
        <v>2_7_0_1</v>
      </c>
      <c r="E43" t="s">
        <v>674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dim7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691</v>
      </c>
      <c r="B44" s="6" t="str">
        <f>INDEX(_CaseData!$G:$G,MATCH($A44,_CaseData!$A:$A,0))</f>
        <v>case_type2</v>
      </c>
      <c r="C44" t="s">
        <v>554</v>
      </c>
      <c r="D44" s="6" t="str">
        <f>INDEX(CaseTypeCol!$H:$H,MATCH($C44,CaseTypeCol!$A:$A,0))</f>
        <v>2_9_0_1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dim9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691</v>
      </c>
      <c r="B45" s="6" t="str">
        <f>INDEX(_CaseData!$G:$G,MATCH($A45,_CaseData!$A:$A,0))</f>
        <v>case_type2</v>
      </c>
      <c r="C45" t="s">
        <v>555</v>
      </c>
      <c r="D45" s="6" t="str">
        <f>INDEX(CaseTypeCol!$H:$H,MATCH($C45,CaseTypeCol!$A:$A,0))</f>
        <v>2_11_0_1</v>
      </c>
      <c r="E45" s="11" t="s">
        <v>387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dim11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691</v>
      </c>
      <c r="B46" s="6" t="str">
        <f>INDEX(_CaseData!$G:$G,MATCH($A46,_CaseData!$A:$A,0))</f>
        <v>case_type2</v>
      </c>
      <c r="C46" t="s">
        <v>556</v>
      </c>
      <c r="D46" s="6" t="str">
        <f>INDEX(CaseTypeCol!$H:$H,MATCH($C46,CaseTypeCol!$A:$A,0))</f>
        <v>2_11_0_2</v>
      </c>
      <c r="E46" s="11" t="s">
        <v>393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dim11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691</v>
      </c>
      <c r="B47" s="6" t="str">
        <f>INDEX(_CaseData!$G:$G,MATCH($A47,_CaseData!$A:$A,0))</f>
        <v>case_type2</v>
      </c>
      <c r="C47" t="s">
        <v>557</v>
      </c>
      <c r="D47" s="6" t="str">
        <f>INDEX(CaseTypeCol!$H:$H,MATCH($C47,CaseTypeCol!$A:$A,0))</f>
        <v>2_11_0_3</v>
      </c>
      <c r="E47" t="s">
        <v>720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dim11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691</v>
      </c>
      <c r="B48" s="6" t="str">
        <f>INDEX(_CaseData!$G:$G,MATCH($A48,_CaseData!$A:$A,0))</f>
        <v>case_type2</v>
      </c>
      <c r="C48" t="s">
        <v>558</v>
      </c>
      <c r="D48" s="6" t="str">
        <f>INDEX(CaseTypeCol!$H:$H,MATCH($C48,CaseTypeCol!$A:$A,0))</f>
        <v>2_11_0_4</v>
      </c>
      <c r="E48" t="s">
        <v>723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dim11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691</v>
      </c>
      <c r="B49" s="6" t="str">
        <f>INDEX(_CaseData!$G:$G,MATCH($A49,_CaseData!$A:$A,0))</f>
        <v>case_type2</v>
      </c>
      <c r="C49" t="s">
        <v>559</v>
      </c>
      <c r="D49" s="6" t="str">
        <f>INDEX(CaseTypeCol!$H:$H,MATCH($C49,CaseTypeCol!$A:$A,0))</f>
        <v>2_13_0_1</v>
      </c>
      <c r="E49" s="11" t="s">
        <v>675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dim13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691</v>
      </c>
      <c r="B50" s="6" t="str">
        <f>INDEX(_CaseData!$G:$G,MATCH($A50,_CaseData!$A:$A,0))</f>
        <v>case_type2</v>
      </c>
      <c r="C50" t="s">
        <v>560</v>
      </c>
      <c r="D50" s="6" t="str">
        <f>INDEX(CaseTypeCol!$H:$H,MATCH($C50,CaseTypeCol!$A:$A,0))</f>
        <v>2_13_0_2</v>
      </c>
      <c r="E50" s="11" t="s">
        <v>677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dim13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691</v>
      </c>
      <c r="B51" s="6" t="str">
        <f>INDEX(_CaseData!$G:$G,MATCH($A51,_CaseData!$A:$A,0))</f>
        <v>case_type2</v>
      </c>
      <c r="C51" t="s">
        <v>561</v>
      </c>
      <c r="D51" s="6" t="str">
        <f>INDEX(CaseTypeCol!$H:$H,MATCH($C51,CaseTypeCol!$A:$A,0))</f>
        <v>2_13_0_3</v>
      </c>
      <c r="E51" s="23" t="s">
        <v>676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dim13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691</v>
      </c>
      <c r="B52" s="6" t="str">
        <f>INDEX(_CaseData!$G:$G,MATCH($A52,_CaseData!$A:$A,0))</f>
        <v>case_type2</v>
      </c>
      <c r="C52" t="s">
        <v>562</v>
      </c>
      <c r="D52" s="6" t="str">
        <f>INDEX(CaseTypeCol!$H:$H,MATCH($C52,CaseTypeCol!$A:$A,0))</f>
        <v>2_13_0_4</v>
      </c>
      <c r="E52" s="11" t="s">
        <v>678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dim13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691</v>
      </c>
      <c r="B53" s="6" t="str">
        <f>INDEX(_CaseData!$G:$G,MATCH($A53,_CaseData!$A:$A,0))</f>
        <v>case_type2</v>
      </c>
      <c r="C53" t="s">
        <v>563</v>
      </c>
      <c r="D53" s="6" t="str">
        <f>INDEX(CaseTypeCol!$H:$H,MATCH($C53,CaseTypeCol!$A:$A,0))</f>
        <v>2_13_0_5</v>
      </c>
      <c r="E53" s="11" t="s">
        <v>679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dim13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691</v>
      </c>
      <c r="B54" s="6" t="str">
        <f>INDEX(_CaseData!$G:$G,MATCH($A54,_CaseData!$A:$A,0))</f>
        <v>case_type2</v>
      </c>
      <c r="C54" t="s">
        <v>564</v>
      </c>
      <c r="D54" s="6" t="str">
        <f>INDEX(CaseTypeCol!$H:$H,MATCH($C54,CaseTypeCol!$A:$A,0))</f>
        <v>2_15_0_1</v>
      </c>
      <c r="E54" t="s">
        <v>685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ID_PERSON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dim15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691</v>
      </c>
      <c r="B55" s="6" t="str">
        <f>INDEX(_CaseData!$G:$G,MATCH($A55,_CaseData!$A:$A,0))</f>
        <v>case_type2</v>
      </c>
      <c r="C55" t="s">
        <v>565</v>
      </c>
      <c r="D55" s="6" t="str">
        <f>INDEX(CaseTypeCol!$H:$H,MATCH($C55,CaseTypeCol!$A:$A,0))</f>
        <v>2_17_0_1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dim17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691</v>
      </c>
      <c r="B56" s="6" t="str">
        <f>INDEX(_CaseData!$G:$G,MATCH($A56,_CaseData!$A:$A,0))</f>
        <v>case_type2</v>
      </c>
      <c r="C56" t="s">
        <v>566</v>
      </c>
      <c r="D56" s="6" t="str">
        <f>INDEX(CaseTypeCol!$H:$H,MATCH($C56,CaseTypeCol!$A:$A,0))</f>
        <v>2_17_0_2</v>
      </c>
      <c r="E56" s="11" t="s">
        <v>822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dim17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691</v>
      </c>
      <c r="B57" s="6" t="str">
        <f>INDEX(_CaseData!$G:$G,MATCH($A57,_CaseData!$A:$A,0))</f>
        <v>case_type2</v>
      </c>
      <c r="C57" t="s">
        <v>567</v>
      </c>
      <c r="D57" s="6" t="str">
        <f>INDEX(CaseTypeCol!$H:$H,MATCH($C57,CaseTypeCol!$A:$A,0))</f>
        <v>2_17_0_3</v>
      </c>
      <c r="E57" s="11" t="s">
        <v>823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dim17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691</v>
      </c>
      <c r="B58" s="6" t="str">
        <f>INDEX(_CaseData!$G:$G,MATCH($A58,_CaseData!$A:$A,0))</f>
        <v>case_type2</v>
      </c>
      <c r="C58" t="s">
        <v>568</v>
      </c>
      <c r="D58" s="6" t="str">
        <f>INDEX(CaseTypeCol!$H:$H,MATCH($C58,CaseTypeCol!$A:$A,0))</f>
        <v>2_19_0_1</v>
      </c>
      <c r="E58" t="s">
        <v>688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dim19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569</v>
      </c>
      <c r="C2" t="s">
        <v>572</v>
      </c>
    </row>
    <row r="3" spans="1:3" x14ac:dyDescent="0.3">
      <c r="A3" t="s">
        <v>132</v>
      </c>
      <c r="B3" t="s">
        <v>570</v>
      </c>
      <c r="C3" t="s">
        <v>571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795</v>
      </c>
      <c r="D1" s="1" t="s">
        <v>61</v>
      </c>
      <c r="E1" s="1" t="s">
        <v>130</v>
      </c>
      <c r="F1" s="10" t="s">
        <v>767</v>
      </c>
      <c r="G1" s="1" t="s">
        <v>131</v>
      </c>
      <c r="H1" s="16" t="s">
        <v>279</v>
      </c>
    </row>
    <row r="2" spans="1:8" x14ac:dyDescent="0.3">
      <c r="A2" t="s">
        <v>573</v>
      </c>
      <c r="B2" t="s">
        <v>64</v>
      </c>
      <c r="C2" s="6" t="str">
        <f>INDEX(CaseTypeColSet!$B:$B,MATCH($B2,CaseTypeColSet!$A:$A,0))</f>
        <v>case_type_col_set1_1</v>
      </c>
      <c r="E2" t="s">
        <v>512</v>
      </c>
      <c r="F2" s="6" t="str">
        <f>INDEX(CaseTypeCol!$H:$H,MATCH($E2,CaseTypeCol!$A:$A,0))</f>
        <v>1_1_0_1</v>
      </c>
      <c r="H2" s="6" t="str">
        <f>$B2&amp;"|"&amp;$E2</f>
        <v>0195d18c-1cc1-44c2-1d6e-874dad333458|0198ef6d-8543-a221-af7e-774497e4801a</v>
      </c>
    </row>
    <row r="3" spans="1:8" x14ac:dyDescent="0.3">
      <c r="A3" t="s">
        <v>574</v>
      </c>
      <c r="B3" t="s">
        <v>64</v>
      </c>
      <c r="C3" s="6" t="str">
        <f>INDEX(CaseTypeColSet!$B:$B,MATCH($B3,CaseTypeColSet!$A:$A,0))</f>
        <v>case_type_col_set1_1</v>
      </c>
      <c r="E3" t="s">
        <v>514</v>
      </c>
      <c r="F3" s="6" t="str">
        <f>INDEX(CaseTypeCol!$H:$H,MATCH($E3,CaseTypeCol!$A:$A,0))</f>
        <v>1_3_0_1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575</v>
      </c>
      <c r="B4" t="s">
        <v>64</v>
      </c>
      <c r="C4" s="6" t="str">
        <f>INDEX(CaseTypeColSet!$B:$B,MATCH($B4,CaseTypeColSet!$A:$A,0))</f>
        <v>case_type_col_set1_1</v>
      </c>
      <c r="E4" t="s">
        <v>516</v>
      </c>
      <c r="F4" s="6" t="str">
        <f>INDEX(CaseTypeCol!$H:$H,MATCH($E4,CaseTypeCol!$A:$A,0))</f>
        <v>1_5_0_1</v>
      </c>
      <c r="H4" s="6" t="str">
        <f t="shared" si="0"/>
        <v>0195d18c-1cc1-44c2-1d6e-874dad333458|0198ef6d-8543-1062-3f54-74f967fd95da</v>
      </c>
    </row>
    <row r="5" spans="1:8" x14ac:dyDescent="0.3">
      <c r="A5" t="s">
        <v>576</v>
      </c>
      <c r="B5" t="s">
        <v>64</v>
      </c>
      <c r="C5" s="6" t="str">
        <f>INDEX(CaseTypeColSet!$B:$B,MATCH($B5,CaseTypeColSet!$A:$A,0))</f>
        <v>case_type_col_set1_1</v>
      </c>
      <c r="E5" t="s">
        <v>518</v>
      </c>
      <c r="F5" s="6" t="str">
        <f>INDEX(CaseTypeCol!$H:$H,MATCH($E5,CaseTypeCol!$A:$A,0))</f>
        <v>1_7_0_1</v>
      </c>
      <c r="H5" s="6" t="str">
        <f t="shared" si="0"/>
        <v>0195d18c-1cc1-44c2-1d6e-874dad333458|0198ef6d-8543-f372-ce25-38616e4c214d</v>
      </c>
    </row>
    <row r="6" spans="1:8" x14ac:dyDescent="0.3">
      <c r="A6" t="s">
        <v>577</v>
      </c>
      <c r="B6" t="s">
        <v>64</v>
      </c>
      <c r="C6" s="6" t="str">
        <f>INDEX(CaseTypeColSet!$B:$B,MATCH($B6,CaseTypeColSet!$A:$A,0))</f>
        <v>case_type_col_set1_1</v>
      </c>
      <c r="E6" t="s">
        <v>520</v>
      </c>
      <c r="F6" s="6" t="str">
        <f>INDEX(CaseTypeCol!$H:$H,MATCH($E6,CaseTypeCol!$A:$A,0))</f>
        <v>1_9_0_1</v>
      </c>
      <c r="H6" s="6" t="str">
        <f t="shared" si="0"/>
        <v>0195d18c-1cc1-44c2-1d6e-874dad333458|0198ef6d-8543-b8fc-9de5-72be815082e0</v>
      </c>
    </row>
    <row r="7" spans="1:8" x14ac:dyDescent="0.3">
      <c r="A7" t="s">
        <v>578</v>
      </c>
      <c r="B7" t="s">
        <v>64</v>
      </c>
      <c r="C7" s="6" t="str">
        <f>INDEX(CaseTypeColSet!$B:$B,MATCH($B7,CaseTypeColSet!$A:$A,0))</f>
        <v>case_type_col_set1_1</v>
      </c>
      <c r="E7" t="s">
        <v>522</v>
      </c>
      <c r="F7" s="6" t="str">
        <f>INDEX(CaseTypeCol!$H:$H,MATCH($E7,CaseTypeCol!$A:$A,0))</f>
        <v>1_11_0_1</v>
      </c>
      <c r="H7" s="6" t="str">
        <f t="shared" si="0"/>
        <v>0195d18c-1cc1-44c2-1d6e-874dad333458|0198ef6d-8543-371a-179d-9c036f8c66f2</v>
      </c>
    </row>
    <row r="8" spans="1:8" x14ac:dyDescent="0.3">
      <c r="A8" t="s">
        <v>579</v>
      </c>
      <c r="B8" t="s">
        <v>64</v>
      </c>
      <c r="C8" s="6" t="str">
        <f>INDEX(CaseTypeColSet!$B:$B,MATCH($B8,CaseTypeColSet!$A:$A,0))</f>
        <v>case_type_col_set1_1</v>
      </c>
      <c r="E8" t="s">
        <v>523</v>
      </c>
      <c r="F8" s="6" t="str">
        <f>INDEX(CaseTypeCol!$H:$H,MATCH($E8,CaseTypeCol!$A:$A,0))</f>
        <v>1_11_0_2</v>
      </c>
      <c r="H8" s="6" t="str">
        <f t="shared" si="0"/>
        <v>0195d18c-1cc1-44c2-1d6e-874dad333458|0198ef6d-8543-7325-a3c3-0be3c6d6193b</v>
      </c>
    </row>
    <row r="9" spans="1:8" x14ac:dyDescent="0.3">
      <c r="A9" t="s">
        <v>580</v>
      </c>
      <c r="B9" t="s">
        <v>64</v>
      </c>
      <c r="C9" s="6" t="str">
        <f>INDEX(CaseTypeColSet!$B:$B,MATCH($B9,CaseTypeColSet!$A:$A,0))</f>
        <v>case_type_col_set1_1</v>
      </c>
      <c r="E9" t="s">
        <v>524</v>
      </c>
      <c r="F9" s="6" t="str">
        <f>INDEX(CaseTypeCol!$H:$H,MATCH($E9,CaseTypeCol!$A:$A,0))</f>
        <v>1_11_0_3</v>
      </c>
      <c r="H9" s="6" t="str">
        <f t="shared" si="0"/>
        <v>0195d18c-1cc1-44c2-1d6e-874dad333458|0198ef6d-8543-61b3-63f1-bc4f52741be3</v>
      </c>
    </row>
    <row r="10" spans="1:8" x14ac:dyDescent="0.3">
      <c r="A10" t="s">
        <v>581</v>
      </c>
      <c r="B10" t="s">
        <v>64</v>
      </c>
      <c r="C10" s="6" t="str">
        <f>INDEX(CaseTypeColSet!$B:$B,MATCH($B10,CaseTypeColSet!$A:$A,0))</f>
        <v>case_type_col_set1_1</v>
      </c>
      <c r="E10" t="s">
        <v>525</v>
      </c>
      <c r="F10" s="6" t="str">
        <f>INDEX(CaseTypeCol!$H:$H,MATCH($E10,CaseTypeCol!$A:$A,0))</f>
        <v>1_11_0_4</v>
      </c>
      <c r="H10" s="6" t="str">
        <f t="shared" si="0"/>
        <v>0195d18c-1cc1-44c2-1d6e-874dad333458|0198ef6d-8543-f6da-4821-571b2b52bd5b</v>
      </c>
    </row>
    <row r="11" spans="1:8" x14ac:dyDescent="0.3">
      <c r="A11" t="s">
        <v>582</v>
      </c>
      <c r="B11" t="s">
        <v>64</v>
      </c>
      <c r="C11" s="6" t="str">
        <f>INDEX(CaseTypeColSet!$B:$B,MATCH($B11,CaseTypeColSet!$A:$A,0))</f>
        <v>case_type_col_set1_1</v>
      </c>
      <c r="E11" t="s">
        <v>530</v>
      </c>
      <c r="F11" s="6" t="str">
        <f>INDEX(CaseTypeCol!$H:$H,MATCH($E11,CaseTypeCol!$A:$A,0))</f>
        <v>1_13_0_1</v>
      </c>
      <c r="H11" s="6" t="str">
        <f t="shared" si="0"/>
        <v>0195d18c-1cc1-44c2-1d6e-874dad333458|0198ef6d-8543-3dff-04fd-3c65614d655d</v>
      </c>
    </row>
    <row r="12" spans="1:8" x14ac:dyDescent="0.3">
      <c r="A12" t="s">
        <v>583</v>
      </c>
      <c r="B12" t="s">
        <v>64</v>
      </c>
      <c r="C12" s="6" t="str">
        <f>INDEX(CaseTypeColSet!$B:$B,MATCH($B12,CaseTypeColSet!$A:$A,0))</f>
        <v>case_type_col_set1_1</v>
      </c>
      <c r="E12" t="s">
        <v>531</v>
      </c>
      <c r="F12" s="6" t="str">
        <f>INDEX(CaseTypeCol!$H:$H,MATCH($E12,CaseTypeCol!$A:$A,0))</f>
        <v>1_13_0_2</v>
      </c>
      <c r="H12" s="6" t="str">
        <f t="shared" si="0"/>
        <v>0195d18c-1cc1-44c2-1d6e-874dad333458|0198ef6d-8543-c3d9-408d-20f86d523b9f</v>
      </c>
    </row>
    <row r="13" spans="1:8" x14ac:dyDescent="0.3">
      <c r="A13" t="s">
        <v>584</v>
      </c>
      <c r="B13" t="s">
        <v>64</v>
      </c>
      <c r="C13" s="6" t="str">
        <f>INDEX(CaseTypeColSet!$B:$B,MATCH($B13,CaseTypeColSet!$A:$A,0))</f>
        <v>case_type_col_set1_1</v>
      </c>
      <c r="E13" t="s">
        <v>532</v>
      </c>
      <c r="F13" s="6" t="str">
        <f>INDEX(CaseTypeCol!$H:$H,MATCH($E13,CaseTypeCol!$A:$A,0))</f>
        <v>1_13_0_3</v>
      </c>
      <c r="H13" s="6" t="str">
        <f t="shared" si="0"/>
        <v>0195d18c-1cc1-44c2-1d6e-874dad333458|0198ef6d-8543-e425-5793-c7c455726f56</v>
      </c>
    </row>
    <row r="14" spans="1:8" x14ac:dyDescent="0.3">
      <c r="A14" t="s">
        <v>585</v>
      </c>
      <c r="B14" t="s">
        <v>64</v>
      </c>
      <c r="C14" s="6" t="str">
        <f>INDEX(CaseTypeColSet!$B:$B,MATCH($B14,CaseTypeColSet!$A:$A,0))</f>
        <v>case_type_col_set1_1</v>
      </c>
      <c r="E14" t="s">
        <v>533</v>
      </c>
      <c r="F14" s="6" t="str">
        <f>INDEX(CaseTypeCol!$H:$H,MATCH($E14,CaseTypeCol!$A:$A,0))</f>
        <v>1_13_0_4</v>
      </c>
      <c r="H14" s="6" t="str">
        <f t="shared" si="0"/>
        <v>0195d18c-1cc1-44c2-1d6e-874dad333458|0198ef6d-8543-0bc5-2af0-dbe7f34bc5cc</v>
      </c>
    </row>
    <row r="15" spans="1:8" x14ac:dyDescent="0.3">
      <c r="A15" t="s">
        <v>586</v>
      </c>
      <c r="B15" t="s">
        <v>64</v>
      </c>
      <c r="C15" s="6" t="str">
        <f>INDEX(CaseTypeColSet!$B:$B,MATCH($B15,CaseTypeColSet!$A:$A,0))</f>
        <v>case_type_col_set1_1</v>
      </c>
      <c r="E15" t="s">
        <v>534</v>
      </c>
      <c r="F15" s="6" t="str">
        <f>INDEX(CaseTypeCol!$H:$H,MATCH($E15,CaseTypeCol!$A:$A,0))</f>
        <v>1_13_0_5</v>
      </c>
      <c r="H15" s="6" t="str">
        <f t="shared" si="0"/>
        <v>0195d18c-1cc1-44c2-1d6e-874dad333458|0198ef6d-8543-58d8-f78b-17d1fd52333b</v>
      </c>
    </row>
    <row r="16" spans="1:8" x14ac:dyDescent="0.3">
      <c r="A16" t="s">
        <v>587</v>
      </c>
      <c r="B16" t="s">
        <v>64</v>
      </c>
      <c r="C16" s="6" t="str">
        <f>INDEX(CaseTypeColSet!$B:$B,MATCH($B16,CaseTypeColSet!$A:$A,0))</f>
        <v>case_type_col_set1_1</v>
      </c>
      <c r="E16" t="s">
        <v>540</v>
      </c>
      <c r="F16" s="6" t="str">
        <f>INDEX(CaseTypeCol!$H:$H,MATCH($E16,CaseTypeCol!$A:$A,0))</f>
        <v>1_15_0_1</v>
      </c>
      <c r="H16" s="6" t="str">
        <f t="shared" si="0"/>
        <v>0195d18c-1cc1-44c2-1d6e-874dad333458|0198ef6d-8543-f61d-4edc-07bcd51c380d</v>
      </c>
    </row>
    <row r="17" spans="1:8" x14ac:dyDescent="0.3">
      <c r="A17" t="s">
        <v>588</v>
      </c>
      <c r="B17" t="s">
        <v>64</v>
      </c>
      <c r="C17" s="6" t="str">
        <f>INDEX(CaseTypeColSet!$B:$B,MATCH($B17,CaseTypeColSet!$A:$A,0))</f>
        <v>case_type_col_set1_1</v>
      </c>
      <c r="E17" t="s">
        <v>542</v>
      </c>
      <c r="F17" s="6" t="str">
        <f>INDEX(CaseTypeCol!$H:$H,MATCH($E17,CaseTypeCol!$A:$A,0))</f>
        <v>1_17_0_1</v>
      </c>
      <c r="H17" s="6" t="str">
        <f t="shared" si="0"/>
        <v>0195d18c-1cc1-44c2-1d6e-874dad333458|0198ef6d-8543-2afc-2c12-93e895132544</v>
      </c>
    </row>
    <row r="18" spans="1:8" x14ac:dyDescent="0.3">
      <c r="A18" t="s">
        <v>589</v>
      </c>
      <c r="B18" t="s">
        <v>64</v>
      </c>
      <c r="C18" s="6" t="str">
        <f>INDEX(CaseTypeColSet!$B:$B,MATCH($B18,CaseTypeColSet!$A:$A,0))</f>
        <v>case_type_col_set1_1</v>
      </c>
      <c r="E18" t="s">
        <v>543</v>
      </c>
      <c r="F18" s="6" t="str">
        <f>INDEX(CaseTypeCol!$H:$H,MATCH($E18,CaseTypeCol!$A:$A,0))</f>
        <v>1_17_0_2</v>
      </c>
      <c r="H18" s="6" t="str">
        <f t="shared" si="0"/>
        <v>0195d18c-1cc1-44c2-1d6e-874dad333458|0198ef6d-8543-c453-7e15-c4a877df12b1</v>
      </c>
    </row>
    <row r="19" spans="1:8" x14ac:dyDescent="0.3">
      <c r="A19" t="s">
        <v>590</v>
      </c>
      <c r="B19" t="s">
        <v>64</v>
      </c>
      <c r="C19" s="6" t="str">
        <f>INDEX(CaseTypeColSet!$B:$B,MATCH($B19,CaseTypeColSet!$A:$A,0))</f>
        <v>case_type_col_set1_1</v>
      </c>
      <c r="E19" t="s">
        <v>544</v>
      </c>
      <c r="F19" s="6" t="str">
        <f>INDEX(CaseTypeCol!$H:$H,MATCH($E19,CaseTypeCol!$A:$A,0))</f>
        <v>1_17_0_3</v>
      </c>
      <c r="H19" s="6" t="str">
        <f t="shared" si="0"/>
        <v>0195d18c-1cc1-44c2-1d6e-874dad333458|0198ef6d-8543-2029-b59b-f9f9a653936a</v>
      </c>
    </row>
    <row r="20" spans="1:8" x14ac:dyDescent="0.3">
      <c r="A20" t="s">
        <v>591</v>
      </c>
      <c r="B20" t="s">
        <v>64</v>
      </c>
      <c r="C20" s="6" t="str">
        <f>INDEX(CaseTypeColSet!$B:$B,MATCH($B20,CaseTypeColSet!$A:$A,0))</f>
        <v>case_type_col_set1_1</v>
      </c>
      <c r="E20" t="s">
        <v>548</v>
      </c>
      <c r="F20" s="6" t="str">
        <f>INDEX(CaseTypeCol!$H:$H,MATCH($E20,CaseTypeCol!$A:$A,0))</f>
        <v>1_19_0_1</v>
      </c>
      <c r="H20" s="6" t="str">
        <f t="shared" si="0"/>
        <v>0195d18c-1cc1-44c2-1d6e-874dad333458|0198ef6d-8543-a456-618e-e443bc0d35e9</v>
      </c>
    </row>
    <row r="21" spans="1:8" x14ac:dyDescent="0.3">
      <c r="A21" t="s">
        <v>592</v>
      </c>
      <c r="B21" t="s">
        <v>64</v>
      </c>
      <c r="C21" s="6" t="str">
        <f>INDEX(CaseTypeColSet!$B:$B,MATCH($B21,CaseTypeColSet!$A:$A,0))</f>
        <v>case_type_col_set1_1</v>
      </c>
      <c r="E21" t="s">
        <v>550</v>
      </c>
      <c r="F21" s="6" t="str">
        <f>INDEX(CaseTypeCol!$H:$H,MATCH($E21,CaseTypeCol!$A:$A,0))</f>
        <v>2_1_0_1</v>
      </c>
      <c r="H21" s="6" t="str">
        <f t="shared" si="0"/>
        <v>0195d18c-1cc1-44c2-1d6e-874dad333458|0198ef6d-8543-daa3-3b64-47a0bed70d1b</v>
      </c>
    </row>
    <row r="22" spans="1:8" x14ac:dyDescent="0.3">
      <c r="A22" t="s">
        <v>593</v>
      </c>
      <c r="B22" t="s">
        <v>64</v>
      </c>
      <c r="C22" s="6" t="str">
        <f>INDEX(CaseTypeColSet!$B:$B,MATCH($B22,CaseTypeColSet!$A:$A,0))</f>
        <v>case_type_col_set1_1</v>
      </c>
      <c r="E22" t="s">
        <v>551</v>
      </c>
      <c r="F22" s="6" t="str">
        <f>INDEX(CaseTypeCol!$H:$H,MATCH($E22,CaseTypeCol!$A:$A,0))</f>
        <v>2_3_0_1</v>
      </c>
      <c r="H22" s="6" t="str">
        <f t="shared" si="0"/>
        <v>0195d18c-1cc1-44c2-1d6e-874dad333458|0198ef6d-8543-7ab3-ba92-5fa2af40f240</v>
      </c>
    </row>
    <row r="23" spans="1:8" x14ac:dyDescent="0.3">
      <c r="A23" t="s">
        <v>594</v>
      </c>
      <c r="B23" t="s">
        <v>64</v>
      </c>
      <c r="C23" s="6" t="str">
        <f>INDEX(CaseTypeColSet!$B:$B,MATCH($B23,CaseTypeColSet!$A:$A,0))</f>
        <v>case_type_col_set1_1</v>
      </c>
      <c r="E23" t="s">
        <v>552</v>
      </c>
      <c r="F23" s="6" t="str">
        <f>INDEX(CaseTypeCol!$H:$H,MATCH($E23,CaseTypeCol!$A:$A,0))</f>
        <v>2_5_0_1</v>
      </c>
      <c r="H23" s="6" t="str">
        <f t="shared" si="0"/>
        <v>0195d18c-1cc1-44c2-1d6e-874dad333458|0198ef6d-8543-0e30-d86c-c2c7095525ec</v>
      </c>
    </row>
    <row r="24" spans="1:8" x14ac:dyDescent="0.3">
      <c r="A24" t="s">
        <v>595</v>
      </c>
      <c r="B24" t="s">
        <v>64</v>
      </c>
      <c r="C24" s="6" t="str">
        <f>INDEX(CaseTypeColSet!$B:$B,MATCH($B24,CaseTypeColSet!$A:$A,0))</f>
        <v>case_type_col_set1_1</v>
      </c>
      <c r="E24" t="s">
        <v>553</v>
      </c>
      <c r="F24" s="6" t="str">
        <f>INDEX(CaseTypeCol!$H:$H,MATCH($E24,CaseTypeCol!$A:$A,0))</f>
        <v>2_7_0_1</v>
      </c>
      <c r="H24" s="6" t="str">
        <f t="shared" si="0"/>
        <v>0195d18c-1cc1-44c2-1d6e-874dad333458|0198ef6d-8543-1443-43dc-7a07aef0da30</v>
      </c>
    </row>
    <row r="25" spans="1:8" x14ac:dyDescent="0.3">
      <c r="A25" t="s">
        <v>596</v>
      </c>
      <c r="B25" t="s">
        <v>64</v>
      </c>
      <c r="C25" s="6" t="str">
        <f>INDEX(CaseTypeColSet!$B:$B,MATCH($B25,CaseTypeColSet!$A:$A,0))</f>
        <v>case_type_col_set1_1</v>
      </c>
      <c r="E25" t="s">
        <v>554</v>
      </c>
      <c r="F25" s="6" t="str">
        <f>INDEX(CaseTypeCol!$H:$H,MATCH($E25,CaseTypeCol!$A:$A,0))</f>
        <v>2_9_0_1</v>
      </c>
      <c r="H25" s="6" t="str">
        <f t="shared" si="0"/>
        <v>0195d18c-1cc1-44c2-1d6e-874dad333458|0198ef6d-8543-7fbb-0745-44bb651edd00</v>
      </c>
    </row>
    <row r="26" spans="1:8" x14ac:dyDescent="0.3">
      <c r="A26" t="s">
        <v>597</v>
      </c>
      <c r="B26" t="s">
        <v>64</v>
      </c>
      <c r="C26" s="6" t="str">
        <f>INDEX(CaseTypeColSet!$B:$B,MATCH($B26,CaseTypeColSet!$A:$A,0))</f>
        <v>case_type_col_set1_1</v>
      </c>
      <c r="E26" t="s">
        <v>555</v>
      </c>
      <c r="F26" s="6" t="str">
        <f>INDEX(CaseTypeCol!$H:$H,MATCH($E26,CaseTypeCol!$A:$A,0))</f>
        <v>2_11_0_1</v>
      </c>
      <c r="H26" s="6" t="str">
        <f t="shared" si="0"/>
        <v>0195d18c-1cc1-44c2-1d6e-874dad333458|0198ef6d-8543-72db-d650-96776e8fd4a7</v>
      </c>
    </row>
    <row r="27" spans="1:8" x14ac:dyDescent="0.3">
      <c r="A27" t="s">
        <v>598</v>
      </c>
      <c r="B27" t="s">
        <v>64</v>
      </c>
      <c r="C27" s="6" t="str">
        <f>INDEX(CaseTypeColSet!$B:$B,MATCH($B27,CaseTypeColSet!$A:$A,0))</f>
        <v>case_type_col_set1_1</v>
      </c>
      <c r="E27" t="s">
        <v>556</v>
      </c>
      <c r="F27" s="6" t="str">
        <f>INDEX(CaseTypeCol!$H:$H,MATCH($E27,CaseTypeCol!$A:$A,0))</f>
        <v>2_11_0_2</v>
      </c>
      <c r="H27" s="6" t="str">
        <f t="shared" si="0"/>
        <v>0195d18c-1cc1-44c2-1d6e-874dad333458|0198ef6d-8543-aed3-82fc-8fc90e0c93fd</v>
      </c>
    </row>
    <row r="28" spans="1:8" x14ac:dyDescent="0.3">
      <c r="A28" t="s">
        <v>599</v>
      </c>
      <c r="B28" t="s">
        <v>64</v>
      </c>
      <c r="C28" s="6" t="str">
        <f>INDEX(CaseTypeColSet!$B:$B,MATCH($B28,CaseTypeColSet!$A:$A,0))</f>
        <v>case_type_col_set1_1</v>
      </c>
      <c r="E28" t="s">
        <v>557</v>
      </c>
      <c r="F28" s="6" t="str">
        <f>INDEX(CaseTypeCol!$H:$H,MATCH($E28,CaseTypeCol!$A:$A,0))</f>
        <v>2_11_0_3</v>
      </c>
      <c r="H28" s="6" t="str">
        <f t="shared" si="0"/>
        <v>0195d18c-1cc1-44c2-1d6e-874dad333458|0198ef6d-8543-e6af-3e5a-6494a01a06ae</v>
      </c>
    </row>
    <row r="29" spans="1:8" x14ac:dyDescent="0.3">
      <c r="A29" t="s">
        <v>600</v>
      </c>
      <c r="B29" t="s">
        <v>64</v>
      </c>
      <c r="C29" s="6" t="str">
        <f>INDEX(CaseTypeColSet!$B:$B,MATCH($B29,CaseTypeColSet!$A:$A,0))</f>
        <v>case_type_col_set1_1</v>
      </c>
      <c r="E29" t="s">
        <v>558</v>
      </c>
      <c r="F29" s="6" t="str">
        <f>INDEX(CaseTypeCol!$H:$H,MATCH($E29,CaseTypeCol!$A:$A,0))</f>
        <v>2_11_0_4</v>
      </c>
      <c r="H29" s="6" t="str">
        <f t="shared" si="0"/>
        <v>0195d18c-1cc1-44c2-1d6e-874dad333458|0198ef6d-8543-4e2b-87de-57604330cdd3</v>
      </c>
    </row>
    <row r="30" spans="1:8" x14ac:dyDescent="0.3">
      <c r="A30" t="s">
        <v>601</v>
      </c>
      <c r="B30" t="s">
        <v>64</v>
      </c>
      <c r="C30" s="6" t="str">
        <f>INDEX(CaseTypeColSet!$B:$B,MATCH($B30,CaseTypeColSet!$A:$A,0))</f>
        <v>case_type_col_set1_1</v>
      </c>
      <c r="E30" t="s">
        <v>559</v>
      </c>
      <c r="F30" s="6" t="str">
        <f>INDEX(CaseTypeCol!$H:$H,MATCH($E30,CaseTypeCol!$A:$A,0))</f>
        <v>2_13_0_1</v>
      </c>
      <c r="H30" s="6" t="str">
        <f t="shared" si="0"/>
        <v>0195d18c-1cc1-44c2-1d6e-874dad333458|0198ef6d-8543-7196-e13a-d911de7aa2aa</v>
      </c>
    </row>
    <row r="31" spans="1:8" x14ac:dyDescent="0.3">
      <c r="A31" t="s">
        <v>602</v>
      </c>
      <c r="B31" t="s">
        <v>64</v>
      </c>
      <c r="C31" s="6" t="str">
        <f>INDEX(CaseTypeColSet!$B:$B,MATCH($B31,CaseTypeColSet!$A:$A,0))</f>
        <v>case_type_col_set1_1</v>
      </c>
      <c r="E31" t="s">
        <v>560</v>
      </c>
      <c r="F31" s="6" t="str">
        <f>INDEX(CaseTypeCol!$H:$H,MATCH($E31,CaseTypeCol!$A:$A,0))</f>
        <v>2_13_0_2</v>
      </c>
      <c r="H31" s="6" t="str">
        <f t="shared" si="0"/>
        <v>0195d18c-1cc1-44c2-1d6e-874dad333458|0198ef6d-8543-49c9-f899-a2bd7ca7905e</v>
      </c>
    </row>
    <row r="32" spans="1:8" x14ac:dyDescent="0.3">
      <c r="A32" t="s">
        <v>603</v>
      </c>
      <c r="B32" t="s">
        <v>64</v>
      </c>
      <c r="C32" s="6" t="str">
        <f>INDEX(CaseTypeColSet!$B:$B,MATCH($B32,CaseTypeColSet!$A:$A,0))</f>
        <v>case_type_col_set1_1</v>
      </c>
      <c r="E32" t="s">
        <v>561</v>
      </c>
      <c r="F32" s="6" t="str">
        <f>INDEX(CaseTypeCol!$H:$H,MATCH($E32,CaseTypeCol!$A:$A,0))</f>
        <v>2_13_0_3</v>
      </c>
      <c r="H32" s="6" t="str">
        <f t="shared" si="0"/>
        <v>0195d18c-1cc1-44c2-1d6e-874dad333458|0198ef6d-8543-e911-0c7d-89e8d97702dc</v>
      </c>
    </row>
    <row r="33" spans="1:8" x14ac:dyDescent="0.3">
      <c r="A33" t="s">
        <v>604</v>
      </c>
      <c r="B33" t="s">
        <v>64</v>
      </c>
      <c r="C33" s="6" t="str">
        <f>INDEX(CaseTypeColSet!$B:$B,MATCH($B33,CaseTypeColSet!$A:$A,0))</f>
        <v>case_type_col_set1_1</v>
      </c>
      <c r="E33" t="s">
        <v>562</v>
      </c>
      <c r="F33" s="6" t="str">
        <f>INDEX(CaseTypeCol!$H:$H,MATCH($E33,CaseTypeCol!$A:$A,0))</f>
        <v>2_13_0_4</v>
      </c>
      <c r="H33" s="6" t="str">
        <f t="shared" si="0"/>
        <v>0195d18c-1cc1-44c2-1d6e-874dad333458|0198ef6d-8543-c287-9def-b1c31ccc15e3</v>
      </c>
    </row>
    <row r="34" spans="1:8" x14ac:dyDescent="0.3">
      <c r="A34" t="s">
        <v>605</v>
      </c>
      <c r="B34" t="s">
        <v>64</v>
      </c>
      <c r="C34" s="6" t="str">
        <f>INDEX(CaseTypeColSet!$B:$B,MATCH($B34,CaseTypeColSet!$A:$A,0))</f>
        <v>case_type_col_set1_1</v>
      </c>
      <c r="E34" t="s">
        <v>563</v>
      </c>
      <c r="F34" s="6" t="str">
        <f>INDEX(CaseTypeCol!$H:$H,MATCH($E34,CaseTypeCol!$A:$A,0))</f>
        <v>2_13_0_5</v>
      </c>
      <c r="H34" s="6" t="str">
        <f t="shared" si="0"/>
        <v>0195d18c-1cc1-44c2-1d6e-874dad333458|0198ef6d-8543-d41c-32e8-4166495e403d</v>
      </c>
    </row>
    <row r="35" spans="1:8" x14ac:dyDescent="0.3">
      <c r="A35" t="s">
        <v>606</v>
      </c>
      <c r="B35" t="s">
        <v>64</v>
      </c>
      <c r="C35" s="6" t="str">
        <f>INDEX(CaseTypeColSet!$B:$B,MATCH($B35,CaseTypeColSet!$A:$A,0))</f>
        <v>case_type_col_set1_1</v>
      </c>
      <c r="E35" t="s">
        <v>564</v>
      </c>
      <c r="F35" s="6" t="str">
        <f>INDEX(CaseTypeCol!$H:$H,MATCH($E35,CaseTypeCol!$A:$A,0))</f>
        <v>2_15_0_1</v>
      </c>
      <c r="H35" s="6" t="str">
        <f t="shared" si="0"/>
        <v>0195d18c-1cc1-44c2-1d6e-874dad333458|0198ef6d-8543-92f3-9168-2df7a147b28e</v>
      </c>
    </row>
    <row r="36" spans="1:8" x14ac:dyDescent="0.3">
      <c r="A36" t="s">
        <v>607</v>
      </c>
      <c r="B36" t="s">
        <v>64</v>
      </c>
      <c r="C36" s="6" t="str">
        <f>INDEX(CaseTypeColSet!$B:$B,MATCH($B36,CaseTypeColSet!$A:$A,0))</f>
        <v>case_type_col_set1_1</v>
      </c>
      <c r="E36" t="s">
        <v>565</v>
      </c>
      <c r="F36" s="6" t="str">
        <f>INDEX(CaseTypeCol!$H:$H,MATCH($E36,CaseTypeCol!$A:$A,0))</f>
        <v>2_17_0_1</v>
      </c>
      <c r="H36" s="6" t="str">
        <f t="shared" si="0"/>
        <v>0195d18c-1cc1-44c2-1d6e-874dad333458|0198ef6d-8543-83ae-9c38-8230890499d5</v>
      </c>
    </row>
    <row r="37" spans="1:8" x14ac:dyDescent="0.3">
      <c r="A37" t="s">
        <v>608</v>
      </c>
      <c r="B37" t="s">
        <v>64</v>
      </c>
      <c r="C37" s="6" t="str">
        <f>INDEX(CaseTypeColSet!$B:$B,MATCH($B37,CaseTypeColSet!$A:$A,0))</f>
        <v>case_type_col_set1_1</v>
      </c>
      <c r="E37" t="s">
        <v>566</v>
      </c>
      <c r="F37" s="6" t="str">
        <f>INDEX(CaseTypeCol!$H:$H,MATCH($E37,CaseTypeCol!$A:$A,0))</f>
        <v>2_17_0_2</v>
      </c>
      <c r="H37" s="6" t="str">
        <f t="shared" si="0"/>
        <v>0195d18c-1cc1-44c2-1d6e-874dad333458|0198ef6d-8543-aca5-d495-a14d205474c8</v>
      </c>
    </row>
    <row r="38" spans="1:8" x14ac:dyDescent="0.3">
      <c r="A38" t="s">
        <v>609</v>
      </c>
      <c r="B38" t="s">
        <v>64</v>
      </c>
      <c r="C38" s="6" t="str">
        <f>INDEX(CaseTypeColSet!$B:$B,MATCH($B38,CaseTypeColSet!$A:$A,0))</f>
        <v>case_type_col_set1_1</v>
      </c>
      <c r="E38" t="s">
        <v>567</v>
      </c>
      <c r="F38" s="6" t="str">
        <f>INDEX(CaseTypeCol!$H:$H,MATCH($E38,CaseTypeCol!$A:$A,0))</f>
        <v>2_17_0_3</v>
      </c>
      <c r="H38" s="6" t="str">
        <f t="shared" si="0"/>
        <v>0195d18c-1cc1-44c2-1d6e-874dad333458|0198ef6d-8543-059f-33dd-73f8668bc5ef</v>
      </c>
    </row>
    <row r="39" spans="1:8" x14ac:dyDescent="0.3">
      <c r="A39" t="s">
        <v>610</v>
      </c>
      <c r="B39" t="s">
        <v>64</v>
      </c>
      <c r="C39" s="6" t="str">
        <f>INDEX(CaseTypeColSet!$B:$B,MATCH($B39,CaseTypeColSet!$A:$A,0))</f>
        <v>case_type_col_set1_1</v>
      </c>
      <c r="E39" t="s">
        <v>568</v>
      </c>
      <c r="F39" s="6" t="str">
        <f>INDEX(CaseTypeCol!$H:$H,MATCH($E39,CaseTypeCol!$A:$A,0))</f>
        <v>2_19_0_1</v>
      </c>
      <c r="H39" s="6" t="str">
        <f t="shared" si="0"/>
        <v>0195d18c-1cc1-44c2-1d6e-874dad333458|0198ef6d-8543-87f8-e4ed-200adf224eea</v>
      </c>
    </row>
    <row r="40" spans="1:8" x14ac:dyDescent="0.3">
      <c r="A40" t="s">
        <v>611</v>
      </c>
      <c r="B40" t="s">
        <v>132</v>
      </c>
      <c r="C40" s="6" t="str">
        <f>INDEX(CaseTypeColSet!$B:$B,MATCH($B40,CaseTypeColSet!$A:$A,0))</f>
        <v>case_type_col_set1_1and2</v>
      </c>
      <c r="E40" t="s">
        <v>512</v>
      </c>
      <c r="F40" s="6" t="str">
        <f>INDEX(CaseTypeCol!$H:$H,MATCH($E40,CaseTypeCol!$A:$A,0))</f>
        <v>1_1_0_1</v>
      </c>
      <c r="H40" s="6" t="str">
        <f t="shared" si="0"/>
        <v>0195d18c-1cc1-c475-eba4-c3df5aea8858|0198ef6d-8543-a221-af7e-774497e4801a</v>
      </c>
    </row>
    <row r="41" spans="1:8" x14ac:dyDescent="0.3">
      <c r="A41" t="s">
        <v>612</v>
      </c>
      <c r="B41" t="s">
        <v>132</v>
      </c>
      <c r="C41" s="6" t="str">
        <f>INDEX(CaseTypeColSet!$B:$B,MATCH($B41,CaseTypeColSet!$A:$A,0))</f>
        <v>case_type_col_set1_1and2</v>
      </c>
      <c r="E41" t="s">
        <v>513</v>
      </c>
      <c r="F41" s="6" t="str">
        <f>INDEX(CaseTypeCol!$H:$H,MATCH($E41,CaseTypeCol!$A:$A,0))</f>
        <v>1_2_0_1</v>
      </c>
      <c r="H41" s="6" t="str">
        <f t="shared" si="0"/>
        <v>0195d18c-1cc1-c475-eba4-c3df5aea8858|0198ef6d-8543-987d-80eb-fb29936d633c</v>
      </c>
    </row>
    <row r="42" spans="1:8" x14ac:dyDescent="0.3">
      <c r="A42" t="s">
        <v>613</v>
      </c>
      <c r="B42" t="s">
        <v>132</v>
      </c>
      <c r="C42" s="6" t="str">
        <f>INDEX(CaseTypeColSet!$B:$B,MATCH($B42,CaseTypeColSet!$A:$A,0))</f>
        <v>case_type_col_set1_1and2</v>
      </c>
      <c r="E42" t="s">
        <v>514</v>
      </c>
      <c r="F42" s="6" t="str">
        <f>INDEX(CaseTypeCol!$H:$H,MATCH($E42,CaseTypeCol!$A:$A,0))</f>
        <v>1_3_0_1</v>
      </c>
      <c r="H42" s="6" t="str">
        <f t="shared" si="0"/>
        <v>0195d18c-1cc1-c475-eba4-c3df5aea8858|0198ef6d-8543-ce42-568c-c8e8405533a1</v>
      </c>
    </row>
    <row r="43" spans="1:8" x14ac:dyDescent="0.3">
      <c r="A43" t="s">
        <v>614</v>
      </c>
      <c r="B43" t="s">
        <v>132</v>
      </c>
      <c r="C43" s="6" t="str">
        <f>INDEX(CaseTypeColSet!$B:$B,MATCH($B43,CaseTypeColSet!$A:$A,0))</f>
        <v>case_type_col_set1_1and2</v>
      </c>
      <c r="E43" t="s">
        <v>515</v>
      </c>
      <c r="F43" s="6" t="str">
        <f>INDEX(CaseTypeCol!$H:$H,MATCH($E43,CaseTypeCol!$A:$A,0))</f>
        <v>1_4_0_1</v>
      </c>
      <c r="H43" s="6" t="str">
        <f t="shared" si="0"/>
        <v>0195d18c-1cc1-c475-eba4-c3df5aea8858|0198ef6d-8543-8bc8-93ea-2f4c7e8626f2</v>
      </c>
    </row>
    <row r="44" spans="1:8" x14ac:dyDescent="0.3">
      <c r="A44" t="s">
        <v>615</v>
      </c>
      <c r="B44" t="s">
        <v>132</v>
      </c>
      <c r="C44" s="6" t="str">
        <f>INDEX(CaseTypeColSet!$B:$B,MATCH($B44,CaseTypeColSet!$A:$A,0))</f>
        <v>case_type_col_set1_1and2</v>
      </c>
      <c r="E44" t="s">
        <v>516</v>
      </c>
      <c r="F44" s="6" t="str">
        <f>INDEX(CaseTypeCol!$H:$H,MATCH($E44,CaseTypeCol!$A:$A,0))</f>
        <v>1_5_0_1</v>
      </c>
      <c r="H44" s="6" t="str">
        <f t="shared" si="0"/>
        <v>0195d18c-1cc1-c475-eba4-c3df5aea8858|0198ef6d-8543-1062-3f54-74f967fd95da</v>
      </c>
    </row>
    <row r="45" spans="1:8" x14ac:dyDescent="0.3">
      <c r="A45" t="s">
        <v>616</v>
      </c>
      <c r="B45" t="s">
        <v>132</v>
      </c>
      <c r="C45" s="6" t="str">
        <f>INDEX(CaseTypeColSet!$B:$B,MATCH($B45,CaseTypeColSet!$A:$A,0))</f>
        <v>case_type_col_set1_1and2</v>
      </c>
      <c r="E45" t="s">
        <v>517</v>
      </c>
      <c r="F45" s="6" t="str">
        <f>INDEX(CaseTypeCol!$H:$H,MATCH($E45,CaseTypeCol!$A:$A,0))</f>
        <v>1_6_0_1</v>
      </c>
      <c r="H45" s="6" t="str">
        <f t="shared" si="0"/>
        <v>0195d18c-1cc1-c475-eba4-c3df5aea8858|0198ef6d-8543-3bfd-fcb0-c5698a1b2d9a</v>
      </c>
    </row>
    <row r="46" spans="1:8" x14ac:dyDescent="0.3">
      <c r="A46" t="s">
        <v>617</v>
      </c>
      <c r="B46" t="s">
        <v>132</v>
      </c>
      <c r="C46" s="6" t="str">
        <f>INDEX(CaseTypeColSet!$B:$B,MATCH($B46,CaseTypeColSet!$A:$A,0))</f>
        <v>case_type_col_set1_1and2</v>
      </c>
      <c r="E46" t="s">
        <v>518</v>
      </c>
      <c r="F46" s="6" t="str">
        <f>INDEX(CaseTypeCol!$H:$H,MATCH($E46,CaseTypeCol!$A:$A,0))</f>
        <v>1_7_0_1</v>
      </c>
      <c r="H46" s="6" t="str">
        <f t="shared" si="0"/>
        <v>0195d18c-1cc1-c475-eba4-c3df5aea8858|0198ef6d-8543-f372-ce25-38616e4c214d</v>
      </c>
    </row>
    <row r="47" spans="1:8" x14ac:dyDescent="0.3">
      <c r="A47" t="s">
        <v>618</v>
      </c>
      <c r="B47" t="s">
        <v>132</v>
      </c>
      <c r="C47" s="6" t="str">
        <f>INDEX(CaseTypeColSet!$B:$B,MATCH($B47,CaseTypeColSet!$A:$A,0))</f>
        <v>case_type_col_set1_1and2</v>
      </c>
      <c r="E47" t="s">
        <v>519</v>
      </c>
      <c r="F47" s="6" t="str">
        <f>INDEX(CaseTypeCol!$H:$H,MATCH($E47,CaseTypeCol!$A:$A,0))</f>
        <v>1_8_0_1</v>
      </c>
      <c r="H47" s="6" t="str">
        <f t="shared" si="0"/>
        <v>0195d18c-1cc1-c475-eba4-c3df5aea8858|0198ef6d-8543-d9b1-6322-01cffb585d60</v>
      </c>
    </row>
    <row r="48" spans="1:8" x14ac:dyDescent="0.3">
      <c r="A48" t="s">
        <v>619</v>
      </c>
      <c r="B48" t="s">
        <v>132</v>
      </c>
      <c r="C48" s="6" t="str">
        <f>INDEX(CaseTypeColSet!$B:$B,MATCH($B48,CaseTypeColSet!$A:$A,0))</f>
        <v>case_type_col_set1_1and2</v>
      </c>
      <c r="E48" t="s">
        <v>520</v>
      </c>
      <c r="F48" s="6" t="str">
        <f>INDEX(CaseTypeCol!$H:$H,MATCH($E48,CaseTypeCol!$A:$A,0))</f>
        <v>1_9_0_1</v>
      </c>
      <c r="H48" s="6" t="str">
        <f t="shared" si="0"/>
        <v>0195d18c-1cc1-c475-eba4-c3df5aea8858|0198ef6d-8543-b8fc-9de5-72be815082e0</v>
      </c>
    </row>
    <row r="49" spans="1:8" x14ac:dyDescent="0.3">
      <c r="A49" t="s">
        <v>620</v>
      </c>
      <c r="B49" t="s">
        <v>132</v>
      </c>
      <c r="C49" s="6" t="str">
        <f>INDEX(CaseTypeColSet!$B:$B,MATCH($B49,CaseTypeColSet!$A:$A,0))</f>
        <v>case_type_col_set1_1and2</v>
      </c>
      <c r="E49" t="s">
        <v>521</v>
      </c>
      <c r="F49" s="6" t="str">
        <f>INDEX(CaseTypeCol!$H:$H,MATCH($E49,CaseTypeCol!$A:$A,0))</f>
        <v>1_10_0_1</v>
      </c>
      <c r="H49" s="6" t="str">
        <f t="shared" si="0"/>
        <v>0195d18c-1cc1-c475-eba4-c3df5aea8858|0198ef6d-8543-f0ab-b028-4f183545ce97</v>
      </c>
    </row>
    <row r="50" spans="1:8" x14ac:dyDescent="0.3">
      <c r="A50" t="s">
        <v>621</v>
      </c>
      <c r="B50" t="s">
        <v>132</v>
      </c>
      <c r="C50" s="6" t="str">
        <f>INDEX(CaseTypeColSet!$B:$B,MATCH($B50,CaseTypeColSet!$A:$A,0))</f>
        <v>case_type_col_set1_1and2</v>
      </c>
      <c r="E50" t="s">
        <v>522</v>
      </c>
      <c r="F50" s="6" t="str">
        <f>INDEX(CaseTypeCol!$H:$H,MATCH($E50,CaseTypeCol!$A:$A,0))</f>
        <v>1_11_0_1</v>
      </c>
      <c r="H50" s="6" t="str">
        <f t="shared" si="0"/>
        <v>0195d18c-1cc1-c475-eba4-c3df5aea8858|0198ef6d-8543-371a-179d-9c036f8c66f2</v>
      </c>
    </row>
    <row r="51" spans="1:8" x14ac:dyDescent="0.3">
      <c r="A51" t="s">
        <v>622</v>
      </c>
      <c r="B51" t="s">
        <v>132</v>
      </c>
      <c r="C51" s="6" t="str">
        <f>INDEX(CaseTypeColSet!$B:$B,MATCH($B51,CaseTypeColSet!$A:$A,0))</f>
        <v>case_type_col_set1_1and2</v>
      </c>
      <c r="E51" t="s">
        <v>523</v>
      </c>
      <c r="F51" s="6" t="str">
        <f>INDEX(CaseTypeCol!$H:$H,MATCH($E51,CaseTypeCol!$A:$A,0))</f>
        <v>1_11_0_2</v>
      </c>
      <c r="H51" s="6" t="str">
        <f t="shared" si="0"/>
        <v>0195d18c-1cc1-c475-eba4-c3df5aea8858|0198ef6d-8543-7325-a3c3-0be3c6d6193b</v>
      </c>
    </row>
    <row r="52" spans="1:8" x14ac:dyDescent="0.3">
      <c r="A52" t="s">
        <v>623</v>
      </c>
      <c r="B52" t="s">
        <v>132</v>
      </c>
      <c r="C52" s="6" t="str">
        <f>INDEX(CaseTypeColSet!$B:$B,MATCH($B52,CaseTypeColSet!$A:$A,0))</f>
        <v>case_type_col_set1_1and2</v>
      </c>
      <c r="E52" t="s">
        <v>524</v>
      </c>
      <c r="F52" s="6" t="str">
        <f>INDEX(CaseTypeCol!$H:$H,MATCH($E52,CaseTypeCol!$A:$A,0))</f>
        <v>1_11_0_3</v>
      </c>
      <c r="H52" s="6" t="str">
        <f t="shared" si="0"/>
        <v>0195d18c-1cc1-c475-eba4-c3df5aea8858|0198ef6d-8543-61b3-63f1-bc4f52741be3</v>
      </c>
    </row>
    <row r="53" spans="1:8" x14ac:dyDescent="0.3">
      <c r="A53" t="s">
        <v>624</v>
      </c>
      <c r="B53" t="s">
        <v>132</v>
      </c>
      <c r="C53" s="6" t="str">
        <f>INDEX(CaseTypeColSet!$B:$B,MATCH($B53,CaseTypeColSet!$A:$A,0))</f>
        <v>case_type_col_set1_1and2</v>
      </c>
      <c r="E53" t="s">
        <v>525</v>
      </c>
      <c r="F53" s="6" t="str">
        <f>INDEX(CaseTypeCol!$H:$H,MATCH($E53,CaseTypeCol!$A:$A,0))</f>
        <v>1_11_0_4</v>
      </c>
      <c r="H53" s="6" t="str">
        <f t="shared" si="0"/>
        <v>0195d18c-1cc1-c475-eba4-c3df5aea8858|0198ef6d-8543-f6da-4821-571b2b52bd5b</v>
      </c>
    </row>
    <row r="54" spans="1:8" x14ac:dyDescent="0.3">
      <c r="A54" t="s">
        <v>625</v>
      </c>
      <c r="B54" t="s">
        <v>132</v>
      </c>
      <c r="C54" s="6" t="str">
        <f>INDEX(CaseTypeColSet!$B:$B,MATCH($B54,CaseTypeColSet!$A:$A,0))</f>
        <v>case_type_col_set1_1and2</v>
      </c>
      <c r="E54" t="s">
        <v>526</v>
      </c>
      <c r="F54" s="6" t="str">
        <f>INDEX(CaseTypeCol!$H:$H,MATCH($E54,CaseTypeCol!$A:$A,0))</f>
        <v>1_12_0_1</v>
      </c>
      <c r="H54" s="6" t="str">
        <f t="shared" si="0"/>
        <v>0195d18c-1cc1-c475-eba4-c3df5aea8858|0198ef6d-8543-369f-5adc-42e8a92a03ef</v>
      </c>
    </row>
    <row r="55" spans="1:8" x14ac:dyDescent="0.3">
      <c r="A55" t="s">
        <v>626</v>
      </c>
      <c r="B55" t="s">
        <v>132</v>
      </c>
      <c r="C55" s="6" t="str">
        <f>INDEX(CaseTypeColSet!$B:$B,MATCH($B55,CaseTypeColSet!$A:$A,0))</f>
        <v>case_type_col_set1_1and2</v>
      </c>
      <c r="E55" t="s">
        <v>527</v>
      </c>
      <c r="F55" s="6" t="str">
        <f>INDEX(CaseTypeCol!$H:$H,MATCH($E55,CaseTypeCol!$A:$A,0))</f>
        <v>1_12_0_2</v>
      </c>
      <c r="H55" s="6" t="str">
        <f t="shared" si="0"/>
        <v>0195d18c-1cc1-c475-eba4-c3df5aea8858|0198ef6d-8543-c2aa-d8d8-5799599aba32</v>
      </c>
    </row>
    <row r="56" spans="1:8" x14ac:dyDescent="0.3">
      <c r="A56" t="s">
        <v>627</v>
      </c>
      <c r="B56" t="s">
        <v>132</v>
      </c>
      <c r="C56" s="6" t="str">
        <f>INDEX(CaseTypeColSet!$B:$B,MATCH($B56,CaseTypeColSet!$A:$A,0))</f>
        <v>case_type_col_set1_1and2</v>
      </c>
      <c r="E56" t="s">
        <v>528</v>
      </c>
      <c r="F56" s="6" t="str">
        <f>INDEX(CaseTypeCol!$H:$H,MATCH($E56,CaseTypeCol!$A:$A,0))</f>
        <v>1_12_0_3</v>
      </c>
      <c r="H56" s="6" t="str">
        <f t="shared" si="0"/>
        <v>0195d18c-1cc1-c475-eba4-c3df5aea8858|0198ef6d-8543-379c-1b40-75609669d2dc</v>
      </c>
    </row>
    <row r="57" spans="1:8" x14ac:dyDescent="0.3">
      <c r="A57" t="s">
        <v>628</v>
      </c>
      <c r="B57" t="s">
        <v>132</v>
      </c>
      <c r="C57" s="6" t="str">
        <f>INDEX(CaseTypeColSet!$B:$B,MATCH($B57,CaseTypeColSet!$A:$A,0))</f>
        <v>case_type_col_set1_1and2</v>
      </c>
      <c r="E57" t="s">
        <v>529</v>
      </c>
      <c r="F57" s="6" t="str">
        <f>INDEX(CaseTypeCol!$H:$H,MATCH($E57,CaseTypeCol!$A:$A,0))</f>
        <v>1_12_0_4</v>
      </c>
      <c r="H57" s="6" t="str">
        <f t="shared" si="0"/>
        <v>0195d18c-1cc1-c475-eba4-c3df5aea8858|0198ef6d-8543-1f4a-69a6-ef2cbe30a080</v>
      </c>
    </row>
    <row r="58" spans="1:8" x14ac:dyDescent="0.3">
      <c r="A58" t="s">
        <v>629</v>
      </c>
      <c r="B58" t="s">
        <v>132</v>
      </c>
      <c r="C58" s="6" t="str">
        <f>INDEX(CaseTypeColSet!$B:$B,MATCH($B58,CaseTypeColSet!$A:$A,0))</f>
        <v>case_type_col_set1_1and2</v>
      </c>
      <c r="E58" t="s">
        <v>530</v>
      </c>
      <c r="F58" s="6" t="str">
        <f>INDEX(CaseTypeCol!$H:$H,MATCH($E58,CaseTypeCol!$A:$A,0))</f>
        <v>1_13_0_1</v>
      </c>
      <c r="H58" s="6" t="str">
        <f t="shared" si="0"/>
        <v>0195d18c-1cc1-c475-eba4-c3df5aea8858|0198ef6d-8543-3dff-04fd-3c65614d655d</v>
      </c>
    </row>
    <row r="59" spans="1:8" x14ac:dyDescent="0.3">
      <c r="A59" t="s">
        <v>630</v>
      </c>
      <c r="B59" t="s">
        <v>132</v>
      </c>
      <c r="C59" s="6" t="str">
        <f>INDEX(CaseTypeColSet!$B:$B,MATCH($B59,CaseTypeColSet!$A:$A,0))</f>
        <v>case_type_col_set1_1and2</v>
      </c>
      <c r="E59" t="s">
        <v>531</v>
      </c>
      <c r="F59" s="6" t="str">
        <f>INDEX(CaseTypeCol!$H:$H,MATCH($E59,CaseTypeCol!$A:$A,0))</f>
        <v>1_13_0_2</v>
      </c>
      <c r="H59" s="6" t="str">
        <f t="shared" si="0"/>
        <v>0195d18c-1cc1-c475-eba4-c3df5aea8858|0198ef6d-8543-c3d9-408d-20f86d523b9f</v>
      </c>
    </row>
    <row r="60" spans="1:8" x14ac:dyDescent="0.3">
      <c r="A60" t="s">
        <v>631</v>
      </c>
      <c r="B60" t="s">
        <v>132</v>
      </c>
      <c r="C60" s="6" t="str">
        <f>INDEX(CaseTypeColSet!$B:$B,MATCH($B60,CaseTypeColSet!$A:$A,0))</f>
        <v>case_type_col_set1_1and2</v>
      </c>
      <c r="E60" t="s">
        <v>532</v>
      </c>
      <c r="F60" s="6" t="str">
        <f>INDEX(CaseTypeCol!$H:$H,MATCH($E60,CaseTypeCol!$A:$A,0))</f>
        <v>1_13_0_3</v>
      </c>
      <c r="H60" s="6" t="str">
        <f t="shared" si="0"/>
        <v>0195d18c-1cc1-c475-eba4-c3df5aea8858|0198ef6d-8543-e425-5793-c7c455726f56</v>
      </c>
    </row>
    <row r="61" spans="1:8" x14ac:dyDescent="0.3">
      <c r="A61" t="s">
        <v>632</v>
      </c>
      <c r="B61" t="s">
        <v>132</v>
      </c>
      <c r="C61" s="6" t="str">
        <f>INDEX(CaseTypeColSet!$B:$B,MATCH($B61,CaseTypeColSet!$A:$A,0))</f>
        <v>case_type_col_set1_1and2</v>
      </c>
      <c r="E61" t="s">
        <v>533</v>
      </c>
      <c r="F61" s="6" t="str">
        <f>INDEX(CaseTypeCol!$H:$H,MATCH($E61,CaseTypeCol!$A:$A,0))</f>
        <v>1_13_0_4</v>
      </c>
      <c r="H61" s="6" t="str">
        <f t="shared" si="0"/>
        <v>0195d18c-1cc1-c475-eba4-c3df5aea8858|0198ef6d-8543-0bc5-2af0-dbe7f34bc5cc</v>
      </c>
    </row>
    <row r="62" spans="1:8" x14ac:dyDescent="0.3">
      <c r="A62" t="s">
        <v>633</v>
      </c>
      <c r="B62" t="s">
        <v>132</v>
      </c>
      <c r="C62" s="6" t="str">
        <f>INDEX(CaseTypeColSet!$B:$B,MATCH($B62,CaseTypeColSet!$A:$A,0))</f>
        <v>case_type_col_set1_1and2</v>
      </c>
      <c r="E62" t="s">
        <v>534</v>
      </c>
      <c r="F62" s="6" t="str">
        <f>INDEX(CaseTypeCol!$H:$H,MATCH($E62,CaseTypeCol!$A:$A,0))</f>
        <v>1_13_0_5</v>
      </c>
      <c r="H62" s="6" t="str">
        <f t="shared" si="0"/>
        <v>0195d18c-1cc1-c475-eba4-c3df5aea8858|0198ef6d-8543-58d8-f78b-17d1fd52333b</v>
      </c>
    </row>
    <row r="63" spans="1:8" x14ac:dyDescent="0.3">
      <c r="A63" t="s">
        <v>634</v>
      </c>
      <c r="B63" t="s">
        <v>132</v>
      </c>
      <c r="C63" s="6" t="str">
        <f>INDEX(CaseTypeColSet!$B:$B,MATCH($B63,CaseTypeColSet!$A:$A,0))</f>
        <v>case_type_col_set1_1and2</v>
      </c>
      <c r="E63" t="s">
        <v>535</v>
      </c>
      <c r="F63" s="6" t="str">
        <f>INDEX(CaseTypeCol!$H:$H,MATCH($E63,CaseTypeCol!$A:$A,0))</f>
        <v>1_14_0_1</v>
      </c>
      <c r="H63" s="6" t="str">
        <f t="shared" si="0"/>
        <v>0195d18c-1cc1-c475-eba4-c3df5aea8858|0198ef6d-8543-95f7-7801-f7b9a1173d31</v>
      </c>
    </row>
    <row r="64" spans="1:8" x14ac:dyDescent="0.3">
      <c r="A64" t="s">
        <v>635</v>
      </c>
      <c r="B64" t="s">
        <v>132</v>
      </c>
      <c r="C64" s="6" t="str">
        <f>INDEX(CaseTypeColSet!$B:$B,MATCH($B64,CaseTypeColSet!$A:$A,0))</f>
        <v>case_type_col_set1_1and2</v>
      </c>
      <c r="E64" t="s">
        <v>536</v>
      </c>
      <c r="F64" s="6" t="str">
        <f>INDEX(CaseTypeCol!$H:$H,MATCH($E64,CaseTypeCol!$A:$A,0))</f>
        <v>1_14_0_2</v>
      </c>
      <c r="H64" s="6" t="str">
        <f t="shared" si="0"/>
        <v>0195d18c-1cc1-c475-eba4-c3df5aea8858|0198ef6d-8543-d942-891d-d90db771db73</v>
      </c>
    </row>
    <row r="65" spans="1:8" x14ac:dyDescent="0.3">
      <c r="A65" t="s">
        <v>636</v>
      </c>
      <c r="B65" t="s">
        <v>132</v>
      </c>
      <c r="C65" s="6" t="str">
        <f>INDEX(CaseTypeColSet!$B:$B,MATCH($B65,CaseTypeColSet!$A:$A,0))</f>
        <v>case_type_col_set1_1and2</v>
      </c>
      <c r="E65" t="s">
        <v>537</v>
      </c>
      <c r="F65" s="6" t="str">
        <f>INDEX(CaseTypeCol!$H:$H,MATCH($E65,CaseTypeCol!$A:$A,0))</f>
        <v>1_14_0_3</v>
      </c>
      <c r="H65" s="6" t="str">
        <f t="shared" si="0"/>
        <v>0195d18c-1cc1-c475-eba4-c3df5aea8858|0198ef6d-8543-8e8e-2323-db15777c232c</v>
      </c>
    </row>
    <row r="66" spans="1:8" x14ac:dyDescent="0.3">
      <c r="A66" t="s">
        <v>637</v>
      </c>
      <c r="B66" t="s">
        <v>132</v>
      </c>
      <c r="C66" s="6" t="str">
        <f>INDEX(CaseTypeColSet!$B:$B,MATCH($B66,CaseTypeColSet!$A:$A,0))</f>
        <v>case_type_col_set1_1and2</v>
      </c>
      <c r="E66" t="s">
        <v>538</v>
      </c>
      <c r="F66" s="6" t="str">
        <f>INDEX(CaseTypeCol!$H:$H,MATCH($E66,CaseTypeCol!$A:$A,0))</f>
        <v>1_14_0_4</v>
      </c>
      <c r="H66" s="6" t="str">
        <f t="shared" si="0"/>
        <v>0195d18c-1cc1-c475-eba4-c3df5aea8858|0198ef6d-8543-e881-c040-0a6a35d23358</v>
      </c>
    </row>
    <row r="67" spans="1:8" x14ac:dyDescent="0.3">
      <c r="A67" t="s">
        <v>638</v>
      </c>
      <c r="B67" t="s">
        <v>132</v>
      </c>
      <c r="C67" s="6" t="str">
        <f>INDEX(CaseTypeColSet!$B:$B,MATCH($B67,CaseTypeColSet!$A:$A,0))</f>
        <v>case_type_col_set1_1and2</v>
      </c>
      <c r="E67" t="s">
        <v>539</v>
      </c>
      <c r="F67" s="6" t="str">
        <f>INDEX(CaseTypeCol!$H:$H,MATCH($E67,CaseTypeCol!$A:$A,0))</f>
        <v>1_14_0_5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639</v>
      </c>
      <c r="B68" t="s">
        <v>132</v>
      </c>
      <c r="C68" s="6" t="str">
        <f>INDEX(CaseTypeColSet!$B:$B,MATCH($B68,CaseTypeColSet!$A:$A,0))</f>
        <v>case_type_col_set1_1and2</v>
      </c>
      <c r="E68" t="s">
        <v>540</v>
      </c>
      <c r="F68" s="6" t="str">
        <f>INDEX(CaseTypeCol!$H:$H,MATCH($E68,CaseTypeCol!$A:$A,0))</f>
        <v>1_15_0_1</v>
      </c>
      <c r="H68" s="6" t="str">
        <f t="shared" si="1"/>
        <v>0195d18c-1cc1-c475-eba4-c3df5aea8858|0198ef6d-8543-f61d-4edc-07bcd51c380d</v>
      </c>
    </row>
    <row r="69" spans="1:8" x14ac:dyDescent="0.3">
      <c r="A69" t="s">
        <v>640</v>
      </c>
      <c r="B69" t="s">
        <v>132</v>
      </c>
      <c r="C69" s="6" t="str">
        <f>INDEX(CaseTypeColSet!$B:$B,MATCH($B69,CaseTypeColSet!$A:$A,0))</f>
        <v>case_type_col_set1_1and2</v>
      </c>
      <c r="E69" t="s">
        <v>541</v>
      </c>
      <c r="F69" s="6" t="str">
        <f>INDEX(CaseTypeCol!$H:$H,MATCH($E69,CaseTypeCol!$A:$A,0))</f>
        <v>1_16_0_1</v>
      </c>
      <c r="H69" s="6" t="str">
        <f t="shared" si="1"/>
        <v>0195d18c-1cc1-c475-eba4-c3df5aea8858|0198ef6d-8543-6468-4596-cfc7b24c16e9</v>
      </c>
    </row>
    <row r="70" spans="1:8" x14ac:dyDescent="0.3">
      <c r="A70" t="s">
        <v>641</v>
      </c>
      <c r="B70" t="s">
        <v>132</v>
      </c>
      <c r="C70" s="6" t="str">
        <f>INDEX(CaseTypeColSet!$B:$B,MATCH($B70,CaseTypeColSet!$A:$A,0))</f>
        <v>case_type_col_set1_1and2</v>
      </c>
      <c r="E70" t="s">
        <v>542</v>
      </c>
      <c r="F70" s="6" t="str">
        <f>INDEX(CaseTypeCol!$H:$H,MATCH($E70,CaseTypeCol!$A:$A,0))</f>
        <v>1_17_0_1</v>
      </c>
      <c r="H70" s="6" t="str">
        <f t="shared" si="1"/>
        <v>0195d18c-1cc1-c475-eba4-c3df5aea8858|0198ef6d-8543-2afc-2c12-93e895132544</v>
      </c>
    </row>
    <row r="71" spans="1:8" x14ac:dyDescent="0.3">
      <c r="A71" t="s">
        <v>642</v>
      </c>
      <c r="B71" t="s">
        <v>132</v>
      </c>
      <c r="C71" s="6" t="str">
        <f>INDEX(CaseTypeColSet!$B:$B,MATCH($B71,CaseTypeColSet!$A:$A,0))</f>
        <v>case_type_col_set1_1and2</v>
      </c>
      <c r="E71" t="s">
        <v>543</v>
      </c>
      <c r="F71" s="6" t="str">
        <f>INDEX(CaseTypeCol!$H:$H,MATCH($E71,CaseTypeCol!$A:$A,0))</f>
        <v>1_17_0_2</v>
      </c>
      <c r="H71" s="6" t="str">
        <f t="shared" si="1"/>
        <v>0195d18c-1cc1-c475-eba4-c3df5aea8858|0198ef6d-8543-c453-7e15-c4a877df12b1</v>
      </c>
    </row>
    <row r="72" spans="1:8" x14ac:dyDescent="0.3">
      <c r="A72" t="s">
        <v>643</v>
      </c>
      <c r="B72" t="s">
        <v>132</v>
      </c>
      <c r="C72" s="6" t="str">
        <f>INDEX(CaseTypeColSet!$B:$B,MATCH($B72,CaseTypeColSet!$A:$A,0))</f>
        <v>case_type_col_set1_1and2</v>
      </c>
      <c r="E72" t="s">
        <v>544</v>
      </c>
      <c r="F72" s="6" t="str">
        <f>INDEX(CaseTypeCol!$H:$H,MATCH($E72,CaseTypeCol!$A:$A,0))</f>
        <v>1_17_0_3</v>
      </c>
      <c r="H72" s="6" t="str">
        <f t="shared" si="1"/>
        <v>0195d18c-1cc1-c475-eba4-c3df5aea8858|0198ef6d-8543-2029-b59b-f9f9a653936a</v>
      </c>
    </row>
    <row r="73" spans="1:8" x14ac:dyDescent="0.3">
      <c r="A73" t="s">
        <v>644</v>
      </c>
      <c r="B73" t="s">
        <v>132</v>
      </c>
      <c r="C73" s="6" t="str">
        <f>INDEX(CaseTypeColSet!$B:$B,MATCH($B73,CaseTypeColSet!$A:$A,0))</f>
        <v>case_type_col_set1_1and2</v>
      </c>
      <c r="E73" t="s">
        <v>545</v>
      </c>
      <c r="F73" s="6" t="str">
        <f>INDEX(CaseTypeCol!$H:$H,MATCH($E73,CaseTypeCol!$A:$A,0))</f>
        <v>1_18_0_1</v>
      </c>
      <c r="H73" s="6" t="str">
        <f t="shared" si="1"/>
        <v>0195d18c-1cc1-c475-eba4-c3df5aea8858|0198ef6d-8543-de89-1d51-d1a00a20cfe1</v>
      </c>
    </row>
    <row r="74" spans="1:8" x14ac:dyDescent="0.3">
      <c r="A74" t="s">
        <v>645</v>
      </c>
      <c r="B74" t="s">
        <v>132</v>
      </c>
      <c r="C74" s="6" t="str">
        <f>INDEX(CaseTypeColSet!$B:$B,MATCH($B74,CaseTypeColSet!$A:$A,0))</f>
        <v>case_type_col_set1_1and2</v>
      </c>
      <c r="E74" t="s">
        <v>546</v>
      </c>
      <c r="F74" s="6" t="str">
        <f>INDEX(CaseTypeCol!$H:$H,MATCH($E74,CaseTypeCol!$A:$A,0))</f>
        <v>1_18_0_2</v>
      </c>
      <c r="H74" s="6" t="str">
        <f t="shared" si="1"/>
        <v>0195d18c-1cc1-c475-eba4-c3df5aea8858|0198ef6d-8543-2da2-cd65-fdc03f304e9b</v>
      </c>
    </row>
    <row r="75" spans="1:8" x14ac:dyDescent="0.3">
      <c r="A75" t="s">
        <v>646</v>
      </c>
      <c r="B75" t="s">
        <v>132</v>
      </c>
      <c r="C75" s="6" t="str">
        <f>INDEX(CaseTypeColSet!$B:$B,MATCH($B75,CaseTypeColSet!$A:$A,0))</f>
        <v>case_type_col_set1_1and2</v>
      </c>
      <c r="E75" t="s">
        <v>547</v>
      </c>
      <c r="F75" s="6" t="str">
        <f>INDEX(CaseTypeCol!$H:$H,MATCH($E75,CaseTypeCol!$A:$A,0))</f>
        <v>1_18_0_3</v>
      </c>
      <c r="H75" s="6" t="str">
        <f t="shared" si="1"/>
        <v>0195d18c-1cc1-c475-eba4-c3df5aea8858|0198ef6d-8543-90ee-8214-09a6f499e9d9</v>
      </c>
    </row>
    <row r="76" spans="1:8" x14ac:dyDescent="0.3">
      <c r="A76" t="s">
        <v>647</v>
      </c>
      <c r="B76" t="s">
        <v>132</v>
      </c>
      <c r="C76" s="6" t="str">
        <f>INDEX(CaseTypeColSet!$B:$B,MATCH($B76,CaseTypeColSet!$A:$A,0))</f>
        <v>case_type_col_set1_1and2</v>
      </c>
      <c r="E76" t="s">
        <v>548</v>
      </c>
      <c r="F76" s="6" t="str">
        <f>INDEX(CaseTypeCol!$H:$H,MATCH($E76,CaseTypeCol!$A:$A,0))</f>
        <v>1_19_0_1</v>
      </c>
      <c r="H76" s="6" t="str">
        <f t="shared" si="1"/>
        <v>0195d18c-1cc1-c475-eba4-c3df5aea8858|0198ef6d-8543-a456-618e-e443bc0d35e9</v>
      </c>
    </row>
    <row r="77" spans="1:8" x14ac:dyDescent="0.3">
      <c r="A77" t="s">
        <v>648</v>
      </c>
      <c r="B77" t="s">
        <v>132</v>
      </c>
      <c r="C77" s="6" t="str">
        <f>INDEX(CaseTypeColSet!$B:$B,MATCH($B77,CaseTypeColSet!$A:$A,0))</f>
        <v>case_type_col_set1_1and2</v>
      </c>
      <c r="E77" t="s">
        <v>549</v>
      </c>
      <c r="F77" s="6" t="str">
        <f>INDEX(CaseTypeCol!$H:$H,MATCH($E77,CaseTypeCol!$A:$A,0))</f>
        <v>1_20_0_1</v>
      </c>
      <c r="H77" s="6" t="str">
        <f t="shared" si="1"/>
        <v>0195d18c-1cc1-c475-eba4-c3df5aea8858|0198ef6d-8543-5532-be80-6c8a18c388da</v>
      </c>
    </row>
    <row r="78" spans="1:8" x14ac:dyDescent="0.3">
      <c r="A78" t="s">
        <v>649</v>
      </c>
      <c r="B78" t="s">
        <v>132</v>
      </c>
      <c r="C78" s="6" t="str">
        <f>INDEX(CaseTypeColSet!$B:$B,MATCH($B78,CaseTypeColSet!$A:$A,0))</f>
        <v>case_type_col_set1_1and2</v>
      </c>
      <c r="E78" t="s">
        <v>550</v>
      </c>
      <c r="F78" s="6" t="str">
        <f>INDEX(CaseTypeCol!$H:$H,MATCH($E78,CaseTypeCol!$A:$A,0))</f>
        <v>2_1_0_1</v>
      </c>
      <c r="H78" s="6" t="str">
        <f t="shared" si="1"/>
        <v>0195d18c-1cc1-c475-eba4-c3df5aea8858|0198ef6d-8543-daa3-3b64-47a0bed70d1b</v>
      </c>
    </row>
    <row r="79" spans="1:8" x14ac:dyDescent="0.3">
      <c r="A79" t="s">
        <v>650</v>
      </c>
      <c r="B79" t="s">
        <v>132</v>
      </c>
      <c r="C79" s="6" t="str">
        <f>INDEX(CaseTypeColSet!$B:$B,MATCH($B79,CaseTypeColSet!$A:$A,0))</f>
        <v>case_type_col_set1_1and2</v>
      </c>
      <c r="E79" t="s">
        <v>551</v>
      </c>
      <c r="F79" s="6" t="str">
        <f>INDEX(CaseTypeCol!$H:$H,MATCH($E79,CaseTypeCol!$A:$A,0))</f>
        <v>2_3_0_1</v>
      </c>
      <c r="H79" s="6" t="str">
        <f t="shared" si="1"/>
        <v>0195d18c-1cc1-c475-eba4-c3df5aea8858|0198ef6d-8543-7ab3-ba92-5fa2af40f240</v>
      </c>
    </row>
    <row r="80" spans="1:8" x14ac:dyDescent="0.3">
      <c r="A80" t="s">
        <v>651</v>
      </c>
      <c r="B80" t="s">
        <v>132</v>
      </c>
      <c r="C80" s="6" t="str">
        <f>INDEX(CaseTypeColSet!$B:$B,MATCH($B80,CaseTypeColSet!$A:$A,0))</f>
        <v>case_type_col_set1_1and2</v>
      </c>
      <c r="E80" t="s">
        <v>552</v>
      </c>
      <c r="F80" s="6" t="str">
        <f>INDEX(CaseTypeCol!$H:$H,MATCH($E80,CaseTypeCol!$A:$A,0))</f>
        <v>2_5_0_1</v>
      </c>
      <c r="H80" s="6" t="str">
        <f t="shared" si="1"/>
        <v>0195d18c-1cc1-c475-eba4-c3df5aea8858|0198ef6d-8543-0e30-d86c-c2c7095525ec</v>
      </c>
    </row>
    <row r="81" spans="1:8" x14ac:dyDescent="0.3">
      <c r="A81" t="s">
        <v>652</v>
      </c>
      <c r="B81" t="s">
        <v>132</v>
      </c>
      <c r="C81" s="6" t="str">
        <f>INDEX(CaseTypeColSet!$B:$B,MATCH($B81,CaseTypeColSet!$A:$A,0))</f>
        <v>case_type_col_set1_1and2</v>
      </c>
      <c r="E81" t="s">
        <v>553</v>
      </c>
      <c r="F81" s="6" t="str">
        <f>INDEX(CaseTypeCol!$H:$H,MATCH($E81,CaseTypeCol!$A:$A,0))</f>
        <v>2_7_0_1</v>
      </c>
      <c r="H81" s="6" t="str">
        <f t="shared" si="1"/>
        <v>0195d18c-1cc1-c475-eba4-c3df5aea8858|0198ef6d-8543-1443-43dc-7a07aef0da30</v>
      </c>
    </row>
    <row r="82" spans="1:8" x14ac:dyDescent="0.3">
      <c r="A82" t="s">
        <v>653</v>
      </c>
      <c r="B82" t="s">
        <v>132</v>
      </c>
      <c r="C82" s="6" t="str">
        <f>INDEX(CaseTypeColSet!$B:$B,MATCH($B82,CaseTypeColSet!$A:$A,0))</f>
        <v>case_type_col_set1_1and2</v>
      </c>
      <c r="E82" t="s">
        <v>554</v>
      </c>
      <c r="F82" s="6" t="str">
        <f>INDEX(CaseTypeCol!$H:$H,MATCH($E82,CaseTypeCol!$A:$A,0))</f>
        <v>2_9_0_1</v>
      </c>
      <c r="H82" s="6" t="str">
        <f t="shared" si="1"/>
        <v>0195d18c-1cc1-c475-eba4-c3df5aea8858|0198ef6d-8543-7fbb-0745-44bb651edd00</v>
      </c>
    </row>
    <row r="83" spans="1:8" x14ac:dyDescent="0.3">
      <c r="A83" t="s">
        <v>654</v>
      </c>
      <c r="B83" t="s">
        <v>132</v>
      </c>
      <c r="C83" s="6" t="str">
        <f>INDEX(CaseTypeColSet!$B:$B,MATCH($B83,CaseTypeColSet!$A:$A,0))</f>
        <v>case_type_col_set1_1and2</v>
      </c>
      <c r="E83" t="s">
        <v>555</v>
      </c>
      <c r="F83" s="6" t="str">
        <f>INDEX(CaseTypeCol!$H:$H,MATCH($E83,CaseTypeCol!$A:$A,0))</f>
        <v>2_11_0_1</v>
      </c>
      <c r="H83" s="6" t="str">
        <f t="shared" si="1"/>
        <v>0195d18c-1cc1-c475-eba4-c3df5aea8858|0198ef6d-8543-72db-d650-96776e8fd4a7</v>
      </c>
    </row>
    <row r="84" spans="1:8" x14ac:dyDescent="0.3">
      <c r="A84" t="s">
        <v>655</v>
      </c>
      <c r="B84" t="s">
        <v>132</v>
      </c>
      <c r="C84" s="6" t="str">
        <f>INDEX(CaseTypeColSet!$B:$B,MATCH($B84,CaseTypeColSet!$A:$A,0))</f>
        <v>case_type_col_set1_1and2</v>
      </c>
      <c r="E84" t="s">
        <v>556</v>
      </c>
      <c r="F84" s="6" t="str">
        <f>INDEX(CaseTypeCol!$H:$H,MATCH($E84,CaseTypeCol!$A:$A,0))</f>
        <v>2_11_0_2</v>
      </c>
      <c r="H84" s="6" t="str">
        <f t="shared" si="1"/>
        <v>0195d18c-1cc1-c475-eba4-c3df5aea8858|0198ef6d-8543-aed3-82fc-8fc90e0c93fd</v>
      </c>
    </row>
    <row r="85" spans="1:8" x14ac:dyDescent="0.3">
      <c r="A85" t="s">
        <v>656</v>
      </c>
      <c r="B85" t="s">
        <v>132</v>
      </c>
      <c r="C85" s="6" t="str">
        <f>INDEX(CaseTypeColSet!$B:$B,MATCH($B85,CaseTypeColSet!$A:$A,0))</f>
        <v>case_type_col_set1_1and2</v>
      </c>
      <c r="E85" t="s">
        <v>557</v>
      </c>
      <c r="F85" s="6" t="str">
        <f>INDEX(CaseTypeCol!$H:$H,MATCH($E85,CaseTypeCol!$A:$A,0))</f>
        <v>2_11_0_3</v>
      </c>
      <c r="H85" s="6" t="str">
        <f t="shared" si="1"/>
        <v>0195d18c-1cc1-c475-eba4-c3df5aea8858|0198ef6d-8543-e6af-3e5a-6494a01a06ae</v>
      </c>
    </row>
    <row r="86" spans="1:8" x14ac:dyDescent="0.3">
      <c r="A86" t="s">
        <v>657</v>
      </c>
      <c r="B86" t="s">
        <v>132</v>
      </c>
      <c r="C86" s="6" t="str">
        <f>INDEX(CaseTypeColSet!$B:$B,MATCH($B86,CaseTypeColSet!$A:$A,0))</f>
        <v>case_type_col_set1_1and2</v>
      </c>
      <c r="E86" t="s">
        <v>558</v>
      </c>
      <c r="F86" s="6" t="str">
        <f>INDEX(CaseTypeCol!$H:$H,MATCH($E86,CaseTypeCol!$A:$A,0))</f>
        <v>2_11_0_4</v>
      </c>
      <c r="H86" s="6" t="str">
        <f t="shared" si="1"/>
        <v>0195d18c-1cc1-c475-eba4-c3df5aea8858|0198ef6d-8543-4e2b-87de-57604330cdd3</v>
      </c>
    </row>
    <row r="87" spans="1:8" x14ac:dyDescent="0.3">
      <c r="A87" t="s">
        <v>658</v>
      </c>
      <c r="B87" t="s">
        <v>132</v>
      </c>
      <c r="C87" s="6" t="str">
        <f>INDEX(CaseTypeColSet!$B:$B,MATCH($B87,CaseTypeColSet!$A:$A,0))</f>
        <v>case_type_col_set1_1and2</v>
      </c>
      <c r="E87" t="s">
        <v>559</v>
      </c>
      <c r="F87" s="6" t="str">
        <f>INDEX(CaseTypeCol!$H:$H,MATCH($E87,CaseTypeCol!$A:$A,0))</f>
        <v>2_13_0_1</v>
      </c>
      <c r="H87" s="6" t="str">
        <f t="shared" si="1"/>
        <v>0195d18c-1cc1-c475-eba4-c3df5aea8858|0198ef6d-8543-7196-e13a-d911de7aa2aa</v>
      </c>
    </row>
    <row r="88" spans="1:8" x14ac:dyDescent="0.3">
      <c r="A88" t="s">
        <v>659</v>
      </c>
      <c r="B88" t="s">
        <v>132</v>
      </c>
      <c r="C88" s="6" t="str">
        <f>INDEX(CaseTypeColSet!$B:$B,MATCH($B88,CaseTypeColSet!$A:$A,0))</f>
        <v>case_type_col_set1_1and2</v>
      </c>
      <c r="E88" t="s">
        <v>560</v>
      </c>
      <c r="F88" s="6" t="str">
        <f>INDEX(CaseTypeCol!$H:$H,MATCH($E88,CaseTypeCol!$A:$A,0))</f>
        <v>2_13_0_2</v>
      </c>
      <c r="H88" s="6" t="str">
        <f t="shared" si="1"/>
        <v>0195d18c-1cc1-c475-eba4-c3df5aea8858|0198ef6d-8543-49c9-f899-a2bd7ca7905e</v>
      </c>
    </row>
    <row r="89" spans="1:8" x14ac:dyDescent="0.3">
      <c r="A89" t="s">
        <v>660</v>
      </c>
      <c r="B89" t="s">
        <v>132</v>
      </c>
      <c r="C89" s="6" t="str">
        <f>INDEX(CaseTypeColSet!$B:$B,MATCH($B89,CaseTypeColSet!$A:$A,0))</f>
        <v>case_type_col_set1_1and2</v>
      </c>
      <c r="E89" t="s">
        <v>561</v>
      </c>
      <c r="F89" s="6" t="str">
        <f>INDEX(CaseTypeCol!$H:$H,MATCH($E89,CaseTypeCol!$A:$A,0))</f>
        <v>2_13_0_3</v>
      </c>
      <c r="H89" s="6" t="str">
        <f t="shared" si="1"/>
        <v>0195d18c-1cc1-c475-eba4-c3df5aea8858|0198ef6d-8543-e911-0c7d-89e8d97702dc</v>
      </c>
    </row>
    <row r="90" spans="1:8" x14ac:dyDescent="0.3">
      <c r="A90" t="s">
        <v>661</v>
      </c>
      <c r="B90" t="s">
        <v>132</v>
      </c>
      <c r="C90" s="6" t="str">
        <f>INDEX(CaseTypeColSet!$B:$B,MATCH($B90,CaseTypeColSet!$A:$A,0))</f>
        <v>case_type_col_set1_1and2</v>
      </c>
      <c r="E90" t="s">
        <v>562</v>
      </c>
      <c r="F90" s="6" t="str">
        <f>INDEX(CaseTypeCol!$H:$H,MATCH($E90,CaseTypeCol!$A:$A,0))</f>
        <v>2_13_0_4</v>
      </c>
      <c r="H90" s="6" t="str">
        <f t="shared" si="1"/>
        <v>0195d18c-1cc1-c475-eba4-c3df5aea8858|0198ef6d-8543-c287-9def-b1c31ccc15e3</v>
      </c>
    </row>
    <row r="91" spans="1:8" x14ac:dyDescent="0.3">
      <c r="A91" t="s">
        <v>662</v>
      </c>
      <c r="B91" t="s">
        <v>132</v>
      </c>
      <c r="C91" s="6" t="str">
        <f>INDEX(CaseTypeColSet!$B:$B,MATCH($B91,CaseTypeColSet!$A:$A,0))</f>
        <v>case_type_col_set1_1and2</v>
      </c>
      <c r="E91" t="s">
        <v>563</v>
      </c>
      <c r="F91" s="6" t="str">
        <f>INDEX(CaseTypeCol!$H:$H,MATCH($E91,CaseTypeCol!$A:$A,0))</f>
        <v>2_13_0_5</v>
      </c>
      <c r="H91" s="6" t="str">
        <f t="shared" si="1"/>
        <v>0195d18c-1cc1-c475-eba4-c3df5aea8858|0198ef6d-8543-d41c-32e8-4166495e403d</v>
      </c>
    </row>
    <row r="92" spans="1:8" x14ac:dyDescent="0.3">
      <c r="A92" t="s">
        <v>663</v>
      </c>
      <c r="B92" t="s">
        <v>132</v>
      </c>
      <c r="C92" s="6" t="str">
        <f>INDEX(CaseTypeColSet!$B:$B,MATCH($B92,CaseTypeColSet!$A:$A,0))</f>
        <v>case_type_col_set1_1and2</v>
      </c>
      <c r="E92" t="s">
        <v>564</v>
      </c>
      <c r="F92" s="6" t="str">
        <f>INDEX(CaseTypeCol!$H:$H,MATCH($E92,CaseTypeCol!$A:$A,0))</f>
        <v>2_15_0_1</v>
      </c>
      <c r="H92" s="6" t="str">
        <f t="shared" si="1"/>
        <v>0195d18c-1cc1-c475-eba4-c3df5aea8858|0198ef6d-8543-92f3-9168-2df7a147b28e</v>
      </c>
    </row>
    <row r="93" spans="1:8" x14ac:dyDescent="0.3">
      <c r="A93" t="s">
        <v>664</v>
      </c>
      <c r="B93" t="s">
        <v>132</v>
      </c>
      <c r="C93" s="6" t="str">
        <f>INDEX(CaseTypeColSet!$B:$B,MATCH($B93,CaseTypeColSet!$A:$A,0))</f>
        <v>case_type_col_set1_1and2</v>
      </c>
      <c r="E93" t="s">
        <v>565</v>
      </c>
      <c r="F93" s="6" t="str">
        <f>INDEX(CaseTypeCol!$H:$H,MATCH($E93,CaseTypeCol!$A:$A,0))</f>
        <v>2_17_0_1</v>
      </c>
      <c r="H93" s="6" t="str">
        <f t="shared" si="1"/>
        <v>0195d18c-1cc1-c475-eba4-c3df5aea8858|0198ef6d-8543-83ae-9c38-8230890499d5</v>
      </c>
    </row>
    <row r="94" spans="1:8" x14ac:dyDescent="0.3">
      <c r="A94" t="s">
        <v>665</v>
      </c>
      <c r="B94" t="s">
        <v>132</v>
      </c>
      <c r="C94" s="6" t="str">
        <f>INDEX(CaseTypeColSet!$B:$B,MATCH($B94,CaseTypeColSet!$A:$A,0))</f>
        <v>case_type_col_set1_1and2</v>
      </c>
      <c r="E94" t="s">
        <v>566</v>
      </c>
      <c r="F94" s="6" t="str">
        <f>INDEX(CaseTypeCol!$H:$H,MATCH($E94,CaseTypeCol!$A:$A,0))</f>
        <v>2_17_0_2</v>
      </c>
      <c r="H94" s="6" t="str">
        <f t="shared" si="1"/>
        <v>0195d18c-1cc1-c475-eba4-c3df5aea8858|0198ef6d-8543-aca5-d495-a14d205474c8</v>
      </c>
    </row>
    <row r="95" spans="1:8" x14ac:dyDescent="0.3">
      <c r="A95" t="s">
        <v>666</v>
      </c>
      <c r="B95" t="s">
        <v>132</v>
      </c>
      <c r="C95" s="6" t="str">
        <f>INDEX(CaseTypeColSet!$B:$B,MATCH($B95,CaseTypeColSet!$A:$A,0))</f>
        <v>case_type_col_set1_1and2</v>
      </c>
      <c r="E95" t="s">
        <v>567</v>
      </c>
      <c r="F95" s="6" t="str">
        <f>INDEX(CaseTypeCol!$H:$H,MATCH($E95,CaseTypeCol!$A:$A,0))</f>
        <v>2_17_0_3</v>
      </c>
      <c r="H95" s="6" t="str">
        <f t="shared" si="1"/>
        <v>0195d18c-1cc1-c475-eba4-c3df5aea8858|0198ef6d-8543-059f-33dd-73f8668bc5ef</v>
      </c>
    </row>
    <row r="96" spans="1:8" x14ac:dyDescent="0.3">
      <c r="A96" t="s">
        <v>667</v>
      </c>
      <c r="B96" t="s">
        <v>132</v>
      </c>
      <c r="C96" s="6" t="str">
        <f>INDEX(CaseTypeColSet!$B:$B,MATCH($B96,CaseTypeColSet!$A:$A,0))</f>
        <v>case_type_col_set1_1and2</v>
      </c>
      <c r="E96" t="s">
        <v>568</v>
      </c>
      <c r="F96" s="6" t="str">
        <f>INDEX(CaseTypeCol!$H:$H,MATCH($E96,CaseTypeCol!$A:$A,0))</f>
        <v>2_19_0_1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268</v>
      </c>
      <c r="D1" s="7" t="s">
        <v>1</v>
      </c>
      <c r="E1" s="7" t="s">
        <v>267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796</v>
      </c>
      <c r="D1" s="7" t="s">
        <v>58</v>
      </c>
      <c r="E1" s="4" t="s">
        <v>780</v>
      </c>
      <c r="F1" s="7" t="s">
        <v>3</v>
      </c>
      <c r="G1" s="7" t="s">
        <v>269</v>
      </c>
      <c r="H1" s="7" t="s">
        <v>4</v>
      </c>
      <c r="I1" s="7" t="s">
        <v>5</v>
      </c>
      <c r="J1" s="7" t="s">
        <v>270</v>
      </c>
      <c r="K1" s="8" t="s">
        <v>797</v>
      </c>
      <c r="L1" s="7" t="s">
        <v>271</v>
      </c>
      <c r="M1" s="8" t="s">
        <v>798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772</v>
      </c>
      <c r="T1" s="4" t="s">
        <v>272</v>
      </c>
      <c r="U1" s="8" t="s">
        <v>273</v>
      </c>
      <c r="V1" s="8" t="s">
        <v>279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132</v>
      </c>
      <c r="K3" s="4" t="str">
        <f>IF($J3="","",INDEX(CaseTypeColSet!$B:$B,MATCH($J3,CaseTypeColSet!$A:$A,0)))</f>
        <v>case_type_col_set1_1and2</v>
      </c>
      <c r="L3" t="s">
        <v>132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132</v>
      </c>
      <c r="K4" s="4" t="str">
        <f>IF($J4="","",INDEX(CaseTypeColSet!$B:$B,MATCH($J4,CaseTypeColSet!$A:$A,0)))</f>
        <v>case_type_col_set1_1and2</v>
      </c>
      <c r="L4" t="s">
        <v>132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132</v>
      </c>
      <c r="K5" s="4" t="str">
        <f>IF($J5="","",INDEX(CaseTypeColSet!$B:$B,MATCH($J5,CaseTypeColSet!$A:$A,0)))</f>
        <v>case_type_col_set1_1and2</v>
      </c>
      <c r="L5" t="s">
        <v>132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132</v>
      </c>
      <c r="K6" s="4" t="str">
        <f>IF($J6="","",INDEX(CaseTypeColSet!$B:$B,MATCH($J6,CaseTypeColSet!$A:$A,0)))</f>
        <v>case_type_col_set1_1and2</v>
      </c>
      <c r="L6" t="s">
        <v>132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132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132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132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132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796</v>
      </c>
      <c r="D1" s="7" t="s">
        <v>58</v>
      </c>
      <c r="E1" s="4" t="s">
        <v>780</v>
      </c>
      <c r="F1" s="7" t="s">
        <v>3</v>
      </c>
      <c r="G1" s="7" t="s">
        <v>4</v>
      </c>
      <c r="H1" s="7" t="s">
        <v>5</v>
      </c>
      <c r="I1" s="7" t="s">
        <v>270</v>
      </c>
      <c r="J1" s="8" t="s">
        <v>797</v>
      </c>
      <c r="K1" s="7" t="s">
        <v>271</v>
      </c>
      <c r="L1" s="8" t="s">
        <v>798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799</v>
      </c>
      <c r="R1" s="8" t="s">
        <v>800</v>
      </c>
      <c r="S1" s="4" t="s">
        <v>272</v>
      </c>
      <c r="T1" s="8" t="s">
        <v>273</v>
      </c>
      <c r="U1" s="7" t="s">
        <v>1</v>
      </c>
      <c r="V1" s="8" t="s">
        <v>801</v>
      </c>
      <c r="W1" s="15" t="s">
        <v>279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132</v>
      </c>
      <c r="J3" s="4" t="str">
        <f>IF($I3="","",INDEX(CaseTypeColSet!$B:$B,MATCH($I3,CaseTypeColSet!$A:$A,0)))</f>
        <v>case_type_col_set1_1and2</v>
      </c>
      <c r="K3" t="s">
        <v>132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132</v>
      </c>
      <c r="J4" s="4" t="str">
        <f>IF($I4="","",INDEX(CaseTypeColSet!$B:$B,MATCH($I4,CaseTypeColSet!$A:$A,0)))</f>
        <v>case_type_col_set1_1and2</v>
      </c>
      <c r="K4" t="s">
        <v>132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132</v>
      </c>
      <c r="J5" s="4" t="str">
        <f>IF($I5="","",INDEX(CaseTypeColSet!$B:$B,MATCH($I5,CaseTypeColSet!$A:$A,0)))</f>
        <v>case_type_col_set1_1and2</v>
      </c>
      <c r="K5" t="s">
        <v>132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132</v>
      </c>
      <c r="J6" s="4" t="str">
        <f>IF($I6="","",INDEX(CaseTypeColSet!$B:$B,MATCH($I6,CaseTypeColSet!$A:$A,0)))</f>
        <v>case_type_col_set1_1and2</v>
      </c>
      <c r="K6" t="s">
        <v>132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132</v>
      </c>
      <c r="J8" s="4" t="str">
        <f>IF($I8="","",INDEX(CaseTypeColSet!$B:$B,MATCH($I8,CaseTypeColSet!$A:$A,0)))</f>
        <v>case_type_col_set1_1and2</v>
      </c>
      <c r="K8" t="s">
        <v>132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132</v>
      </c>
      <c r="J9" s="4" t="str">
        <f>IF($I9="","",INDEX(CaseTypeColSet!$B:$B,MATCH($I9,CaseTypeColSet!$A:$A,0)))</f>
        <v>case_type_col_set1_1and2</v>
      </c>
      <c r="K9" t="s">
        <v>132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132</v>
      </c>
      <c r="J10" s="4" t="str">
        <f>IF($I10="","",INDEX(CaseTypeColSet!$B:$B,MATCH($I10,CaseTypeColSet!$A:$A,0)))</f>
        <v>case_type_col_set1_1and2</v>
      </c>
      <c r="K10" t="s">
        <v>132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132</v>
      </c>
      <c r="J11" s="4" t="str">
        <f>IF($I11="","",INDEX(CaseTypeColSet!$B:$B,MATCH($I11,CaseTypeColSet!$A:$A,0)))</f>
        <v>case_type_col_set1_1and2</v>
      </c>
      <c r="K11" t="s">
        <v>132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796</v>
      </c>
      <c r="D1" t="s">
        <v>58</v>
      </c>
      <c r="E1" s="3" t="s">
        <v>780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208</v>
      </c>
      <c r="L1" s="3" t="s">
        <v>802</v>
      </c>
      <c r="M1" s="6" t="s">
        <v>799</v>
      </c>
      <c r="N1" s="3" t="s">
        <v>800</v>
      </c>
      <c r="O1" s="7" t="s">
        <v>1</v>
      </c>
      <c r="P1" s="8" t="s">
        <v>801</v>
      </c>
    </row>
    <row r="2" spans="1:16" x14ac:dyDescent="0.3">
      <c r="A2" t="s">
        <v>274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796</v>
      </c>
      <c r="D1" t="s">
        <v>58</v>
      </c>
      <c r="E1" s="3" t="s">
        <v>780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208</v>
      </c>
      <c r="L1" s="3" t="s">
        <v>802</v>
      </c>
      <c r="M1" t="s">
        <v>41</v>
      </c>
      <c r="N1" s="3" t="s">
        <v>772</v>
      </c>
    </row>
    <row r="2" spans="1:14" x14ac:dyDescent="0.3">
      <c r="A2" t="s">
        <v>274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CaseTypeDim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2025-12-15T06:22:11Z</dcterms:modified>
</cp:coreProperties>
</file>