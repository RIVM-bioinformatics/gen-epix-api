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BBC56F4C-8C83-4C95-AF98-992B989F9472}" xr6:coauthVersionLast="47" xr6:coauthVersionMax="47" xr10:uidLastSave="{00000000-0000-0000-0000-000000000000}"/>
  <bookViews>
    <workbookView xWindow="-120" yWindow="-120" windowWidth="51840" windowHeight="21120" tabRatio="913" firstSheet="2" activeTab="20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CaseCrudCommand!$A$1:$AT$33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4" l="1"/>
  <c r="F5" i="24"/>
  <c r="F4" i="24"/>
  <c r="F3" i="24"/>
  <c r="F2" i="24"/>
  <c r="AT8" i="24" a="1"/>
  <c r="AT8" i="24" s="1"/>
  <c r="AS8" i="24" a="1"/>
  <c r="AS8" i="24" s="1"/>
  <c r="AR8" i="24" a="1"/>
  <c r="AR8" i="24" s="1"/>
  <c r="AQ8" i="24" a="1"/>
  <c r="AQ8" i="24" s="1"/>
  <c r="AP8" i="24"/>
  <c r="AM8" i="24" a="1"/>
  <c r="AM8" i="24" s="1"/>
  <c r="AL8" i="24" a="1"/>
  <c r="AL8" i="24" s="1"/>
  <c r="AK8" i="24" a="1"/>
  <c r="AK8" i="24" s="1"/>
  <c r="AJ8" i="24" a="1"/>
  <c r="AJ8" i="24" s="1"/>
  <c r="AI8" i="24"/>
  <c r="AB8" i="24"/>
  <c r="W8" i="24"/>
  <c r="T8" i="24"/>
  <c r="S8" i="24"/>
  <c r="G8" i="24"/>
  <c r="AT7" i="24" a="1"/>
  <c r="AT7" i="24" s="1"/>
  <c r="AS7" i="24" a="1"/>
  <c r="AS7" i="24" s="1"/>
  <c r="AR7" i="24" a="1"/>
  <c r="AR7" i="24" s="1"/>
  <c r="AQ7" i="24" a="1"/>
  <c r="AQ7" i="24" s="1"/>
  <c r="AP7" i="24"/>
  <c r="AM7" i="24" a="1"/>
  <c r="AM7" i="24" s="1"/>
  <c r="AL7" i="24" a="1"/>
  <c r="AL7" i="24" s="1"/>
  <c r="AK7" i="24" a="1"/>
  <c r="AK7" i="24" s="1"/>
  <c r="AJ7" i="24" a="1"/>
  <c r="AJ7" i="24" s="1"/>
  <c r="AI7" i="24"/>
  <c r="AB7" i="24"/>
  <c r="W7" i="24"/>
  <c r="T7" i="24"/>
  <c r="S7" i="24"/>
  <c r="G7" i="24"/>
  <c r="AT6" i="24" a="1"/>
  <c r="AT6" i="24" s="1"/>
  <c r="AS6" i="24" a="1"/>
  <c r="AS6" i="24" s="1"/>
  <c r="AR6" i="24" a="1"/>
  <c r="AR6" i="24" s="1"/>
  <c r="AQ6" i="24" a="1"/>
  <c r="AQ6" i="24" s="1"/>
  <c r="AP6" i="24"/>
  <c r="AM6" i="24" a="1"/>
  <c r="AM6" i="24" s="1"/>
  <c r="AL6" i="24" a="1"/>
  <c r="AL6" i="24" s="1"/>
  <c r="AK6" i="24" a="1"/>
  <c r="AK6" i="24" s="1"/>
  <c r="AJ6" i="24" a="1"/>
  <c r="AJ6" i="24" s="1"/>
  <c r="AI6" i="24"/>
  <c r="AB6" i="24"/>
  <c r="W6" i="24"/>
  <c r="T6" i="24"/>
  <c r="S6" i="24"/>
  <c r="G6" i="24"/>
  <c r="AT5" i="24" a="1"/>
  <c r="AT5" i="24" s="1"/>
  <c r="AS5" i="24" a="1"/>
  <c r="AS5" i="24" s="1"/>
  <c r="AR5" i="24" a="1"/>
  <c r="AR5" i="24" s="1"/>
  <c r="AQ5" i="24" a="1"/>
  <c r="AQ5" i="24" s="1"/>
  <c r="AP5" i="24"/>
  <c r="AM5" i="24" a="1"/>
  <c r="AM5" i="24" s="1"/>
  <c r="AL5" i="24" a="1"/>
  <c r="AL5" i="24" s="1"/>
  <c r="AK5" i="24" a="1"/>
  <c r="AK5" i="24" s="1"/>
  <c r="AJ5" i="24" a="1"/>
  <c r="AJ5" i="24" s="1"/>
  <c r="AI5" i="24"/>
  <c r="AB5" i="24"/>
  <c r="W5" i="24"/>
  <c r="T5" i="24"/>
  <c r="S5" i="24"/>
  <c r="G5" i="24"/>
  <c r="H3" i="8"/>
  <c r="H4" i="8"/>
  <c r="H5" i="8"/>
  <c r="H6" i="8"/>
  <c r="H2" i="8"/>
  <c r="E3" i="8"/>
  <c r="E4" i="8"/>
  <c r="E5" i="8"/>
  <c r="E6" i="8"/>
  <c r="E2" i="8"/>
  <c r="AT3" i="24" a="1"/>
  <c r="AT3" i="24" s="1"/>
  <c r="AT4" i="24" a="1"/>
  <c r="AT4" i="24" s="1"/>
  <c r="AT9" i="24" a="1"/>
  <c r="AT9" i="24" s="1"/>
  <c r="AT10" i="24" a="1"/>
  <c r="AT10" i="24" s="1"/>
  <c r="AT11" i="24" a="1"/>
  <c r="AT11" i="24" s="1"/>
  <c r="AT12" i="24" a="1"/>
  <c r="AT12" i="24" s="1"/>
  <c r="AT13" i="24" a="1"/>
  <c r="AT13" i="24" s="1"/>
  <c r="AT14" i="24" a="1"/>
  <c r="AT14" i="24" s="1"/>
  <c r="AT15" i="24" a="1"/>
  <c r="AT15" i="24" s="1"/>
  <c r="AT16" i="24" a="1"/>
  <c r="AT16" i="24" s="1"/>
  <c r="AT17" i="24" a="1"/>
  <c r="AT17" i="24" s="1"/>
  <c r="AT18" i="24" a="1"/>
  <c r="AT18" i="24" s="1"/>
  <c r="AT19" i="24" a="1"/>
  <c r="AT19" i="24" s="1"/>
  <c r="AT20" i="24" a="1"/>
  <c r="AT20" i="24" s="1"/>
  <c r="AT21" i="24" a="1"/>
  <c r="AT21" i="24" s="1"/>
  <c r="AT22" i="24" a="1"/>
  <c r="AT22" i="24" s="1"/>
  <c r="AT23" i="24" a="1"/>
  <c r="AT23" i="24" s="1"/>
  <c r="AT24" i="24" a="1"/>
  <c r="AT24" i="24" s="1"/>
  <c r="AT25" i="24" a="1"/>
  <c r="AT25" i="24" s="1"/>
  <c r="AT26" i="24" a="1"/>
  <c r="AT26" i="24" s="1"/>
  <c r="AT27" i="24" a="1"/>
  <c r="AT27" i="24" s="1"/>
  <c r="AT28" i="24" a="1"/>
  <c r="AT28" i="24" s="1"/>
  <c r="AT29" i="24" a="1"/>
  <c r="AT29" i="24" s="1"/>
  <c r="AT30" i="24" a="1"/>
  <c r="AT30" i="24" s="1"/>
  <c r="AT31" i="24" a="1"/>
  <c r="AT31" i="24" s="1"/>
  <c r="AT32" i="24" a="1"/>
  <c r="AT32" i="24" s="1"/>
  <c r="AT33" i="24" a="1"/>
  <c r="AT33" i="24" s="1"/>
  <c r="AT2" i="24" a="1"/>
  <c r="AT2" i="24" s="1"/>
  <c r="AM3" i="24" a="1"/>
  <c r="AM3" i="24" s="1"/>
  <c r="AM4" i="24" a="1"/>
  <c r="AM4" i="24" s="1"/>
  <c r="AM9" i="24" a="1"/>
  <c r="AM9" i="24" s="1"/>
  <c r="AM10" i="24" a="1"/>
  <c r="AM10" i="24" s="1"/>
  <c r="AM11" i="24" a="1"/>
  <c r="AM11" i="24" s="1"/>
  <c r="AM12" i="24" a="1"/>
  <c r="AM12" i="24" s="1"/>
  <c r="AM13" i="24" a="1"/>
  <c r="AM13" i="24" s="1"/>
  <c r="AM14" i="24" a="1"/>
  <c r="AM14" i="24" s="1"/>
  <c r="AM15" i="24" a="1"/>
  <c r="AM15" i="24" s="1"/>
  <c r="AM16" i="24" a="1"/>
  <c r="AM16" i="24" s="1"/>
  <c r="AM17" i="24" a="1"/>
  <c r="AM17" i="24" s="1"/>
  <c r="AM18" i="24" a="1"/>
  <c r="AM18" i="24" s="1"/>
  <c r="AM19" i="24" a="1"/>
  <c r="AM19" i="24" s="1"/>
  <c r="AM20" i="24" a="1"/>
  <c r="AM20" i="24" s="1"/>
  <c r="AM21" i="24" a="1"/>
  <c r="AM21" i="24" s="1"/>
  <c r="AM22" i="24" a="1"/>
  <c r="AM22" i="24" s="1"/>
  <c r="AM23" i="24" a="1"/>
  <c r="AM23" i="24" s="1"/>
  <c r="AM24" i="24" a="1"/>
  <c r="AM24" i="24" s="1"/>
  <c r="AM25" i="24" a="1"/>
  <c r="AM25" i="24" s="1"/>
  <c r="AM26" i="24" a="1"/>
  <c r="AM26" i="24" s="1"/>
  <c r="AM27" i="24" a="1"/>
  <c r="AM27" i="24" s="1"/>
  <c r="AM28" i="24" a="1"/>
  <c r="AM28" i="24" s="1"/>
  <c r="AM29" i="24" a="1"/>
  <c r="AM29" i="24" s="1"/>
  <c r="AM30" i="24" a="1"/>
  <c r="AM30" i="24" s="1"/>
  <c r="AM31" i="24" a="1"/>
  <c r="AM31" i="24" s="1"/>
  <c r="AM32" i="24" a="1"/>
  <c r="AM32" i="24" s="1"/>
  <c r="AM33" i="24" a="1"/>
  <c r="AM33" i="24" s="1"/>
  <c r="AM2" i="24" a="1"/>
  <c r="AM2" i="24" s="1"/>
  <c r="AJ10" i="24" a="1"/>
  <c r="AJ10" i="24" s="1"/>
  <c r="AK10" i="24" a="1"/>
  <c r="AK10" i="24" s="1"/>
  <c r="AJ11" i="24" a="1"/>
  <c r="AJ11" i="24" s="1"/>
  <c r="AK11" i="24" a="1"/>
  <c r="AK11" i="24" s="1"/>
  <c r="AJ12" i="24" a="1"/>
  <c r="AJ12" i="24" s="1"/>
  <c r="AK12" i="24" a="1"/>
  <c r="AK12" i="24" s="1"/>
  <c r="AJ13" i="24" a="1"/>
  <c r="AJ13" i="24" s="1"/>
  <c r="AK13" i="24" a="1"/>
  <c r="AK13" i="24" s="1"/>
  <c r="AJ18" i="24" a="1"/>
  <c r="AJ18" i="24" s="1"/>
  <c r="AK18" i="24" a="1"/>
  <c r="AK18" i="24" s="1"/>
  <c r="AJ19" i="24" a="1"/>
  <c r="AJ19" i="24" s="1"/>
  <c r="AK19" i="24" a="1"/>
  <c r="AK19" i="24" s="1"/>
  <c r="AJ20" i="24" a="1"/>
  <c r="AJ20" i="24" s="1"/>
  <c r="AK20" i="24" a="1"/>
  <c r="AK20" i="24" s="1"/>
  <c r="AJ21" i="24" a="1"/>
  <c r="AJ21" i="24" s="1"/>
  <c r="AK21" i="24" a="1"/>
  <c r="AK21" i="24" s="1"/>
  <c r="AJ22" i="24" a="1"/>
  <c r="AJ22" i="24" s="1"/>
  <c r="AK22" i="24" a="1"/>
  <c r="AK22" i="24" s="1"/>
  <c r="AJ23" i="24" a="1"/>
  <c r="AJ23" i="24" s="1"/>
  <c r="AK23" i="24" a="1"/>
  <c r="AK23" i="24" s="1"/>
  <c r="AJ24" i="24" a="1"/>
  <c r="AJ24" i="24" s="1"/>
  <c r="AK24" i="24" a="1"/>
  <c r="AK24" i="24" s="1"/>
  <c r="AJ25" i="24" a="1"/>
  <c r="AJ25" i="24" s="1"/>
  <c r="AK25" i="24" a="1"/>
  <c r="AK25" i="24" s="1"/>
  <c r="AJ26" i="24" a="1"/>
  <c r="AJ26" i="24" s="1"/>
  <c r="AK26" i="24" a="1"/>
  <c r="AK26" i="24" s="1"/>
  <c r="AJ27" i="24" a="1"/>
  <c r="AJ27" i="24" s="1"/>
  <c r="AK27" i="24" a="1"/>
  <c r="AK27" i="24" s="1"/>
  <c r="AJ28" i="24" a="1"/>
  <c r="AJ28" i="24" s="1"/>
  <c r="AK28" i="24" a="1"/>
  <c r="AK28" i="24" s="1"/>
  <c r="AJ29" i="24" a="1"/>
  <c r="AJ29" i="24" s="1"/>
  <c r="AK29" i="24" a="1"/>
  <c r="AK29" i="24" s="1"/>
  <c r="AJ30" i="24" a="1"/>
  <c r="AJ30" i="24" s="1"/>
  <c r="AK30" i="24" a="1"/>
  <c r="AK30" i="24" s="1"/>
  <c r="AJ31" i="24" a="1"/>
  <c r="AJ31" i="24" s="1"/>
  <c r="AK31" i="24" a="1"/>
  <c r="AK31" i="24" s="1"/>
  <c r="AJ32" i="24" a="1"/>
  <c r="AJ32" i="24" s="1"/>
  <c r="AK32" i="24" a="1"/>
  <c r="AK32" i="24" s="1"/>
  <c r="AJ33" i="24" a="1"/>
  <c r="AJ33" i="24" s="1"/>
  <c r="AK33" i="24" a="1"/>
  <c r="AK33" i="24" s="1"/>
  <c r="AS33" i="24" a="1"/>
  <c r="AS33" i="24" s="1"/>
  <c r="AL33" i="24" a="1"/>
  <c r="AL33" i="24" s="1"/>
  <c r="AS32" i="24" a="1"/>
  <c r="AS32" i="24" s="1"/>
  <c r="AL32" i="24" a="1"/>
  <c r="AL32" i="24" s="1"/>
  <c r="AS31" i="24" a="1"/>
  <c r="AS31" i="24" s="1"/>
  <c r="AL31" i="24" a="1"/>
  <c r="AL31" i="24" s="1"/>
  <c r="AS30" i="24" a="1"/>
  <c r="AS30" i="24" s="1"/>
  <c r="AL30" i="24" a="1"/>
  <c r="AL30" i="24" s="1"/>
  <c r="AS29" i="24" a="1"/>
  <c r="AS29" i="24" s="1"/>
  <c r="AL29" i="24" a="1"/>
  <c r="AL29" i="24" s="1"/>
  <c r="AS28" i="24" a="1"/>
  <c r="AS28" i="24" s="1"/>
  <c r="AL28" i="24" a="1"/>
  <c r="AL28" i="24" s="1"/>
  <c r="AS27" i="24" a="1"/>
  <c r="AS27" i="24" s="1"/>
  <c r="AL27" i="24" a="1"/>
  <c r="AL27" i="24" s="1"/>
  <c r="AS26" i="24" a="1"/>
  <c r="AS26" i="24" s="1"/>
  <c r="AL26" i="24" a="1"/>
  <c r="AL26" i="24" s="1"/>
  <c r="AS25" i="24" a="1"/>
  <c r="AS25" i="24" s="1"/>
  <c r="AL25" i="24" a="1"/>
  <c r="AL25" i="24" s="1"/>
  <c r="AS24" i="24" a="1"/>
  <c r="AS24" i="24" s="1"/>
  <c r="AL24" i="24" a="1"/>
  <c r="AL24" i="24" s="1"/>
  <c r="AS23" i="24" a="1"/>
  <c r="AS23" i="24" s="1"/>
  <c r="AL23" i="24" a="1"/>
  <c r="AL23" i="24" s="1"/>
  <c r="AS22" i="24" a="1"/>
  <c r="AS22" i="24" s="1"/>
  <c r="AL22" i="24" a="1"/>
  <c r="AL22" i="24" s="1"/>
  <c r="AS21" i="24" a="1"/>
  <c r="AS21" i="24" s="1"/>
  <c r="AL21" i="24" a="1"/>
  <c r="AL21" i="24" s="1"/>
  <c r="AS20" i="24" a="1"/>
  <c r="AS20" i="24" s="1"/>
  <c r="AL20" i="24" a="1"/>
  <c r="AL20" i="24" s="1"/>
  <c r="AS19" i="24" a="1"/>
  <c r="AS19" i="24" s="1"/>
  <c r="AL19" i="24" a="1"/>
  <c r="AL19" i="24" s="1"/>
  <c r="AS18" i="24" a="1"/>
  <c r="AS18" i="24" s="1"/>
  <c r="AL18" i="24" a="1"/>
  <c r="AL18" i="24" s="1"/>
  <c r="AS17" i="24" a="1"/>
  <c r="AS17" i="24" s="1"/>
  <c r="AL17" i="24" a="1"/>
  <c r="AL17" i="24" s="1"/>
  <c r="AS16" i="24" a="1"/>
  <c r="AS16" i="24" s="1"/>
  <c r="AL16" i="24" a="1"/>
  <c r="AL16" i="24" s="1"/>
  <c r="AS15" i="24" a="1"/>
  <c r="AS15" i="24" s="1"/>
  <c r="AL15" i="24" a="1"/>
  <c r="AL15" i="24" s="1"/>
  <c r="AS13" i="24" a="1"/>
  <c r="AS13" i="24" s="1"/>
  <c r="AL13" i="24" a="1"/>
  <c r="AL13" i="24" s="1"/>
  <c r="AS12" i="24" a="1"/>
  <c r="AS12" i="24" s="1"/>
  <c r="AL12" i="24" a="1"/>
  <c r="AL12" i="24" s="1"/>
  <c r="AS11" i="24" a="1"/>
  <c r="AS11" i="24" s="1"/>
  <c r="AL11" i="24" a="1"/>
  <c r="AL11" i="24" s="1"/>
  <c r="AS10" i="24" a="1"/>
  <c r="AS10" i="24" s="1"/>
  <c r="AL10" i="24" a="1"/>
  <c r="AL10" i="24" s="1"/>
  <c r="AS9" i="24" a="1"/>
  <c r="AS9" i="24" s="1"/>
  <c r="AL9" i="24" a="1"/>
  <c r="AL9" i="24" s="1"/>
  <c r="AS4" i="24" a="1"/>
  <c r="AS4" i="24" s="1"/>
  <c r="AL4" i="24" a="1"/>
  <c r="AL4" i="24" s="1"/>
  <c r="AS3" i="24" a="1"/>
  <c r="AS3" i="24" s="1"/>
  <c r="AL3" i="24" a="1"/>
  <c r="AL3" i="24" s="1"/>
  <c r="AS2" i="24" a="1"/>
  <c r="AS2" i="24" s="1"/>
  <c r="AL2" i="24" a="1"/>
  <c r="AL2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L3" i="15" s="1"/>
  <c r="H4" i="15"/>
  <c r="H5" i="15"/>
  <c r="L5" i="15" s="1"/>
  <c r="H6" i="15"/>
  <c r="L6" i="15" s="1"/>
  <c r="H10" i="24" s="1"/>
  <c r="H7" i="15"/>
  <c r="L7" i="15" s="1"/>
  <c r="H11" i="24" s="1"/>
  <c r="H8" i="15"/>
  <c r="L8" i="15" s="1"/>
  <c r="H12" i="24" s="1"/>
  <c r="H9" i="15"/>
  <c r="L9" i="15" s="1"/>
  <c r="H13" i="24" s="1"/>
  <c r="H10" i="15"/>
  <c r="L10" i="15" s="1"/>
  <c r="H11" i="15"/>
  <c r="L11" i="15" s="1"/>
  <c r="H15" i="24" s="1"/>
  <c r="H12" i="15"/>
  <c r="L12" i="15" s="1"/>
  <c r="H16" i="24" s="1"/>
  <c r="H13" i="15"/>
  <c r="L13" i="15" s="1"/>
  <c r="H17" i="24" s="1"/>
  <c r="H14" i="15"/>
  <c r="L14" i="15" s="1"/>
  <c r="H18" i="24" s="1"/>
  <c r="H15" i="15"/>
  <c r="L15" i="15" s="1"/>
  <c r="H19" i="24" s="1"/>
  <c r="H16" i="15"/>
  <c r="L16" i="15" s="1"/>
  <c r="H20" i="24" s="1"/>
  <c r="H17" i="15"/>
  <c r="L17" i="15" s="1"/>
  <c r="H21" i="24" s="1"/>
  <c r="H18" i="15"/>
  <c r="L18" i="15" s="1"/>
  <c r="H22" i="24" s="1"/>
  <c r="H19" i="15"/>
  <c r="L19" i="15" s="1"/>
  <c r="H23" i="24" s="1"/>
  <c r="H20" i="15"/>
  <c r="L20" i="15" s="1"/>
  <c r="H24" i="24" s="1"/>
  <c r="H21" i="15"/>
  <c r="L21" i="15" s="1"/>
  <c r="H25" i="24" s="1"/>
  <c r="H22" i="15"/>
  <c r="L22" i="15" s="1"/>
  <c r="H26" i="24" s="1"/>
  <c r="H23" i="15"/>
  <c r="L23" i="15" s="1"/>
  <c r="H27" i="24" s="1"/>
  <c r="H24" i="15"/>
  <c r="L24" i="15" s="1"/>
  <c r="H28" i="24" s="1"/>
  <c r="H25" i="15"/>
  <c r="L25" i="15" s="1"/>
  <c r="H29" i="24" s="1"/>
  <c r="H26" i="15"/>
  <c r="L26" i="15" s="1"/>
  <c r="H30" i="24" s="1"/>
  <c r="H27" i="15"/>
  <c r="L27" i="15" s="1"/>
  <c r="H31" i="24" s="1"/>
  <c r="H28" i="15"/>
  <c r="L28" i="15" s="1"/>
  <c r="H32" i="24" s="1"/>
  <c r="H29" i="15"/>
  <c r="L29" i="15" s="1"/>
  <c r="H33" i="24" s="1"/>
  <c r="H2" i="15"/>
  <c r="L2" i="15" s="1"/>
  <c r="W3" i="21"/>
  <c r="M22" i="24" s="1"/>
  <c r="O22" i="24" s="1" a="1"/>
  <c r="O22" i="24" s="1"/>
  <c r="W4" i="21"/>
  <c r="W5" i="21"/>
  <c r="W6" i="21"/>
  <c r="W7" i="21"/>
  <c r="W8" i="21"/>
  <c r="W9" i="21"/>
  <c r="W10" i="21"/>
  <c r="W11" i="21"/>
  <c r="W2" i="21"/>
  <c r="M8" i="24" s="1"/>
  <c r="O8" i="24" s="1" a="1"/>
  <c r="O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G3" i="24"/>
  <c r="G4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33" i="24"/>
  <c r="T2" i="24"/>
  <c r="AP3" i="24"/>
  <c r="AP4" i="24"/>
  <c r="AP9" i="24"/>
  <c r="AP10" i="24"/>
  <c r="AP11" i="24"/>
  <c r="AP12" i="24"/>
  <c r="AP13" i="24"/>
  <c r="AP14" i="24"/>
  <c r="AP15" i="24"/>
  <c r="AP16" i="24"/>
  <c r="AP17" i="24"/>
  <c r="AP18" i="24"/>
  <c r="AP19" i="24"/>
  <c r="AP20" i="24"/>
  <c r="AP21" i="24"/>
  <c r="AP22" i="24"/>
  <c r="AP23" i="24"/>
  <c r="AP24" i="24"/>
  <c r="AP25" i="24"/>
  <c r="AP26" i="24"/>
  <c r="AP27" i="24"/>
  <c r="AP28" i="24"/>
  <c r="AP29" i="24"/>
  <c r="AP30" i="24"/>
  <c r="AP31" i="24"/>
  <c r="AP32" i="24"/>
  <c r="AP33" i="24"/>
  <c r="AP2" i="24"/>
  <c r="AI3" i="24"/>
  <c r="AI4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2" i="24"/>
  <c r="AB3" i="24"/>
  <c r="AB4" i="24"/>
  <c r="AB9" i="24"/>
  <c r="AB10" i="24"/>
  <c r="AB11" i="24"/>
  <c r="AB12" i="24"/>
  <c r="AB13" i="24"/>
  <c r="AB14" i="24"/>
  <c r="AB15" i="24"/>
  <c r="AB16" i="24"/>
  <c r="AB17" i="24"/>
  <c r="AB18" i="24"/>
  <c r="AB19" i="24"/>
  <c r="AB20" i="24"/>
  <c r="AB21" i="24"/>
  <c r="AB22" i="24"/>
  <c r="AB23" i="24"/>
  <c r="AB24" i="24"/>
  <c r="AB25" i="24"/>
  <c r="AB26" i="24"/>
  <c r="AB27" i="24"/>
  <c r="AB28" i="24"/>
  <c r="AB29" i="24"/>
  <c r="AB30" i="24"/>
  <c r="AB31" i="24"/>
  <c r="AB32" i="24"/>
  <c r="AB33" i="24"/>
  <c r="AB2" i="24"/>
  <c r="W3" i="24"/>
  <c r="W4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W28" i="24"/>
  <c r="W29" i="24"/>
  <c r="W30" i="24"/>
  <c r="W31" i="24"/>
  <c r="W32" i="24"/>
  <c r="W33" i="24"/>
  <c r="W2" i="24"/>
  <c r="S3" i="24"/>
  <c r="S4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J3" i="24" a="1"/>
  <c r="AJ15" i="24" a="1"/>
  <c r="AK3" i="24" a="1"/>
  <c r="AK15" i="24" a="1"/>
  <c r="AJ4" i="24" a="1"/>
  <c r="AJ16" i="24" a="1"/>
  <c r="AJ14" i="24" a="1"/>
  <c r="AK4" i="24" a="1"/>
  <c r="AK16" i="24" a="1"/>
  <c r="AK14" i="24" a="1"/>
  <c r="AJ9" i="24" a="1"/>
  <c r="AJ17" i="24" a="1"/>
  <c r="AK9" i="24" a="1"/>
  <c r="AK17" i="24" a="1"/>
  <c r="AK2" i="24" a="1"/>
  <c r="AJ2" i="24" a="1"/>
  <c r="AS14" i="24" a="1"/>
  <c r="AL14" i="24" a="1"/>
  <c r="H7" i="24" l="1"/>
  <c r="H2" i="24"/>
  <c r="H6" i="24"/>
  <c r="H14" i="24"/>
  <c r="H5" i="24"/>
  <c r="H9" i="24"/>
  <c r="H3" i="24"/>
  <c r="H8" i="24"/>
  <c r="M4" i="24"/>
  <c r="AE4" i="24" s="1" a="1"/>
  <c r="AE4" i="24" s="1"/>
  <c r="I5" i="24"/>
  <c r="M5" i="24"/>
  <c r="O5" i="24" s="1" a="1"/>
  <c r="O5" i="24" s="1"/>
  <c r="I6" i="24"/>
  <c r="L4" i="15"/>
  <c r="H4" i="24" s="1"/>
  <c r="M13" i="24"/>
  <c r="AE13" i="24" s="1" a="1"/>
  <c r="AE13" i="24" s="1"/>
  <c r="M6" i="24"/>
  <c r="I7" i="24"/>
  <c r="M7" i="24"/>
  <c r="O7" i="24" s="1" a="1"/>
  <c r="O7" i="24" s="1"/>
  <c r="I8" i="24"/>
  <c r="P7" i="24" a="1"/>
  <c r="P7" i="24" s="1"/>
  <c r="P8" i="24" a="1"/>
  <c r="P8" i="24" s="1"/>
  <c r="AE7" i="24" a="1"/>
  <c r="AE7" i="24" s="1"/>
  <c r="AE8" i="24" a="1"/>
  <c r="AE8" i="24" s="1"/>
  <c r="N7" i="24" a="1"/>
  <c r="N7" i="24" s="1"/>
  <c r="AF7" i="24" a="1"/>
  <c r="AF7" i="24" s="1"/>
  <c r="N8" i="24" a="1"/>
  <c r="N8" i="24" s="1"/>
  <c r="AF8" i="24" a="1"/>
  <c r="AF8" i="24" s="1"/>
  <c r="P5" i="24" a="1"/>
  <c r="P5" i="24" s="1"/>
  <c r="AE5" i="24" a="1"/>
  <c r="AE5" i="24" s="1"/>
  <c r="N5" i="24" a="1"/>
  <c r="N5" i="24" s="1"/>
  <c r="AE22" i="24" a="1"/>
  <c r="AE22" i="24" s="1"/>
  <c r="AF22" i="24" a="1"/>
  <c r="AF22" i="24" s="1"/>
  <c r="AK17" i="24"/>
  <c r="AK9" i="24"/>
  <c r="AJ17" i="24"/>
  <c r="AJ9" i="24"/>
  <c r="AK14" i="24"/>
  <c r="AK16" i="24"/>
  <c r="AK4" i="24"/>
  <c r="AJ14" i="24"/>
  <c r="AJ16" i="24"/>
  <c r="AJ4" i="24"/>
  <c r="AK15" i="24"/>
  <c r="AK3" i="24"/>
  <c r="AJ15" i="24"/>
  <c r="AJ3" i="24"/>
  <c r="AK2" i="24"/>
  <c r="AJ2" i="24"/>
  <c r="AL14" i="24"/>
  <c r="AS14" i="24"/>
  <c r="I15" i="24"/>
  <c r="I31" i="24"/>
  <c r="J31" i="24" s="1" a="1"/>
  <c r="J31" i="24" s="1"/>
  <c r="O4" i="24" a="1"/>
  <c r="O4" i="24" s="1"/>
  <c r="M23" i="24"/>
  <c r="O23" i="24" s="1" a="1"/>
  <c r="O23" i="24" s="1"/>
  <c r="M3" i="24"/>
  <c r="M21" i="24"/>
  <c r="M20" i="24"/>
  <c r="M19" i="24"/>
  <c r="M2" i="24"/>
  <c r="M18" i="24"/>
  <c r="N18" i="24" s="1" a="1"/>
  <c r="N18" i="24" s="1"/>
  <c r="M33" i="24"/>
  <c r="O33" i="24" s="1" a="1"/>
  <c r="O33" i="24" s="1"/>
  <c r="M17" i="24"/>
  <c r="M32" i="24"/>
  <c r="N32" i="24" s="1" a="1"/>
  <c r="N32" i="24" s="1"/>
  <c r="M16" i="24"/>
  <c r="M31" i="24"/>
  <c r="O31" i="24" s="1" a="1"/>
  <c r="O31" i="24" s="1"/>
  <c r="M15" i="24"/>
  <c r="M30" i="24"/>
  <c r="M14" i="24"/>
  <c r="M29" i="24"/>
  <c r="N29" i="24" s="1" a="1"/>
  <c r="N29" i="24" s="1"/>
  <c r="M28" i="24"/>
  <c r="M12" i="24"/>
  <c r="M27" i="24"/>
  <c r="M11" i="24"/>
  <c r="M26" i="24"/>
  <c r="M10" i="24"/>
  <c r="M25" i="24"/>
  <c r="N25" i="24" s="1" a="1"/>
  <c r="N25" i="24" s="1"/>
  <c r="M9" i="24"/>
  <c r="M24" i="24"/>
  <c r="P24" i="24" s="1" a="1"/>
  <c r="P24" i="24" s="1"/>
  <c r="AR31" i="24" a="1"/>
  <c r="AR31" i="24" s="1"/>
  <c r="N22" i="24" a="1"/>
  <c r="N22" i="24" s="1"/>
  <c r="N4" i="24" a="1"/>
  <c r="N4" i="24" s="1"/>
  <c r="P4" i="24" a="1"/>
  <c r="P4" i="24" s="1"/>
  <c r="P22" i="24" a="1"/>
  <c r="P22" i="24" s="1"/>
  <c r="I17" i="24"/>
  <c r="T7" i="20"/>
  <c r="I32" i="24"/>
  <c r="I16" i="24"/>
  <c r="I30" i="24"/>
  <c r="I14" i="24"/>
  <c r="I29" i="24"/>
  <c r="I13" i="24"/>
  <c r="I28" i="24"/>
  <c r="I12" i="24"/>
  <c r="I27" i="24"/>
  <c r="I11" i="24"/>
  <c r="I26" i="24"/>
  <c r="I10" i="24"/>
  <c r="I25" i="24"/>
  <c r="I9" i="24"/>
  <c r="I24" i="24"/>
  <c r="I4" i="24"/>
  <c r="U11" i="20"/>
  <c r="I23" i="24"/>
  <c r="I3" i="24"/>
  <c r="I22" i="24"/>
  <c r="I21" i="24"/>
  <c r="I20" i="24"/>
  <c r="I19" i="24"/>
  <c r="I2" i="24"/>
  <c r="I18" i="24"/>
  <c r="I33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R15" i="24" a="1"/>
  <c r="AQ15" i="24" a="1"/>
  <c r="AR16" i="24" a="1"/>
  <c r="AQ16" i="24" a="1"/>
  <c r="AQ14" i="24" a="1"/>
  <c r="AR14" i="24" a="1"/>
  <c r="AQ2" i="24" a="1"/>
  <c r="AR2" i="24" a="1"/>
  <c r="AR4" i="24" a="1"/>
  <c r="AQ4" i="24" a="1"/>
  <c r="AR17" i="24" a="1"/>
  <c r="AQ17" i="24" a="1"/>
  <c r="AR9" i="24" a="1"/>
  <c r="AQ9" i="24" a="1"/>
  <c r="AR3" i="24" a="1"/>
  <c r="AQ3" i="24" a="1"/>
  <c r="AC5" i="24" a="1"/>
  <c r="J15" i="24" a="1"/>
  <c r="AC14" i="24" a="1"/>
  <c r="AD8" i="24" a="1"/>
  <c r="K6" i="24" a="1"/>
  <c r="J6" i="24" a="1"/>
  <c r="K5" i="24" a="1"/>
  <c r="L8" i="24" a="1"/>
  <c r="AC8" i="24" a="1"/>
  <c r="AD2" i="24" a="1"/>
  <c r="AD15" i="24" a="1"/>
  <c r="L15" i="24" a="1"/>
  <c r="L14" i="24" a="1"/>
  <c r="L17" i="24" a="1"/>
  <c r="AD5" i="24" a="1"/>
  <c r="AD16" i="24" a="1"/>
  <c r="K2" i="24" a="1"/>
  <c r="AE14" i="24" a="1"/>
  <c r="L9" i="24" a="1"/>
  <c r="K9" i="24" a="1"/>
  <c r="K17" i="24" a="1"/>
  <c r="P14" i="24" a="1"/>
  <c r="AD6" i="24" a="1"/>
  <c r="J5" i="24" a="1"/>
  <c r="AC9" i="24" a="1"/>
  <c r="K8" i="24" a="1"/>
  <c r="J2" i="24" a="1"/>
  <c r="AD14" i="24" a="1"/>
  <c r="AD17" i="24" a="1"/>
  <c r="J8" i="24" a="1"/>
  <c r="L7" i="24" a="1"/>
  <c r="AC17" i="24" a="1"/>
  <c r="L5" i="24" a="1"/>
  <c r="AC15" i="24" a="1"/>
  <c r="K14" i="24" a="1"/>
  <c r="AD3" i="24" a="1"/>
  <c r="J14" i="24" a="1"/>
  <c r="J9" i="24" a="1"/>
  <c r="L6" i="24" a="1"/>
  <c r="AF14" i="24" a="1"/>
  <c r="N14" i="24" a="1"/>
  <c r="O14" i="24" a="1"/>
  <c r="AC6" i="24" a="1"/>
  <c r="J4" i="24" a="1"/>
  <c r="J17" i="24" a="1"/>
  <c r="K15" i="24" a="1"/>
  <c r="AC2" i="24" a="1"/>
  <c r="L2" i="24" a="1"/>
  <c r="O13" i="24" l="1" a="1"/>
  <c r="O13" i="24" s="1"/>
  <c r="P13" i="24" a="1"/>
  <c r="P13" i="24" s="1"/>
  <c r="N13" i="24" a="1"/>
  <c r="N13" i="24" s="1"/>
  <c r="AF4" i="24" a="1"/>
  <c r="AF4" i="24" s="1"/>
  <c r="AF13" i="24" a="1"/>
  <c r="AF13" i="24" s="1"/>
  <c r="AF5" i="24" a="1"/>
  <c r="AF5" i="24" s="1"/>
  <c r="J8" i="24"/>
  <c r="AC8" i="24"/>
  <c r="K8" i="24"/>
  <c r="AD8" i="24"/>
  <c r="L8" i="24"/>
  <c r="L7" i="24"/>
  <c r="N31" i="24" a="1"/>
  <c r="N31" i="24" s="1"/>
  <c r="L6" i="24"/>
  <c r="J6" i="24"/>
  <c r="AC6" i="24"/>
  <c r="K6" i="24"/>
  <c r="AD6" i="24"/>
  <c r="AD5" i="24"/>
  <c r="L5" i="24"/>
  <c r="AC5" i="24"/>
  <c r="K5" i="24"/>
  <c r="J5" i="24"/>
  <c r="O32" i="24" a="1"/>
  <c r="O32" i="24" s="1"/>
  <c r="N23" i="24" a="1"/>
  <c r="N23" i="24" s="1"/>
  <c r="AF14" i="24"/>
  <c r="AE14" i="24"/>
  <c r="AF11" i="24" a="1"/>
  <c r="AF11" i="24" s="1"/>
  <c r="AE11" i="24" a="1"/>
  <c r="AE11" i="24" s="1"/>
  <c r="AF20" i="24" a="1"/>
  <c r="AF20" i="24" s="1"/>
  <c r="AE20" i="24" a="1"/>
  <c r="AE20" i="24" s="1"/>
  <c r="AF28" i="24" a="1"/>
  <c r="AF28" i="24" s="1"/>
  <c r="AE28" i="24" a="1"/>
  <c r="AE28" i="24" s="1"/>
  <c r="AF23" i="24" a="1"/>
  <c r="AF23" i="24" s="1"/>
  <c r="AE23" i="24" a="1"/>
  <c r="AE23" i="24" s="1"/>
  <c r="N21" i="24" a="1"/>
  <c r="N21" i="24" s="1"/>
  <c r="AE21" i="24" a="1"/>
  <c r="AE21" i="24" s="1"/>
  <c r="AF21" i="24" a="1"/>
  <c r="AF21" i="24" s="1"/>
  <c r="O29" i="24" a="1"/>
  <c r="O29" i="24" s="1"/>
  <c r="AE29" i="24" a="1"/>
  <c r="AE29" i="24" s="1"/>
  <c r="AF29" i="24" a="1"/>
  <c r="AF29" i="24" s="1"/>
  <c r="AE30" i="24" a="1"/>
  <c r="AE30" i="24" s="1"/>
  <c r="AF30" i="24" a="1"/>
  <c r="AF30" i="24" s="1"/>
  <c r="AF15" i="24" a="1"/>
  <c r="AF15" i="24" s="1"/>
  <c r="AE15" i="24" a="1"/>
  <c r="AE15" i="24" s="1"/>
  <c r="N12" i="24" a="1"/>
  <c r="N12" i="24" s="1"/>
  <c r="AF12" i="24" a="1"/>
  <c r="AF12" i="24" s="1"/>
  <c r="AE12" i="24" a="1"/>
  <c r="AE12" i="24" s="1"/>
  <c r="O21" i="24" a="1"/>
  <c r="O21" i="24" s="1"/>
  <c r="AF31" i="24" a="1"/>
  <c r="AF31" i="24" s="1"/>
  <c r="AE31" i="24" a="1"/>
  <c r="AE31" i="24" s="1"/>
  <c r="AF3" i="24" a="1"/>
  <c r="AF3" i="24" s="1"/>
  <c r="AE3" i="24" a="1"/>
  <c r="AE3" i="24" s="1"/>
  <c r="AF16" i="24" a="1"/>
  <c r="AF16" i="24" s="1"/>
  <c r="AE16" i="24" a="1"/>
  <c r="AE16" i="24" s="1"/>
  <c r="AF32" i="24" a="1"/>
  <c r="AF32" i="24" s="1"/>
  <c r="AE32" i="24" a="1"/>
  <c r="AE32" i="24" s="1"/>
  <c r="N27" i="24" a="1"/>
  <c r="N27" i="24" s="1"/>
  <c r="AE27" i="24" a="1"/>
  <c r="AE27" i="24" s="1"/>
  <c r="AF27" i="24" a="1"/>
  <c r="AF27" i="24" s="1"/>
  <c r="AF24" i="24" a="1"/>
  <c r="AF24" i="24" s="1"/>
  <c r="AE24" i="24" a="1"/>
  <c r="AE24" i="24" s="1"/>
  <c r="N17" i="24" a="1"/>
  <c r="N17" i="24" s="1"/>
  <c r="AF17" i="24" a="1"/>
  <c r="AF17" i="24" s="1"/>
  <c r="AE17" i="24" a="1"/>
  <c r="AE17" i="24" s="1"/>
  <c r="P9" i="24" a="1"/>
  <c r="P9" i="24" s="1"/>
  <c r="AE9" i="24" a="1"/>
  <c r="AE9" i="24" s="1"/>
  <c r="AF9" i="24" a="1"/>
  <c r="AF9" i="24" s="1"/>
  <c r="N33" i="24" a="1"/>
  <c r="N33" i="24" s="1"/>
  <c r="AF33" i="24" a="1"/>
  <c r="AF33" i="24" s="1"/>
  <c r="AE33" i="24" a="1"/>
  <c r="AE33" i="24" s="1"/>
  <c r="AE25" i="24" a="1"/>
  <c r="AE25" i="24" s="1"/>
  <c r="AF25" i="24" a="1"/>
  <c r="AF25" i="24" s="1"/>
  <c r="O18" i="24" a="1"/>
  <c r="O18" i="24" s="1"/>
  <c r="AF18" i="24" a="1"/>
  <c r="AF18" i="24" s="1"/>
  <c r="AE18" i="24" a="1"/>
  <c r="AE18" i="24" s="1"/>
  <c r="AE10" i="24" a="1"/>
  <c r="AE10" i="24" s="1"/>
  <c r="AF10" i="24" a="1"/>
  <c r="AF10" i="24" s="1"/>
  <c r="N2" i="24" a="1"/>
  <c r="N2" i="24" s="1"/>
  <c r="AF2" i="24" a="1"/>
  <c r="AF2" i="24" s="1"/>
  <c r="AE2" i="24" a="1"/>
  <c r="AE2" i="24" s="1"/>
  <c r="AE26" i="24" a="1"/>
  <c r="AE26" i="24" s="1"/>
  <c r="AF26" i="24" a="1"/>
  <c r="AF26" i="24" s="1"/>
  <c r="N19" i="24" a="1"/>
  <c r="N19" i="24" s="1"/>
  <c r="AF19" i="24" a="1"/>
  <c r="AF19" i="24" s="1"/>
  <c r="AE19" i="24" a="1"/>
  <c r="AE19" i="24" s="1"/>
  <c r="P2" i="24" a="1"/>
  <c r="P2" i="24" s="1"/>
  <c r="P25" i="24" a="1"/>
  <c r="P25" i="24" s="1"/>
  <c r="N9" i="24" a="1"/>
  <c r="N9" i="24" s="1"/>
  <c r="N26" i="24" a="1"/>
  <c r="N26" i="24" s="1"/>
  <c r="O19" i="24" a="1"/>
  <c r="O19" i="24" s="1"/>
  <c r="O26" i="24" a="1"/>
  <c r="O26" i="24" s="1"/>
  <c r="O10" i="24" a="1"/>
  <c r="O10" i="24" s="1"/>
  <c r="P16" i="24" a="1"/>
  <c r="P16" i="24" s="1"/>
  <c r="N10" i="24" a="1"/>
  <c r="N10" i="24" s="1"/>
  <c r="N24" i="24" a="1"/>
  <c r="N24" i="24" s="1"/>
  <c r="AQ15" i="24"/>
  <c r="AR15" i="24"/>
  <c r="AC15" i="24"/>
  <c r="AD15" i="24"/>
  <c r="L15" i="24"/>
  <c r="K15" i="24"/>
  <c r="J15" i="24"/>
  <c r="K31" i="24" a="1"/>
  <c r="K31" i="24" s="1"/>
  <c r="L31" i="24" a="1"/>
  <c r="L31" i="24" s="1"/>
  <c r="AC31" i="24" a="1"/>
  <c r="AC31" i="24" s="1"/>
  <c r="AD31" i="24" a="1"/>
  <c r="AD31" i="24" s="1"/>
  <c r="AQ31" i="24" a="1"/>
  <c r="AQ31" i="24" s="1"/>
  <c r="O14" i="24"/>
  <c r="N14" i="24"/>
  <c r="P14" i="24"/>
  <c r="O27" i="24" a="1"/>
  <c r="O27" i="24" s="1"/>
  <c r="P17" i="24" a="1"/>
  <c r="P17" i="24" s="1"/>
  <c r="O28" i="24" a="1"/>
  <c r="O28" i="24" s="1"/>
  <c r="P33" i="24" a="1"/>
  <c r="P33" i="24" s="1"/>
  <c r="P12" i="24" a="1"/>
  <c r="P12" i="24" s="1"/>
  <c r="O3" i="24" a="1"/>
  <c r="O3" i="24" s="1"/>
  <c r="N11" i="24" a="1"/>
  <c r="N11" i="24" s="1"/>
  <c r="P18" i="24" a="1"/>
  <c r="P18" i="24" s="1"/>
  <c r="P31" i="24" a="1"/>
  <c r="P31" i="24" s="1"/>
  <c r="P30" i="24" a="1"/>
  <c r="P30" i="24" s="1"/>
  <c r="O9" i="24" a="1"/>
  <c r="O9" i="24" s="1"/>
  <c r="O25" i="24" a="1"/>
  <c r="O25" i="24" s="1"/>
  <c r="N20" i="24" a="1"/>
  <c r="N20" i="24" s="1"/>
  <c r="P10" i="24" a="1"/>
  <c r="P10" i="24" s="1"/>
  <c r="O2" i="24" a="1"/>
  <c r="O2" i="24" s="1"/>
  <c r="O16" i="24" a="1"/>
  <c r="O16" i="24" s="1"/>
  <c r="P26" i="24" a="1"/>
  <c r="P26" i="24" s="1"/>
  <c r="P19" i="24" a="1"/>
  <c r="P19" i="24" s="1"/>
  <c r="O11" i="24" a="1"/>
  <c r="O11" i="24" s="1"/>
  <c r="P11" i="24" a="1"/>
  <c r="P11" i="24" s="1"/>
  <c r="O20" i="24" a="1"/>
  <c r="O20" i="24" s="1"/>
  <c r="N28" i="24" a="1"/>
  <c r="N28" i="24" s="1"/>
  <c r="P27" i="24" a="1"/>
  <c r="P27" i="24" s="1"/>
  <c r="O15" i="24" a="1"/>
  <c r="O15" i="24" s="1"/>
  <c r="N15" i="24" a="1"/>
  <c r="N15" i="24" s="1"/>
  <c r="O12" i="24" a="1"/>
  <c r="O12" i="24" s="1"/>
  <c r="P21" i="24" a="1"/>
  <c r="P21" i="24" s="1"/>
  <c r="P3" i="24" a="1"/>
  <c r="P3" i="24" s="1"/>
  <c r="P28" i="24" a="1"/>
  <c r="P28" i="24" s="1"/>
  <c r="N30" i="24" a="1"/>
  <c r="N30" i="24" s="1"/>
  <c r="P29" i="24" a="1"/>
  <c r="P29" i="24" s="1"/>
  <c r="P23" i="24" a="1"/>
  <c r="P23" i="24" s="1"/>
  <c r="O17" i="24" a="1"/>
  <c r="O17" i="24" s="1"/>
  <c r="N3" i="24" a="1"/>
  <c r="N3" i="24" s="1"/>
  <c r="N16" i="24" a="1"/>
  <c r="N16" i="24" s="1"/>
  <c r="O30" i="24" a="1"/>
  <c r="O30" i="24" s="1"/>
  <c r="P15" i="24" a="1"/>
  <c r="P15" i="24" s="1"/>
  <c r="P20" i="24" a="1"/>
  <c r="P20" i="24" s="1"/>
  <c r="O24" i="24" a="1"/>
  <c r="O24" i="24" s="1"/>
  <c r="P32" i="24" a="1"/>
  <c r="P32" i="24" s="1"/>
  <c r="AQ3" i="24"/>
  <c r="AR3" i="24"/>
  <c r="AQ9" i="24"/>
  <c r="AR9" i="24"/>
  <c r="AQ17" i="24"/>
  <c r="AR17" i="24"/>
  <c r="AQ4" i="24"/>
  <c r="AR4" i="24"/>
  <c r="AR2" i="24"/>
  <c r="AQ2" i="24"/>
  <c r="AR14" i="24"/>
  <c r="AQ14" i="24"/>
  <c r="AQ16" i="24"/>
  <c r="AR16" i="24"/>
  <c r="AQ21" i="24" a="1"/>
  <c r="AQ21" i="24" s="1"/>
  <c r="AR21" i="24" a="1"/>
  <c r="AR21" i="24" s="1"/>
  <c r="AQ32" i="24" a="1"/>
  <c r="AQ32" i="24" s="1"/>
  <c r="AR32" i="24" a="1"/>
  <c r="AR32" i="24" s="1"/>
  <c r="AR25" i="24" a="1"/>
  <c r="AR25" i="24" s="1"/>
  <c r="AQ25" i="24" a="1"/>
  <c r="AQ25" i="24" s="1"/>
  <c r="AQ10" i="24" a="1"/>
  <c r="AQ10" i="24" s="1"/>
  <c r="AR10" i="24" a="1"/>
  <c r="AR10" i="24" s="1"/>
  <c r="AQ26" i="24" a="1"/>
  <c r="AQ26" i="24" s="1"/>
  <c r="AR26" i="24" a="1"/>
  <c r="AR26" i="24" s="1"/>
  <c r="AQ11" i="24" a="1"/>
  <c r="AQ11" i="24" s="1"/>
  <c r="AR11" i="24" a="1"/>
  <c r="AR11" i="24" s="1"/>
  <c r="AQ18" i="24" a="1"/>
  <c r="AQ18" i="24" s="1"/>
  <c r="AR18" i="24" a="1"/>
  <c r="AR18" i="24" s="1"/>
  <c r="AQ27" i="24" a="1"/>
  <c r="AQ27" i="24" s="1"/>
  <c r="AR27" i="24" a="1"/>
  <c r="AR27" i="24" s="1"/>
  <c r="AR33" i="24" a="1"/>
  <c r="AR33" i="24" s="1"/>
  <c r="AQ33" i="24" a="1"/>
  <c r="AQ33" i="24" s="1"/>
  <c r="AQ12" i="24" a="1"/>
  <c r="AQ12" i="24" s="1"/>
  <c r="AR12" i="24" a="1"/>
  <c r="AR12" i="24" s="1"/>
  <c r="AQ28" i="24" a="1"/>
  <c r="AQ28" i="24" s="1"/>
  <c r="AR28" i="24" a="1"/>
  <c r="AR28" i="24" s="1"/>
  <c r="AQ20" i="24" a="1"/>
  <c r="AQ20" i="24" s="1"/>
  <c r="AR20" i="24" a="1"/>
  <c r="AR20" i="24" s="1"/>
  <c r="AR13" i="24" a="1"/>
  <c r="AR13" i="24" s="1"/>
  <c r="AQ13" i="24" a="1"/>
  <c r="AQ13" i="24" s="1"/>
  <c r="AQ29" i="24" a="1"/>
  <c r="AQ29" i="24" s="1"/>
  <c r="AR29" i="24" a="1"/>
  <c r="AR29" i="24" s="1"/>
  <c r="AQ19" i="24" a="1"/>
  <c r="AQ19" i="24" s="1"/>
  <c r="AR19" i="24" a="1"/>
  <c r="AR19" i="24" s="1"/>
  <c r="AQ24" i="24" a="1"/>
  <c r="AQ24" i="24" s="1"/>
  <c r="AR24" i="24" a="1"/>
  <c r="AR24" i="24" s="1"/>
  <c r="AQ30" i="24" a="1"/>
  <c r="AQ30" i="24" s="1"/>
  <c r="AR30" i="24" a="1"/>
  <c r="AR30" i="24" s="1"/>
  <c r="AQ22" i="24" a="1"/>
  <c r="AQ22" i="24" s="1"/>
  <c r="AR22" i="24" a="1"/>
  <c r="AR22" i="24" s="1"/>
  <c r="AQ23" i="24" a="1"/>
  <c r="AQ23" i="24" s="1"/>
  <c r="AR23" i="24" a="1"/>
  <c r="AR23" i="24" s="1"/>
  <c r="AD16" i="24"/>
  <c r="AC17" i="24"/>
  <c r="AD17" i="24"/>
  <c r="AC14" i="24"/>
  <c r="AD14" i="24"/>
  <c r="AD2" i="24"/>
  <c r="AD3" i="24"/>
  <c r="AC9" i="24"/>
  <c r="J26" i="24" a="1"/>
  <c r="J26" i="24" s="1"/>
  <c r="AC26" i="24" a="1"/>
  <c r="AC26" i="24" s="1"/>
  <c r="AD26" i="24" a="1"/>
  <c r="AD26" i="24" s="1"/>
  <c r="J20" i="24" a="1"/>
  <c r="J20" i="24" s="1"/>
  <c r="AD20" i="24" a="1"/>
  <c r="AD20" i="24" s="1"/>
  <c r="AC20" i="24" a="1"/>
  <c r="AC20" i="24" s="1"/>
  <c r="J24" i="24" a="1"/>
  <c r="J24" i="24" s="1"/>
  <c r="AC24" i="24" a="1"/>
  <c r="AC24" i="24" s="1"/>
  <c r="AD24" i="24" a="1"/>
  <c r="AD24" i="24" s="1"/>
  <c r="J33" i="24" a="1"/>
  <c r="J33" i="24" s="1"/>
  <c r="AC33" i="24" a="1"/>
  <c r="AC33" i="24" s="1"/>
  <c r="AD33" i="24" a="1"/>
  <c r="AD33" i="24" s="1"/>
  <c r="J11" i="24" a="1"/>
  <c r="J11" i="24" s="1"/>
  <c r="AC11" i="24" a="1"/>
  <c r="AC11" i="24" s="1"/>
  <c r="AD11" i="24" a="1"/>
  <c r="AD11" i="24" s="1"/>
  <c r="J18" i="24" a="1"/>
  <c r="J18" i="24" s="1"/>
  <c r="AC18" i="24" a="1"/>
  <c r="AC18" i="24" s="1"/>
  <c r="AD18" i="24" a="1"/>
  <c r="AD18" i="24" s="1"/>
  <c r="J27" i="24" a="1"/>
  <c r="J27" i="24" s="1"/>
  <c r="AC27" i="24" a="1"/>
  <c r="AC27" i="24" s="1"/>
  <c r="AD27" i="24" a="1"/>
  <c r="AD27" i="24" s="1"/>
  <c r="J12" i="24" a="1"/>
  <c r="J12" i="24" s="1"/>
  <c r="AC12" i="24" a="1"/>
  <c r="AC12" i="24" s="1"/>
  <c r="AD12" i="24" a="1"/>
  <c r="AD12" i="24" s="1"/>
  <c r="J28" i="24" a="1"/>
  <c r="J28" i="24" s="1"/>
  <c r="AD28" i="24" a="1"/>
  <c r="AD28" i="24" s="1"/>
  <c r="AC28" i="24" a="1"/>
  <c r="AC28" i="24" s="1"/>
  <c r="J13" i="24" a="1"/>
  <c r="J13" i="24" s="1"/>
  <c r="AC13" i="24" a="1"/>
  <c r="AC13" i="24" s="1"/>
  <c r="AD13" i="24" a="1"/>
  <c r="AD13" i="24" s="1"/>
  <c r="J21" i="24" a="1"/>
  <c r="J21" i="24" s="1"/>
  <c r="AD21" i="24" a="1"/>
  <c r="AD21" i="24" s="1"/>
  <c r="AC21" i="24" a="1"/>
  <c r="AC21" i="24" s="1"/>
  <c r="J29" i="24" a="1"/>
  <c r="J29" i="24" s="1"/>
  <c r="AC29" i="24" a="1"/>
  <c r="AC29" i="24" s="1"/>
  <c r="AD29" i="24" a="1"/>
  <c r="AD29" i="24" s="1"/>
  <c r="J25" i="24" a="1"/>
  <c r="J25" i="24" s="1"/>
  <c r="AC25" i="24" a="1"/>
  <c r="AC25" i="24" s="1"/>
  <c r="AD25" i="24" a="1"/>
  <c r="AD25" i="24" s="1"/>
  <c r="J22" i="24" a="1"/>
  <c r="J22" i="24" s="1"/>
  <c r="AC22" i="24" a="1"/>
  <c r="AC22" i="24" s="1"/>
  <c r="AD22" i="24" a="1"/>
  <c r="AD22" i="24" s="1"/>
  <c r="J30" i="24" a="1"/>
  <c r="J30" i="24" s="1"/>
  <c r="AC30" i="24" a="1"/>
  <c r="AC30" i="24" s="1"/>
  <c r="AD30" i="24" a="1"/>
  <c r="AD30" i="24" s="1"/>
  <c r="J23" i="24" a="1"/>
  <c r="J23" i="24" s="1"/>
  <c r="AC23" i="24" a="1"/>
  <c r="AC23" i="24" s="1"/>
  <c r="AD23" i="24" a="1"/>
  <c r="AD23" i="24" s="1"/>
  <c r="J10" i="24" a="1"/>
  <c r="J10" i="24" s="1"/>
  <c r="AC10" i="24" a="1"/>
  <c r="AC10" i="24" s="1"/>
  <c r="AD10" i="24" a="1"/>
  <c r="AD10" i="24" s="1"/>
  <c r="J19" i="24" a="1"/>
  <c r="J19" i="24" s="1"/>
  <c r="AC19" i="24" a="1"/>
  <c r="AC19" i="24" s="1"/>
  <c r="AD19" i="24" a="1"/>
  <c r="AD19" i="24" s="1"/>
  <c r="J32" i="24" a="1"/>
  <c r="J32" i="24" s="1"/>
  <c r="AC32" i="24" a="1"/>
  <c r="AC32" i="24" s="1"/>
  <c r="AD32" i="24" a="1"/>
  <c r="AD32" i="24" s="1"/>
  <c r="AC2" i="24"/>
  <c r="J14" i="24"/>
  <c r="J4" i="24"/>
  <c r="J9" i="24"/>
  <c r="J17" i="24"/>
  <c r="J2" i="24"/>
  <c r="L14" i="24"/>
  <c r="K14" i="24"/>
  <c r="L2" i="24"/>
  <c r="K2" i="24"/>
  <c r="L9" i="24"/>
  <c r="K9" i="24"/>
  <c r="L17" i="24"/>
  <c r="K17" i="24"/>
  <c r="L11" i="24" a="1"/>
  <c r="L11" i="24" s="1"/>
  <c r="K11" i="24" a="1"/>
  <c r="K11" i="24" s="1"/>
  <c r="L18" i="24" a="1"/>
  <c r="L18" i="24" s="1"/>
  <c r="K18" i="24" a="1"/>
  <c r="K18" i="24" s="1"/>
  <c r="K27" i="24" a="1"/>
  <c r="K27" i="24" s="1"/>
  <c r="L27" i="24" a="1"/>
  <c r="L27" i="24" s="1"/>
  <c r="L21" i="24" a="1"/>
  <c r="L21" i="24" s="1"/>
  <c r="K21" i="24" a="1"/>
  <c r="K21" i="24" s="1"/>
  <c r="L22" i="24" a="1"/>
  <c r="L22" i="24" s="1"/>
  <c r="K22" i="24" a="1"/>
  <c r="K22" i="24" s="1"/>
  <c r="K23" i="24" a="1"/>
  <c r="K23" i="24" s="1"/>
  <c r="L23" i="24" a="1"/>
  <c r="L23" i="24" s="1"/>
  <c r="L28" i="24" a="1"/>
  <c r="L28" i="24" s="1"/>
  <c r="K28" i="24" a="1"/>
  <c r="K28" i="24" s="1"/>
  <c r="L32" i="24" a="1"/>
  <c r="L32" i="24" s="1"/>
  <c r="K32" i="24" a="1"/>
  <c r="K32" i="24" s="1"/>
  <c r="L19" i="24" a="1"/>
  <c r="L19" i="24" s="1"/>
  <c r="K19" i="24" a="1"/>
  <c r="K19" i="24" s="1"/>
  <c r="K24" i="24" a="1"/>
  <c r="K24" i="24" s="1"/>
  <c r="L24" i="24" a="1"/>
  <c r="L24" i="24" s="1"/>
  <c r="L13" i="24" a="1"/>
  <c r="L13" i="24" s="1"/>
  <c r="K13" i="24" a="1"/>
  <c r="K13" i="24" s="1"/>
  <c r="L30" i="24" a="1"/>
  <c r="L30" i="24" s="1"/>
  <c r="K30" i="24" a="1"/>
  <c r="K30" i="24" s="1"/>
  <c r="L20" i="24" a="1"/>
  <c r="L20" i="24" s="1"/>
  <c r="K20" i="24" a="1"/>
  <c r="K20" i="24" s="1"/>
  <c r="K25" i="24" a="1"/>
  <c r="K25" i="24" s="1"/>
  <c r="L25" i="24" a="1"/>
  <c r="L25" i="24" s="1"/>
  <c r="L33" i="24" a="1"/>
  <c r="L33" i="24" s="1"/>
  <c r="K33" i="24" a="1"/>
  <c r="K33" i="24" s="1"/>
  <c r="L12" i="24" a="1"/>
  <c r="L12" i="24" s="1"/>
  <c r="K12" i="24" a="1"/>
  <c r="K12" i="24" s="1"/>
  <c r="L29" i="24" a="1"/>
  <c r="L29" i="24" s="1"/>
  <c r="K29" i="24" a="1"/>
  <c r="K29" i="24" s="1"/>
  <c r="L10" i="24" a="1"/>
  <c r="L10" i="24" s="1"/>
  <c r="K10" i="24" a="1"/>
  <c r="K10" i="24" s="1"/>
  <c r="K26" i="24" a="1"/>
  <c r="K26" i="24" s="1"/>
  <c r="L26" i="24" a="1"/>
  <c r="L26" i="24" s="1"/>
  <c r="C3" i="15"/>
  <c r="D8" i="24" s="1"/>
  <c r="C4" i="15"/>
  <c r="D4" i="24" s="1"/>
  <c r="C5" i="15"/>
  <c r="E2" i="2" s="1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C3" i="2"/>
  <c r="C4" i="2"/>
  <c r="C5" i="2"/>
  <c r="C6" i="2"/>
  <c r="C2" i="2"/>
  <c r="O6" i="24" a="1"/>
  <c r="AC7" i="24" a="1"/>
  <c r="AC4" i="24" a="1"/>
  <c r="K7" i="24" a="1"/>
  <c r="AF6" i="24" a="1"/>
  <c r="AE6" i="24" a="1"/>
  <c r="J7" i="24" a="1"/>
  <c r="K3" i="24" a="1"/>
  <c r="J16" i="24" a="1"/>
  <c r="J3" i="24" a="1"/>
  <c r="L3" i="24" a="1"/>
  <c r="L16" i="24" a="1"/>
  <c r="AD4" i="24" a="1"/>
  <c r="L4" i="24" a="1"/>
  <c r="K16" i="24" a="1"/>
  <c r="AD9" i="24" a="1"/>
  <c r="AC16" i="24" a="1"/>
  <c r="AD7" i="24" a="1"/>
  <c r="P6" i="24" a="1"/>
  <c r="K4" i="24" a="1"/>
  <c r="N6" i="24" a="1"/>
  <c r="AC3" i="24" a="1"/>
  <c r="F31" i="24" l="1"/>
  <c r="F13" i="24"/>
  <c r="F19" i="24"/>
  <c r="F20" i="24"/>
  <c r="F8" i="24"/>
  <c r="F14" i="24"/>
  <c r="F30" i="24"/>
  <c r="F33" i="24"/>
  <c r="F28" i="24"/>
  <c r="F22" i="24"/>
  <c r="F32" i="24"/>
  <c r="F24" i="24"/>
  <c r="F12" i="24"/>
  <c r="F25" i="24"/>
  <c r="F15" i="24"/>
  <c r="F27" i="24"/>
  <c r="F29" i="24"/>
  <c r="F26" i="24"/>
  <c r="F10" i="24"/>
  <c r="F18" i="24"/>
  <c r="F21" i="24"/>
  <c r="F17" i="24"/>
  <c r="F23" i="24"/>
  <c r="F11" i="24"/>
  <c r="AC3" i="24"/>
  <c r="K3" i="24"/>
  <c r="J7" i="24"/>
  <c r="N6" i="24"/>
  <c r="P6" i="24"/>
  <c r="AD7" i="24"/>
  <c r="AD4" i="24"/>
  <c r="L16" i="24"/>
  <c r="K7" i="24"/>
  <c r="J3" i="24"/>
  <c r="J16" i="24"/>
  <c r="AE6" i="24"/>
  <c r="AC4" i="24"/>
  <c r="AF6" i="24"/>
  <c r="AC7" i="24"/>
  <c r="O6" i="24"/>
  <c r="L3" i="24"/>
  <c r="AD9" i="24"/>
  <c r="F9" i="24" s="1"/>
  <c r="K16" i="24"/>
  <c r="L4" i="24"/>
  <c r="K4" i="24"/>
  <c r="AC16" i="24"/>
  <c r="D9" i="24"/>
  <c r="D5" i="24"/>
  <c r="D6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F16" i="24" l="1"/>
  <c r="F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<sst xmlns="http://schemas.openxmlformats.org/spreadsheetml/2006/main" count="1686" uniqueCount="724">
  <si>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</si>
  <si>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</si>
  <si>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</si>
  <si>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</si>
  <si>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</si>
  <si>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</si>
  <si>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</si>
  <si>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</si>
  <si>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</si>
  <si>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</si>
  <si>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</si>
  <si>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</si>
  <si>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</si>
  <si>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</si>
  <si>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</si>
  <si>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</si>
  <si>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</si>
  <si>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</si>
  <si>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</si>
  <si>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</si>
  <si>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</si>
  <si>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</si>
  <si>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</si>
  <si>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</si>
  <si>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</si>
  <si>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</si>
  <si>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</si>
  <si>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</si>
  <si>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</si>
  <si>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</si>
  <si>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</si>
  <si>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</si>
  <si>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</si>
  <si>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</si>
  <si>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</si>
  <si>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</si>
  <si>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</si>
  <si>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</si>
  <si>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</si>
  <si>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</si>
  <si>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</si>
  <si>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</si>
  <si>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</si>
  <si>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</si>
  <si>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</si>
  <si>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</si>
  <si>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</si>
  <si>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</si>
  <si>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</si>
  <si>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</si>
  <si>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</si>
  <si>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</si>
  <si>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</si>
  <si>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</si>
  <si>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</si>
  <si>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</si>
  <si>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</si>
  <si>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</si>
  <si>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</si>
  <si>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</si>
  <si>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</si>
  <si>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</si>
  <si>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</si>
  <si>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</si>
  <si>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</si>
  <si>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</si>
  <si>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</si>
  <si>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</si>
  <si>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</si>
  <si>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</si>
  <si>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</si>
  <si>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</si>
  <si>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</si>
  <si>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</si>
  <si>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</si>
  <si>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</si>
  <si>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</si>
  <si>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</si>
  <si>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</si>
  <si>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</si>
  <si>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</si>
  <si>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</si>
  <si>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</si>
  <si>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</si>
  <si>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</si>
  <si>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</si>
  <si>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</si>
  <si>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</si>
  <si>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</si>
  <si>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</si>
  <si>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</si>
  <si>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</si>
  <si>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</si>
  <si>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</si>
  <si>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</si>
  <si>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</si>
  <si>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</si>
  <si>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</si>
  <si>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</si>
  <si>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</si>
  <si>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</si>
  <si>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</si>
  <si>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</si>
  <si>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</si>
  <si>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</si>
  <si>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</si>
  <si>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</si>
  <si>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</si>
  <si>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</si>
  <si>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</si>
  <si>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</si>
  <si>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</si>
  <si>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</si>
  <si>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</si>
  <si>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</si>
  <si>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</si>
  <si>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</si>
  <si>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</si>
  <si>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</si>
  <si>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</si>
  <si>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</si>
  <si>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</si>
  <si>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</si>
  <si>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</si>
  <si>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</si>
  <si>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</si>
  <si>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</si>
  <si>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</si>
  <si>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</si>
  <si>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</si>
  <si>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</si>
  <si>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</si>
  <si>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</si>
  <si>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</si>
  <si>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</si>
  <si>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</si>
  <si>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</si>
  <si>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</si>
  <si>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</si>
  <si>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</si>
  <si>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</si>
  <si>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</si>
  <si>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</si>
  <si>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</si>
  <si>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</si>
  <si>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</si>
  <si>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</si>
  <si>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</si>
  <si>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</si>
  <si>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</si>
  <si>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</si>
  <si>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</si>
  <si>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</si>
  <si>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</si>
  <si>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</si>
  <si>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</si>
  <si>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</si>
  <si>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</si>
  <si>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</si>
  <si>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</si>
  <si>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</si>
  <si>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</si>
  <si>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</si>
  <si>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</si>
  <si>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</si>
  <si>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</si>
  <si>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</si>
  <si>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</si>
  <si>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</si>
  <si>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</si>
  <si>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</si>
  <si>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</si>
  <si>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</si>
  <si>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</si>
  <si>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</si>
  <si>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</si>
  <si>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</si>
  <si>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</si>
  <si>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</si>
  <si>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</si>
  <si>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</si>
  <si>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</si>
  <si>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</si>
  <si>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</si>
  <si>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</si>
  <si>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</si>
  <si>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</si>
  <si>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</si>
  <si>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</si>
  <si>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</si>
  <si>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</si>
  <si>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</si>
  <si>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</si>
  <si>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</si>
  <si>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</si>
  <si>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</si>
  <si>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</si>
  <si>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</si>
  <si>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</si>
  <si>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</si>
  <si>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</si>
  <si>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</si>
  <si>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</si>
  <si>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</si>
  <si>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</si>
  <si>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</si>
  <si>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</si>
  <si>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</si>
  <si>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</si>
  <si>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</si>
  <si>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</si>
  <si>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</si>
  <si>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</si>
  <si>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</si>
  <si>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</si>
  <si>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</si>
  <si>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</si>
  <si>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</si>
  <si>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</si>
  <si>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</si>
  <si>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</si>
  <si>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</si>
  <si>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</si>
  <si>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</si>
  <si>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</si>
  <si>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</si>
  <si>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</si>
  <si>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</si>
  <si>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</si>
  <si>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</si>
  <si>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</si>
  <si>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</si>
  <si>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</si>
  <si>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</si>
  <si>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</si>
  <si>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</si>
  <si>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</si>
  <si>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</si>
  <si>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</si>
  <si>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</si>
  <si>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</si>
  <si>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</si>
  <si>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</si>
  <si>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</si>
  <si>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</si>
  <si>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</si>
  <si>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</si>
  <si>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</si>
  <si>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</si>
  <si>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</si>
  <si>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</si>
  <si>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</si>
  <si>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</si>
  <si>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</si>
  <si>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</si>
  <si>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</si>
  <si>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</si>
  <si>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</si>
  <si>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</si>
  <si>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</si>
  <si>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</si>
  <si>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</si>
  <si>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</si>
  <si>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</si>
  <si>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</si>
  <si>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</si>
  <si>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</si>
  <si>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</si>
  <si>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</si>
  <si>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</si>
  <si>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</si>
  <si>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</si>
  <si>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</si>
  <si>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</si>
  <si>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</si>
  <si>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</si>
  <si>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</si>
  <si>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</si>
  <si>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</si>
  <si>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</si>
  <si>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</si>
  <si>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</si>
  <si>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</si>
  <si>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</si>
  <si>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</si>
  <si>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</si>
  <si>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</si>
  <si>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</si>
  <si>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</si>
  <si>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</si>
  <si>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</si>
  <si>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</si>
  <si>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</si>
  <si>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</si>
  <si>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</si>
  <si>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</si>
  <si>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</si>
  <si>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</si>
  <si>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</si>
  <si>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</si>
  <si>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</si>
  <si>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</si>
  <si>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</si>
  <si>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</si>
  <si>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</si>
  <si>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</si>
  <si>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</si>
  <si>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</si>
  <si>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</si>
  <si>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</si>
  <si>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</si>
  <si>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</si>
  <si>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</si>
  <si>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</si>
  <si>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</si>
  <si>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</si>
  <si>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</si>
  <si>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</si>
  <si>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</si>
  <si>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</si>
  <si>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</si>
  <si>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</si>
  <si>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</si>
  <si>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</si>
  <si>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</si>
  <si>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</si>
  <si>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</si>
  <si>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</si>
  <si>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</si>
  <si>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</si>
  <si>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</si>
  <si>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</si>
  <si>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</si>
  <si>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</si>
  <si>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</si>
  <si>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</si>
  <si>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</si>
  <si>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</si>
  <si>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</si>
  <si>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</si>
  <si>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</si>
  <si>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</si>
  <si>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</si>
  <si>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</si>
  <si>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</si>
  <si>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</si>
  <si>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</si>
  <si>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</si>
  <si>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</si>
  <si>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</si>
  <si>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</si>
  <si>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</si>
  <si>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</si>
  <si>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</si>
  <si>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</si>
  <si>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</si>
  <si>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</si>
  <si>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</si>
  <si>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</si>
  <si>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</si>
  <si>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</si>
  <si>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</si>
  <si>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</si>
  <si>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</si>
  <si>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</si>
  <si>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</si>
  <si>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</si>
  <si>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</si>
  <si>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</si>
  <si>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</si>
  <si>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</si>
  <si>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</si>
  <si>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</si>
  <si>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</si>
  <si>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</si>
  <si>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</si>
  <si>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</si>
  <si>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</si>
  <si>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</si>
  <si>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</si>
  <si>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</si>
  <si>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</si>
  <si>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</si>
  <si>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</si>
  <si>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</si>
  <si>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</si>
  <si>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</si>
  <si>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</si>
  <si>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</si>
  <si>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</si>
  <si>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</si>
  <si>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</si>
  <si>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</si>
  <si>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</si>
  <si>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</si>
  <si>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</si>
  <si>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</si>
  <si>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</si>
  <si>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</si>
  <si>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</si>
  <si>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</si>
  <si>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</si>
  <si>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</si>
  <si>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</si>
  <si>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</si>
  <si>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</si>
  <si>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</si>
  <si>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</si>
  <si>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</si>
  <si>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</si>
  <si>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</si>
  <si>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</si>
  <si>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</si>
  <si>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</si>
  <si>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</si>
  <si>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</si>
  <si>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</si>
  <si>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</si>
  <si>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</si>
  <si>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</si>
  <si>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</si>
  <si>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</si>
  <si>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</si>
  <si>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</si>
  <si>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</si>
  <si>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</si>
  <si>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</si>
  <si>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</si>
  <si>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</si>
  <si>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</si>
  <si>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</si>
  <si>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</si>
  <si>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</si>
  <si>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</si>
  <si>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</si>
  <si>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</si>
  <si>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</si>
  <si>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</si>
  <si>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</si>
  <si>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</si>
  <si>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</si>
  <si>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</si>
  <si>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</si>
  <si>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018bcd02-eb19-fb14-c520-64cbb78d9135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</si>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</sst>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484</v>
      </c>
      <c r="D1" s="1" t="s">
        <v>485</v>
      </c>
      <c r="E1" s="1" t="s">
        <v>486</v>
      </c>
    </row>
    <row r="2" spans="1:5" x14ac:dyDescent="0.3">
      <c r="A2" t="s">
        <v>43</v>
      </c>
      <c r="B2" t="s">
        <v>487</v>
      </c>
      <c r="C2" t="s">
        <v>487</v>
      </c>
    </row>
    <row r="3" spans="1:5" x14ac:dyDescent="0.3">
      <c r="A3" t="s">
        <v>46</v>
      </c>
      <c r="B3" t="s">
        <v>488</v>
      </c>
      <c r="C3" t="s">
        <v>488</v>
      </c>
    </row>
    <row r="4" spans="1:5" x14ac:dyDescent="0.3">
      <c r="A4" t="s">
        <v>49</v>
      </c>
      <c r="B4" t="s">
        <v>489</v>
      </c>
      <c r="C4" t="s">
        <v>489</v>
      </c>
    </row>
    <row r="5" spans="1:5" x14ac:dyDescent="0.3">
      <c r="A5" t="s">
        <v>52</v>
      </c>
      <c r="B5" t="s">
        <v>490</v>
      </c>
      <c r="C5" t="s">
        <v>490</v>
      </c>
    </row>
    <row r="6" spans="1:5" x14ac:dyDescent="0.3">
      <c r="A6" t="s">
        <v>55</v>
      </c>
      <c r="B6" t="s">
        <v>491</v>
      </c>
      <c r="C6" t="s">
        <v>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473</v>
      </c>
      <c r="C2" s="6" t="str">
        <f>"dc"&amp;RIGHT($B2,LEN($B2)-15)</f>
        <v>dc1</v>
      </c>
    </row>
    <row r="3" spans="1:3" x14ac:dyDescent="0.3">
      <c r="A3" t="s">
        <v>17</v>
      </c>
      <c r="B3" t="s">
        <v>474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475</v>
      </c>
      <c r="C4" s="6" t="str">
        <f t="shared" si="0"/>
        <v>dc3</v>
      </c>
    </row>
    <row r="5" spans="1:3" x14ac:dyDescent="0.3">
      <c r="A5" t="s">
        <v>29</v>
      </c>
      <c r="B5" t="s">
        <v>476</v>
      </c>
      <c r="C5" s="6" t="str">
        <f t="shared" si="0"/>
        <v>dc4</v>
      </c>
    </row>
    <row r="6" spans="1:3" x14ac:dyDescent="0.3">
      <c r="A6" t="s">
        <v>35</v>
      </c>
      <c r="B6" t="s">
        <v>477</v>
      </c>
      <c r="C6" s="6" t="str">
        <f t="shared" si="0"/>
        <v>dc5</v>
      </c>
    </row>
    <row r="7" spans="1:3" x14ac:dyDescent="0.3">
      <c r="A7" t="s">
        <v>15</v>
      </c>
      <c r="B7" t="s">
        <v>478</v>
      </c>
      <c r="C7" s="6" t="str">
        <f t="shared" si="0"/>
        <v>dc6</v>
      </c>
    </row>
    <row r="8" spans="1:3" x14ac:dyDescent="0.3">
      <c r="A8" t="s">
        <v>21</v>
      </c>
      <c r="B8" t="s">
        <v>479</v>
      </c>
      <c r="C8" s="6" t="str">
        <f t="shared" si="0"/>
        <v>dc7</v>
      </c>
    </row>
    <row r="9" spans="1:3" x14ac:dyDescent="0.3">
      <c r="A9" t="s">
        <v>27</v>
      </c>
      <c r="B9" t="s">
        <v>480</v>
      </c>
      <c r="C9" s="6" t="str">
        <f t="shared" si="0"/>
        <v>dc8</v>
      </c>
    </row>
    <row r="10" spans="1:3" x14ac:dyDescent="0.3">
      <c r="A10" t="s">
        <v>33</v>
      </c>
      <c r="B10" t="s">
        <v>481</v>
      </c>
      <c r="C10" s="6" t="str">
        <f t="shared" si="0"/>
        <v>dc9</v>
      </c>
    </row>
    <row r="11" spans="1:3" x14ac:dyDescent="0.3">
      <c r="A11" t="s">
        <v>39</v>
      </c>
      <c r="B11" t="s">
        <v>482</v>
      </c>
      <c r="C11" s="6" t="str">
        <f t="shared" si="0"/>
        <v>dc10</v>
      </c>
    </row>
    <row r="12" spans="1:3" x14ac:dyDescent="0.3">
      <c r="A12" t="s">
        <v>40</v>
      </c>
      <c r="B12" t="s">
        <v>483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441</v>
      </c>
      <c r="C1" s="1" t="s">
        <v>57</v>
      </c>
      <c r="D1" s="1" t="s">
        <v>3</v>
      </c>
      <c r="E1" s="1" t="s">
        <v>442</v>
      </c>
      <c r="F1" s="1" t="s">
        <v>41</v>
      </c>
      <c r="G1" s="5" t="s">
        <v>564</v>
      </c>
      <c r="H1" s="5" t="s">
        <v>673</v>
      </c>
      <c r="I1" s="5" t="s">
        <v>674</v>
      </c>
      <c r="J1" s="5" t="s">
        <v>720</v>
      </c>
      <c r="K1" s="5" t="s">
        <v>675</v>
      </c>
      <c r="L1" s="17" t="s">
        <v>672</v>
      </c>
    </row>
    <row r="2" spans="1:12" x14ac:dyDescent="0.3">
      <c r="A2" t="s">
        <v>443</v>
      </c>
      <c r="B2" t="s">
        <v>444</v>
      </c>
      <c r="C2" t="str">
        <f>LEFT(B2,FIND("@",B2)-1)</f>
        <v>root1_1</v>
      </c>
      <c r="D2" t="b">
        <v>1</v>
      </c>
      <c r="E2" t="s">
        <v>553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445</v>
      </c>
      <c r="B3" t="s">
        <v>446</v>
      </c>
      <c r="C3" t="str">
        <f t="shared" ref="C3:C29" si="0">LEFT(B3,FIND("@",B3)-1)</f>
        <v>app_admin1_1</v>
      </c>
      <c r="D3" t="b">
        <v>1</v>
      </c>
      <c r="E3" t="s">
        <v>554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447</v>
      </c>
      <c r="B4" s="20" t="s">
        <v>721</v>
      </c>
      <c r="C4" t="str">
        <f t="shared" si="0"/>
        <v>refdata_admin1_1</v>
      </c>
      <c r="D4" t="b">
        <v>1</v>
      </c>
      <c r="E4" t="s">
        <v>722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448</v>
      </c>
      <c r="C5" t="str">
        <f t="shared" si="0"/>
        <v>org_admin1_1</v>
      </c>
      <c r="D5" t="b">
        <v>1</v>
      </c>
      <c r="E5" t="s">
        <v>555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449</v>
      </c>
      <c r="C6" t="str">
        <f t="shared" si="0"/>
        <v>org_admin2_1</v>
      </c>
      <c r="D6" t="b">
        <v>1</v>
      </c>
      <c r="E6" t="s">
        <v>555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450</v>
      </c>
      <c r="C7" t="str">
        <f t="shared" si="0"/>
        <v>org_admin3_1</v>
      </c>
      <c r="D7" t="b">
        <v>1</v>
      </c>
      <c r="E7" t="s">
        <v>555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451</v>
      </c>
      <c r="C8" t="str">
        <f t="shared" si="0"/>
        <v>org_admin4_1</v>
      </c>
      <c r="D8" t="b">
        <v>1</v>
      </c>
      <c r="E8" t="s">
        <v>555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452</v>
      </c>
      <c r="C9" t="str">
        <f t="shared" si="0"/>
        <v>org_admin5_1</v>
      </c>
      <c r="D9" t="b">
        <v>1</v>
      </c>
      <c r="E9" t="s">
        <v>555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453</v>
      </c>
      <c r="C10" t="str">
        <f t="shared" si="0"/>
        <v>org_user1_1</v>
      </c>
      <c r="D10" t="b">
        <v>1</v>
      </c>
      <c r="E10" t="s">
        <v>556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454</v>
      </c>
      <c r="C11" t="str">
        <f t="shared" si="0"/>
        <v>org_user1_2</v>
      </c>
      <c r="D11" t="b">
        <v>1</v>
      </c>
      <c r="E11" t="s">
        <v>556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455</v>
      </c>
      <c r="C12" t="str">
        <f t="shared" si="0"/>
        <v>org_user1_3</v>
      </c>
      <c r="D12" t="b">
        <v>1</v>
      </c>
      <c r="E12" t="s">
        <v>556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456</v>
      </c>
      <c r="C13" t="str">
        <f t="shared" si="0"/>
        <v>org_user1_4</v>
      </c>
      <c r="D13" t="b">
        <v>1</v>
      </c>
      <c r="E13" t="s">
        <v>556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457</v>
      </c>
      <c r="C14" t="str">
        <f t="shared" si="0"/>
        <v>org_user2_1</v>
      </c>
      <c r="D14" t="b">
        <v>1</v>
      </c>
      <c r="E14" t="s">
        <v>556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458</v>
      </c>
      <c r="C15" t="str">
        <f t="shared" si="0"/>
        <v>org_user2_2</v>
      </c>
      <c r="D15" t="b">
        <v>1</v>
      </c>
      <c r="E15" t="s">
        <v>556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459</v>
      </c>
      <c r="C16" t="str">
        <f t="shared" si="0"/>
        <v>org_user2_3</v>
      </c>
      <c r="D16" t="b">
        <v>1</v>
      </c>
      <c r="E16" t="s">
        <v>556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460</v>
      </c>
      <c r="C17" t="str">
        <f t="shared" si="0"/>
        <v>org_user2_4</v>
      </c>
      <c r="D17" t="b">
        <v>1</v>
      </c>
      <c r="E17" t="s">
        <v>556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461</v>
      </c>
      <c r="C18" t="str">
        <f t="shared" si="0"/>
        <v>org_user3_1</v>
      </c>
      <c r="D18" t="b">
        <v>1</v>
      </c>
      <c r="E18" t="s">
        <v>556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462</v>
      </c>
      <c r="C19" t="str">
        <f t="shared" si="0"/>
        <v>org_user3_2</v>
      </c>
      <c r="D19" t="b">
        <v>1</v>
      </c>
      <c r="E19" t="s">
        <v>556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463</v>
      </c>
      <c r="C20" t="str">
        <f t="shared" si="0"/>
        <v>org_user3_3</v>
      </c>
      <c r="D20" t="b">
        <v>1</v>
      </c>
      <c r="E20" t="s">
        <v>556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464</v>
      </c>
      <c r="C21" t="str">
        <f t="shared" si="0"/>
        <v>org_user3_4</v>
      </c>
      <c r="D21" t="b">
        <v>1</v>
      </c>
      <c r="E21" t="s">
        <v>556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465</v>
      </c>
      <c r="C22" t="str">
        <f t="shared" si="0"/>
        <v>org_user4_1</v>
      </c>
      <c r="D22" t="b">
        <v>1</v>
      </c>
      <c r="E22" t="s">
        <v>556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466</v>
      </c>
      <c r="C23" t="str">
        <f t="shared" si="0"/>
        <v>org_user4_2</v>
      </c>
      <c r="D23" t="b">
        <v>1</v>
      </c>
      <c r="E23" t="s">
        <v>556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467</v>
      </c>
      <c r="C24" t="str">
        <f t="shared" si="0"/>
        <v>org_user4_3</v>
      </c>
      <c r="D24" t="b">
        <v>1</v>
      </c>
      <c r="E24" t="s">
        <v>556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468</v>
      </c>
      <c r="C25" t="str">
        <f t="shared" si="0"/>
        <v>org_user4_4</v>
      </c>
      <c r="D25" t="b">
        <v>1</v>
      </c>
      <c r="E25" t="s">
        <v>556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469</v>
      </c>
      <c r="C26" t="str">
        <f t="shared" si="0"/>
        <v>org_user5_1</v>
      </c>
      <c r="D26" t="b">
        <v>1</v>
      </c>
      <c r="E26" t="s">
        <v>556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470</v>
      </c>
      <c r="C27" t="str">
        <f t="shared" si="0"/>
        <v>org_user5_2</v>
      </c>
      <c r="D27" t="b">
        <v>1</v>
      </c>
      <c r="E27" t="s">
        <v>556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471</v>
      </c>
      <c r="C28" t="str">
        <f t="shared" si="0"/>
        <v>org_user5_3</v>
      </c>
      <c r="D28" t="b">
        <v>1</v>
      </c>
      <c r="E28" t="s">
        <v>556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472</v>
      </c>
      <c r="C29" t="str">
        <f t="shared" si="0"/>
        <v>org_user5_4</v>
      </c>
      <c r="D29" t="b">
        <v>1</v>
      </c>
      <c r="E29" t="s">
        <v>556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xr:uid="{6720259D-8B8B-404B-BBFC-255A858BC201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441</v>
      </c>
      <c r="C1" s="10" t="s">
        <v>565</v>
      </c>
      <c r="D1" s="1" t="s">
        <v>493</v>
      </c>
      <c r="E1" s="1" t="s">
        <v>494</v>
      </c>
      <c r="F1" s="1" t="s">
        <v>442</v>
      </c>
      <c r="G1" s="1" t="s">
        <v>495</v>
      </c>
      <c r="H1" s="10" t="s">
        <v>584</v>
      </c>
      <c r="I1" s="1" t="s">
        <v>41</v>
      </c>
      <c r="J1" s="10" t="s">
        <v>552</v>
      </c>
    </row>
    <row r="2" spans="1:10" x14ac:dyDescent="0.3">
      <c r="A2" t="s">
        <v>496</v>
      </c>
      <c r="B2" t="s">
        <v>446</v>
      </c>
      <c r="C2" s="6" t="str">
        <f>LEFT($B2,LEN($B2)-9)</f>
        <v>app_admin1_1</v>
      </c>
      <c r="D2" t="s">
        <v>497</v>
      </c>
      <c r="E2" s="2">
        <v>45743.390918726589</v>
      </c>
      <c r="F2" t="s">
        <v>554</v>
      </c>
      <c r="G2" t="s">
        <v>443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498</v>
      </c>
      <c r="B3" s="20" t="s">
        <v>721</v>
      </c>
      <c r="C3" s="6" t="str">
        <f t="shared" ref="C3:C28" si="0">LEFT($B3,LEN($B3)-9)</f>
        <v>refdata_admin1_1</v>
      </c>
      <c r="D3" t="s">
        <v>499</v>
      </c>
      <c r="E3" s="2">
        <v>45743.390918741461</v>
      </c>
      <c r="F3" t="s">
        <v>722</v>
      </c>
      <c r="G3" t="s">
        <v>445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500</v>
      </c>
      <c r="B4" t="s">
        <v>448</v>
      </c>
      <c r="C4" s="6" t="str">
        <f t="shared" si="0"/>
        <v>org_admin1_1</v>
      </c>
      <c r="D4" t="s">
        <v>501</v>
      </c>
      <c r="E4" s="2">
        <v>45743.390918746562</v>
      </c>
      <c r="F4" t="s">
        <v>555</v>
      </c>
      <c r="G4" t="s">
        <v>445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502</v>
      </c>
      <c r="B5" t="s">
        <v>449</v>
      </c>
      <c r="C5" s="6" t="str">
        <f t="shared" si="0"/>
        <v>org_admin2_1</v>
      </c>
      <c r="D5" t="s">
        <v>503</v>
      </c>
      <c r="E5" s="2">
        <v>45743.390918763551</v>
      </c>
      <c r="F5" t="s">
        <v>555</v>
      </c>
      <c r="G5" t="s">
        <v>445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504</v>
      </c>
      <c r="B6" t="s">
        <v>450</v>
      </c>
      <c r="C6" s="6" t="str">
        <f t="shared" si="0"/>
        <v>org_admin3_1</v>
      </c>
      <c r="D6" t="s">
        <v>505</v>
      </c>
      <c r="E6" s="2">
        <v>45743.390918772537</v>
      </c>
      <c r="F6" t="s">
        <v>555</v>
      </c>
      <c r="G6" t="s">
        <v>445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506</v>
      </c>
      <c r="B7" t="s">
        <v>451</v>
      </c>
      <c r="C7" s="6" t="str">
        <f t="shared" si="0"/>
        <v>org_admin4_1</v>
      </c>
      <c r="D7" t="s">
        <v>507</v>
      </c>
      <c r="E7" s="2">
        <v>45743.390918781181</v>
      </c>
      <c r="F7" t="s">
        <v>555</v>
      </c>
      <c r="G7" t="s">
        <v>445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508</v>
      </c>
      <c r="B8" t="s">
        <v>452</v>
      </c>
      <c r="C8" s="6" t="str">
        <f t="shared" si="0"/>
        <v>org_admin5_1</v>
      </c>
      <c r="D8" t="s">
        <v>509</v>
      </c>
      <c r="E8" s="2">
        <v>45743.3909187889</v>
      </c>
      <c r="F8" t="s">
        <v>555</v>
      </c>
      <c r="G8" t="s">
        <v>445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510</v>
      </c>
      <c r="B9" t="s">
        <v>453</v>
      </c>
      <c r="C9" s="6" t="str">
        <f t="shared" si="0"/>
        <v>org_user1_1</v>
      </c>
      <c r="D9" t="s">
        <v>511</v>
      </c>
      <c r="E9" s="2">
        <v>45743.390918796598</v>
      </c>
      <c r="F9" t="s">
        <v>556</v>
      </c>
      <c r="G9" t="s">
        <v>445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512</v>
      </c>
      <c r="B10" t="s">
        <v>454</v>
      </c>
      <c r="C10" s="6" t="str">
        <f t="shared" si="0"/>
        <v>org_user1_2</v>
      </c>
      <c r="D10" t="s">
        <v>513</v>
      </c>
      <c r="E10" s="2">
        <v>45743.390918801953</v>
      </c>
      <c r="F10" t="s">
        <v>556</v>
      </c>
      <c r="G10" t="s">
        <v>445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514</v>
      </c>
      <c r="B11" t="s">
        <v>455</v>
      </c>
      <c r="C11" s="6" t="str">
        <f t="shared" si="0"/>
        <v>org_user1_3</v>
      </c>
      <c r="D11" t="s">
        <v>515</v>
      </c>
      <c r="E11" s="2">
        <v>45743.390918807163</v>
      </c>
      <c r="F11" t="s">
        <v>556</v>
      </c>
      <c r="G11" t="s">
        <v>445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516</v>
      </c>
      <c r="B12" t="s">
        <v>456</v>
      </c>
      <c r="C12" s="6" t="str">
        <f t="shared" si="0"/>
        <v>org_user1_4</v>
      </c>
      <c r="D12" t="s">
        <v>517</v>
      </c>
      <c r="E12" s="2">
        <v>45743.3909188123</v>
      </c>
      <c r="F12" t="s">
        <v>556</v>
      </c>
      <c r="G12" t="s">
        <v>445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518</v>
      </c>
      <c r="B13" t="s">
        <v>457</v>
      </c>
      <c r="C13" s="6" t="str">
        <f t="shared" si="0"/>
        <v>org_user2_1</v>
      </c>
      <c r="D13" t="s">
        <v>519</v>
      </c>
      <c r="E13" s="2">
        <v>45743.390918817633</v>
      </c>
      <c r="F13" t="s">
        <v>556</v>
      </c>
      <c r="G13" t="s">
        <v>445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520</v>
      </c>
      <c r="B14" t="s">
        <v>458</v>
      </c>
      <c r="C14" s="6" t="str">
        <f t="shared" si="0"/>
        <v>org_user2_2</v>
      </c>
      <c r="D14" t="s">
        <v>521</v>
      </c>
      <c r="E14" s="2">
        <v>45743.390918822908</v>
      </c>
      <c r="F14" t="s">
        <v>556</v>
      </c>
      <c r="G14" t="s">
        <v>445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522</v>
      </c>
      <c r="B15" t="s">
        <v>459</v>
      </c>
      <c r="C15" s="6" t="str">
        <f t="shared" si="0"/>
        <v>org_user2_3</v>
      </c>
      <c r="D15" t="s">
        <v>523</v>
      </c>
      <c r="E15" s="2">
        <v>45743.390918828743</v>
      </c>
      <c r="F15" t="s">
        <v>556</v>
      </c>
      <c r="G15" t="s">
        <v>445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524</v>
      </c>
      <c r="B16" t="s">
        <v>460</v>
      </c>
      <c r="C16" s="6" t="str">
        <f t="shared" si="0"/>
        <v>org_user2_4</v>
      </c>
      <c r="D16" t="s">
        <v>525</v>
      </c>
      <c r="E16" s="2">
        <v>45743.390918834302</v>
      </c>
      <c r="F16" t="s">
        <v>556</v>
      </c>
      <c r="G16" t="s">
        <v>445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526</v>
      </c>
      <c r="B17" t="s">
        <v>461</v>
      </c>
      <c r="C17" s="6" t="str">
        <f t="shared" si="0"/>
        <v>org_user3_1</v>
      </c>
      <c r="D17" t="s">
        <v>527</v>
      </c>
      <c r="E17" s="2">
        <v>45743.390918839839</v>
      </c>
      <c r="F17" t="s">
        <v>556</v>
      </c>
      <c r="G17" t="s">
        <v>445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528</v>
      </c>
      <c r="B18" t="s">
        <v>462</v>
      </c>
      <c r="C18" s="6" t="str">
        <f t="shared" si="0"/>
        <v>org_user3_2</v>
      </c>
      <c r="D18" t="s">
        <v>529</v>
      </c>
      <c r="E18" s="2">
        <v>45743.390918845187</v>
      </c>
      <c r="F18" t="s">
        <v>556</v>
      </c>
      <c r="G18" t="s">
        <v>445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530</v>
      </c>
      <c r="B19" t="s">
        <v>463</v>
      </c>
      <c r="C19" s="6" t="str">
        <f t="shared" si="0"/>
        <v>org_user3_3</v>
      </c>
      <c r="D19" t="s">
        <v>531</v>
      </c>
      <c r="E19" s="2">
        <v>45743.390918851088</v>
      </c>
      <c r="F19" t="s">
        <v>556</v>
      </c>
      <c r="G19" t="s">
        <v>445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532</v>
      </c>
      <c r="B20" t="s">
        <v>464</v>
      </c>
      <c r="C20" s="6" t="str">
        <f t="shared" si="0"/>
        <v>org_user3_4</v>
      </c>
      <c r="D20" t="s">
        <v>533</v>
      </c>
      <c r="E20" s="2">
        <v>45743.39091885696</v>
      </c>
      <c r="F20" t="s">
        <v>556</v>
      </c>
      <c r="G20" t="s">
        <v>445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534</v>
      </c>
      <c r="B21" t="s">
        <v>465</v>
      </c>
      <c r="C21" s="6" t="str">
        <f t="shared" si="0"/>
        <v>org_user4_1</v>
      </c>
      <c r="D21" t="s">
        <v>535</v>
      </c>
      <c r="E21" s="2">
        <v>45743.390918862962</v>
      </c>
      <c r="F21" t="s">
        <v>556</v>
      </c>
      <c r="G21" t="s">
        <v>445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536</v>
      </c>
      <c r="B22" t="s">
        <v>466</v>
      </c>
      <c r="C22" s="6" t="str">
        <f t="shared" si="0"/>
        <v>org_user4_2</v>
      </c>
      <c r="D22" t="s">
        <v>537</v>
      </c>
      <c r="E22" s="2">
        <v>45743.390918868739</v>
      </c>
      <c r="F22" t="s">
        <v>556</v>
      </c>
      <c r="G22" t="s">
        <v>445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538</v>
      </c>
      <c r="B23" t="s">
        <v>467</v>
      </c>
      <c r="C23" s="6" t="str">
        <f t="shared" si="0"/>
        <v>org_user4_3</v>
      </c>
      <c r="D23" t="s">
        <v>539</v>
      </c>
      <c r="E23" s="2">
        <v>45743.390918874728</v>
      </c>
      <c r="F23" t="s">
        <v>556</v>
      </c>
      <c r="G23" t="s">
        <v>445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540</v>
      </c>
      <c r="B24" t="s">
        <v>468</v>
      </c>
      <c r="C24" s="6" t="str">
        <f t="shared" si="0"/>
        <v>org_user4_4</v>
      </c>
      <c r="D24" t="s">
        <v>541</v>
      </c>
      <c r="E24" s="2">
        <v>45743.390918881109</v>
      </c>
      <c r="F24" t="s">
        <v>556</v>
      </c>
      <c r="G24" t="s">
        <v>445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542</v>
      </c>
      <c r="B25" t="s">
        <v>469</v>
      </c>
      <c r="C25" s="6" t="str">
        <f t="shared" si="0"/>
        <v>org_user5_1</v>
      </c>
      <c r="D25" t="s">
        <v>543</v>
      </c>
      <c r="E25" s="2">
        <v>45743.390918887373</v>
      </c>
      <c r="F25" t="s">
        <v>556</v>
      </c>
      <c r="G25" t="s">
        <v>445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544</v>
      </c>
      <c r="B26" t="s">
        <v>470</v>
      </c>
      <c r="C26" s="6" t="str">
        <f t="shared" si="0"/>
        <v>org_user5_2</v>
      </c>
      <c r="D26" t="s">
        <v>545</v>
      </c>
      <c r="E26" s="2">
        <v>45743.39091889358</v>
      </c>
      <c r="F26" t="s">
        <v>556</v>
      </c>
      <c r="G26" t="s">
        <v>445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546</v>
      </c>
      <c r="B27" t="s">
        <v>471</v>
      </c>
      <c r="C27" s="6" t="str">
        <f t="shared" si="0"/>
        <v>org_user5_3</v>
      </c>
      <c r="D27" t="s">
        <v>547</v>
      </c>
      <c r="E27" s="2">
        <v>45743.390918900091</v>
      </c>
      <c r="F27" t="s">
        <v>556</v>
      </c>
      <c r="G27" t="s">
        <v>445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548</v>
      </c>
      <c r="B28" t="s">
        <v>472</v>
      </c>
      <c r="C28" s="6" t="str">
        <f t="shared" si="0"/>
        <v>org_user5_4</v>
      </c>
      <c r="D28" t="s">
        <v>549</v>
      </c>
      <c r="E28" s="2">
        <v>45743.390918906553</v>
      </c>
      <c r="F28" t="s">
        <v>556</v>
      </c>
      <c r="G28" t="s">
        <v>445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xr:uid="{C6CE08DD-189A-544E-9566-622F7BE1E7EA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77734375" defaultRowHeight="14.4" x14ac:dyDescent="0.3"/>
  <cols>
    <col min="1" max="1" width="35.77734375" bestFit="1" customWidth="1"/>
    <col min="2" max="2" width="9" bestFit="1" customWidth="1"/>
    <col min="3" max="4" width="5" bestFit="1" customWidth="1"/>
    <col min="5" max="5" width="4.77734375" bestFit="1" customWidth="1"/>
    <col min="6" max="6" width="14.44140625" bestFit="1" customWidth="1"/>
    <col min="7" max="7" width="10.3320312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550</v>
      </c>
      <c r="C2" s="11" t="s">
        <v>572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550</v>
      </c>
      <c r="C3" s="11" t="s">
        <v>573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550</v>
      </c>
      <c r="C4" s="11" t="s">
        <v>574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77734375" bestFit="1" customWidth="1"/>
    <col min="10" max="10" width="11.109375" bestFit="1" customWidth="1"/>
    <col min="11" max="11" width="12.33203125" bestFit="1" customWidth="1"/>
    <col min="12" max="12" width="9.7773437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7773437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575</v>
      </c>
      <c r="F2">
        <v>1</v>
      </c>
      <c r="G2" t="s">
        <v>425</v>
      </c>
      <c r="H2" t="s">
        <v>550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576</v>
      </c>
      <c r="F3">
        <v>2</v>
      </c>
      <c r="G3" t="s">
        <v>426</v>
      </c>
      <c r="H3" t="s">
        <v>550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577</v>
      </c>
      <c r="F4">
        <v>3</v>
      </c>
      <c r="G4" t="s">
        <v>427</v>
      </c>
      <c r="H4" t="s">
        <v>550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578</v>
      </c>
      <c r="F5">
        <v>1</v>
      </c>
      <c r="G5" t="s">
        <v>429</v>
      </c>
      <c r="H5" t="s">
        <v>550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579</v>
      </c>
      <c r="F6">
        <v>2</v>
      </c>
      <c r="G6" t="s">
        <v>430</v>
      </c>
      <c r="H6" t="s">
        <v>550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580</v>
      </c>
      <c r="F7">
        <v>3</v>
      </c>
      <c r="G7" t="s">
        <v>431</v>
      </c>
      <c r="H7" t="s">
        <v>550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581</v>
      </c>
      <c r="F8">
        <v>1</v>
      </c>
      <c r="G8" t="s">
        <v>433</v>
      </c>
      <c r="H8" t="s">
        <v>550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582</v>
      </c>
      <c r="F9">
        <v>2</v>
      </c>
      <c r="G9" t="s">
        <v>434</v>
      </c>
      <c r="H9" t="s">
        <v>550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583</v>
      </c>
      <c r="F10">
        <v>3</v>
      </c>
      <c r="G10" t="s">
        <v>435</v>
      </c>
      <c r="H10" t="s">
        <v>550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694</v>
      </c>
    </row>
    <row r="2" spans="1:3" x14ac:dyDescent="0.3">
      <c r="A2" t="s">
        <v>121</v>
      </c>
      <c r="B2" t="s">
        <v>695</v>
      </c>
    </row>
    <row r="3" spans="1:3" x14ac:dyDescent="0.3">
      <c r="A3" t="s">
        <v>125</v>
      </c>
      <c r="B3" t="s">
        <v>696</v>
      </c>
    </row>
    <row r="4" spans="1:3" x14ac:dyDescent="0.3">
      <c r="A4" t="s">
        <v>129</v>
      </c>
      <c r="B4" t="s">
        <v>697</v>
      </c>
    </row>
    <row r="5" spans="1:3" x14ac:dyDescent="0.3">
      <c r="A5" t="s">
        <v>133</v>
      </c>
      <c r="B5" t="s">
        <v>698</v>
      </c>
    </row>
    <row r="6" spans="1:3" x14ac:dyDescent="0.3">
      <c r="A6" t="s">
        <v>137</v>
      </c>
      <c r="B6" t="s">
        <v>699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700</v>
      </c>
    </row>
    <row r="2" spans="1:3" x14ac:dyDescent="0.3">
      <c r="A2" t="s">
        <v>122</v>
      </c>
      <c r="B2" t="s">
        <v>701</v>
      </c>
      <c r="C2" t="s">
        <v>708</v>
      </c>
    </row>
    <row r="3" spans="1:3" x14ac:dyDescent="0.3">
      <c r="A3" t="s">
        <v>126</v>
      </c>
      <c r="B3" t="s">
        <v>702</v>
      </c>
      <c r="C3" t="s">
        <v>708</v>
      </c>
    </row>
    <row r="4" spans="1:3" x14ac:dyDescent="0.3">
      <c r="A4" t="s">
        <v>130</v>
      </c>
      <c r="B4" t="s">
        <v>703</v>
      </c>
      <c r="C4" t="s">
        <v>708</v>
      </c>
    </row>
    <row r="5" spans="1:3" x14ac:dyDescent="0.3">
      <c r="A5" t="s">
        <v>134</v>
      </c>
      <c r="B5" t="s">
        <v>704</v>
      </c>
      <c r="C5" t="s">
        <v>708</v>
      </c>
    </row>
    <row r="6" spans="1:3" x14ac:dyDescent="0.3">
      <c r="A6" t="s">
        <v>138</v>
      </c>
      <c r="B6" t="s">
        <v>705</v>
      </c>
      <c r="C6" t="s">
        <v>708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706</v>
      </c>
      <c r="F1" s="1" t="s">
        <v>116</v>
      </c>
      <c r="G1" s="1" t="s">
        <v>117</v>
      </c>
      <c r="H1" s="12" t="s">
        <v>707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588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558</v>
      </c>
      <c r="D1" s="1" t="s">
        <v>59</v>
      </c>
      <c r="E1" s="1" t="s">
        <v>316</v>
      </c>
      <c r="F1" s="10" t="s">
        <v>585</v>
      </c>
      <c r="G1" s="1" t="s">
        <v>317</v>
      </c>
      <c r="H1" s="16" t="s">
        <v>669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11" sqref="A11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77734375" bestFit="1" customWidth="1"/>
    <col min="10" max="10" width="10" bestFit="1" customWidth="1"/>
    <col min="11" max="11" width="9.44140625" bestFit="1" customWidth="1"/>
    <col min="12" max="12" width="9.7773437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3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3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3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3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3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3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3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3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3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3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3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3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3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3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3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3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3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3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3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3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3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3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3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3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3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3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3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3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3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3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3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3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3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3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3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7773437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66</v>
      </c>
      <c r="B11" t="s">
        <v>280</v>
      </c>
      <c r="C11" t="s">
        <v>280</v>
      </c>
    </row>
    <row r="12" spans="1:3" x14ac:dyDescent="0.3">
      <c r="A12" t="s">
        <v>170</v>
      </c>
      <c r="B12" t="s">
        <v>281</v>
      </c>
      <c r="C12" t="s">
        <v>281</v>
      </c>
    </row>
    <row r="13" spans="1:3" x14ac:dyDescent="0.3">
      <c r="A13" t="s">
        <v>173</v>
      </c>
      <c r="B13" t="s">
        <v>282</v>
      </c>
      <c r="C13" t="s">
        <v>282</v>
      </c>
    </row>
    <row r="14" spans="1:3" x14ac:dyDescent="0.3">
      <c r="A14" t="s">
        <v>176</v>
      </c>
      <c r="B14" t="s">
        <v>283</v>
      </c>
      <c r="C14" t="s">
        <v>283</v>
      </c>
    </row>
    <row r="15" spans="1:3" x14ac:dyDescent="0.3">
      <c r="A15" t="s">
        <v>179</v>
      </c>
      <c r="B15" t="s">
        <v>284</v>
      </c>
      <c r="C15" t="s">
        <v>284</v>
      </c>
    </row>
    <row r="16" spans="1:3" x14ac:dyDescent="0.3">
      <c r="A16" t="s">
        <v>182</v>
      </c>
      <c r="B16" t="s">
        <v>285</v>
      </c>
      <c r="C16" t="s">
        <v>285</v>
      </c>
    </row>
    <row r="17" spans="1:3" x14ac:dyDescent="0.3">
      <c r="A17" t="s">
        <v>185</v>
      </c>
      <c r="B17" t="s">
        <v>286</v>
      </c>
      <c r="C17" t="s">
        <v>286</v>
      </c>
    </row>
    <row r="18" spans="1:3" x14ac:dyDescent="0.3">
      <c r="A18" t="s">
        <v>188</v>
      </c>
      <c r="B18" t="s">
        <v>287</v>
      </c>
      <c r="C18" t="s">
        <v>287</v>
      </c>
    </row>
    <row r="19" spans="1:3" x14ac:dyDescent="0.3">
      <c r="A19" t="s">
        <v>191</v>
      </c>
      <c r="B19" t="s">
        <v>288</v>
      </c>
      <c r="C19" t="s">
        <v>288</v>
      </c>
    </row>
    <row r="20" spans="1:3" x14ac:dyDescent="0.3">
      <c r="A20" t="s">
        <v>68</v>
      </c>
      <c r="B20" t="s">
        <v>289</v>
      </c>
      <c r="C20" t="s">
        <v>289</v>
      </c>
    </row>
    <row r="21" spans="1:3" x14ac:dyDescent="0.3">
      <c r="A21" t="s">
        <v>196</v>
      </c>
      <c r="B21" t="s">
        <v>290</v>
      </c>
      <c r="C21" t="s">
        <v>290</v>
      </c>
    </row>
    <row r="22" spans="1:3" x14ac:dyDescent="0.3">
      <c r="A22" t="s">
        <v>199</v>
      </c>
      <c r="B22" t="s">
        <v>291</v>
      </c>
      <c r="C22" t="s">
        <v>291</v>
      </c>
    </row>
    <row r="23" spans="1:3" x14ac:dyDescent="0.3">
      <c r="A23" t="s">
        <v>202</v>
      </c>
      <c r="B23" t="s">
        <v>292</v>
      </c>
      <c r="C23" t="s">
        <v>292</v>
      </c>
    </row>
    <row r="24" spans="1:3" x14ac:dyDescent="0.3">
      <c r="A24" t="s">
        <v>205</v>
      </c>
      <c r="B24" t="s">
        <v>293</v>
      </c>
      <c r="C24" t="s">
        <v>293</v>
      </c>
    </row>
    <row r="25" spans="1:3" x14ac:dyDescent="0.3">
      <c r="A25" t="s">
        <v>208</v>
      </c>
      <c r="B25" t="s">
        <v>294</v>
      </c>
      <c r="C25" t="s">
        <v>294</v>
      </c>
    </row>
    <row r="26" spans="1:3" x14ac:dyDescent="0.3">
      <c r="A26" t="s">
        <v>211</v>
      </c>
      <c r="B26" t="s">
        <v>295</v>
      </c>
      <c r="C26" t="s">
        <v>295</v>
      </c>
    </row>
    <row r="27" spans="1:3" x14ac:dyDescent="0.3">
      <c r="A27" t="s">
        <v>214</v>
      </c>
      <c r="B27" t="s">
        <v>296</v>
      </c>
      <c r="C27" t="s">
        <v>296</v>
      </c>
    </row>
    <row r="28" spans="1:3" x14ac:dyDescent="0.3">
      <c r="A28" t="s">
        <v>217</v>
      </c>
      <c r="B28" t="s">
        <v>297</v>
      </c>
      <c r="C28" t="s">
        <v>297</v>
      </c>
    </row>
    <row r="29" spans="1:3" x14ac:dyDescent="0.3">
      <c r="A29" t="s">
        <v>70</v>
      </c>
      <c r="B29" t="s">
        <v>298</v>
      </c>
      <c r="C29" t="s">
        <v>298</v>
      </c>
    </row>
    <row r="30" spans="1:3" x14ac:dyDescent="0.3">
      <c r="A30" t="s">
        <v>222</v>
      </c>
      <c r="B30" t="s">
        <v>299</v>
      </c>
      <c r="C30" t="s">
        <v>299</v>
      </c>
    </row>
    <row r="31" spans="1:3" x14ac:dyDescent="0.3">
      <c r="A31" t="s">
        <v>225</v>
      </c>
      <c r="B31" t="s">
        <v>300</v>
      </c>
      <c r="C31" t="s">
        <v>300</v>
      </c>
    </row>
    <row r="32" spans="1:3" x14ac:dyDescent="0.3">
      <c r="A32" t="s">
        <v>228</v>
      </c>
      <c r="B32" t="s">
        <v>301</v>
      </c>
      <c r="C32" t="s">
        <v>301</v>
      </c>
    </row>
    <row r="33" spans="1:3" x14ac:dyDescent="0.3">
      <c r="A33" t="s">
        <v>231</v>
      </c>
      <c r="B33" t="s">
        <v>302</v>
      </c>
      <c r="C33" t="s">
        <v>302</v>
      </c>
    </row>
    <row r="34" spans="1:3" x14ac:dyDescent="0.3">
      <c r="A34" t="s">
        <v>234</v>
      </c>
      <c r="B34" t="s">
        <v>303</v>
      </c>
      <c r="C34" t="s">
        <v>303</v>
      </c>
    </row>
    <row r="35" spans="1:3" x14ac:dyDescent="0.3">
      <c r="A35" t="s">
        <v>237</v>
      </c>
      <c r="B35" t="s">
        <v>304</v>
      </c>
      <c r="C35" t="s">
        <v>304</v>
      </c>
    </row>
    <row r="36" spans="1:3" x14ac:dyDescent="0.3">
      <c r="A36" t="s">
        <v>240</v>
      </c>
      <c r="B36" t="s">
        <v>305</v>
      </c>
      <c r="C36" t="s">
        <v>305</v>
      </c>
    </row>
    <row r="37" spans="1:3" x14ac:dyDescent="0.3">
      <c r="A37" t="s">
        <v>243</v>
      </c>
      <c r="B37" t="s">
        <v>306</v>
      </c>
      <c r="C37" t="s">
        <v>306</v>
      </c>
    </row>
    <row r="38" spans="1:3" x14ac:dyDescent="0.3">
      <c r="A38" t="s">
        <v>72</v>
      </c>
      <c r="B38" t="s">
        <v>307</v>
      </c>
      <c r="C38" t="s">
        <v>307</v>
      </c>
    </row>
    <row r="39" spans="1:3" x14ac:dyDescent="0.3">
      <c r="A39" t="s">
        <v>248</v>
      </c>
      <c r="B39" t="s">
        <v>308</v>
      </c>
      <c r="C39" t="s">
        <v>308</v>
      </c>
    </row>
    <row r="40" spans="1:3" x14ac:dyDescent="0.3">
      <c r="A40" t="s">
        <v>251</v>
      </c>
      <c r="B40" t="s">
        <v>309</v>
      </c>
      <c r="C40" t="s">
        <v>309</v>
      </c>
    </row>
    <row r="41" spans="1:3" x14ac:dyDescent="0.3">
      <c r="A41" t="s">
        <v>254</v>
      </c>
      <c r="B41" t="s">
        <v>310</v>
      </c>
      <c r="C41" t="s">
        <v>310</v>
      </c>
    </row>
    <row r="42" spans="1:3" x14ac:dyDescent="0.3">
      <c r="A42" t="s">
        <v>257</v>
      </c>
      <c r="B42" t="s">
        <v>311</v>
      </c>
      <c r="C42" t="s">
        <v>311</v>
      </c>
    </row>
    <row r="43" spans="1:3" x14ac:dyDescent="0.3">
      <c r="A43" t="s">
        <v>260</v>
      </c>
      <c r="B43" t="s">
        <v>312</v>
      </c>
      <c r="C43" t="s">
        <v>312</v>
      </c>
    </row>
    <row r="44" spans="1:3" x14ac:dyDescent="0.3">
      <c r="A44" t="s">
        <v>263</v>
      </c>
      <c r="B44" t="s">
        <v>313</v>
      </c>
      <c r="C44" t="s">
        <v>313</v>
      </c>
    </row>
    <row r="45" spans="1:3" x14ac:dyDescent="0.3">
      <c r="A45" t="s">
        <v>266</v>
      </c>
      <c r="B45" t="s">
        <v>314</v>
      </c>
      <c r="C45" t="s">
        <v>314</v>
      </c>
    </row>
    <row r="46" spans="1:3" x14ac:dyDescent="0.3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B3" sqref="B3"/>
    </sheetView>
  </sheetViews>
  <sheetFormatPr defaultColWidth="8.77734375" defaultRowHeight="14.4" x14ac:dyDescent="0.3"/>
  <cols>
    <col min="1" max="1" width="35.77734375" bestFit="1" customWidth="1"/>
    <col min="2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586</v>
      </c>
      <c r="D1" s="1" t="s">
        <v>61</v>
      </c>
      <c r="E1" s="1" t="s">
        <v>139</v>
      </c>
      <c r="F1" s="10" t="s">
        <v>587</v>
      </c>
      <c r="G1" s="1" t="s">
        <v>140</v>
      </c>
      <c r="H1" s="16" t="s">
        <v>669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3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3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3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3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3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3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3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3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3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3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3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3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3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3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3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3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3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3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3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3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3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3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3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3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3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3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3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3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3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3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3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3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3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3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3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552</v>
      </c>
      <c r="D1" s="7" t="s">
        <v>1</v>
      </c>
      <c r="E1" s="7" t="s">
        <v>551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T33"/>
  <sheetViews>
    <sheetView zoomScale="110" zoomScaleNormal="110" workbookViewId="0">
      <pane ySplit="1" topLeftCell="A2" activePane="bottomLeft" state="frozen"/>
      <selection pane="bottomLeft" activeCell="E3" sqref="E3"/>
    </sheetView>
  </sheetViews>
  <sheetFormatPr defaultColWidth="5.6640625" defaultRowHeight="14.4" x14ac:dyDescent="0.3"/>
  <cols>
    <col min="1" max="1" width="7.44140625" bestFit="1" customWidth="1"/>
    <col min="2" max="2" width="36.109375" bestFit="1" customWidth="1"/>
    <col min="3" max="3" width="35.6640625" bestFit="1" customWidth="1"/>
    <col min="4" max="4" width="18" style="6" bestFit="1" customWidth="1"/>
    <col min="5" max="5" width="13.33203125" bestFit="1" customWidth="1"/>
    <col min="6" max="6" width="11.77734375" style="19" bestFit="1" customWidth="1"/>
    <col min="7" max="7" width="35.44140625" style="6" bestFit="1" customWidth="1"/>
    <col min="8" max="8" width="29.6640625" style="6" bestFit="1" customWidth="1"/>
    <col min="9" max="9" width="37.109375" style="6" bestFit="1" customWidth="1"/>
    <col min="10" max="10" width="62.77734375" style="6" bestFit="1" customWidth="1"/>
    <col min="11" max="11" width="41.6640625" style="6" bestFit="1" customWidth="1"/>
    <col min="12" max="12" width="45" style="6" bestFit="1" customWidth="1"/>
    <col min="13" max="13" width="30.44140625" style="6" bestFit="1" customWidth="1"/>
    <col min="14" max="14" width="56.109375" style="6" bestFit="1" customWidth="1"/>
    <col min="15" max="15" width="35" style="6" bestFit="1" customWidth="1"/>
    <col min="16" max="16" width="38.109375" style="6" bestFit="1" customWidth="1"/>
    <col min="17" max="17" width="36.109375" bestFit="1" customWidth="1"/>
    <col min="18" max="18" width="33.44140625" bestFit="1" customWidth="1"/>
    <col min="19" max="19" width="23.33203125" style="6" bestFit="1" customWidth="1"/>
    <col min="20" max="20" width="28.77734375" style="6" bestFit="1" customWidth="1"/>
    <col min="21" max="21" width="15.6640625" bestFit="1" customWidth="1"/>
    <col min="22" max="22" width="34.44140625" bestFit="1" customWidth="1"/>
    <col min="23" max="23" width="38.33203125" style="6" bestFit="1" customWidth="1"/>
    <col min="24" max="24" width="12" bestFit="1" customWidth="1"/>
    <col min="25" max="25" width="15.44140625" bestFit="1" customWidth="1"/>
    <col min="26" max="26" width="34.77734375" bestFit="1" customWidth="1"/>
    <col min="27" max="27" width="32.44140625" bestFit="1" customWidth="1"/>
    <col min="28" max="28" width="35.33203125" style="6" bestFit="1" customWidth="1"/>
    <col min="29" max="29" width="66.109375" style="6" bestFit="1" customWidth="1"/>
    <col min="30" max="30" width="66.77734375" style="6" bestFit="1" customWidth="1"/>
    <col min="31" max="31" width="59.33203125" style="6" bestFit="1" customWidth="1"/>
    <col min="32" max="32" width="60" style="6" bestFit="1" customWidth="1"/>
    <col min="33" max="33" width="29.6640625" bestFit="1" customWidth="1"/>
    <col min="34" max="34" width="32.44140625" bestFit="1" customWidth="1"/>
    <col min="35" max="35" width="35.33203125" style="6" bestFit="1" customWidth="1"/>
    <col min="36" max="36" width="66.109375" style="6" bestFit="1" customWidth="1"/>
    <col min="37" max="37" width="66.77734375" style="6" bestFit="1" customWidth="1"/>
    <col min="38" max="38" width="59.33203125" style="6" bestFit="1" customWidth="1"/>
    <col min="39" max="39" width="60" style="6" bestFit="1" customWidth="1"/>
    <col min="40" max="40" width="29.6640625" bestFit="1" customWidth="1"/>
    <col min="41" max="41" width="32.44140625" bestFit="1" customWidth="1"/>
    <col min="42" max="42" width="35.33203125" style="6" bestFit="1" customWidth="1"/>
    <col min="43" max="43" width="66.109375" style="6" bestFit="1" customWidth="1"/>
    <col min="44" max="44" width="66.77734375" style="6" bestFit="1" customWidth="1"/>
    <col min="45" max="45" width="59.33203125" style="6" bestFit="1" customWidth="1"/>
    <col min="46" max="46" width="60" style="6" bestFit="1" customWidth="1"/>
  </cols>
  <sheetData>
    <row r="1" spans="1:46" x14ac:dyDescent="0.3">
      <c r="A1" t="s">
        <v>589</v>
      </c>
      <c r="B1" t="s">
        <v>0</v>
      </c>
      <c r="C1" t="s">
        <v>592</v>
      </c>
      <c r="D1" s="6" t="s">
        <v>719</v>
      </c>
      <c r="E1" t="s">
        <v>590</v>
      </c>
      <c r="F1" s="19" t="s">
        <v>600</v>
      </c>
      <c r="G1" s="6" t="s">
        <v>667</v>
      </c>
      <c r="H1" s="6" t="s">
        <v>671</v>
      </c>
      <c r="I1" s="6" t="s">
        <v>668</v>
      </c>
      <c r="J1" s="6" t="s">
        <v>676</v>
      </c>
      <c r="K1" s="6" t="s">
        <v>601</v>
      </c>
      <c r="L1" s="6" t="s">
        <v>602</v>
      </c>
      <c r="M1" s="6" t="s">
        <v>670</v>
      </c>
      <c r="N1" s="6" t="s">
        <v>677</v>
      </c>
      <c r="O1" s="6" t="s">
        <v>603</v>
      </c>
      <c r="P1" s="6" t="s">
        <v>604</v>
      </c>
      <c r="Q1" t="s">
        <v>591</v>
      </c>
      <c r="R1" t="s">
        <v>593</v>
      </c>
      <c r="S1" s="6" t="s">
        <v>661</v>
      </c>
      <c r="T1" s="6" t="s">
        <v>666</v>
      </c>
      <c r="U1" t="s">
        <v>594</v>
      </c>
      <c r="V1" t="s">
        <v>595</v>
      </c>
      <c r="W1" s="6" t="s">
        <v>679</v>
      </c>
      <c r="X1" t="s">
        <v>596</v>
      </c>
      <c r="Y1" t="s">
        <v>597</v>
      </c>
      <c r="Z1" t="s">
        <v>598</v>
      </c>
      <c r="AA1" t="s">
        <v>599</v>
      </c>
      <c r="AB1" s="6" t="s">
        <v>678</v>
      </c>
      <c r="AC1" s="6" t="s">
        <v>682</v>
      </c>
      <c r="AD1" s="6" t="s">
        <v>683</v>
      </c>
      <c r="AE1" s="6" t="s">
        <v>688</v>
      </c>
      <c r="AF1" s="6" t="s">
        <v>689</v>
      </c>
      <c r="AG1" t="s">
        <v>663</v>
      </c>
      <c r="AH1" t="s">
        <v>709</v>
      </c>
      <c r="AI1" s="6" t="s">
        <v>680</v>
      </c>
      <c r="AJ1" s="6" t="s">
        <v>684</v>
      </c>
      <c r="AK1" s="6" t="s">
        <v>685</v>
      </c>
      <c r="AL1" s="6" t="s">
        <v>690</v>
      </c>
      <c r="AM1" s="6" t="s">
        <v>691</v>
      </c>
      <c r="AN1" t="s">
        <v>664</v>
      </c>
      <c r="AO1" t="s">
        <v>710</v>
      </c>
      <c r="AP1" s="6" t="s">
        <v>681</v>
      </c>
      <c r="AQ1" s="6" t="s">
        <v>686</v>
      </c>
      <c r="AR1" s="6" t="s">
        <v>687</v>
      </c>
      <c r="AS1" s="6" t="s">
        <v>692</v>
      </c>
      <c r="AT1" s="6" t="s">
        <v>693</v>
      </c>
    </row>
    <row r="2" spans="1:46" x14ac:dyDescent="0.3">
      <c r="A2">
        <v>1</v>
      </c>
      <c r="B2" t="s">
        <v>608</v>
      </c>
      <c r="C2" t="s">
        <v>443</v>
      </c>
      <c r="D2" s="6" t="str">
        <f>INDEX(User!$C:$C,MATCH($C2,User!$A:$A,0))</f>
        <v>root1_1</v>
      </c>
      <c r="E2" t="s">
        <v>662</v>
      </c>
      <c r="F2" s="19" t="b">
        <f t="shared" ref="F2:F33" si="0">IF($E2="CREATE",$H2,IF($E2="CREATE_CASES",OR($H2,AND($J2,$K2,$N2,$O2,$AD2,AF2,$AK2,$AM2,$AR2,$AT2)),"TBD"))</f>
        <v>1</v>
      </c>
      <c r="G2" s="6" t="str">
        <f>INDEX(User!$F:$F,MATCH($C2,User!$A:$A,0))</f>
        <v>018d074d-ea0c-e942-07db-a3cc0ba1d653</v>
      </c>
      <c r="H2" s="6" t="b">
        <f>INDEX(User!$L:$L,MATCH($C2,User!$A:$A,0))</f>
        <v>1</v>
      </c>
      <c r="I2" s="6">
        <f>IF(ISNA(MATCH($G2&amp;"|"&amp;$V2,OrganizationAccessCasePolicy!$V:$V,0)),"",MATCH($G2&amp;"|"&amp;$V2,OrganizationAccessCasePolicy!$V:$V,0))</f>
        <v>2</v>
      </c>
      <c r="J2" s="6" t="b" cm="1">
        <f t="array" aca="1" ref="J2" ca="1">IF($I2="",FALSE,NOT(ISNA(MATCH(INDIRECT("OrganizationAccessCasePolicy!D"&amp;$I2)&amp;"|"&amp;$R2,CaseTypeSetMember!$H:$H,0))))</f>
        <v>1</v>
      </c>
      <c r="K2" s="6" t="b" cm="1">
        <f t="array" aca="1" ref="K2" ca="1">IF($I2="",FALSE,AND(INDIRECT("OrganizationAccessCasePolicy!H"&amp;$I2),NOT(ISNA(MATCH(INDIRECT("OrganizationAccessCasePolicy!D"&amp;$I2)&amp;"|"&amp;$R2,CaseTypeSetMember!$H:$H,0)))))</f>
        <v>1</v>
      </c>
      <c r="L2" s="6" t="b" cm="1">
        <f t="array" aca="1" ref="L2" ca="1">IF($I2="",FALSE,AND(INDIRECT("OrganizationAccessCasePolicy!I"&amp;$I2),NOT(ISNA(MATCH(INDIRECT("OrganizationAccessCasePolicy!D"&amp;$I2)&amp;"|"&amp;$R2,CaseTypeSetMember!$H:$H,0)))))</f>
        <v>1</v>
      </c>
      <c r="M2" s="6" t="str">
        <f>IF(ISNA(MATCH($C2&amp;"|"&amp;$V2,UserAccessCasePolicy!$W:$W,0)),"",MATCH($C2&amp;"|"&amp;$V2,UserAccessCasePolicy!$W:$W,0))</f>
        <v/>
      </c>
      <c r="N2" s="6" t="b" cm="1">
        <f t="array" aca="1" ref="N2" ca="1">IF($M2="",FALSE,NOT(ISNA(MATCH(INDIRECT("UserAccessCasePolicy!D"&amp;$M2)&amp;"|"&amp;$R2,CaseTypeSetMember!$H:$H,0))))</f>
        <v>0</v>
      </c>
      <c r="O2" s="6" t="b" cm="1">
        <f t="array" aca="1" ref="O2" ca="1">IF($M2="",FALSE,AND(INDIRECT("UserAccessCasePolicy!G"&amp;$M2),NOT(ISNA(MATCH(INDIRECT("UserAccessCasePolicy!D"&amp;$M2)&amp;"|"&amp;$R2,CaseTypeSetMember!$H:$H,0)))))</f>
        <v>0</v>
      </c>
      <c r="P2" s="6" t="b" cm="1">
        <f t="array" aca="1" ref="P2" ca="1">IF($M2="",FALSE,AND(INDIRECT("UserAccessCasePolicy!H"&amp;$M2),NOT(ISNA(MATCH(INDIRECT("UserAccessCasePolicy!D"&amp;$M2)&amp;"|"&amp;$R2,CaseTypeSetMember!$H:$H,0)))))</f>
        <v>0</v>
      </c>
      <c r="Q2" t="s">
        <v>607</v>
      </c>
      <c r="R2" t="s">
        <v>119</v>
      </c>
      <c r="S2" s="6" t="str">
        <f>INDEX(CaseType!$B:$B,MATCH($R2,CaseType!$A:$A,0))</f>
        <v>case_type1</v>
      </c>
      <c r="T2" s="6" t="b">
        <f>AND(IF($Z2="",TRUE,$R2=INDEX(CaseTypeCol!$B:$B,MATCH($Z2,CaseTypeCol!$A:$A,0))),IF($AG2="",TRUE,$R2=INDEX(CaseTypeCol!$B:$B,MATCH($AG2,CaseTypeCol!$A:$A,0))),IF($AN2="",TRUE,$R2=INDEX(CaseTypeCol!$B:$B,MATCH($AN2,CaseTypeCol!$A:$A,0))))</f>
        <v>1</v>
      </c>
      <c r="V2" t="s">
        <v>11</v>
      </c>
      <c r="W2" s="6" t="str">
        <f>INDEX(DataCollection!$B:$B,MATCH($V2,DataCollection!$A:$A,0))</f>
        <v>data_collection1</v>
      </c>
      <c r="Y2" s="14">
        <v>36526</v>
      </c>
      <c r="Z2" t="s">
        <v>142</v>
      </c>
      <c r="AA2" t="s">
        <v>665</v>
      </c>
      <c r="AB2" s="6" t="str">
        <f>IF($Z2="","",INDEX(CaseTypeCol!$G:$G,MATCH($Z2,CaseTypeCol!$A:$A,0)))</f>
        <v>case_type1_dim1_1_text</v>
      </c>
      <c r="AC2" s="6" t="b" cm="1">
        <f t="array" aca="1" ref="AC2" ca="1">IF($Z2="",TRUE,IF($I2="",FALSE,IF(INDIRECT("OrganizationAccessCasePolicy!J"&amp;$I2)="",FALSE,NOT(ISNA(MATCH(INDIRECT("OrganizationAccessCasePolicy!J"&amp;$I2)&amp;"|"&amp;$Z2,CaseTypeColSetMember!$H:$H,0))))))</f>
        <v>1</v>
      </c>
      <c r="AD2" s="6" t="b" cm="1">
        <f t="array" aca="1" ref="AD2" ca="1">IF($Z2="",TRUE,IF($I2="",FALSE,IF(INDIRECT("OrganizationAccessCasePolicy!L"&amp;$I2)="",FALSE,NOT(ISNA(MATCH(INDIRECT("OrganizationAccessCasePolicy!L"&amp;$I2)&amp;"|"&amp;$Z2,CaseTypeColSetMember!$H:$H,0))))))</f>
        <v>1</v>
      </c>
      <c r="AE2" s="6" t="b" cm="1">
        <f t="array" aca="1" ref="AE2" ca="1">IF($Z2="",TRUE,IF($M2="",FALSE,IF(INDIRECT("UserAccessCasePolicy!I"&amp;$M2)="",FALSE,NOT(ISNA(MATCH(INDIRECT("UserAccessCasePolicy!I"&amp;$M2)&amp;"|"&amp;$Z2,CaseTypeColSetMember!$H:$H,0))))))</f>
        <v>0</v>
      </c>
      <c r="AF2" s="6" t="b" cm="1">
        <f t="array" aca="1" ref="AF2" ca="1">IF($Z2="",TRUE,IF($M2="",FALSE,IF(INDIRECT("UserAccessCasePolicy!K"&amp;$M2)="",FALSE,NOT(ISNA(MATCH(INDIRECT("UserAccessCasePolicy!K"&amp;$M2)&amp;"|"&amp;$Z2,CaseTypeColSetMember!$H:$H,0))))))</f>
        <v>0</v>
      </c>
      <c r="AI2" s="6" t="str">
        <f>IF($AG2="","",INDEX(CaseTypeCol!$G:$G,MATCH($AG2,CaseTypeCol!$A:$A,0)))</f>
        <v/>
      </c>
      <c r="AJ2" s="6" t="b" cm="1">
        <f t="array" aca="1" ref="AJ2" ca="1">IF($AG2="",TRUE,IF($I2="",FALSE,IF(INDIRECT("OrganizationAccessCasePolicy!J"&amp;$I2)="",FALSE,NOT(ISNA(MATCH(INDIRECT("OrganizationAccessCasePolicy!J"&amp;$I2)&amp;"|"&amp;$AG2,CaseTypeColSetMember!$H:$H,0))))))</f>
        <v>1</v>
      </c>
      <c r="AK2" s="6" t="b" cm="1">
        <f t="array" aca="1" ref="AK2" ca="1">IF($AG2="",TRUE,IF($I2="",FALSE,IF(INDIRECT("OrganizationAccessCasePolicy!L"&amp;$I2)="",FALSE,NOT(ISNA(MATCH(INDIRECT("OrganizationAccessCasePolicy!L"&amp;$I2)&amp;"|"&amp;$AG2,CaseTypeColSetMember!$H:$H,0))))))</f>
        <v>1</v>
      </c>
      <c r="AL2" s="6" t="b" cm="1">
        <f t="array" aca="1" ref="AL2" ca="1">IF($AG2="",TRUE,IF($M2="",FALSE,IF(INDIRECT("UserAccessCasePolicy!I"&amp;$M2)="",FALSE,NOT(ISNA(MATCH(INDIRECT("UserAccessCasePolicy!I"&amp;$M2)&amp;"|"&amp;$AG2,CaseTypeColSetMember!$H:$H,0))))))</f>
        <v>1</v>
      </c>
      <c r="AM2" s="6" t="b" cm="1">
        <f t="array" aca="1" ref="AM2" ca="1">IF($AG2="",TRUE,IF($M2="",FALSE,IF(INDIRECT("UserAccessCasePolicy!K"&amp;$M2)="",FALSE,NOT(ISNA(MATCH(INDIRECT("UserAccessCasePolicy!K"&amp;$M2)&amp;"|"&amp;$AG2,CaseTypeColSetMember!$H:$H,0))))))</f>
        <v>1</v>
      </c>
      <c r="AP2" s="6" t="str">
        <f>IF($AN2="","",INDEX(CaseTypeCol!$G:$G,MATCH($AN2,CaseTypeCol!$A:$A,0)))</f>
        <v/>
      </c>
      <c r="AQ2" s="6" t="b" cm="1">
        <f t="array" aca="1" ref="AQ2" ca="1">IF($AN2="",TRUE,IF($I2="",FALSE,IF(INDIRECT("OrganizationAccessCasePolicy!J"&amp;$I2)="",FALSE,NOT(ISNA(MATCH(INDIRECT("OrganizationAccessCasePolicy!J"&amp;$I2)&amp;"|"&amp;$AN2,CaseTypeColSetMember!$H:$H,0))))))</f>
        <v>1</v>
      </c>
      <c r="AR2" s="6" t="b" cm="1">
        <f t="array" aca="1" ref="AR2" ca="1">IF($AN2="",TRUE,IF($I2="",FALSE,IF(INDIRECT("OrganizationAccessCasePolicy!L"&amp;$I2)="",FALSE,NOT(ISNA(MATCH(INDIRECT("OrganizationAccessCasePolicy!L"&amp;$I2)&amp;"|"&amp;$AN2,CaseTypeColSetMember!$H:$H,0))))))</f>
        <v>1</v>
      </c>
      <c r="AS2" s="6" t="b" cm="1">
        <f t="array" aca="1" ref="AS2" ca="1">IF($AN2="",TRUE,IF($M2="",FALSE,IF(INDIRECT("UserAccessCasePolicy!I"&amp;$M2)="",FALSE,NOT(ISNA(MATCH(INDIRECT("UserAccessCasePolicy!I"&amp;$M2)&amp;"|"&amp;$AN2,CaseTypeColSetMember!$H:$H,0))))))</f>
        <v>1</v>
      </c>
      <c r="AT2" s="6" t="b" cm="1">
        <f t="array" aca="1" ref="AT2" ca="1">IF($AN2="",TRUE,IF($M2="",FALSE,IF(INDIRECT("UserAccessCasePolicy!K"&amp;$M2)="",FALSE,NOT(ISNA(MATCH(INDIRECT("UserAccessCasePolicy!K"&amp;$M2)&amp;"|"&amp;$AN2,CaseTypeColSetMember!$H:$H,0))))))</f>
        <v>1</v>
      </c>
    </row>
    <row r="3" spans="1:46" x14ac:dyDescent="0.3">
      <c r="A3">
        <v>2</v>
      </c>
      <c r="B3" t="s">
        <v>606</v>
      </c>
      <c r="C3" t="s">
        <v>445</v>
      </c>
      <c r="D3" s="6" t="str">
        <f>INDEX(User!$C:$C,MATCH($C3,User!$A:$A,0))</f>
        <v>app_admin1_1</v>
      </c>
      <c r="E3" t="s">
        <v>662</v>
      </c>
      <c r="F3" s="19" t="b">
        <f t="shared" si="0"/>
        <v>1</v>
      </c>
      <c r="G3" s="6" t="str">
        <f>INDEX(User!$F:$F,MATCH($C3,User!$A:$A,0))</f>
        <v>018d074d-ea0c-e942-07db-a3cc0ba1d653</v>
      </c>
      <c r="H3" s="6" t="b">
        <f>INDEX(User!$L:$L,MATCH($C3,User!$A:$A,0))</f>
        <v>1</v>
      </c>
      <c r="I3" s="6">
        <f>IF(ISNA(MATCH($G3&amp;"|"&amp;$V3,OrganizationAccessCasePolicy!$V:$V,0)),"",MATCH($G3&amp;"|"&amp;$V3,OrganizationAccessCasePolicy!$V:$V,0))</f>
        <v>2</v>
      </c>
      <c r="J3" s="6" t="b" cm="1">
        <f t="array" aca="1" ref="J3" ca="1">IF($I3="",FALSE,NOT(ISNA(MATCH(INDIRECT("OrganizationAccessCasePolicy!D"&amp;$I3)&amp;"|"&amp;$R3,CaseTypeSetMember!$H:$H,0))))</f>
        <v>1</v>
      </c>
      <c r="K3" s="6" t="b" cm="1">
        <f t="array" aca="1" ref="K3" ca="1">IF($I3="",FALSE,AND(INDIRECT("OrganizationAccessCasePolicy!H"&amp;$I3),NOT(ISNA(MATCH(INDIRECT("OrganizationAccessCasePolicy!D"&amp;$I3)&amp;"|"&amp;$R3,CaseTypeSetMember!$H:$H,0)))))</f>
        <v>1</v>
      </c>
      <c r="L3" s="6" t="b" cm="1">
        <f t="array" aca="1" ref="L3" ca="1">IF($I3="",FALSE,AND(INDIRECT("OrganizationAccessCasePolicy!I"&amp;$I3),NOT(ISNA(MATCH(INDIRECT("OrganizationAccessCasePolicy!D"&amp;$I3)&amp;"|"&amp;$R3,CaseTypeSetMember!$H:$H,0)))))</f>
        <v>1</v>
      </c>
      <c r="M3" s="6" t="str">
        <f>IF(ISNA(MATCH($C3&amp;"|"&amp;$V3,UserAccessCasePolicy!$W:$W,0)),"",MATCH($C3&amp;"|"&amp;$V3,UserAccessCasePolicy!$W:$W,0))</f>
        <v/>
      </c>
      <c r="N3" s="6" t="b" cm="1">
        <f t="array" aca="1" ref="N3" ca="1">IF($M3="",FALSE,NOT(ISNA(MATCH(INDIRECT("UserAccessCasePolicy!D"&amp;$M3)&amp;"|"&amp;$R3,CaseTypeSetMember!$H:$H,0))))</f>
        <v>0</v>
      </c>
      <c r="O3" s="6" t="b" cm="1">
        <f t="array" aca="1" ref="O3" ca="1">IF($M3="",FALSE,AND(INDIRECT("UserAccessCasePolicy!G"&amp;$M3),NOT(ISNA(MATCH(INDIRECT("UserAccessCasePolicy!D"&amp;$M3)&amp;"|"&amp;$R3,CaseTypeSetMember!$H:$H,0)))))</f>
        <v>0</v>
      </c>
      <c r="P3" s="6" t="b" cm="1">
        <f t="array" aca="1" ref="P3" ca="1">IF($M3="",FALSE,AND(INDIRECT("UserAccessCasePolicy!H"&amp;$M3),NOT(ISNA(MATCH(INDIRECT("UserAccessCasePolicy!D"&amp;$M3)&amp;"|"&amp;$R3,CaseTypeSetMember!$H:$H,0)))))</f>
        <v>0</v>
      </c>
      <c r="Q3" t="s">
        <v>605</v>
      </c>
      <c r="R3" t="s">
        <v>119</v>
      </c>
      <c r="S3" s="6" t="str">
        <f>INDEX(CaseType!$B:$B,MATCH($R3,CaseType!$A:$A,0))</f>
        <v>case_type1</v>
      </c>
      <c r="T3" s="6" t="b">
        <f>AND(IF($Z3="",TRUE,$R3=INDEX(CaseTypeCol!$B:$B,MATCH($Z3,CaseTypeCol!$A:$A,0))),IF($AG3="",TRUE,$R3=INDEX(CaseTypeCol!$B:$B,MATCH($AG3,CaseTypeCol!$A:$A,0))),IF($AN3="",TRUE,$R3=INDEX(CaseTypeCol!$B:$B,MATCH($AN3,CaseTypeCol!$A:$A,0))))</f>
        <v>1</v>
      </c>
      <c r="V3" t="s">
        <v>11</v>
      </c>
      <c r="W3" s="6" t="str">
        <f>INDEX(DataCollection!$B:$B,MATCH($V3,DataCollection!$A:$A,0))</f>
        <v>data_collection1</v>
      </c>
      <c r="Y3" s="14">
        <v>36526</v>
      </c>
      <c r="Z3" t="s">
        <v>142</v>
      </c>
      <c r="AA3" t="s">
        <v>665</v>
      </c>
      <c r="AB3" s="6" t="str">
        <f>IF($Z3="","",INDEX(CaseTypeCol!$G:$G,MATCH($Z3,CaseTypeCol!$A:$A,0)))</f>
        <v>case_type1_dim1_1_text</v>
      </c>
      <c r="AC3" s="6" t="b" cm="1">
        <f t="array" aca="1" ref="AC3" ca="1">IF($Z3="",TRUE,IF($I3="",FALSE,IF(INDIRECT("OrganizationAccessCasePolicy!J"&amp;$I3)="",FALSE,NOT(ISNA(MATCH(INDIRECT("OrganizationAccessCasePolicy!J"&amp;$I3)&amp;"|"&amp;$Z3,CaseTypeColSetMember!$H:$H,0))))))</f>
        <v>1</v>
      </c>
      <c r="AD3" s="6" t="b" cm="1">
        <f t="array" aca="1" ref="AD3" ca="1">IF($Z3="",TRUE,IF($I3="",FALSE,IF(INDIRECT("OrganizationAccessCasePolicy!L"&amp;$I3)="",FALSE,NOT(ISNA(MATCH(INDIRECT("OrganizationAccessCasePolicy!L"&amp;$I3)&amp;"|"&amp;$Z3,CaseTypeColSetMember!$H:$H,0))))))</f>
        <v>1</v>
      </c>
      <c r="AE3" s="6" t="b" cm="1">
        <f t="array" aca="1" ref="AE3" ca="1">IF($Z3="",TRUE,IF($M3="",FALSE,IF(INDIRECT("UserAccessCasePolicy!I"&amp;$M3)="",FALSE,NOT(ISNA(MATCH(INDIRECT("UserAccessCasePolicy!I"&amp;$M3)&amp;"|"&amp;$Z3,CaseTypeColSetMember!$H:$H,0))))))</f>
        <v>0</v>
      </c>
      <c r="AF3" s="6" t="b" cm="1">
        <f t="array" aca="1" ref="AF3" ca="1">IF($Z3="",TRUE,IF($M3="",FALSE,IF(INDIRECT("UserAccessCasePolicy!K"&amp;$M3)="",FALSE,NOT(ISNA(MATCH(INDIRECT("UserAccessCasePolicy!K"&amp;$M3)&amp;"|"&amp;$Z3,CaseTypeColSetMember!$H:$H,0))))))</f>
        <v>0</v>
      </c>
      <c r="AI3" s="6" t="str">
        <f>IF($AG3="","",INDEX(CaseTypeCol!$G:$G,MATCH($AG3,CaseTypeCol!$A:$A,0)))</f>
        <v/>
      </c>
      <c r="AJ3" s="6" t="b" cm="1">
        <f t="array" aca="1" ref="AJ3" ca="1">IF($AG3="",TRUE,IF($I3="",FALSE,IF(INDIRECT("OrganizationAccessCasePolicy!J"&amp;$I3)="",FALSE,NOT(ISNA(MATCH(INDIRECT("OrganizationAccessCasePolicy!J"&amp;$I3)&amp;"|"&amp;$AG3,CaseTypeColSetMember!$H:$H,0))))))</f>
        <v>1</v>
      </c>
      <c r="AK3" s="6" t="b" cm="1">
        <f t="array" aca="1" ref="AK3" ca="1">IF($AG3="",TRUE,IF($I3="",FALSE,IF(INDIRECT("OrganizationAccessCasePolicy!L"&amp;$I3)="",FALSE,NOT(ISNA(MATCH(INDIRECT("OrganizationAccessCasePolicy!L"&amp;$I3)&amp;"|"&amp;$AG3,CaseTypeColSetMember!$H:$H,0))))))</f>
        <v>1</v>
      </c>
      <c r="AL3" s="6" t="b" cm="1">
        <f t="array" aca="1" ref="AL3" ca="1">IF($AG3="",TRUE,IF($M3="",FALSE,IF(INDIRECT("UserAccessCasePolicy!I"&amp;$M3)="",FALSE,NOT(ISNA(MATCH(INDIRECT("UserAccessCasePolicy!I"&amp;$M3)&amp;"|"&amp;$AG3,CaseTypeColSetMember!$H:$H,0))))))</f>
        <v>1</v>
      </c>
      <c r="AM3" s="6" t="b" cm="1">
        <f t="array" aca="1" ref="AM3" ca="1">IF($AG3="",TRUE,IF($M3="",FALSE,IF(INDIRECT("UserAccessCasePolicy!K"&amp;$M3)="",FALSE,NOT(ISNA(MATCH(INDIRECT("UserAccessCasePolicy!K"&amp;$M3)&amp;"|"&amp;$AG3,CaseTypeColSetMember!$H:$H,0))))))</f>
        <v>1</v>
      </c>
      <c r="AP3" s="6" t="str">
        <f>IF($AN3="","",INDEX(CaseTypeCol!$G:$G,MATCH($AN3,CaseTypeCol!$A:$A,0)))</f>
        <v/>
      </c>
      <c r="AQ3" s="6" t="b" cm="1">
        <f t="array" aca="1" ref="AQ3" ca="1">IF($AN3="",TRUE,IF($I3="",FALSE,IF(INDIRECT("OrganizationAccessCasePolicy!J"&amp;$I3)="",FALSE,NOT(ISNA(MATCH(INDIRECT("OrganizationAccessCasePolicy!J"&amp;$I3)&amp;"|"&amp;$AN3,CaseTypeColSetMember!$H:$H,0))))))</f>
        <v>1</v>
      </c>
      <c r="AR3" s="6" t="b" cm="1">
        <f t="array" aca="1" ref="AR3" ca="1">IF($AN3="",TRUE,IF($I3="",FALSE,IF(INDIRECT("OrganizationAccessCasePolicy!L"&amp;$I3)="",FALSE,NOT(ISNA(MATCH(INDIRECT("OrganizationAccessCasePolicy!L"&amp;$I3)&amp;"|"&amp;$AN3,CaseTypeColSetMember!$H:$H,0))))))</f>
        <v>1</v>
      </c>
      <c r="AS3" s="6" t="b" cm="1">
        <f t="array" aca="1" ref="AS3" ca="1">IF($AN3="",TRUE,IF($M3="",FALSE,IF(INDIRECT("UserAccessCasePolicy!I"&amp;$M3)="",FALSE,NOT(ISNA(MATCH(INDIRECT("UserAccessCasePolicy!I"&amp;$M3)&amp;"|"&amp;$AN3,CaseTypeColSetMember!$H:$H,0))))))</f>
        <v>1</v>
      </c>
      <c r="AT3" s="6" t="b" cm="1">
        <f t="array" aca="1" ref="AT3" ca="1">IF($AN3="",TRUE,IF($M3="",FALSE,IF(INDIRECT("UserAccessCasePolicy!K"&amp;$M3)="",FALSE,NOT(ISNA(MATCH(INDIRECT("UserAccessCasePolicy!K"&amp;$M3)&amp;"|"&amp;$AN3,CaseTypeColSetMember!$H:$H,0))))))</f>
        <v>1</v>
      </c>
    </row>
    <row r="4" spans="1:46" x14ac:dyDescent="0.3">
      <c r="A4">
        <v>3</v>
      </c>
      <c r="B4" t="s">
        <v>609</v>
      </c>
      <c r="C4" t="s">
        <v>447</v>
      </c>
      <c r="D4" s="6" t="str">
        <f>INDEX(User!$C:$C,MATCH($C4,User!$A:$A,0))</f>
        <v>refdata_admin1_1</v>
      </c>
      <c r="E4" t="s">
        <v>662</v>
      </c>
      <c r="F4" s="19" t="b">
        <f t="shared" si="0"/>
        <v>0</v>
      </c>
      <c r="G4" s="6" t="str">
        <f>INDEX(User!$F:$F,MATCH($C4,User!$A:$A,0))</f>
        <v>018d074d-ea0c-e942-07db-a3cc0ba1d653</v>
      </c>
      <c r="H4" s="6" t="b">
        <f>INDEX(User!$L:$L,MATCH($C4,User!$A:$A,0))</f>
        <v>0</v>
      </c>
      <c r="I4" s="6">
        <f>IF(ISNA(MATCH($G4&amp;"|"&amp;$V4,OrganizationAccessCasePolicy!$V:$V,0)),"",MATCH($G4&amp;"|"&amp;$V4,OrganizationAccessCasePolicy!$V:$V,0))</f>
        <v>2</v>
      </c>
      <c r="J4" s="6" t="b" cm="1">
        <f t="array" aca="1" ref="J4" ca="1">IF($I4="",FALSE,NOT(ISNA(MATCH(INDIRECT("OrganizationAccessCasePolicy!D"&amp;$I4)&amp;"|"&amp;$R4,CaseTypeSetMember!$H:$H,0))))</f>
        <v>1</v>
      </c>
      <c r="K4" s="6" t="b" cm="1">
        <f t="array" aca="1" ref="K4" ca="1">IF($I4="",FALSE,AND(INDIRECT("OrganizationAccessCasePolicy!H"&amp;$I4),NOT(ISNA(MATCH(INDIRECT("OrganizationAccessCasePolicy!D"&amp;$I4)&amp;"|"&amp;$R4,CaseTypeSetMember!$H:$H,0)))))</f>
        <v>1</v>
      </c>
      <c r="L4" s="6" t="b" cm="1">
        <f t="array" aca="1" ref="L4" ca="1">IF($I4="",FALSE,AND(INDIRECT("OrganizationAccessCasePolicy!I"&amp;$I4),NOT(ISNA(MATCH(INDIRECT("OrganizationAccessCasePolicy!D"&amp;$I4)&amp;"|"&amp;$R4,CaseTypeSetMember!$H:$H,0)))))</f>
        <v>1</v>
      </c>
      <c r="M4" s="6" t="str">
        <f>IF(ISNA(MATCH($C4&amp;"|"&amp;$V4,UserAccessCasePolicy!$W:$W,0)),"",MATCH($C4&amp;"|"&amp;$V4,UserAccessCasePolicy!$W:$W,0))</f>
        <v/>
      </c>
      <c r="N4" s="6" t="b" cm="1">
        <f t="array" aca="1" ref="N4" ca="1">IF($M4="",FALSE,NOT(ISNA(MATCH(INDIRECT("UserAccessCasePolicy!D"&amp;$M4)&amp;"|"&amp;$R4,CaseTypeSetMember!$H:$H,0))))</f>
        <v>0</v>
      </c>
      <c r="O4" s="6" t="b" cm="1">
        <f t="array" aca="1" ref="O4" ca="1">IF($M4="",FALSE,AND(INDIRECT("UserAccessCasePolicy!G"&amp;$M4),NOT(ISNA(MATCH(INDIRECT("UserAccessCasePolicy!D"&amp;$M4)&amp;"|"&amp;$R4,CaseTypeSetMember!$H:$H,0)))))</f>
        <v>0</v>
      </c>
      <c r="P4" s="6" t="b" cm="1">
        <f t="array" aca="1" ref="P4" ca="1">IF($M4="",FALSE,AND(INDIRECT("UserAccessCasePolicy!H"&amp;$M4),NOT(ISNA(MATCH(INDIRECT("UserAccessCasePolicy!D"&amp;$M4)&amp;"|"&amp;$R4,CaseTypeSetMember!$H:$H,0)))))</f>
        <v>0</v>
      </c>
      <c r="Q4" t="s">
        <v>635</v>
      </c>
      <c r="R4" t="s">
        <v>119</v>
      </c>
      <c r="S4" s="6" t="str">
        <f>INDEX(CaseType!$B:$B,MATCH($R4,CaseType!$A:$A,0))</f>
        <v>case_type1</v>
      </c>
      <c r="T4" s="6" t="b">
        <f>AND(IF($Z4="",TRUE,$R4=INDEX(CaseTypeCol!$B:$B,MATCH($Z4,CaseTypeCol!$A:$A,0))),IF($AG4="",TRUE,$R4=INDEX(CaseTypeCol!$B:$B,MATCH($AG4,CaseTypeCol!$A:$A,0))),IF($AN4="",TRUE,$R4=INDEX(CaseTypeCol!$B:$B,MATCH($AN4,CaseTypeCol!$A:$A,0))))</f>
        <v>1</v>
      </c>
      <c r="V4" t="s">
        <v>11</v>
      </c>
      <c r="W4" s="6" t="str">
        <f>INDEX(DataCollection!$B:$B,MATCH($V4,DataCollection!$A:$A,0))</f>
        <v>data_collection1</v>
      </c>
      <c r="Y4" s="14">
        <v>36526</v>
      </c>
      <c r="Z4" t="s">
        <v>142</v>
      </c>
      <c r="AA4" t="s">
        <v>665</v>
      </c>
      <c r="AB4" s="6" t="str">
        <f>IF($Z4="","",INDEX(CaseTypeCol!$G:$G,MATCH($Z4,CaseTypeCol!$A:$A,0)))</f>
        <v>case_type1_dim1_1_text</v>
      </c>
      <c r="AC4" s="6" t="b" cm="1">
        <f t="array" aca="1" ref="AC4" ca="1">IF($Z4="",TRUE,IF($I4="",FALSE,IF(INDIRECT("OrganizationAccessCasePolicy!J"&amp;$I4)="",FALSE,NOT(ISNA(MATCH(INDIRECT("OrganizationAccessCasePolicy!J"&amp;$I4)&amp;"|"&amp;$Z4,CaseTypeColSetMember!$H:$H,0))))))</f>
        <v>1</v>
      </c>
      <c r="AD4" s="6" t="b" cm="1">
        <f t="array" aca="1" ref="AD4" ca="1">IF($Z4="",TRUE,IF($I4="",FALSE,IF(INDIRECT("OrganizationAccessCasePolicy!L"&amp;$I4)="",FALSE,NOT(ISNA(MATCH(INDIRECT("OrganizationAccessCasePolicy!L"&amp;$I4)&amp;"|"&amp;$Z4,CaseTypeColSetMember!$H:$H,0))))))</f>
        <v>1</v>
      </c>
      <c r="AE4" s="6" t="b" cm="1">
        <f t="array" aca="1" ref="AE4" ca="1">IF($Z4="",TRUE,IF($M4="",FALSE,IF(INDIRECT("UserAccessCasePolicy!I"&amp;$M4)="",FALSE,NOT(ISNA(MATCH(INDIRECT("UserAccessCasePolicy!I"&amp;$M4)&amp;"|"&amp;$Z4,CaseTypeColSetMember!$H:$H,0))))))</f>
        <v>0</v>
      </c>
      <c r="AF4" s="6" t="b" cm="1">
        <f t="array" aca="1" ref="AF4" ca="1">IF($Z4="",TRUE,IF($M4="",FALSE,IF(INDIRECT("UserAccessCasePolicy!K"&amp;$M4)="",FALSE,NOT(ISNA(MATCH(INDIRECT("UserAccessCasePolicy!K"&amp;$M4)&amp;"|"&amp;$Z4,CaseTypeColSetMember!$H:$H,0))))))</f>
        <v>0</v>
      </c>
      <c r="AI4" s="6" t="str">
        <f>IF($AG4="","",INDEX(CaseTypeCol!$G:$G,MATCH($AG4,CaseTypeCol!$A:$A,0)))</f>
        <v/>
      </c>
      <c r="AJ4" s="6" t="b" cm="1">
        <f t="array" aca="1" ref="AJ4" ca="1">IF($AG4="",TRUE,IF($I4="",FALSE,IF(INDIRECT("OrganizationAccessCasePolicy!J"&amp;$I4)="",FALSE,NOT(ISNA(MATCH(INDIRECT("OrganizationAccessCasePolicy!J"&amp;$I4)&amp;"|"&amp;$AG4,CaseTypeColSetMember!$H:$H,0))))))</f>
        <v>1</v>
      </c>
      <c r="AK4" s="6" t="b" cm="1">
        <f t="array" aca="1" ref="AK4" ca="1">IF($AG4="",TRUE,IF($I4="",FALSE,IF(INDIRECT("OrganizationAccessCasePolicy!L"&amp;$I4)="",FALSE,NOT(ISNA(MATCH(INDIRECT("OrganizationAccessCasePolicy!L"&amp;$I4)&amp;"|"&amp;$AG4,CaseTypeColSetMember!$H:$H,0))))))</f>
        <v>1</v>
      </c>
      <c r="AL4" s="6" t="b" cm="1">
        <f t="array" aca="1" ref="AL4" ca="1">IF($AG4="",TRUE,IF($M4="",FALSE,IF(INDIRECT("UserAccessCasePolicy!I"&amp;$M4)="",FALSE,NOT(ISNA(MATCH(INDIRECT("UserAccessCasePolicy!I"&amp;$M4)&amp;"|"&amp;$AG4,CaseTypeColSetMember!$H:$H,0))))))</f>
        <v>1</v>
      </c>
      <c r="AM4" s="6" t="b" cm="1">
        <f t="array" aca="1" ref="AM4" ca="1">IF($AG4="",TRUE,IF($M4="",FALSE,IF(INDIRECT("UserAccessCasePolicy!K"&amp;$M4)="",FALSE,NOT(ISNA(MATCH(INDIRECT("UserAccessCasePolicy!K"&amp;$M4)&amp;"|"&amp;$AG4,CaseTypeColSetMember!$H:$H,0))))))</f>
        <v>1</v>
      </c>
      <c r="AP4" s="6" t="str">
        <f>IF($AN4="","",INDEX(CaseTypeCol!$G:$G,MATCH($AN4,CaseTypeCol!$A:$A,0)))</f>
        <v/>
      </c>
      <c r="AQ4" s="6" t="b" cm="1">
        <f t="array" aca="1" ref="AQ4" ca="1">IF($AN4="",TRUE,IF($I4="",FALSE,IF(INDIRECT("OrganizationAccessCasePolicy!J"&amp;$I4)="",FALSE,NOT(ISNA(MATCH(INDIRECT("OrganizationAccessCasePolicy!J"&amp;$I4)&amp;"|"&amp;$AN4,CaseTypeColSetMember!$H:$H,0))))))</f>
        <v>1</v>
      </c>
      <c r="AR4" s="6" t="b" cm="1">
        <f t="array" aca="1" ref="AR4" ca="1">IF($AN4="",TRUE,IF($I4="",FALSE,IF(INDIRECT("OrganizationAccessCasePolicy!L"&amp;$I4)="",FALSE,NOT(ISNA(MATCH(INDIRECT("OrganizationAccessCasePolicy!L"&amp;$I4)&amp;"|"&amp;$AN4,CaseTypeColSetMember!$H:$H,0))))))</f>
        <v>1</v>
      </c>
      <c r="AS4" s="6" t="b" cm="1">
        <f t="array" aca="1" ref="AS4" ca="1">IF($AN4="",TRUE,IF($M4="",FALSE,IF(INDIRECT("UserAccessCasePolicy!I"&amp;$M4)="",FALSE,NOT(ISNA(MATCH(INDIRECT("UserAccessCasePolicy!I"&amp;$M4)&amp;"|"&amp;$AN4,CaseTypeColSetMember!$H:$H,0))))))</f>
        <v>1</v>
      </c>
      <c r="AT4" s="6" t="b" cm="1">
        <f t="array" aca="1" ref="AT4" ca="1">IF($AN4="",TRUE,IF($M4="",FALSE,IF(INDIRECT("UserAccessCasePolicy!K"&amp;$M4)="",FALSE,NOT(ISNA(MATCH(INDIRECT("UserAccessCasePolicy!K"&amp;$M4)&amp;"|"&amp;$AN4,CaseTypeColSetMember!$H:$H,0))))))</f>
        <v>1</v>
      </c>
    </row>
    <row r="5" spans="1:46" x14ac:dyDescent="0.3">
      <c r="A5">
        <v>4</v>
      </c>
      <c r="B5" t="s">
        <v>711</v>
      </c>
      <c r="C5" t="s">
        <v>44</v>
      </c>
      <c r="D5" s="6" t="str">
        <f>INDEX(User!$C:$C,MATCH($C5,User!$A:$A,0))</f>
        <v>org_admin1_1</v>
      </c>
      <c r="E5" t="s">
        <v>662</v>
      </c>
      <c r="F5" s="19" t="b">
        <f t="shared" si="0"/>
        <v>0</v>
      </c>
      <c r="G5" s="6" t="str">
        <f>INDEX(User!$F:$F,MATCH($C5,User!$A:$A,0))</f>
        <v>018d074d-ea0c-e942-07db-a3cc0ba1d653</v>
      </c>
      <c r="H5" s="6" t="b">
        <f>INDEX(User!$L:$L,MATCH($C5,User!$A:$A,0))</f>
        <v>0</v>
      </c>
      <c r="I5" s="6">
        <f>IF(ISNA(MATCH($G5&amp;"|"&amp;$V5,OrganizationAccessCasePolicy!$V:$V,0)),"",MATCH($G5&amp;"|"&amp;$V5,OrganizationAccessCasePolicy!$V:$V,0))</f>
        <v>2</v>
      </c>
      <c r="J5" s="6" t="b" cm="1">
        <f t="array" aca="1" ref="J5" ca="1">IF($I5="",FALSE,NOT(ISNA(MATCH(INDIRECT("OrganizationAccessCasePolicy!D"&amp;$I5)&amp;"|"&amp;$R5,CaseTypeSetMember!$H:$H,0))))</f>
        <v>1</v>
      </c>
      <c r="K5" s="6" t="b" cm="1">
        <f t="array" aca="1" ref="K5" ca="1">IF($I5="",FALSE,AND(INDIRECT("OrganizationAccessCasePolicy!H"&amp;$I5),NOT(ISNA(MATCH(INDIRECT("OrganizationAccessCasePolicy!D"&amp;$I5)&amp;"|"&amp;$R5,CaseTypeSetMember!$H:$H,0)))))</f>
        <v>1</v>
      </c>
      <c r="L5" s="6" t="b" cm="1">
        <f t="array" aca="1" ref="L5" ca="1">IF($I5="",FALSE,AND(INDIRECT("OrganizationAccessCasePolicy!I"&amp;$I5),NOT(ISNA(MATCH(INDIRECT("OrganizationAccessCasePolicy!D"&amp;$I5)&amp;"|"&amp;$R5,CaseTypeSetMember!$H:$H,0)))))</f>
        <v>1</v>
      </c>
      <c r="M5" s="6" t="str">
        <f>IF(ISNA(MATCH($C5&amp;"|"&amp;$V5,UserAccessCasePolicy!$W:$W,0)),"",MATCH($C5&amp;"|"&amp;$V5,UserAccessCasePolicy!$W:$W,0))</f>
        <v/>
      </c>
      <c r="N5" s="6" t="b" cm="1">
        <f t="array" aca="1" ref="N5" ca="1">IF($M5="",FALSE,NOT(ISNA(MATCH(INDIRECT("UserAccessCasePolicy!D"&amp;$M5)&amp;"|"&amp;$R5,CaseTypeSetMember!$H:$H,0))))</f>
        <v>0</v>
      </c>
      <c r="O5" s="6" t="b" cm="1">
        <f t="array" aca="1" ref="O5" ca="1">IF($M5="",FALSE,AND(INDIRECT("UserAccessCasePolicy!G"&amp;$M5),NOT(ISNA(MATCH(INDIRECT("UserAccessCasePolicy!D"&amp;$M5)&amp;"|"&amp;$R5,CaseTypeSetMember!$H:$H,0)))))</f>
        <v>0</v>
      </c>
      <c r="P5" s="6" t="b" cm="1">
        <f t="array" aca="1" ref="P5" ca="1">IF($M5="",FALSE,AND(INDIRECT("UserAccessCasePolicy!H"&amp;$M5),NOT(ISNA(MATCH(INDIRECT("UserAccessCasePolicy!D"&amp;$M5)&amp;"|"&amp;$R5,CaseTypeSetMember!$H:$H,0)))))</f>
        <v>0</v>
      </c>
      <c r="Q5" t="s">
        <v>715</v>
      </c>
      <c r="R5" t="s">
        <v>119</v>
      </c>
      <c r="S5" s="6" t="str">
        <f>INDEX(CaseType!$B:$B,MATCH($R5,CaseType!$A:$A,0))</f>
        <v>case_type1</v>
      </c>
      <c r="T5" s="6" t="b">
        <f>AND(IF($Z5="",TRUE,$R5=INDEX(CaseTypeCol!$B:$B,MATCH($Z5,CaseTypeCol!$A:$A,0))),IF($AG5="",TRUE,$R5=INDEX(CaseTypeCol!$B:$B,MATCH($AG5,CaseTypeCol!$A:$A,0))),IF($AN5="",TRUE,$R5=INDEX(CaseTypeCol!$B:$B,MATCH($AN5,CaseTypeCol!$A:$A,0))))</f>
        <v>1</v>
      </c>
      <c r="V5" t="s">
        <v>11</v>
      </c>
      <c r="W5" s="6" t="str">
        <f>INDEX(DataCollection!$B:$B,MATCH($V5,DataCollection!$A:$A,0))</f>
        <v>data_collection1</v>
      </c>
      <c r="Y5" s="14">
        <v>36526</v>
      </c>
      <c r="Z5" t="s">
        <v>142</v>
      </c>
      <c r="AA5" t="s">
        <v>665</v>
      </c>
      <c r="AB5" s="6" t="str">
        <f>IF($Z5="","",INDEX(CaseTypeCol!$G:$G,MATCH($Z5,CaseTypeCol!$A:$A,0)))</f>
        <v>case_type1_dim1_1_text</v>
      </c>
      <c r="AC5" s="6" t="b" cm="1">
        <f t="array" aca="1" ref="AC5" ca="1">IF($Z5="",TRUE,IF($I5="",FALSE,IF(INDIRECT("OrganizationAccessCasePolicy!J"&amp;$I5)="",FALSE,NOT(ISNA(MATCH(INDIRECT("OrganizationAccessCasePolicy!J"&amp;$I5)&amp;"|"&amp;$Z5,CaseTypeColSetMember!$H:$H,0))))))</f>
        <v>1</v>
      </c>
      <c r="AD5" s="6" t="b" cm="1">
        <f t="array" aca="1" ref="AD5" ca="1">IF($Z5="",TRUE,IF($I5="",FALSE,IF(INDIRECT("OrganizationAccessCasePolicy!L"&amp;$I5)="",FALSE,NOT(ISNA(MATCH(INDIRECT("OrganizationAccessCasePolicy!L"&amp;$I5)&amp;"|"&amp;$Z5,CaseTypeColSetMember!$H:$H,0))))))</f>
        <v>1</v>
      </c>
      <c r="AE5" s="6" t="b" cm="1">
        <f t="array" aca="1" ref="AE5" ca="1">IF($Z5="",TRUE,IF($M5="",FALSE,IF(INDIRECT("UserAccessCasePolicy!I"&amp;$M5)="",FALSE,NOT(ISNA(MATCH(INDIRECT("UserAccessCasePolicy!I"&amp;$M5)&amp;"|"&amp;$Z5,CaseTypeColSetMember!$H:$H,0))))))</f>
        <v>0</v>
      </c>
      <c r="AF5" s="6" t="b" cm="1">
        <f t="array" aca="1" ref="AF5" ca="1">IF($Z5="",TRUE,IF($M5="",FALSE,IF(INDIRECT("UserAccessCasePolicy!K"&amp;$M5)="",FALSE,NOT(ISNA(MATCH(INDIRECT("UserAccessCasePolicy!K"&amp;$M5)&amp;"|"&amp;$Z5,CaseTypeColSetMember!$H:$H,0))))))</f>
        <v>0</v>
      </c>
      <c r="AI5" s="6" t="str">
        <f>IF($AG5="","",INDEX(CaseTypeCol!$G:$G,MATCH($AG5,CaseTypeCol!$A:$A,0)))</f>
        <v/>
      </c>
      <c r="AJ5" s="6" t="b" cm="1">
        <f t="array" aca="1" ref="AJ5" ca="1">IF($AG5="",TRUE,IF($I5="",FALSE,IF(INDIRECT("OrganizationAccessCasePolicy!J"&amp;$I5)="",FALSE,NOT(ISNA(MATCH(INDIRECT("OrganizationAccessCasePolicy!J"&amp;$I5)&amp;"|"&amp;$AG5,CaseTypeColSetMember!$H:$H,0))))))</f>
        <v>1</v>
      </c>
      <c r="AK5" s="6" t="b" cm="1">
        <f t="array" aca="1" ref="AK5" ca="1">IF($AG5="",TRUE,IF($I5="",FALSE,IF(INDIRECT("OrganizationAccessCasePolicy!L"&amp;$I5)="",FALSE,NOT(ISNA(MATCH(INDIRECT("OrganizationAccessCasePolicy!L"&amp;$I5)&amp;"|"&amp;$AG5,CaseTypeColSetMember!$H:$H,0))))))</f>
        <v>1</v>
      </c>
      <c r="AL5" s="6" t="b" cm="1">
        <f t="array" aca="1" ref="AL5" ca="1">IF($AG5="",TRUE,IF($M5="",FALSE,IF(INDIRECT("UserAccessCasePolicy!I"&amp;$M5)="",FALSE,NOT(ISNA(MATCH(INDIRECT("UserAccessCasePolicy!I"&amp;$M5)&amp;"|"&amp;$AG5,CaseTypeColSetMember!$H:$H,0))))))</f>
        <v>1</v>
      </c>
      <c r="AM5" s="6" t="b" cm="1">
        <f t="array" aca="1" ref="AM5" ca="1">IF($AG5="",TRUE,IF($M5="",FALSE,IF(INDIRECT("UserAccessCasePolicy!K"&amp;$M5)="",FALSE,NOT(ISNA(MATCH(INDIRECT("UserAccessCasePolicy!K"&amp;$M5)&amp;"|"&amp;$AG5,CaseTypeColSetMember!$H:$H,0))))))</f>
        <v>1</v>
      </c>
      <c r="AP5" s="6" t="str">
        <f>IF($AN5="","",INDEX(CaseTypeCol!$G:$G,MATCH($AN5,CaseTypeCol!$A:$A,0)))</f>
        <v/>
      </c>
      <c r="AQ5" s="6" t="b" cm="1">
        <f t="array" aca="1" ref="AQ5" ca="1">IF($AN5="",TRUE,IF($I5="",FALSE,IF(INDIRECT("OrganizationAccessCasePolicy!J"&amp;$I5)="",FALSE,NOT(ISNA(MATCH(INDIRECT("OrganizationAccessCasePolicy!J"&amp;$I5)&amp;"|"&amp;$AN5,CaseTypeColSetMember!$H:$H,0))))))</f>
        <v>1</v>
      </c>
      <c r="AR5" s="6" t="b" cm="1">
        <f t="array" aca="1" ref="AR5" ca="1">IF($AN5="",TRUE,IF($I5="",FALSE,IF(INDIRECT("OrganizationAccessCasePolicy!L"&amp;$I5)="",FALSE,NOT(ISNA(MATCH(INDIRECT("OrganizationAccessCasePolicy!L"&amp;$I5)&amp;"|"&amp;$AN5,CaseTypeColSetMember!$H:$H,0))))))</f>
        <v>1</v>
      </c>
      <c r="AS5" s="6" t="b" cm="1">
        <f t="array" aca="1" ref="AS5" ca="1">IF($AN5="",TRUE,IF($M5="",FALSE,IF(INDIRECT("UserAccessCasePolicy!I"&amp;$M5)="",FALSE,NOT(ISNA(MATCH(INDIRECT("UserAccessCasePolicy!I"&amp;$M5)&amp;"|"&amp;$AN5,CaseTypeColSetMember!$H:$H,0))))))</f>
        <v>1</v>
      </c>
      <c r="AT5" s="6" t="b" cm="1">
        <f t="array" aca="1" ref="AT5" ca="1">IF($AN5="",TRUE,IF($M5="",FALSE,IF(INDIRECT("UserAccessCasePolicy!K"&amp;$M5)="",FALSE,NOT(ISNA(MATCH(INDIRECT("UserAccessCasePolicy!K"&amp;$M5)&amp;"|"&amp;$AN5,CaseTypeColSetMember!$H:$H,0))))))</f>
        <v>1</v>
      </c>
    </row>
    <row r="6" spans="1:46" x14ac:dyDescent="0.3">
      <c r="A6">
        <v>5</v>
      </c>
      <c r="B6" t="s">
        <v>712</v>
      </c>
      <c r="C6" t="s">
        <v>10</v>
      </c>
      <c r="D6" s="6" t="str">
        <f>INDEX(User!$C:$C,MATCH($C6,User!$A:$A,0))</f>
        <v>org_user1_1</v>
      </c>
      <c r="E6" t="s">
        <v>662</v>
      </c>
      <c r="F6" s="19" t="b">
        <f t="shared" si="0"/>
        <v>0</v>
      </c>
      <c r="G6" s="6" t="str">
        <f>INDEX(User!$F:$F,MATCH($C6,User!$A:$A,0))</f>
        <v>018d074d-ea0c-e942-07db-a3cc0ba1d653</v>
      </c>
      <c r="H6" s="6" t="b">
        <f>INDEX(User!$L:$L,MATCH($C6,User!$A:$A,0))</f>
        <v>0</v>
      </c>
      <c r="I6" s="6">
        <f>IF(ISNA(MATCH($G6&amp;"|"&amp;$V6,OrganizationAccessCasePolicy!$V:$V,0)),"",MATCH($G6&amp;"|"&amp;$V6,OrganizationAccessCasePolicy!$V:$V,0))</f>
        <v>2</v>
      </c>
      <c r="J6" s="6" t="b" cm="1">
        <f t="array" aca="1" ref="J6" ca="1">IF($I6="",FALSE,NOT(ISNA(MATCH(INDIRECT("OrganizationAccessCasePolicy!D"&amp;$I6)&amp;"|"&amp;$R6,CaseTypeSetMember!$H:$H,0))))</f>
        <v>1</v>
      </c>
      <c r="K6" s="6" t="b" cm="1">
        <f t="array" aca="1" ref="K6" ca="1">IF($I6="",FALSE,AND(INDIRECT("OrganizationAccessCasePolicy!H"&amp;$I6),NOT(ISNA(MATCH(INDIRECT("OrganizationAccessCasePolicy!D"&amp;$I6)&amp;"|"&amp;$R6,CaseTypeSetMember!$H:$H,0)))))</f>
        <v>1</v>
      </c>
      <c r="L6" s="6" t="b" cm="1">
        <f t="array" aca="1" ref="L6" ca="1">IF($I6="",FALSE,AND(INDIRECT("OrganizationAccessCasePolicy!I"&amp;$I6),NOT(ISNA(MATCH(INDIRECT("OrganizationAccessCasePolicy!D"&amp;$I6)&amp;"|"&amp;$R6,CaseTypeSetMember!$H:$H,0)))))</f>
        <v>1</v>
      </c>
      <c r="M6" s="6">
        <f>IF(ISNA(MATCH($C6&amp;"|"&amp;$V6,UserAccessCasePolicy!$W:$W,0)),"",MATCH($C6&amp;"|"&amp;$V6,UserAccessCasePolicy!$W:$W,0))</f>
        <v>2</v>
      </c>
      <c r="N6" s="6" t="b" cm="1">
        <f t="array" aca="1" ref="N6" ca="1">IF($M6="",FALSE,NOT(ISNA(MATCH(INDIRECT("UserAccessCasePolicy!D"&amp;$M6)&amp;"|"&amp;$R6,CaseTypeSetMember!$H:$H,0))))</f>
        <v>1</v>
      </c>
      <c r="O6" s="6" t="b" cm="1">
        <f t="array" aca="1" ref="O6" ca="1">IF($M6="",FALSE,AND(INDIRECT("UserAccessCasePolicy!G"&amp;$M6),NOT(ISNA(MATCH(INDIRECT("UserAccessCasePolicy!D"&amp;$M6)&amp;"|"&amp;$R6,CaseTypeSetMember!$H:$H,0)))))</f>
        <v>1</v>
      </c>
      <c r="P6" s="6" t="b" cm="1">
        <f t="array" aca="1" ref="P6" ca="1">IF($M6="",FALSE,AND(INDIRECT("UserAccessCasePolicy!H"&amp;$M6),NOT(ISNA(MATCH(INDIRECT("UserAccessCasePolicy!D"&amp;$M6)&amp;"|"&amp;$R6,CaseTypeSetMember!$H:$H,0)))))</f>
        <v>1</v>
      </c>
      <c r="Q6" t="s">
        <v>716</v>
      </c>
      <c r="R6" t="s">
        <v>119</v>
      </c>
      <c r="S6" s="6" t="str">
        <f>INDEX(CaseType!$B:$B,MATCH($R6,CaseType!$A:$A,0))</f>
        <v>case_type1</v>
      </c>
      <c r="T6" s="6" t="b">
        <f>AND(IF($Z6="",TRUE,$R6=INDEX(CaseTypeCol!$B:$B,MATCH($Z6,CaseTypeCol!$A:$A,0))),IF($AG6="",TRUE,$R6=INDEX(CaseTypeCol!$B:$B,MATCH($AG6,CaseTypeCol!$A:$A,0))),IF($AN6="",TRUE,$R6=INDEX(CaseTypeCol!$B:$B,MATCH($AN6,CaseTypeCol!$A:$A,0))))</f>
        <v>1</v>
      </c>
      <c r="V6" t="s">
        <v>11</v>
      </c>
      <c r="W6" s="6" t="str">
        <f>INDEX(DataCollection!$B:$B,MATCH($V6,DataCollection!$A:$A,0))</f>
        <v>data_collection1</v>
      </c>
      <c r="Y6" s="14">
        <v>36526</v>
      </c>
      <c r="Z6" t="s">
        <v>142</v>
      </c>
      <c r="AA6" t="s">
        <v>665</v>
      </c>
      <c r="AB6" s="6" t="str">
        <f>IF($Z6="","",INDEX(CaseTypeCol!$G:$G,MATCH($Z6,CaseTypeCol!$A:$A,0)))</f>
        <v>case_type1_dim1_1_text</v>
      </c>
      <c r="AC6" s="6" t="b" cm="1">
        <f t="array" aca="1" ref="AC6" ca="1">IF($Z6="",TRUE,IF($I6="",FALSE,IF(INDIRECT("OrganizationAccessCasePolicy!J"&amp;$I6)="",FALSE,NOT(ISNA(MATCH(INDIRECT("OrganizationAccessCasePolicy!J"&amp;$I6)&amp;"|"&amp;$Z6,CaseTypeColSetMember!$H:$H,0))))))</f>
        <v>1</v>
      </c>
      <c r="AD6" s="6" t="b" cm="1">
        <f t="array" aca="1" ref="AD6" ca="1">IF($Z6="",TRUE,IF($I6="",FALSE,IF(INDIRECT("OrganizationAccessCasePolicy!L"&amp;$I6)="",FALSE,NOT(ISNA(MATCH(INDIRECT("OrganizationAccessCasePolicy!L"&amp;$I6)&amp;"|"&amp;$Z6,CaseTypeColSetMember!$H:$H,0))))))</f>
        <v>1</v>
      </c>
      <c r="AE6" s="6" t="b" cm="1">
        <f t="array" aca="1" ref="AE6" ca="1">IF($Z6="",TRUE,IF($M6="",FALSE,IF(INDIRECT("UserAccessCasePolicy!I"&amp;$M6)="",FALSE,NOT(ISNA(MATCH(INDIRECT("UserAccessCasePolicy!I"&amp;$M6)&amp;"|"&amp;$Z6,CaseTypeColSetMember!$H:$H,0))))))</f>
        <v>1</v>
      </c>
      <c r="AF6" s="6" t="b" cm="1">
        <f t="array" aca="1" ref="AF6" ca="1">IF($Z6="",TRUE,IF($M6="",FALSE,IF(INDIRECT("UserAccessCasePolicy!K"&amp;$M6)="",FALSE,NOT(ISNA(MATCH(INDIRECT("UserAccessCasePolicy!K"&amp;$M6)&amp;"|"&amp;$Z6,CaseTypeColSetMember!$H:$H,0))))))</f>
        <v>1</v>
      </c>
      <c r="AI6" s="6" t="str">
        <f>IF($AG6="","",INDEX(CaseTypeCol!$G:$G,MATCH($AG6,CaseTypeCol!$A:$A,0)))</f>
        <v/>
      </c>
      <c r="AJ6" s="6" t="b" cm="1">
        <f t="array" aca="1" ref="AJ6" ca="1">IF($AG6="",TRUE,IF($I6="",FALSE,IF(INDIRECT("OrganizationAccessCasePolicy!J"&amp;$I6)="",FALSE,NOT(ISNA(MATCH(INDIRECT("OrganizationAccessCasePolicy!J"&amp;$I6)&amp;"|"&amp;$AG6,CaseTypeColSetMember!$H:$H,0))))))</f>
        <v>1</v>
      </c>
      <c r="AK6" s="6" t="b" cm="1">
        <f t="array" aca="1" ref="AK6" ca="1">IF($AG6="",TRUE,IF($I6="",FALSE,IF(INDIRECT("OrganizationAccessCasePolicy!L"&amp;$I6)="",FALSE,NOT(ISNA(MATCH(INDIRECT("OrganizationAccessCasePolicy!L"&amp;$I6)&amp;"|"&amp;$AG6,CaseTypeColSetMember!$H:$H,0))))))</f>
        <v>1</v>
      </c>
      <c r="AL6" s="6" t="b" cm="1">
        <f t="array" aca="1" ref="AL6" ca="1">IF($AG6="",TRUE,IF($M6="",FALSE,IF(INDIRECT("UserAccessCasePolicy!I"&amp;$M6)="",FALSE,NOT(ISNA(MATCH(INDIRECT("UserAccessCasePolicy!I"&amp;$M6)&amp;"|"&amp;$AG6,CaseTypeColSetMember!$H:$H,0))))))</f>
        <v>1</v>
      </c>
      <c r="AM6" s="6" t="b" cm="1">
        <f t="array" aca="1" ref="AM6" ca="1">IF($AG6="",TRUE,IF($M6="",FALSE,IF(INDIRECT("UserAccessCasePolicy!K"&amp;$M6)="",FALSE,NOT(ISNA(MATCH(INDIRECT("UserAccessCasePolicy!K"&amp;$M6)&amp;"|"&amp;$AG6,CaseTypeColSetMember!$H:$H,0))))))</f>
        <v>1</v>
      </c>
      <c r="AP6" s="6" t="str">
        <f>IF($AN6="","",INDEX(CaseTypeCol!$G:$G,MATCH($AN6,CaseTypeCol!$A:$A,0)))</f>
        <v/>
      </c>
      <c r="AQ6" s="6" t="b" cm="1">
        <f t="array" aca="1" ref="AQ6" ca="1">IF($AN6="",TRUE,IF($I6="",FALSE,IF(INDIRECT("OrganizationAccessCasePolicy!J"&amp;$I6)="",FALSE,NOT(ISNA(MATCH(INDIRECT("OrganizationAccessCasePolicy!J"&amp;$I6)&amp;"|"&amp;$AN6,CaseTypeColSetMember!$H:$H,0))))))</f>
        <v>1</v>
      </c>
      <c r="AR6" s="6" t="b" cm="1">
        <f t="array" aca="1" ref="AR6" ca="1">IF($AN6="",TRUE,IF($I6="",FALSE,IF(INDIRECT("OrganizationAccessCasePolicy!L"&amp;$I6)="",FALSE,NOT(ISNA(MATCH(INDIRECT("OrganizationAccessCasePolicy!L"&amp;$I6)&amp;"|"&amp;$AN6,CaseTypeColSetMember!$H:$H,0))))))</f>
        <v>1</v>
      </c>
      <c r="AS6" s="6" t="b" cm="1">
        <f t="array" aca="1" ref="AS6" ca="1">IF($AN6="",TRUE,IF($M6="",FALSE,IF(INDIRECT("UserAccessCasePolicy!I"&amp;$M6)="",FALSE,NOT(ISNA(MATCH(INDIRECT("UserAccessCasePolicy!I"&amp;$M6)&amp;"|"&amp;$AN6,CaseTypeColSetMember!$H:$H,0))))))</f>
        <v>1</v>
      </c>
      <c r="AT6" s="6" t="b" cm="1">
        <f t="array" aca="1" ref="AT6" ca="1">IF($AN6="",TRUE,IF($M6="",FALSE,IF(INDIRECT("UserAccessCasePolicy!K"&amp;$M6)="",FALSE,NOT(ISNA(MATCH(INDIRECT("UserAccessCasePolicy!K"&amp;$M6)&amp;"|"&amp;$AN6,CaseTypeColSetMember!$H:$H,0))))))</f>
        <v>1</v>
      </c>
    </row>
    <row r="7" spans="1:46" x14ac:dyDescent="0.3">
      <c r="A7">
        <v>6</v>
      </c>
      <c r="B7" t="s">
        <v>713</v>
      </c>
      <c r="C7" t="s">
        <v>443</v>
      </c>
      <c r="D7" s="6" t="str">
        <f>INDEX(User!$C:$C,MATCH($C7,User!$A:$A,0))</f>
        <v>root1_1</v>
      </c>
      <c r="E7" t="s">
        <v>723</v>
      </c>
      <c r="F7" s="19" t="b">
        <f t="shared" ca="1" si="0"/>
        <v>1</v>
      </c>
      <c r="G7" s="6" t="str">
        <f>INDEX(User!$F:$F,MATCH($C7,User!$A:$A,0))</f>
        <v>018d074d-ea0c-e942-07db-a3cc0ba1d653</v>
      </c>
      <c r="H7" s="6" t="b">
        <f>INDEX(User!$L:$L,MATCH($C7,User!$A:$A,0))</f>
        <v>1</v>
      </c>
      <c r="I7" s="6">
        <f>IF(ISNA(MATCH($G7&amp;"|"&amp;$V7,OrganizationAccessCasePolicy!$V:$V,0)),"",MATCH($G7&amp;"|"&amp;$V7,OrganizationAccessCasePolicy!$V:$V,0))</f>
        <v>2</v>
      </c>
      <c r="J7" s="6" t="b" cm="1">
        <f t="array" aca="1" ref="J7" ca="1">IF($I7="",FALSE,NOT(ISNA(MATCH(INDIRECT("OrganizationAccessCasePolicy!D"&amp;$I7)&amp;"|"&amp;$R7,CaseTypeSetMember!$H:$H,0))))</f>
        <v>1</v>
      </c>
      <c r="K7" s="6" t="b" cm="1">
        <f t="array" aca="1" ref="K7" ca="1">IF($I7="",FALSE,AND(INDIRECT("OrganizationAccessCasePolicy!H"&amp;$I7),NOT(ISNA(MATCH(INDIRECT("OrganizationAccessCasePolicy!D"&amp;$I7)&amp;"|"&amp;$R7,CaseTypeSetMember!$H:$H,0)))))</f>
        <v>1</v>
      </c>
      <c r="L7" s="6" t="b" cm="1">
        <f t="array" aca="1" ref="L7" ca="1">IF($I7="",FALSE,AND(INDIRECT("OrganizationAccessCasePolicy!I"&amp;$I7),NOT(ISNA(MATCH(INDIRECT("OrganizationAccessCasePolicy!D"&amp;$I7)&amp;"|"&amp;$R7,CaseTypeSetMember!$H:$H,0)))))</f>
        <v>1</v>
      </c>
      <c r="M7" s="6" t="str">
        <f>IF(ISNA(MATCH($C7&amp;"|"&amp;$V7,UserAccessCasePolicy!$W:$W,0)),"",MATCH($C7&amp;"|"&amp;$V7,UserAccessCasePolicy!$W:$W,0))</f>
        <v/>
      </c>
      <c r="N7" s="6" t="b" cm="1">
        <f t="array" aca="1" ref="N7" ca="1">IF($M7="",FALSE,NOT(ISNA(MATCH(INDIRECT("UserAccessCasePolicy!D"&amp;$M7)&amp;"|"&amp;$R7,CaseTypeSetMember!$H:$H,0))))</f>
        <v>0</v>
      </c>
      <c r="O7" s="6" t="b" cm="1">
        <f t="array" aca="1" ref="O7" ca="1">IF($M7="",FALSE,AND(INDIRECT("UserAccessCasePolicy!G"&amp;$M7),NOT(ISNA(MATCH(INDIRECT("UserAccessCasePolicy!D"&amp;$M7)&amp;"|"&amp;$R7,CaseTypeSetMember!$H:$H,0)))))</f>
        <v>0</v>
      </c>
      <c r="P7" s="6" t="b" cm="1">
        <f t="array" aca="1" ref="P7" ca="1">IF($M7="",FALSE,AND(INDIRECT("UserAccessCasePolicy!H"&amp;$M7),NOT(ISNA(MATCH(INDIRECT("UserAccessCasePolicy!D"&amp;$M7)&amp;"|"&amp;$R7,CaseTypeSetMember!$H:$H,0)))))</f>
        <v>0</v>
      </c>
      <c r="Q7" t="s">
        <v>717</v>
      </c>
      <c r="R7" t="s">
        <v>119</v>
      </c>
      <c r="S7" s="6" t="str">
        <f>INDEX(CaseType!$B:$B,MATCH($R7,CaseType!$A:$A,0))</f>
        <v>case_type1</v>
      </c>
      <c r="T7" s="6" t="b">
        <f>AND(IF($Z7="",TRUE,$R7=INDEX(CaseTypeCol!$B:$B,MATCH($Z7,CaseTypeCol!$A:$A,0))),IF($AG7="",TRUE,$R7=INDEX(CaseTypeCol!$B:$B,MATCH($AG7,CaseTypeCol!$A:$A,0))),IF($AN7="",TRUE,$R7=INDEX(CaseTypeCol!$B:$B,MATCH($AN7,CaseTypeCol!$A:$A,0))))</f>
        <v>1</v>
      </c>
      <c r="V7" t="s">
        <v>11</v>
      </c>
      <c r="W7" s="6" t="str">
        <f>INDEX(DataCollection!$B:$B,MATCH($V7,DataCollection!$A:$A,0))</f>
        <v>data_collection1</v>
      </c>
      <c r="Y7" s="14">
        <v>36526</v>
      </c>
      <c r="Z7" t="s">
        <v>142</v>
      </c>
      <c r="AA7" t="s">
        <v>665</v>
      </c>
      <c r="AB7" s="6" t="str">
        <f>IF($Z7="","",INDEX(CaseTypeCol!$G:$G,MATCH($Z7,CaseTypeCol!$A:$A,0)))</f>
        <v>case_type1_dim1_1_text</v>
      </c>
      <c r="AC7" s="6" t="b" cm="1">
        <f t="array" aca="1" ref="AC7" ca="1">IF($Z7="",TRUE,IF($I7="",FALSE,IF(INDIRECT("OrganizationAccessCasePolicy!J"&amp;$I7)="",FALSE,NOT(ISNA(MATCH(INDIRECT("OrganizationAccessCasePolicy!J"&amp;$I7)&amp;"|"&amp;$Z7,CaseTypeColSetMember!$H:$H,0))))))</f>
        <v>1</v>
      </c>
      <c r="AD7" s="6" t="b" cm="1">
        <f t="array" aca="1" ref="AD7" ca="1">IF($Z7="",TRUE,IF($I7="",FALSE,IF(INDIRECT("OrganizationAccessCasePolicy!L"&amp;$I7)="",FALSE,NOT(ISNA(MATCH(INDIRECT("OrganizationAccessCasePolicy!L"&amp;$I7)&amp;"|"&amp;$Z7,CaseTypeColSetMember!$H:$H,0))))))</f>
        <v>1</v>
      </c>
      <c r="AE7" s="6" t="b" cm="1">
        <f t="array" aca="1" ref="AE7" ca="1">IF($Z7="",TRUE,IF($M7="",FALSE,IF(INDIRECT("UserAccessCasePolicy!I"&amp;$M7)="",FALSE,NOT(ISNA(MATCH(INDIRECT("UserAccessCasePolicy!I"&amp;$M7)&amp;"|"&amp;$Z7,CaseTypeColSetMember!$H:$H,0))))))</f>
        <v>0</v>
      </c>
      <c r="AF7" s="6" t="b" cm="1">
        <f t="array" aca="1" ref="AF7" ca="1">IF($Z7="",TRUE,IF($M7="",FALSE,IF(INDIRECT("UserAccessCasePolicy!K"&amp;$M7)="",FALSE,NOT(ISNA(MATCH(INDIRECT("UserAccessCasePolicy!K"&amp;$M7)&amp;"|"&amp;$Z7,CaseTypeColSetMember!$H:$H,0))))))</f>
        <v>0</v>
      </c>
      <c r="AI7" s="6" t="str">
        <f>IF($AG7="","",INDEX(CaseTypeCol!$G:$G,MATCH($AG7,CaseTypeCol!$A:$A,0)))</f>
        <v/>
      </c>
      <c r="AJ7" s="6" t="b" cm="1">
        <f t="array" aca="1" ref="AJ7" ca="1">IF($AG7="",TRUE,IF($I7="",FALSE,IF(INDIRECT("OrganizationAccessCasePolicy!J"&amp;$I7)="",FALSE,NOT(ISNA(MATCH(INDIRECT("OrganizationAccessCasePolicy!J"&amp;$I7)&amp;"|"&amp;$AG7,CaseTypeColSetMember!$H:$H,0))))))</f>
        <v>1</v>
      </c>
      <c r="AK7" s="6" t="b" cm="1">
        <f t="array" aca="1" ref="AK7" ca="1">IF($AG7="",TRUE,IF($I7="",FALSE,IF(INDIRECT("OrganizationAccessCasePolicy!L"&amp;$I7)="",FALSE,NOT(ISNA(MATCH(INDIRECT("OrganizationAccessCasePolicy!L"&amp;$I7)&amp;"|"&amp;$AG7,CaseTypeColSetMember!$H:$H,0))))))</f>
        <v>1</v>
      </c>
      <c r="AL7" s="6" t="b" cm="1">
        <f t="array" aca="1" ref="AL7" ca="1">IF($AG7="",TRUE,IF($M7="",FALSE,IF(INDIRECT("UserAccessCasePolicy!I"&amp;$M7)="",FALSE,NOT(ISNA(MATCH(INDIRECT("UserAccessCasePolicy!I"&amp;$M7)&amp;"|"&amp;$AG7,CaseTypeColSetMember!$H:$H,0))))))</f>
        <v>1</v>
      </c>
      <c r="AM7" s="6" t="b" cm="1">
        <f t="array" aca="1" ref="AM7" ca="1">IF($AG7="",TRUE,IF($M7="",FALSE,IF(INDIRECT("UserAccessCasePolicy!K"&amp;$M7)="",FALSE,NOT(ISNA(MATCH(INDIRECT("UserAccessCasePolicy!K"&amp;$M7)&amp;"|"&amp;$AG7,CaseTypeColSetMember!$H:$H,0))))))</f>
        <v>1</v>
      </c>
      <c r="AP7" s="6" t="str">
        <f>IF($AN7="","",INDEX(CaseTypeCol!$G:$G,MATCH($AN7,CaseTypeCol!$A:$A,0)))</f>
        <v/>
      </c>
      <c r="AQ7" s="6" t="b" cm="1">
        <f t="array" aca="1" ref="AQ7" ca="1">IF($AN7="",TRUE,IF($I7="",FALSE,IF(INDIRECT("OrganizationAccessCasePolicy!J"&amp;$I7)="",FALSE,NOT(ISNA(MATCH(INDIRECT("OrganizationAccessCasePolicy!J"&amp;$I7)&amp;"|"&amp;$AN7,CaseTypeColSetMember!$H:$H,0))))))</f>
        <v>1</v>
      </c>
      <c r="AR7" s="6" t="b" cm="1">
        <f t="array" aca="1" ref="AR7" ca="1">IF($AN7="",TRUE,IF($I7="",FALSE,IF(INDIRECT("OrganizationAccessCasePolicy!L"&amp;$I7)="",FALSE,NOT(ISNA(MATCH(INDIRECT("OrganizationAccessCasePolicy!L"&amp;$I7)&amp;"|"&amp;$AN7,CaseTypeColSetMember!$H:$H,0))))))</f>
        <v>1</v>
      </c>
      <c r="AS7" s="6" t="b" cm="1">
        <f t="array" aca="1" ref="AS7" ca="1">IF($AN7="",TRUE,IF($M7="",FALSE,IF(INDIRECT("UserAccessCasePolicy!I"&amp;$M7)="",FALSE,NOT(ISNA(MATCH(INDIRECT("UserAccessCasePolicy!I"&amp;$M7)&amp;"|"&amp;$AN7,CaseTypeColSetMember!$H:$H,0))))))</f>
        <v>1</v>
      </c>
      <c r="AT7" s="6" t="b" cm="1">
        <f t="array" aca="1" ref="AT7" ca="1">IF($AN7="",TRUE,IF($M7="",FALSE,IF(INDIRECT("UserAccessCasePolicy!K"&amp;$M7)="",FALSE,NOT(ISNA(MATCH(INDIRECT("UserAccessCasePolicy!K"&amp;$M7)&amp;"|"&amp;$AN7,CaseTypeColSetMember!$H:$H,0))))))</f>
        <v>1</v>
      </c>
    </row>
    <row r="8" spans="1:46" x14ac:dyDescent="0.3">
      <c r="A8">
        <v>7</v>
      </c>
      <c r="B8" t="s">
        <v>714</v>
      </c>
      <c r="C8" t="s">
        <v>445</v>
      </c>
      <c r="D8" s="6" t="str">
        <f>INDEX(User!$C:$C,MATCH($C8,User!$A:$A,0))</f>
        <v>app_admin1_1</v>
      </c>
      <c r="E8" t="s">
        <v>723</v>
      </c>
      <c r="F8" s="19" t="b">
        <f t="shared" ca="1" si="0"/>
        <v>1</v>
      </c>
      <c r="G8" s="6" t="str">
        <f>INDEX(User!$F:$F,MATCH($C8,User!$A:$A,0))</f>
        <v>018d074d-ea0c-e942-07db-a3cc0ba1d653</v>
      </c>
      <c r="H8" s="6" t="b">
        <f>INDEX(User!$L:$L,MATCH($C8,User!$A:$A,0))</f>
        <v>1</v>
      </c>
      <c r="I8" s="6">
        <f>IF(ISNA(MATCH($G8&amp;"|"&amp;$V8,OrganizationAccessCasePolicy!$V:$V,0)),"",MATCH($G8&amp;"|"&amp;$V8,OrganizationAccessCasePolicy!$V:$V,0))</f>
        <v>2</v>
      </c>
      <c r="J8" s="6" t="b" cm="1">
        <f t="array" aca="1" ref="J8" ca="1">IF($I8="",FALSE,NOT(ISNA(MATCH(INDIRECT("OrganizationAccessCasePolicy!D"&amp;$I8)&amp;"|"&amp;$R8,CaseTypeSetMember!$H:$H,0))))</f>
        <v>1</v>
      </c>
      <c r="K8" s="6" t="b" cm="1">
        <f t="array" aca="1" ref="K8" ca="1">IF($I8="",FALSE,AND(INDIRECT("OrganizationAccessCasePolicy!H"&amp;$I8),NOT(ISNA(MATCH(INDIRECT("OrganizationAccessCasePolicy!D"&amp;$I8)&amp;"|"&amp;$R8,CaseTypeSetMember!$H:$H,0)))))</f>
        <v>1</v>
      </c>
      <c r="L8" s="6" t="b" cm="1">
        <f t="array" aca="1" ref="L8" ca="1">IF($I8="",FALSE,AND(INDIRECT("OrganizationAccessCasePolicy!I"&amp;$I8),NOT(ISNA(MATCH(INDIRECT("OrganizationAccessCasePolicy!D"&amp;$I8)&amp;"|"&amp;$R8,CaseTypeSetMember!$H:$H,0)))))</f>
        <v>1</v>
      </c>
      <c r="M8" s="6" t="str">
        <f>IF(ISNA(MATCH($C8&amp;"|"&amp;$V8,UserAccessCasePolicy!$W:$W,0)),"",MATCH($C8&amp;"|"&amp;$V8,UserAccessCasePolicy!$W:$W,0))</f>
        <v/>
      </c>
      <c r="N8" s="6" t="b" cm="1">
        <f t="array" aca="1" ref="N8" ca="1">IF($M8="",FALSE,NOT(ISNA(MATCH(INDIRECT("UserAccessCasePolicy!D"&amp;$M8)&amp;"|"&amp;$R8,CaseTypeSetMember!$H:$H,0))))</f>
        <v>0</v>
      </c>
      <c r="O8" s="6" t="b" cm="1">
        <f t="array" aca="1" ref="O8" ca="1">IF($M8="",FALSE,AND(INDIRECT("UserAccessCasePolicy!G"&amp;$M8),NOT(ISNA(MATCH(INDIRECT("UserAccessCasePolicy!D"&amp;$M8)&amp;"|"&amp;$R8,CaseTypeSetMember!$H:$H,0)))))</f>
        <v>0</v>
      </c>
      <c r="P8" s="6" t="b" cm="1">
        <f t="array" aca="1" ref="P8" ca="1">IF($M8="",FALSE,AND(INDIRECT("UserAccessCasePolicy!H"&amp;$M8),NOT(ISNA(MATCH(INDIRECT("UserAccessCasePolicy!D"&amp;$M8)&amp;"|"&amp;$R8,CaseTypeSetMember!$H:$H,0)))))</f>
        <v>0</v>
      </c>
      <c r="Q8" t="s">
        <v>718</v>
      </c>
      <c r="R8" t="s">
        <v>119</v>
      </c>
      <c r="S8" s="6" t="str">
        <f>INDEX(CaseType!$B:$B,MATCH($R8,CaseType!$A:$A,0))</f>
        <v>case_type1</v>
      </c>
      <c r="T8" s="6" t="b">
        <f>AND(IF($Z8="",TRUE,$R8=INDEX(CaseTypeCol!$B:$B,MATCH($Z8,CaseTypeCol!$A:$A,0))),IF($AG8="",TRUE,$R8=INDEX(CaseTypeCol!$B:$B,MATCH($AG8,CaseTypeCol!$A:$A,0))),IF($AN8="",TRUE,$R8=INDEX(CaseTypeCol!$B:$B,MATCH($AN8,CaseTypeCol!$A:$A,0))))</f>
        <v>1</v>
      </c>
      <c r="V8" t="s">
        <v>11</v>
      </c>
      <c r="W8" s="6" t="str">
        <f>INDEX(DataCollection!$B:$B,MATCH($V8,DataCollection!$A:$A,0))</f>
        <v>data_collection1</v>
      </c>
      <c r="Y8" s="14">
        <v>36526</v>
      </c>
      <c r="Z8" t="s">
        <v>142</v>
      </c>
      <c r="AA8" t="s">
        <v>665</v>
      </c>
      <c r="AB8" s="6" t="str">
        <f>IF($Z8="","",INDEX(CaseTypeCol!$G:$G,MATCH($Z8,CaseTypeCol!$A:$A,0)))</f>
        <v>case_type1_dim1_1_text</v>
      </c>
      <c r="AC8" s="6" t="b" cm="1">
        <f t="array" aca="1" ref="AC8" ca="1">IF($Z8="",TRUE,IF($I8="",FALSE,IF(INDIRECT("OrganizationAccessCasePolicy!J"&amp;$I8)="",FALSE,NOT(ISNA(MATCH(INDIRECT("OrganizationAccessCasePolicy!J"&amp;$I8)&amp;"|"&amp;$Z8,CaseTypeColSetMember!$H:$H,0))))))</f>
        <v>1</v>
      </c>
      <c r="AD8" s="6" t="b" cm="1">
        <f t="array" aca="1" ref="AD8" ca="1">IF($Z8="",TRUE,IF($I8="",FALSE,IF(INDIRECT("OrganizationAccessCasePolicy!L"&amp;$I8)="",FALSE,NOT(ISNA(MATCH(INDIRECT("OrganizationAccessCasePolicy!L"&amp;$I8)&amp;"|"&amp;$Z8,CaseTypeColSetMember!$H:$H,0))))))</f>
        <v>1</v>
      </c>
      <c r="AE8" s="6" t="b" cm="1">
        <f t="array" aca="1" ref="AE8" ca="1">IF($Z8="",TRUE,IF($M8="",FALSE,IF(INDIRECT("UserAccessCasePolicy!I"&amp;$M8)="",FALSE,NOT(ISNA(MATCH(INDIRECT("UserAccessCasePolicy!I"&amp;$M8)&amp;"|"&amp;$Z8,CaseTypeColSetMember!$H:$H,0))))))</f>
        <v>0</v>
      </c>
      <c r="AF8" s="6" t="b" cm="1">
        <f t="array" aca="1" ref="AF8" ca="1">IF($Z8="",TRUE,IF($M8="",FALSE,IF(INDIRECT("UserAccessCasePolicy!K"&amp;$M8)="",FALSE,NOT(ISNA(MATCH(INDIRECT("UserAccessCasePolicy!K"&amp;$M8)&amp;"|"&amp;$Z8,CaseTypeColSetMember!$H:$H,0))))))</f>
        <v>0</v>
      </c>
      <c r="AI8" s="6" t="str">
        <f>IF($AG8="","",INDEX(CaseTypeCol!$G:$G,MATCH($AG8,CaseTypeCol!$A:$A,0)))</f>
        <v/>
      </c>
      <c r="AJ8" s="6" t="b" cm="1">
        <f t="array" aca="1" ref="AJ8" ca="1">IF($AG8="",TRUE,IF($I8="",FALSE,IF(INDIRECT("OrganizationAccessCasePolicy!J"&amp;$I8)="",FALSE,NOT(ISNA(MATCH(INDIRECT("OrganizationAccessCasePolicy!J"&amp;$I8)&amp;"|"&amp;$AG8,CaseTypeColSetMember!$H:$H,0))))))</f>
        <v>1</v>
      </c>
      <c r="AK8" s="6" t="b" cm="1">
        <f t="array" aca="1" ref="AK8" ca="1">IF($AG8="",TRUE,IF($I8="",FALSE,IF(INDIRECT("OrganizationAccessCasePolicy!L"&amp;$I8)="",FALSE,NOT(ISNA(MATCH(INDIRECT("OrganizationAccessCasePolicy!L"&amp;$I8)&amp;"|"&amp;$AG8,CaseTypeColSetMember!$H:$H,0))))))</f>
        <v>1</v>
      </c>
      <c r="AL8" s="6" t="b" cm="1">
        <f t="array" aca="1" ref="AL8" ca="1">IF($AG8="",TRUE,IF($M8="",FALSE,IF(INDIRECT("UserAccessCasePolicy!I"&amp;$M8)="",FALSE,NOT(ISNA(MATCH(INDIRECT("UserAccessCasePolicy!I"&amp;$M8)&amp;"|"&amp;$AG8,CaseTypeColSetMember!$H:$H,0))))))</f>
        <v>1</v>
      </c>
      <c r="AM8" s="6" t="b" cm="1">
        <f t="array" aca="1" ref="AM8" ca="1">IF($AG8="",TRUE,IF($M8="",FALSE,IF(INDIRECT("UserAccessCasePolicy!K"&amp;$M8)="",FALSE,NOT(ISNA(MATCH(INDIRECT("UserAccessCasePolicy!K"&amp;$M8)&amp;"|"&amp;$AG8,CaseTypeColSetMember!$H:$H,0))))))</f>
        <v>1</v>
      </c>
      <c r="AP8" s="6" t="str">
        <f>IF($AN8="","",INDEX(CaseTypeCol!$G:$G,MATCH($AN8,CaseTypeCol!$A:$A,0)))</f>
        <v/>
      </c>
      <c r="AQ8" s="6" t="b" cm="1">
        <f t="array" aca="1" ref="AQ8" ca="1">IF($AN8="",TRUE,IF($I8="",FALSE,IF(INDIRECT("OrganizationAccessCasePolicy!J"&amp;$I8)="",FALSE,NOT(ISNA(MATCH(INDIRECT("OrganizationAccessCasePolicy!J"&amp;$I8)&amp;"|"&amp;$AN8,CaseTypeColSetMember!$H:$H,0))))))</f>
        <v>1</v>
      </c>
      <c r="AR8" s="6" t="b" cm="1">
        <f t="array" aca="1" ref="AR8" ca="1">IF($AN8="",TRUE,IF($I8="",FALSE,IF(INDIRECT("OrganizationAccessCasePolicy!L"&amp;$I8)="",FALSE,NOT(ISNA(MATCH(INDIRECT("OrganizationAccessCasePolicy!L"&amp;$I8)&amp;"|"&amp;$AN8,CaseTypeColSetMember!$H:$H,0))))))</f>
        <v>1</v>
      </c>
      <c r="AS8" s="6" t="b" cm="1">
        <f t="array" aca="1" ref="AS8" ca="1">IF($AN8="",TRUE,IF($M8="",FALSE,IF(INDIRECT("UserAccessCasePolicy!I"&amp;$M8)="",FALSE,NOT(ISNA(MATCH(INDIRECT("UserAccessCasePolicy!I"&amp;$M8)&amp;"|"&amp;$AN8,CaseTypeColSetMember!$H:$H,0))))))</f>
        <v>1</v>
      </c>
      <c r="AT8" s="6" t="b" cm="1">
        <f t="array" aca="1" ref="AT8" ca="1">IF($AN8="",TRUE,IF($M8="",FALSE,IF(INDIRECT("UserAccessCasePolicy!K"&amp;$M8)="",FALSE,NOT(ISNA(MATCH(INDIRECT("UserAccessCasePolicy!K"&amp;$M8)&amp;"|"&amp;$AN8,CaseTypeColSetMember!$H:$H,0))))))</f>
        <v>1</v>
      </c>
    </row>
    <row r="9" spans="1:46" x14ac:dyDescent="0.3">
      <c r="A9">
        <v>8</v>
      </c>
      <c r="B9" t="s">
        <v>610</v>
      </c>
      <c r="C9" t="s">
        <v>44</v>
      </c>
      <c r="D9" s="6" t="str">
        <f>INDEX(User!$C:$C,MATCH($C9,User!$A:$A,0))</f>
        <v>org_admin1_1</v>
      </c>
      <c r="E9" t="s">
        <v>723</v>
      </c>
      <c r="F9" s="19" t="b">
        <f t="shared" ca="1" si="0"/>
        <v>0</v>
      </c>
      <c r="G9" s="6" t="str">
        <f>INDEX(User!$F:$F,MATCH($C9,User!$A:$A,0))</f>
        <v>018d074d-ea0c-e942-07db-a3cc0ba1d653</v>
      </c>
      <c r="H9" s="6" t="b">
        <f>INDEX(User!$L:$L,MATCH($C9,User!$A:$A,0))</f>
        <v>0</v>
      </c>
      <c r="I9" s="6">
        <f>IF(ISNA(MATCH($G9&amp;"|"&amp;$V9,OrganizationAccessCasePolicy!$V:$V,0)),"",MATCH($G9&amp;"|"&amp;$V9,OrganizationAccessCasePolicy!$V:$V,0))</f>
        <v>2</v>
      </c>
      <c r="J9" s="6" t="b" cm="1">
        <f t="array" aca="1" ref="J9" ca="1">IF($I9="",FALSE,NOT(ISNA(MATCH(INDIRECT("OrganizationAccessCasePolicy!D"&amp;$I9)&amp;"|"&amp;$R9,CaseTypeSetMember!$H:$H,0))))</f>
        <v>1</v>
      </c>
      <c r="K9" s="6" t="b" cm="1">
        <f t="array" aca="1" ref="K9" ca="1">IF($I9="",FALSE,AND(INDIRECT("OrganizationAccessCasePolicy!H"&amp;$I9),NOT(ISNA(MATCH(INDIRECT("OrganizationAccessCasePolicy!D"&amp;$I9)&amp;"|"&amp;$R9,CaseTypeSetMember!$H:$H,0)))))</f>
        <v>1</v>
      </c>
      <c r="L9" s="6" t="b" cm="1">
        <f t="array" aca="1" ref="L9" ca="1">IF($I9="",FALSE,AND(INDIRECT("OrganizationAccessCasePolicy!I"&amp;$I9),NOT(ISNA(MATCH(INDIRECT("OrganizationAccessCasePolicy!D"&amp;$I9)&amp;"|"&amp;$R9,CaseTypeSetMember!$H:$H,0)))))</f>
        <v>1</v>
      </c>
      <c r="M9" s="6" t="str">
        <f>IF(ISNA(MATCH($C9&amp;"|"&amp;$V9,UserAccessCasePolicy!$W:$W,0)),"",MATCH($C9&amp;"|"&amp;$V9,UserAccessCasePolicy!$W:$W,0))</f>
        <v/>
      </c>
      <c r="N9" s="6" t="b" cm="1">
        <f t="array" aca="1" ref="N9" ca="1">IF($M9="",FALSE,NOT(ISNA(MATCH(INDIRECT("UserAccessCasePolicy!D"&amp;$M9)&amp;"|"&amp;$R9,CaseTypeSetMember!$H:$H,0))))</f>
        <v>0</v>
      </c>
      <c r="O9" s="6" t="b" cm="1">
        <f t="array" aca="1" ref="O9" ca="1">IF($M9="",FALSE,AND(INDIRECT("UserAccessCasePolicy!G"&amp;$M9),NOT(ISNA(MATCH(INDIRECT("UserAccessCasePolicy!D"&amp;$M9)&amp;"|"&amp;$R9,CaseTypeSetMember!$H:$H,0)))))</f>
        <v>0</v>
      </c>
      <c r="P9" s="6" t="b" cm="1">
        <f t="array" aca="1" ref="P9" ca="1">IF($M9="",FALSE,AND(INDIRECT("UserAccessCasePolicy!H"&amp;$M9),NOT(ISNA(MATCH(INDIRECT("UserAccessCasePolicy!D"&amp;$M9)&amp;"|"&amp;$R9,CaseTypeSetMember!$H:$H,0)))))</f>
        <v>0</v>
      </c>
      <c r="Q9" t="s">
        <v>636</v>
      </c>
      <c r="R9" t="s">
        <v>119</v>
      </c>
      <c r="S9" s="6" t="str">
        <f>INDEX(CaseType!$B:$B,MATCH($R9,CaseType!$A:$A,0))</f>
        <v>case_type1</v>
      </c>
      <c r="T9" s="6" t="b">
        <f>AND(IF($Z9="",TRUE,$R9=INDEX(CaseTypeCol!$B:$B,MATCH($Z9,CaseTypeCol!$A:$A,0))),IF($AG9="",TRUE,$R9=INDEX(CaseTypeCol!$B:$B,MATCH($AG9,CaseTypeCol!$A:$A,0))),IF($AN9="",TRUE,$R9=INDEX(CaseTypeCol!$B:$B,MATCH($AN9,CaseTypeCol!$A:$A,0))))</f>
        <v>1</v>
      </c>
      <c r="V9" t="s">
        <v>11</v>
      </c>
      <c r="W9" s="6" t="str">
        <f>INDEX(DataCollection!$B:$B,MATCH($V9,DataCollection!$A:$A,0))</f>
        <v>data_collection1</v>
      </c>
      <c r="Y9" s="14">
        <v>36526</v>
      </c>
      <c r="Z9" t="s">
        <v>142</v>
      </c>
      <c r="AA9" t="s">
        <v>665</v>
      </c>
      <c r="AB9" s="6" t="str">
        <f>IF($Z9="","",INDEX(CaseTypeCol!$G:$G,MATCH($Z9,CaseTypeCol!$A:$A,0)))</f>
        <v>case_type1_dim1_1_text</v>
      </c>
      <c r="AC9" s="6" t="b" cm="1">
        <f t="array" aca="1" ref="AC9" ca="1">IF($Z9="",TRUE,IF($I9="",FALSE,IF(INDIRECT("OrganizationAccessCasePolicy!J"&amp;$I9)="",FALSE,NOT(ISNA(MATCH(INDIRECT("OrganizationAccessCasePolicy!J"&amp;$I9)&amp;"|"&amp;$Z9,CaseTypeColSetMember!$H:$H,0))))))</f>
        <v>1</v>
      </c>
      <c r="AD9" s="6" t="b" cm="1">
        <f t="array" aca="1" ref="AD9" ca="1">IF($Z9="",TRUE,IF($I9="",FALSE,IF(INDIRECT("OrganizationAccessCasePolicy!L"&amp;$I9)="",FALSE,NOT(ISNA(MATCH(INDIRECT("OrganizationAccessCasePolicy!L"&amp;$I9)&amp;"|"&amp;$Z9,CaseTypeColSetMember!$H:$H,0))))))</f>
        <v>1</v>
      </c>
      <c r="AE9" s="6" t="b" cm="1">
        <f t="array" aca="1" ref="AE9" ca="1">IF($Z9="",TRUE,IF($M9="",FALSE,IF(INDIRECT("UserAccessCasePolicy!I"&amp;$M9)="",FALSE,NOT(ISNA(MATCH(INDIRECT("UserAccessCasePolicy!I"&amp;$M9)&amp;"|"&amp;$Z9,CaseTypeColSetMember!$H:$H,0))))))</f>
        <v>0</v>
      </c>
      <c r="AF9" s="6" t="b" cm="1">
        <f t="array" aca="1" ref="AF9" ca="1">IF($Z9="",TRUE,IF($M9="",FALSE,IF(INDIRECT("UserAccessCasePolicy!K"&amp;$M9)="",FALSE,NOT(ISNA(MATCH(INDIRECT("UserAccessCasePolicy!K"&amp;$M9)&amp;"|"&amp;$Z9,CaseTypeColSetMember!$H:$H,0))))))</f>
        <v>0</v>
      </c>
      <c r="AI9" s="6" t="str">
        <f>IF($AG9="","",INDEX(CaseTypeCol!$G:$G,MATCH($AG9,CaseTypeCol!$A:$A,0)))</f>
        <v/>
      </c>
      <c r="AJ9" s="6" t="b" cm="1">
        <f t="array" aca="1" ref="AJ9" ca="1">IF($AG9="",TRUE,IF($I9="",FALSE,IF(INDIRECT("OrganizationAccessCasePolicy!J"&amp;$I9)="",FALSE,NOT(ISNA(MATCH(INDIRECT("OrganizationAccessCasePolicy!J"&amp;$I9)&amp;"|"&amp;$AG9,CaseTypeColSetMember!$H:$H,0))))))</f>
        <v>1</v>
      </c>
      <c r="AK9" s="6" t="b" cm="1">
        <f t="array" aca="1" ref="AK9" ca="1">IF($AG9="",TRUE,IF($I9="",FALSE,IF(INDIRECT("OrganizationAccessCasePolicy!L"&amp;$I9)="",FALSE,NOT(ISNA(MATCH(INDIRECT("OrganizationAccessCasePolicy!L"&amp;$I9)&amp;"|"&amp;$AG9,CaseTypeColSetMember!$H:$H,0))))))</f>
        <v>1</v>
      </c>
      <c r="AL9" s="6" t="b" cm="1">
        <f t="array" aca="1" ref="AL9" ca="1">IF($AG9="",TRUE,IF($M9="",FALSE,IF(INDIRECT("UserAccessCasePolicy!I"&amp;$M9)="",FALSE,NOT(ISNA(MATCH(INDIRECT("UserAccessCasePolicy!I"&amp;$M9)&amp;"|"&amp;$AG9,CaseTypeColSetMember!$H:$H,0))))))</f>
        <v>1</v>
      </c>
      <c r="AM9" s="6" t="b" cm="1">
        <f t="array" aca="1" ref="AM9" ca="1">IF($AG9="",TRUE,IF($M9="",FALSE,IF(INDIRECT("UserAccessCasePolicy!K"&amp;$M9)="",FALSE,NOT(ISNA(MATCH(INDIRECT("UserAccessCasePolicy!K"&amp;$M9)&amp;"|"&amp;$AG9,CaseTypeColSetMember!$H:$H,0))))))</f>
        <v>1</v>
      </c>
      <c r="AP9" s="6" t="str">
        <f>IF($AN9="","",INDEX(CaseTypeCol!$G:$G,MATCH($AN9,CaseTypeCol!$A:$A,0)))</f>
        <v/>
      </c>
      <c r="AQ9" s="6" t="b" cm="1">
        <f t="array" aca="1" ref="AQ9" ca="1">IF($AN9="",TRUE,IF($I9="",FALSE,IF(INDIRECT("OrganizationAccessCasePolicy!J"&amp;$I9)="",FALSE,NOT(ISNA(MATCH(INDIRECT("OrganizationAccessCasePolicy!J"&amp;$I9)&amp;"|"&amp;$AN9,CaseTypeColSetMember!$H:$H,0))))))</f>
        <v>1</v>
      </c>
      <c r="AR9" s="6" t="b" cm="1">
        <f t="array" aca="1" ref="AR9" ca="1">IF($AN9="",TRUE,IF($I9="",FALSE,IF(INDIRECT("OrganizationAccessCasePolicy!L"&amp;$I9)="",FALSE,NOT(ISNA(MATCH(INDIRECT("OrganizationAccessCasePolicy!L"&amp;$I9)&amp;"|"&amp;$AN9,CaseTypeColSetMember!$H:$H,0))))))</f>
        <v>1</v>
      </c>
      <c r="AS9" s="6" t="b" cm="1">
        <f t="array" aca="1" ref="AS9" ca="1">IF($AN9="",TRUE,IF($M9="",FALSE,IF(INDIRECT("UserAccessCasePolicy!I"&amp;$M9)="",FALSE,NOT(ISNA(MATCH(INDIRECT("UserAccessCasePolicy!I"&amp;$M9)&amp;"|"&amp;$AN9,CaseTypeColSetMember!$H:$H,0))))))</f>
        <v>1</v>
      </c>
      <c r="AT9" s="6" t="b" cm="1">
        <f t="array" aca="1" ref="AT9" ca="1">IF($AN9="",TRUE,IF($M9="",FALSE,IF(INDIRECT("UserAccessCasePolicy!K"&amp;$M9)="",FALSE,NOT(ISNA(MATCH(INDIRECT("UserAccessCasePolicy!K"&amp;$M9)&amp;"|"&amp;$AN9,CaseTypeColSetMember!$H:$H,0))))))</f>
        <v>1</v>
      </c>
    </row>
    <row r="10" spans="1:46" x14ac:dyDescent="0.3">
      <c r="A10">
        <v>9</v>
      </c>
      <c r="B10" t="s">
        <v>611</v>
      </c>
      <c r="C10" t="s">
        <v>47</v>
      </c>
      <c r="D10" s="6" t="str">
        <f>INDEX(User!$C:$C,MATCH($C10,User!$A:$A,0))</f>
        <v>org_admin2_1</v>
      </c>
      <c r="E10" t="s">
        <v>723</v>
      </c>
      <c r="F10" s="19" t="b">
        <f t="shared" ca="1" si="0"/>
        <v>0</v>
      </c>
      <c r="G10" s="6" t="str">
        <f>INDEX(User!$F:$F,MATCH($C10,User!$A:$A,0))</f>
        <v>0195d18c-1c92-0ed4-2e94-b4f66d82baf3</v>
      </c>
      <c r="H10" s="6" t="b">
        <f>INDEX(User!$L:$L,MATCH($C10,User!$A:$A,0))</f>
        <v>0</v>
      </c>
      <c r="I10" s="6" t="str">
        <f>IF(ISNA(MATCH($G10&amp;"|"&amp;$V10,OrganizationAccessCasePolicy!$V:$V,0)),"",MATCH($G10&amp;"|"&amp;$V10,OrganizationAccessCasePolicy!$V:$V,0))</f>
        <v/>
      </c>
      <c r="J10" s="6" t="b" cm="1">
        <f t="array" aca="1" ref="J10" ca="1">IF($I10="",FALSE,NOT(ISNA(MATCH(INDIRECT("OrganizationAccessCasePolicy!D"&amp;$I10)&amp;"|"&amp;$R10,CaseTypeSetMember!$H:$H,0))))</f>
        <v>0</v>
      </c>
      <c r="K10" s="6" t="b" cm="1">
        <f t="array" aca="1" ref="K10" ca="1">IF($I10="",FALSE,AND(INDIRECT("OrganizationAccessCasePolicy!H"&amp;$I10),NOT(ISNA(MATCH(INDIRECT("OrganizationAccessCasePolicy!D"&amp;$I10)&amp;"|"&amp;$R10,CaseTypeSetMember!$H:$H,0)))))</f>
        <v>0</v>
      </c>
      <c r="L10" s="6" t="b" cm="1">
        <f t="array" aca="1" ref="L10" ca="1">IF($I10="",FALSE,AND(INDIRECT("OrganizationAccessCasePolicy!I"&amp;$I10),NOT(ISNA(MATCH(INDIRECT("OrganizationAccessCasePolicy!D"&amp;$I10)&amp;"|"&amp;$R10,CaseTypeSetMember!$H:$H,0)))))</f>
        <v>0</v>
      </c>
      <c r="M10" s="6" t="str">
        <f>IF(ISNA(MATCH($C10&amp;"|"&amp;$V10,UserAccessCasePolicy!$W:$W,0)),"",MATCH($C10&amp;"|"&amp;$V10,UserAccessCasePolicy!$W:$W,0))</f>
        <v/>
      </c>
      <c r="N10" s="6" t="b" cm="1">
        <f t="array" aca="1" ref="N10" ca="1">IF($M10="",FALSE,NOT(ISNA(MATCH(INDIRECT("UserAccessCasePolicy!D"&amp;$M10)&amp;"|"&amp;$R10,CaseTypeSetMember!$H:$H,0))))</f>
        <v>0</v>
      </c>
      <c r="O10" s="6" t="b" cm="1">
        <f t="array" aca="1" ref="O10" ca="1">IF($M10="",FALSE,AND(INDIRECT("UserAccessCasePolicy!G"&amp;$M10),NOT(ISNA(MATCH(INDIRECT("UserAccessCasePolicy!D"&amp;$M10)&amp;"|"&amp;$R10,CaseTypeSetMember!$H:$H,0)))))</f>
        <v>0</v>
      </c>
      <c r="P10" s="6" t="b" cm="1">
        <f t="array" aca="1" ref="P10" ca="1">IF($M10="",FALSE,AND(INDIRECT("UserAccessCasePolicy!H"&amp;$M10),NOT(ISNA(MATCH(INDIRECT("UserAccessCasePolicy!D"&amp;$M10)&amp;"|"&amp;$R10,CaseTypeSetMember!$H:$H,0)))))</f>
        <v>0</v>
      </c>
      <c r="Q10" t="s">
        <v>637</v>
      </c>
      <c r="R10" t="s">
        <v>119</v>
      </c>
      <c r="S10" s="6" t="str">
        <f>INDEX(CaseType!$B:$B,MATCH($R10,CaseType!$A:$A,0))</f>
        <v>case_type1</v>
      </c>
      <c r="T10" s="6" t="b">
        <f>AND(IF($Z10="",TRUE,$R10=INDEX(CaseTypeCol!$B:$B,MATCH($Z10,CaseTypeCol!$A:$A,0))),IF($AG10="",TRUE,$R10=INDEX(CaseTypeCol!$B:$B,MATCH($AG10,CaseTypeCol!$A:$A,0))),IF($AN10="",TRUE,$R10=INDEX(CaseTypeCol!$B:$B,MATCH($AN10,CaseTypeCol!$A:$A,0))))</f>
        <v>1</v>
      </c>
      <c r="V10" t="s">
        <v>11</v>
      </c>
      <c r="W10" s="6" t="str">
        <f>INDEX(DataCollection!$B:$B,MATCH($V10,DataCollection!$A:$A,0))</f>
        <v>data_collection1</v>
      </c>
      <c r="Y10" s="14">
        <v>36526</v>
      </c>
      <c r="Z10" t="s">
        <v>142</v>
      </c>
      <c r="AA10" t="s">
        <v>665</v>
      </c>
      <c r="AB10" s="6" t="str">
        <f>IF($Z10="","",INDEX(CaseTypeCol!$G:$G,MATCH($Z10,CaseTypeCol!$A:$A,0)))</f>
        <v>case_type1_dim1_1_text</v>
      </c>
      <c r="AC10" s="6" t="b" cm="1">
        <f t="array" aca="1" ref="AC10" ca="1">IF($Z10="",TRUE,IF($I10="",FALSE,IF(INDIRECT("OrganizationAccessCasePolicy!J"&amp;$I10)="",FALSE,NOT(ISNA(MATCH(INDIRECT("OrganizationAccessCasePolicy!J"&amp;$I10)&amp;"|"&amp;$Z10,CaseTypeColSetMember!$H:$H,0))))))</f>
        <v>0</v>
      </c>
      <c r="AD10" s="6" t="b" cm="1">
        <f t="array" aca="1" ref="AD10" ca="1">IF($Z10="",TRUE,IF($I10="",FALSE,IF(INDIRECT("OrganizationAccessCasePolicy!L"&amp;$I10)="",FALSE,NOT(ISNA(MATCH(INDIRECT("OrganizationAccessCasePolicy!L"&amp;$I10)&amp;"|"&amp;$Z10,CaseTypeColSetMember!$H:$H,0))))))</f>
        <v>0</v>
      </c>
      <c r="AE10" s="6" t="b" cm="1">
        <f t="array" aca="1" ref="AE10" ca="1">IF($Z10="",TRUE,IF($M10="",FALSE,IF(INDIRECT("UserAccessCasePolicy!I"&amp;$M10)="",FALSE,NOT(ISNA(MATCH(INDIRECT("UserAccessCasePolicy!I"&amp;$M10)&amp;"|"&amp;$Z10,CaseTypeColSetMember!$H:$H,0))))))</f>
        <v>0</v>
      </c>
      <c r="AF10" s="6" t="b" cm="1">
        <f t="array" aca="1" ref="AF10" ca="1">IF($Z10="",TRUE,IF($M10="",FALSE,IF(INDIRECT("UserAccessCasePolicy!K"&amp;$M10)="",FALSE,NOT(ISNA(MATCH(INDIRECT("UserAccessCasePolicy!K"&amp;$M10)&amp;"|"&amp;$Z10,CaseTypeColSetMember!$H:$H,0))))))</f>
        <v>0</v>
      </c>
      <c r="AI10" s="6" t="str">
        <f>IF($AG10="","",INDEX(CaseTypeCol!$G:$G,MATCH($AG10,CaseTypeCol!$A:$A,0)))</f>
        <v/>
      </c>
      <c r="AJ10" s="6" t="b" cm="1">
        <f t="array" aca="1" ref="AJ10" ca="1">IF($AG10="",TRUE,IF($I10="",FALSE,IF(INDIRECT("OrganizationAccessCasePolicy!J"&amp;$I10)="",FALSE,NOT(ISNA(MATCH(INDIRECT("OrganizationAccessCasePolicy!J"&amp;$I10)&amp;"|"&amp;$AG10,CaseTypeColSetMember!$H:$H,0))))))</f>
        <v>1</v>
      </c>
      <c r="AK10" s="6" t="b" cm="1">
        <f t="array" aca="1" ref="AK10" ca="1">IF($AG10="",TRUE,IF($I10="",FALSE,IF(INDIRECT("OrganizationAccessCasePolicy!L"&amp;$I10)="",FALSE,NOT(ISNA(MATCH(INDIRECT("OrganizationAccessCasePolicy!L"&amp;$I10)&amp;"|"&amp;$AG10,CaseTypeColSetMember!$H:$H,0))))))</f>
        <v>1</v>
      </c>
      <c r="AL10" s="6" t="b" cm="1">
        <f t="array" aca="1" ref="AL10" ca="1">IF($AG10="",TRUE,IF($M10="",FALSE,IF(INDIRECT("UserAccessCasePolicy!I"&amp;$M10)="",FALSE,NOT(ISNA(MATCH(INDIRECT("UserAccessCasePolicy!I"&amp;$M10)&amp;"|"&amp;$AG10,CaseTypeColSetMember!$H:$H,0))))))</f>
        <v>1</v>
      </c>
      <c r="AM10" s="6" t="b" cm="1">
        <f t="array" aca="1" ref="AM10" ca="1">IF($AG10="",TRUE,IF($M10="",FALSE,IF(INDIRECT("UserAccessCasePolicy!K"&amp;$M10)="",FALSE,NOT(ISNA(MATCH(INDIRECT("UserAccessCasePolicy!K"&amp;$M10)&amp;"|"&amp;$AG10,CaseTypeColSetMember!$H:$H,0))))))</f>
        <v>1</v>
      </c>
      <c r="AP10" s="6" t="str">
        <f>IF($AN10="","",INDEX(CaseTypeCol!$G:$G,MATCH($AN10,CaseTypeCol!$A:$A,0)))</f>
        <v/>
      </c>
      <c r="AQ10" s="6" t="b" cm="1">
        <f t="array" aca="1" ref="AQ10" ca="1">IF($AN10="",TRUE,IF($I10="",FALSE,IF(INDIRECT("OrganizationAccessCasePolicy!J"&amp;$I10)="",FALSE,NOT(ISNA(MATCH(INDIRECT("OrganizationAccessCasePolicy!J"&amp;$I10)&amp;"|"&amp;$AN10,CaseTypeColSetMember!$H:$H,0))))))</f>
        <v>1</v>
      </c>
      <c r="AR10" s="6" t="b" cm="1">
        <f t="array" aca="1" ref="AR10" ca="1">IF($AN10="",TRUE,IF($I10="",FALSE,IF(INDIRECT("OrganizationAccessCasePolicy!L"&amp;$I10)="",FALSE,NOT(ISNA(MATCH(INDIRECT("OrganizationAccessCasePolicy!L"&amp;$I10)&amp;"|"&amp;$AN10,CaseTypeColSetMember!$H:$H,0))))))</f>
        <v>1</v>
      </c>
      <c r="AS10" s="6" t="b" cm="1">
        <f t="array" aca="1" ref="AS10" ca="1">IF($AN10="",TRUE,IF($M10="",FALSE,IF(INDIRECT("UserAccessCasePolicy!I"&amp;$M10)="",FALSE,NOT(ISNA(MATCH(INDIRECT("UserAccessCasePolicy!I"&amp;$M10)&amp;"|"&amp;$AN10,CaseTypeColSetMember!$H:$H,0))))))</f>
        <v>1</v>
      </c>
      <c r="AT10" s="6" t="b" cm="1">
        <f t="array" aca="1" ref="AT10" ca="1">IF($AN10="",TRUE,IF($M10="",FALSE,IF(INDIRECT("UserAccessCasePolicy!K"&amp;$M10)="",FALSE,NOT(ISNA(MATCH(INDIRECT("UserAccessCasePolicy!K"&amp;$M10)&amp;"|"&amp;$AN10,CaseTypeColSetMember!$H:$H,0))))))</f>
        <v>1</v>
      </c>
    </row>
    <row r="11" spans="1:46" x14ac:dyDescent="0.3">
      <c r="A11">
        <v>10</v>
      </c>
      <c r="B11" t="s">
        <v>612</v>
      </c>
      <c r="C11" t="s">
        <v>50</v>
      </c>
      <c r="D11" s="6" t="str">
        <f>INDEX(User!$C:$C,MATCH($C11,User!$A:$A,0))</f>
        <v>org_admin3_1</v>
      </c>
      <c r="E11" t="s">
        <v>723</v>
      </c>
      <c r="F11" s="19" t="b">
        <f t="shared" ca="1" si="0"/>
        <v>0</v>
      </c>
      <c r="G11" s="6" t="str">
        <f>INDEX(User!$F:$F,MATCH($C11,User!$A:$A,0))</f>
        <v>0195d18c-1c92-52b3-93e0-43dc1f2aa037</v>
      </c>
      <c r="H11" s="6" t="b">
        <f>INDEX(User!$L:$L,MATCH($C11,User!$A:$A,0))</f>
        <v>0</v>
      </c>
      <c r="I11" s="6" t="str">
        <f>IF(ISNA(MATCH($G11&amp;"|"&amp;$V11,OrganizationAccessCasePolicy!$V:$V,0)),"",MATCH($G11&amp;"|"&amp;$V11,OrganizationAccessCasePolicy!$V:$V,0))</f>
        <v/>
      </c>
      <c r="J11" s="6" t="b" cm="1">
        <f t="array" aca="1" ref="J11" ca="1">IF($I11="",FALSE,NOT(ISNA(MATCH(INDIRECT("OrganizationAccessCasePolicy!D"&amp;$I11)&amp;"|"&amp;$R11,CaseTypeSetMember!$H:$H,0))))</f>
        <v>0</v>
      </c>
      <c r="K11" s="6" t="b" cm="1">
        <f t="array" aca="1" ref="K11" ca="1">IF($I11="",FALSE,AND(INDIRECT("OrganizationAccessCasePolicy!H"&amp;$I11),NOT(ISNA(MATCH(INDIRECT("OrganizationAccessCasePolicy!D"&amp;$I11)&amp;"|"&amp;$R11,CaseTypeSetMember!$H:$H,0)))))</f>
        <v>0</v>
      </c>
      <c r="L11" s="6" t="b" cm="1">
        <f t="array" aca="1" ref="L11" ca="1">IF($I11="",FALSE,AND(INDIRECT("OrganizationAccessCasePolicy!I"&amp;$I11),NOT(ISNA(MATCH(INDIRECT("OrganizationAccessCasePolicy!D"&amp;$I11)&amp;"|"&amp;$R11,CaseTypeSetMember!$H:$H,0)))))</f>
        <v>0</v>
      </c>
      <c r="M11" s="6" t="str">
        <f>IF(ISNA(MATCH($C11&amp;"|"&amp;$V11,UserAccessCasePolicy!$W:$W,0)),"",MATCH($C11&amp;"|"&amp;$V11,UserAccessCasePolicy!$W:$W,0))</f>
        <v/>
      </c>
      <c r="N11" s="6" t="b" cm="1">
        <f t="array" aca="1" ref="N11" ca="1">IF($M11="",FALSE,NOT(ISNA(MATCH(INDIRECT("UserAccessCasePolicy!D"&amp;$M11)&amp;"|"&amp;$R11,CaseTypeSetMember!$H:$H,0))))</f>
        <v>0</v>
      </c>
      <c r="O11" s="6" t="b" cm="1">
        <f t="array" aca="1" ref="O11" ca="1">IF($M11="",FALSE,AND(INDIRECT("UserAccessCasePolicy!G"&amp;$M11),NOT(ISNA(MATCH(INDIRECT("UserAccessCasePolicy!D"&amp;$M11)&amp;"|"&amp;$R11,CaseTypeSetMember!$H:$H,0)))))</f>
        <v>0</v>
      </c>
      <c r="P11" s="6" t="b" cm="1">
        <f t="array" aca="1" ref="P11" ca="1">IF($M11="",FALSE,AND(INDIRECT("UserAccessCasePolicy!H"&amp;$M11),NOT(ISNA(MATCH(INDIRECT("UserAccessCasePolicy!D"&amp;$M11)&amp;"|"&amp;$R11,CaseTypeSetMember!$H:$H,0)))))</f>
        <v>0</v>
      </c>
      <c r="Q11" t="s">
        <v>638</v>
      </c>
      <c r="R11" t="s">
        <v>119</v>
      </c>
      <c r="S11" s="6" t="str">
        <f>INDEX(CaseType!$B:$B,MATCH($R11,CaseType!$A:$A,0))</f>
        <v>case_type1</v>
      </c>
      <c r="T11" s="6" t="b">
        <f>AND(IF($Z11="",TRUE,$R11=INDEX(CaseTypeCol!$B:$B,MATCH($Z11,CaseTypeCol!$A:$A,0))),IF($AG11="",TRUE,$R11=INDEX(CaseTypeCol!$B:$B,MATCH($AG11,CaseTypeCol!$A:$A,0))),IF($AN11="",TRUE,$R11=INDEX(CaseTypeCol!$B:$B,MATCH($AN11,CaseTypeCol!$A:$A,0))))</f>
        <v>1</v>
      </c>
      <c r="V11" t="s">
        <v>11</v>
      </c>
      <c r="W11" s="6" t="str">
        <f>INDEX(DataCollection!$B:$B,MATCH($V11,DataCollection!$A:$A,0))</f>
        <v>data_collection1</v>
      </c>
      <c r="Y11" s="14">
        <v>36526</v>
      </c>
      <c r="Z11" t="s">
        <v>142</v>
      </c>
      <c r="AA11" t="s">
        <v>665</v>
      </c>
      <c r="AB11" s="6" t="str">
        <f>IF($Z11="","",INDEX(CaseTypeCol!$G:$G,MATCH($Z11,CaseTypeCol!$A:$A,0)))</f>
        <v>case_type1_dim1_1_text</v>
      </c>
      <c r="AC11" s="6" t="b" cm="1">
        <f t="array" aca="1" ref="AC11" ca="1">IF($Z11="",TRUE,IF($I11="",FALSE,IF(INDIRECT("OrganizationAccessCasePolicy!J"&amp;$I11)="",FALSE,NOT(ISNA(MATCH(INDIRECT("OrganizationAccessCasePolicy!J"&amp;$I11)&amp;"|"&amp;$Z11,CaseTypeColSetMember!$H:$H,0))))))</f>
        <v>0</v>
      </c>
      <c r="AD11" s="6" t="b" cm="1">
        <f t="array" aca="1" ref="AD11" ca="1">IF($Z11="",TRUE,IF($I11="",FALSE,IF(INDIRECT("OrganizationAccessCasePolicy!L"&amp;$I11)="",FALSE,NOT(ISNA(MATCH(INDIRECT("OrganizationAccessCasePolicy!L"&amp;$I11)&amp;"|"&amp;$Z11,CaseTypeColSetMember!$H:$H,0))))))</f>
        <v>0</v>
      </c>
      <c r="AE11" s="6" t="b" cm="1">
        <f t="array" aca="1" ref="AE11" ca="1">IF($Z11="",TRUE,IF($M11="",FALSE,IF(INDIRECT("UserAccessCasePolicy!I"&amp;$M11)="",FALSE,NOT(ISNA(MATCH(INDIRECT("UserAccessCasePolicy!I"&amp;$M11)&amp;"|"&amp;$Z11,CaseTypeColSetMember!$H:$H,0))))))</f>
        <v>0</v>
      </c>
      <c r="AF11" s="6" t="b" cm="1">
        <f t="array" aca="1" ref="AF11" ca="1">IF($Z11="",TRUE,IF($M11="",FALSE,IF(INDIRECT("UserAccessCasePolicy!K"&amp;$M11)="",FALSE,NOT(ISNA(MATCH(INDIRECT("UserAccessCasePolicy!K"&amp;$M11)&amp;"|"&amp;$Z11,CaseTypeColSetMember!$H:$H,0))))))</f>
        <v>0</v>
      </c>
      <c r="AI11" s="6" t="str">
        <f>IF($AG11="","",INDEX(CaseTypeCol!$G:$G,MATCH($AG11,CaseTypeCol!$A:$A,0)))</f>
        <v/>
      </c>
      <c r="AJ11" s="6" t="b" cm="1">
        <f t="array" aca="1" ref="AJ11" ca="1">IF($AG11="",TRUE,IF($I11="",FALSE,IF(INDIRECT("OrganizationAccessCasePolicy!J"&amp;$I11)="",FALSE,NOT(ISNA(MATCH(INDIRECT("OrganizationAccessCasePolicy!J"&amp;$I11)&amp;"|"&amp;$AG11,CaseTypeColSetMember!$H:$H,0))))))</f>
        <v>1</v>
      </c>
      <c r="AK11" s="6" t="b" cm="1">
        <f t="array" aca="1" ref="AK11" ca="1">IF($AG11="",TRUE,IF($I11="",FALSE,IF(INDIRECT("OrganizationAccessCasePolicy!L"&amp;$I11)="",FALSE,NOT(ISNA(MATCH(INDIRECT("OrganizationAccessCasePolicy!L"&amp;$I11)&amp;"|"&amp;$AG11,CaseTypeColSetMember!$H:$H,0))))))</f>
        <v>1</v>
      </c>
      <c r="AL11" s="6" t="b" cm="1">
        <f t="array" aca="1" ref="AL11" ca="1">IF($AG11="",TRUE,IF($M11="",FALSE,IF(INDIRECT("UserAccessCasePolicy!I"&amp;$M11)="",FALSE,NOT(ISNA(MATCH(INDIRECT("UserAccessCasePolicy!I"&amp;$M11)&amp;"|"&amp;$AG11,CaseTypeColSetMember!$H:$H,0))))))</f>
        <v>1</v>
      </c>
      <c r="AM11" s="6" t="b" cm="1">
        <f t="array" aca="1" ref="AM11" ca="1">IF($AG11="",TRUE,IF($M11="",FALSE,IF(INDIRECT("UserAccessCasePolicy!K"&amp;$M11)="",FALSE,NOT(ISNA(MATCH(INDIRECT("UserAccessCasePolicy!K"&amp;$M11)&amp;"|"&amp;$AG11,CaseTypeColSetMember!$H:$H,0))))))</f>
        <v>1</v>
      </c>
      <c r="AP11" s="6" t="str">
        <f>IF($AN11="","",INDEX(CaseTypeCol!$G:$G,MATCH($AN11,CaseTypeCol!$A:$A,0)))</f>
        <v/>
      </c>
      <c r="AQ11" s="6" t="b" cm="1">
        <f t="array" aca="1" ref="AQ11" ca="1">IF($AN11="",TRUE,IF($I11="",FALSE,IF(INDIRECT("OrganizationAccessCasePolicy!J"&amp;$I11)="",FALSE,NOT(ISNA(MATCH(INDIRECT("OrganizationAccessCasePolicy!J"&amp;$I11)&amp;"|"&amp;$AN11,CaseTypeColSetMember!$H:$H,0))))))</f>
        <v>1</v>
      </c>
      <c r="AR11" s="6" t="b" cm="1">
        <f t="array" aca="1" ref="AR11" ca="1">IF($AN11="",TRUE,IF($I11="",FALSE,IF(INDIRECT("OrganizationAccessCasePolicy!L"&amp;$I11)="",FALSE,NOT(ISNA(MATCH(INDIRECT("OrganizationAccessCasePolicy!L"&amp;$I11)&amp;"|"&amp;$AN11,CaseTypeColSetMember!$H:$H,0))))))</f>
        <v>1</v>
      </c>
      <c r="AS11" s="6" t="b" cm="1">
        <f t="array" aca="1" ref="AS11" ca="1">IF($AN11="",TRUE,IF($M11="",FALSE,IF(INDIRECT("UserAccessCasePolicy!I"&amp;$M11)="",FALSE,NOT(ISNA(MATCH(INDIRECT("UserAccessCasePolicy!I"&amp;$M11)&amp;"|"&amp;$AN11,CaseTypeColSetMember!$H:$H,0))))))</f>
        <v>1</v>
      </c>
      <c r="AT11" s="6" t="b" cm="1">
        <f t="array" aca="1" ref="AT11" ca="1">IF($AN11="",TRUE,IF($M11="",FALSE,IF(INDIRECT("UserAccessCasePolicy!K"&amp;$M11)="",FALSE,NOT(ISNA(MATCH(INDIRECT("UserAccessCasePolicy!K"&amp;$M11)&amp;"|"&amp;$AN11,CaseTypeColSetMember!$H:$H,0))))))</f>
        <v>1</v>
      </c>
    </row>
    <row r="12" spans="1:46" x14ac:dyDescent="0.3">
      <c r="A12">
        <v>11</v>
      </c>
      <c r="B12" t="s">
        <v>613</v>
      </c>
      <c r="C12" t="s">
        <v>53</v>
      </c>
      <c r="D12" s="6" t="str">
        <f>INDEX(User!$C:$C,MATCH($C12,User!$A:$A,0))</f>
        <v>org_admin4_1</v>
      </c>
      <c r="E12" t="s">
        <v>723</v>
      </c>
      <c r="F12" s="19" t="b">
        <f t="shared" ca="1" si="0"/>
        <v>0</v>
      </c>
      <c r="G12" s="6" t="str">
        <f>INDEX(User!$F:$F,MATCH($C12,User!$A:$A,0))</f>
        <v>0195d18c-1c92-d419-4c71-a570f428499b</v>
      </c>
      <c r="H12" s="6" t="b">
        <f>INDEX(User!$L:$L,MATCH($C12,User!$A:$A,0))</f>
        <v>0</v>
      </c>
      <c r="I12" s="6" t="str">
        <f>IF(ISNA(MATCH($G12&amp;"|"&amp;$V12,OrganizationAccessCasePolicy!$V:$V,0)),"",MATCH($G12&amp;"|"&amp;$V12,OrganizationAccessCasePolicy!$V:$V,0))</f>
        <v/>
      </c>
      <c r="J12" s="6" t="b" cm="1">
        <f t="array" aca="1" ref="J12" ca="1">IF($I12="",FALSE,NOT(ISNA(MATCH(INDIRECT("OrganizationAccessCasePolicy!D"&amp;$I12)&amp;"|"&amp;$R12,CaseTypeSetMember!$H:$H,0))))</f>
        <v>0</v>
      </c>
      <c r="K12" s="6" t="b" cm="1">
        <f t="array" aca="1" ref="K12" ca="1">IF($I12="",FALSE,AND(INDIRECT("OrganizationAccessCasePolicy!H"&amp;$I12),NOT(ISNA(MATCH(INDIRECT("OrganizationAccessCasePolicy!D"&amp;$I12)&amp;"|"&amp;$R12,CaseTypeSetMember!$H:$H,0)))))</f>
        <v>0</v>
      </c>
      <c r="L12" s="6" t="b" cm="1">
        <f t="array" aca="1" ref="L12" ca="1">IF($I12="",FALSE,AND(INDIRECT("OrganizationAccessCasePolicy!I"&amp;$I12),NOT(ISNA(MATCH(INDIRECT("OrganizationAccessCasePolicy!D"&amp;$I12)&amp;"|"&amp;$R12,CaseTypeSetMember!$H:$H,0)))))</f>
        <v>0</v>
      </c>
      <c r="M12" s="6" t="str">
        <f>IF(ISNA(MATCH($C12&amp;"|"&amp;$V12,UserAccessCasePolicy!$W:$W,0)),"",MATCH($C12&amp;"|"&amp;$V12,UserAccessCasePolicy!$W:$W,0))</f>
        <v/>
      </c>
      <c r="N12" s="6" t="b" cm="1">
        <f t="array" aca="1" ref="N12" ca="1">IF($M12="",FALSE,NOT(ISNA(MATCH(INDIRECT("UserAccessCasePolicy!D"&amp;$M12)&amp;"|"&amp;$R12,CaseTypeSetMember!$H:$H,0))))</f>
        <v>0</v>
      </c>
      <c r="O12" s="6" t="b" cm="1">
        <f t="array" aca="1" ref="O12" ca="1">IF($M12="",FALSE,AND(INDIRECT("UserAccessCasePolicy!G"&amp;$M12),NOT(ISNA(MATCH(INDIRECT("UserAccessCasePolicy!D"&amp;$M12)&amp;"|"&amp;$R12,CaseTypeSetMember!$H:$H,0)))))</f>
        <v>0</v>
      </c>
      <c r="P12" s="6" t="b" cm="1">
        <f t="array" aca="1" ref="P12" ca="1">IF($M12="",FALSE,AND(INDIRECT("UserAccessCasePolicy!H"&amp;$M12),NOT(ISNA(MATCH(INDIRECT("UserAccessCasePolicy!D"&amp;$M12)&amp;"|"&amp;$R12,CaseTypeSetMember!$H:$H,0)))))</f>
        <v>0</v>
      </c>
      <c r="Q12" t="s">
        <v>639</v>
      </c>
      <c r="R12" t="s">
        <v>119</v>
      </c>
      <c r="S12" s="6" t="str">
        <f>INDEX(CaseType!$B:$B,MATCH($R12,CaseType!$A:$A,0))</f>
        <v>case_type1</v>
      </c>
      <c r="T12" s="6" t="b">
        <f>AND(IF($Z12="",TRUE,$R12=INDEX(CaseTypeCol!$B:$B,MATCH($Z12,CaseTypeCol!$A:$A,0))),IF($AG12="",TRUE,$R12=INDEX(CaseTypeCol!$B:$B,MATCH($AG12,CaseTypeCol!$A:$A,0))),IF($AN12="",TRUE,$R12=INDEX(CaseTypeCol!$B:$B,MATCH($AN12,CaseTypeCol!$A:$A,0))))</f>
        <v>1</v>
      </c>
      <c r="V12" t="s">
        <v>11</v>
      </c>
      <c r="W12" s="6" t="str">
        <f>INDEX(DataCollection!$B:$B,MATCH($V12,DataCollection!$A:$A,0))</f>
        <v>data_collection1</v>
      </c>
      <c r="Y12" s="14">
        <v>36526</v>
      </c>
      <c r="Z12" t="s">
        <v>142</v>
      </c>
      <c r="AA12" t="s">
        <v>665</v>
      </c>
      <c r="AB12" s="6" t="str">
        <f>IF($Z12="","",INDEX(CaseTypeCol!$G:$G,MATCH($Z12,CaseTypeCol!$A:$A,0)))</f>
        <v>case_type1_dim1_1_text</v>
      </c>
      <c r="AC12" s="6" t="b" cm="1">
        <f t="array" aca="1" ref="AC12" ca="1">IF($Z12="",TRUE,IF($I12="",FALSE,IF(INDIRECT("OrganizationAccessCasePolicy!J"&amp;$I12)="",FALSE,NOT(ISNA(MATCH(INDIRECT("OrganizationAccessCasePolicy!J"&amp;$I12)&amp;"|"&amp;$Z12,CaseTypeColSetMember!$H:$H,0))))))</f>
        <v>0</v>
      </c>
      <c r="AD12" s="6" t="b" cm="1">
        <f t="array" aca="1" ref="AD12" ca="1">IF($Z12="",TRUE,IF($I12="",FALSE,IF(INDIRECT("OrganizationAccessCasePolicy!L"&amp;$I12)="",FALSE,NOT(ISNA(MATCH(INDIRECT("OrganizationAccessCasePolicy!L"&amp;$I12)&amp;"|"&amp;$Z12,CaseTypeColSetMember!$H:$H,0))))))</f>
        <v>0</v>
      </c>
      <c r="AE12" s="6" t="b" cm="1">
        <f t="array" aca="1" ref="AE12" ca="1">IF($Z12="",TRUE,IF($M12="",FALSE,IF(INDIRECT("UserAccessCasePolicy!I"&amp;$M12)="",FALSE,NOT(ISNA(MATCH(INDIRECT("UserAccessCasePolicy!I"&amp;$M12)&amp;"|"&amp;$Z12,CaseTypeColSetMember!$H:$H,0))))))</f>
        <v>0</v>
      </c>
      <c r="AF12" s="6" t="b" cm="1">
        <f t="array" aca="1" ref="AF12" ca="1">IF($Z12="",TRUE,IF($M12="",FALSE,IF(INDIRECT("UserAccessCasePolicy!K"&amp;$M12)="",FALSE,NOT(ISNA(MATCH(INDIRECT("UserAccessCasePolicy!K"&amp;$M12)&amp;"|"&amp;$Z12,CaseTypeColSetMember!$H:$H,0))))))</f>
        <v>0</v>
      </c>
      <c r="AI12" s="6" t="str">
        <f>IF($AG12="","",INDEX(CaseTypeCol!$G:$G,MATCH($AG12,CaseTypeCol!$A:$A,0)))</f>
        <v/>
      </c>
      <c r="AJ12" s="6" t="b" cm="1">
        <f t="array" aca="1" ref="AJ12" ca="1">IF($AG12="",TRUE,IF($I12="",FALSE,IF(INDIRECT("OrganizationAccessCasePolicy!J"&amp;$I12)="",FALSE,NOT(ISNA(MATCH(INDIRECT("OrganizationAccessCasePolicy!J"&amp;$I12)&amp;"|"&amp;$AG12,CaseTypeColSetMember!$H:$H,0))))))</f>
        <v>1</v>
      </c>
      <c r="AK12" s="6" t="b" cm="1">
        <f t="array" aca="1" ref="AK12" ca="1">IF($AG12="",TRUE,IF($I12="",FALSE,IF(INDIRECT("OrganizationAccessCasePolicy!L"&amp;$I12)="",FALSE,NOT(ISNA(MATCH(INDIRECT("OrganizationAccessCasePolicy!L"&amp;$I12)&amp;"|"&amp;$AG12,CaseTypeColSetMember!$H:$H,0))))))</f>
        <v>1</v>
      </c>
      <c r="AL12" s="6" t="b" cm="1">
        <f t="array" aca="1" ref="AL12" ca="1">IF($AG12="",TRUE,IF($M12="",FALSE,IF(INDIRECT("UserAccessCasePolicy!I"&amp;$M12)="",FALSE,NOT(ISNA(MATCH(INDIRECT("UserAccessCasePolicy!I"&amp;$M12)&amp;"|"&amp;$AG12,CaseTypeColSetMember!$H:$H,0))))))</f>
        <v>1</v>
      </c>
      <c r="AM12" s="6" t="b" cm="1">
        <f t="array" aca="1" ref="AM12" ca="1">IF($AG12="",TRUE,IF($M12="",FALSE,IF(INDIRECT("UserAccessCasePolicy!K"&amp;$M12)="",FALSE,NOT(ISNA(MATCH(INDIRECT("UserAccessCasePolicy!K"&amp;$M12)&amp;"|"&amp;$AG12,CaseTypeColSetMember!$H:$H,0))))))</f>
        <v>1</v>
      </c>
      <c r="AP12" s="6" t="str">
        <f>IF($AN12="","",INDEX(CaseTypeCol!$G:$G,MATCH($AN12,CaseTypeCol!$A:$A,0)))</f>
        <v/>
      </c>
      <c r="AQ12" s="6" t="b" cm="1">
        <f t="array" aca="1" ref="AQ12" ca="1">IF($AN12="",TRUE,IF($I12="",FALSE,IF(INDIRECT("OrganizationAccessCasePolicy!J"&amp;$I12)="",FALSE,NOT(ISNA(MATCH(INDIRECT("OrganizationAccessCasePolicy!J"&amp;$I12)&amp;"|"&amp;$AN12,CaseTypeColSetMember!$H:$H,0))))))</f>
        <v>1</v>
      </c>
      <c r="AR12" s="6" t="b" cm="1">
        <f t="array" aca="1" ref="AR12" ca="1">IF($AN12="",TRUE,IF($I12="",FALSE,IF(INDIRECT("OrganizationAccessCasePolicy!L"&amp;$I12)="",FALSE,NOT(ISNA(MATCH(INDIRECT("OrganizationAccessCasePolicy!L"&amp;$I12)&amp;"|"&amp;$AN12,CaseTypeColSetMember!$H:$H,0))))))</f>
        <v>1</v>
      </c>
      <c r="AS12" s="6" t="b" cm="1">
        <f t="array" aca="1" ref="AS12" ca="1">IF($AN12="",TRUE,IF($M12="",FALSE,IF(INDIRECT("UserAccessCasePolicy!I"&amp;$M12)="",FALSE,NOT(ISNA(MATCH(INDIRECT("UserAccessCasePolicy!I"&amp;$M12)&amp;"|"&amp;$AN12,CaseTypeColSetMember!$H:$H,0))))))</f>
        <v>1</v>
      </c>
      <c r="AT12" s="6" t="b" cm="1">
        <f t="array" aca="1" ref="AT12" ca="1">IF($AN12="",TRUE,IF($M12="",FALSE,IF(INDIRECT("UserAccessCasePolicy!K"&amp;$M12)="",FALSE,NOT(ISNA(MATCH(INDIRECT("UserAccessCasePolicy!K"&amp;$M12)&amp;"|"&amp;$AN12,CaseTypeColSetMember!$H:$H,0))))))</f>
        <v>1</v>
      </c>
    </row>
    <row r="13" spans="1:46" x14ac:dyDescent="0.3">
      <c r="A13">
        <v>12</v>
      </c>
      <c r="B13" t="s">
        <v>614</v>
      </c>
      <c r="C13" t="s">
        <v>56</v>
      </c>
      <c r="D13" s="6" t="str">
        <f>INDEX(User!$C:$C,MATCH($C13,User!$A:$A,0))</f>
        <v>org_admin5_1</v>
      </c>
      <c r="E13" t="s">
        <v>723</v>
      </c>
      <c r="F13" s="19" t="b">
        <f t="shared" ca="1" si="0"/>
        <v>0</v>
      </c>
      <c r="G13" s="6" t="str">
        <f>INDEX(User!$F:$F,MATCH($C13,User!$A:$A,0))</f>
        <v>0195d18c-1c93-02a2-6920-7e4dbfb73ce0</v>
      </c>
      <c r="H13" s="6" t="b">
        <f>INDEX(User!$L:$L,MATCH($C13,User!$A:$A,0))</f>
        <v>0</v>
      </c>
      <c r="I13" s="6" t="str">
        <f>IF(ISNA(MATCH($G13&amp;"|"&amp;$V13,OrganizationAccessCasePolicy!$V:$V,0)),"",MATCH($G13&amp;"|"&amp;$V13,OrganizationAccessCasePolicy!$V:$V,0))</f>
        <v/>
      </c>
      <c r="J13" s="6" t="b" cm="1">
        <f t="array" aca="1" ref="J13" ca="1">IF($I13="",FALSE,NOT(ISNA(MATCH(INDIRECT("OrganizationAccessCasePolicy!D"&amp;$I13)&amp;"|"&amp;$R13,CaseTypeSetMember!$H:$H,0))))</f>
        <v>0</v>
      </c>
      <c r="K13" s="6" t="b" cm="1">
        <f t="array" aca="1" ref="K13" ca="1">IF($I13="",FALSE,AND(INDIRECT("OrganizationAccessCasePolicy!H"&amp;$I13),NOT(ISNA(MATCH(INDIRECT("OrganizationAccessCasePolicy!D"&amp;$I13)&amp;"|"&amp;$R13,CaseTypeSetMember!$H:$H,0)))))</f>
        <v>0</v>
      </c>
      <c r="L13" s="6" t="b" cm="1">
        <f t="array" aca="1" ref="L13" ca="1">IF($I13="",FALSE,AND(INDIRECT("OrganizationAccessCasePolicy!I"&amp;$I13),NOT(ISNA(MATCH(INDIRECT("OrganizationAccessCasePolicy!D"&amp;$I13)&amp;"|"&amp;$R13,CaseTypeSetMember!$H:$H,0)))))</f>
        <v>0</v>
      </c>
      <c r="M13" s="6" t="str">
        <f>IF(ISNA(MATCH($C13&amp;"|"&amp;$V13,UserAccessCasePolicy!$W:$W,0)),"",MATCH($C13&amp;"|"&amp;$V13,UserAccessCasePolicy!$W:$W,0))</f>
        <v/>
      </c>
      <c r="N13" s="6" t="b" cm="1">
        <f t="array" aca="1" ref="N13" ca="1">IF($M13="",FALSE,NOT(ISNA(MATCH(INDIRECT("UserAccessCasePolicy!D"&amp;$M13)&amp;"|"&amp;$R13,CaseTypeSetMember!$H:$H,0))))</f>
        <v>0</v>
      </c>
      <c r="O13" s="6" t="b" cm="1">
        <f t="array" aca="1" ref="O13" ca="1">IF($M13="",FALSE,AND(INDIRECT("UserAccessCasePolicy!G"&amp;$M13),NOT(ISNA(MATCH(INDIRECT("UserAccessCasePolicy!D"&amp;$M13)&amp;"|"&amp;$R13,CaseTypeSetMember!$H:$H,0)))))</f>
        <v>0</v>
      </c>
      <c r="P13" s="6" t="b" cm="1">
        <f t="array" aca="1" ref="P13" ca="1">IF($M13="",FALSE,AND(INDIRECT("UserAccessCasePolicy!H"&amp;$M13),NOT(ISNA(MATCH(INDIRECT("UserAccessCasePolicy!D"&amp;$M13)&amp;"|"&amp;$R13,CaseTypeSetMember!$H:$H,0)))))</f>
        <v>0</v>
      </c>
      <c r="Q13" t="s">
        <v>640</v>
      </c>
      <c r="R13" t="s">
        <v>119</v>
      </c>
      <c r="S13" s="6" t="str">
        <f>INDEX(CaseType!$B:$B,MATCH($R13,CaseType!$A:$A,0))</f>
        <v>case_type1</v>
      </c>
      <c r="T13" s="6" t="b">
        <f>AND(IF($Z13="",TRUE,$R13=INDEX(CaseTypeCol!$B:$B,MATCH($Z13,CaseTypeCol!$A:$A,0))),IF($AG13="",TRUE,$R13=INDEX(CaseTypeCol!$B:$B,MATCH($AG13,CaseTypeCol!$A:$A,0))),IF($AN13="",TRUE,$R13=INDEX(CaseTypeCol!$B:$B,MATCH($AN13,CaseTypeCol!$A:$A,0))))</f>
        <v>1</v>
      </c>
      <c r="V13" t="s">
        <v>11</v>
      </c>
      <c r="W13" s="6" t="str">
        <f>INDEX(DataCollection!$B:$B,MATCH($V13,DataCollection!$A:$A,0))</f>
        <v>data_collection1</v>
      </c>
      <c r="Y13" s="14">
        <v>36526</v>
      </c>
      <c r="Z13" t="s">
        <v>142</v>
      </c>
      <c r="AA13" t="s">
        <v>665</v>
      </c>
      <c r="AB13" s="6" t="str">
        <f>IF($Z13="","",INDEX(CaseTypeCol!$G:$G,MATCH($Z13,CaseTypeCol!$A:$A,0)))</f>
        <v>case_type1_dim1_1_text</v>
      </c>
      <c r="AC13" s="6" t="b" cm="1">
        <f t="array" aca="1" ref="AC13" ca="1">IF($Z13="",TRUE,IF($I13="",FALSE,IF(INDIRECT("OrganizationAccessCasePolicy!J"&amp;$I13)="",FALSE,NOT(ISNA(MATCH(INDIRECT("OrganizationAccessCasePolicy!J"&amp;$I13)&amp;"|"&amp;$Z13,CaseTypeColSetMember!$H:$H,0))))))</f>
        <v>0</v>
      </c>
      <c r="AD13" s="6" t="b" cm="1">
        <f t="array" aca="1" ref="AD13" ca="1">IF($Z13="",TRUE,IF($I13="",FALSE,IF(INDIRECT("OrganizationAccessCasePolicy!L"&amp;$I13)="",FALSE,NOT(ISNA(MATCH(INDIRECT("OrganizationAccessCasePolicy!L"&amp;$I13)&amp;"|"&amp;$Z13,CaseTypeColSetMember!$H:$H,0))))))</f>
        <v>0</v>
      </c>
      <c r="AE13" s="6" t="b" cm="1">
        <f t="array" aca="1" ref="AE13" ca="1">IF($Z13="",TRUE,IF($M13="",FALSE,IF(INDIRECT("UserAccessCasePolicy!I"&amp;$M13)="",FALSE,NOT(ISNA(MATCH(INDIRECT("UserAccessCasePolicy!I"&amp;$M13)&amp;"|"&amp;$Z13,CaseTypeColSetMember!$H:$H,0))))))</f>
        <v>0</v>
      </c>
      <c r="AF13" s="6" t="b" cm="1">
        <f t="array" aca="1" ref="AF13" ca="1">IF($Z13="",TRUE,IF($M13="",FALSE,IF(INDIRECT("UserAccessCasePolicy!K"&amp;$M13)="",FALSE,NOT(ISNA(MATCH(INDIRECT("UserAccessCasePolicy!K"&amp;$M13)&amp;"|"&amp;$Z13,CaseTypeColSetMember!$H:$H,0))))))</f>
        <v>0</v>
      </c>
      <c r="AI13" s="6" t="str">
        <f>IF($AG13="","",INDEX(CaseTypeCol!$G:$G,MATCH($AG13,CaseTypeCol!$A:$A,0)))</f>
        <v/>
      </c>
      <c r="AJ13" s="6" t="b" cm="1">
        <f t="array" aca="1" ref="AJ13" ca="1">IF($AG13="",TRUE,IF($I13="",FALSE,IF(INDIRECT("OrganizationAccessCasePolicy!J"&amp;$I13)="",FALSE,NOT(ISNA(MATCH(INDIRECT("OrganizationAccessCasePolicy!J"&amp;$I13)&amp;"|"&amp;$AG13,CaseTypeColSetMember!$H:$H,0))))))</f>
        <v>1</v>
      </c>
      <c r="AK13" s="6" t="b" cm="1">
        <f t="array" aca="1" ref="AK13" ca="1">IF($AG13="",TRUE,IF($I13="",FALSE,IF(INDIRECT("OrganizationAccessCasePolicy!L"&amp;$I13)="",FALSE,NOT(ISNA(MATCH(INDIRECT("OrganizationAccessCasePolicy!L"&amp;$I13)&amp;"|"&amp;$AG13,CaseTypeColSetMember!$H:$H,0))))))</f>
        <v>1</v>
      </c>
      <c r="AL13" s="6" t="b" cm="1">
        <f t="array" aca="1" ref="AL13" ca="1">IF($AG13="",TRUE,IF($M13="",FALSE,IF(INDIRECT("UserAccessCasePolicy!I"&amp;$M13)="",FALSE,NOT(ISNA(MATCH(INDIRECT("UserAccessCasePolicy!I"&amp;$M13)&amp;"|"&amp;$AG13,CaseTypeColSetMember!$H:$H,0))))))</f>
        <v>1</v>
      </c>
      <c r="AM13" s="6" t="b" cm="1">
        <f t="array" aca="1" ref="AM13" ca="1">IF($AG13="",TRUE,IF($M13="",FALSE,IF(INDIRECT("UserAccessCasePolicy!K"&amp;$M13)="",FALSE,NOT(ISNA(MATCH(INDIRECT("UserAccessCasePolicy!K"&amp;$M13)&amp;"|"&amp;$AG13,CaseTypeColSetMember!$H:$H,0))))))</f>
        <v>1</v>
      </c>
      <c r="AP13" s="6" t="str">
        <f>IF($AN13="","",INDEX(CaseTypeCol!$G:$G,MATCH($AN13,CaseTypeCol!$A:$A,0)))</f>
        <v/>
      </c>
      <c r="AQ13" s="6" t="b" cm="1">
        <f t="array" aca="1" ref="AQ13" ca="1">IF($AN13="",TRUE,IF($I13="",FALSE,IF(INDIRECT("OrganizationAccessCasePolicy!J"&amp;$I13)="",FALSE,NOT(ISNA(MATCH(INDIRECT("OrganizationAccessCasePolicy!J"&amp;$I13)&amp;"|"&amp;$AN13,CaseTypeColSetMember!$H:$H,0))))))</f>
        <v>1</v>
      </c>
      <c r="AR13" s="6" t="b" cm="1">
        <f t="array" aca="1" ref="AR13" ca="1">IF($AN13="",TRUE,IF($I13="",FALSE,IF(INDIRECT("OrganizationAccessCasePolicy!L"&amp;$I13)="",FALSE,NOT(ISNA(MATCH(INDIRECT("OrganizationAccessCasePolicy!L"&amp;$I13)&amp;"|"&amp;$AN13,CaseTypeColSetMember!$H:$H,0))))))</f>
        <v>1</v>
      </c>
      <c r="AS13" s="6" t="b" cm="1">
        <f t="array" aca="1" ref="AS13" ca="1">IF($AN13="",TRUE,IF($M13="",FALSE,IF(INDIRECT("UserAccessCasePolicy!I"&amp;$M13)="",FALSE,NOT(ISNA(MATCH(INDIRECT("UserAccessCasePolicy!I"&amp;$M13)&amp;"|"&amp;$AN13,CaseTypeColSetMember!$H:$H,0))))))</f>
        <v>1</v>
      </c>
      <c r="AT13" s="6" t="b" cm="1">
        <f t="array" aca="1" ref="AT13" ca="1">IF($AN13="",TRUE,IF($M13="",FALSE,IF(INDIRECT("UserAccessCasePolicy!K"&amp;$M13)="",FALSE,NOT(ISNA(MATCH(INDIRECT("UserAccessCasePolicy!K"&amp;$M13)&amp;"|"&amp;$AN13,CaseTypeColSetMember!$H:$H,0))))))</f>
        <v>1</v>
      </c>
    </row>
    <row r="14" spans="1:46" x14ac:dyDescent="0.3">
      <c r="A14">
        <v>13</v>
      </c>
      <c r="B14" t="s">
        <v>615</v>
      </c>
      <c r="C14" t="s">
        <v>10</v>
      </c>
      <c r="D14" s="6" t="str">
        <f>INDEX(User!$C:$C,MATCH($C14,User!$A:$A,0))</f>
        <v>org_user1_1</v>
      </c>
      <c r="E14" t="s">
        <v>723</v>
      </c>
      <c r="F14" s="19" t="b">
        <f t="shared" ca="1" si="0"/>
        <v>1</v>
      </c>
      <c r="G14" s="6" t="str">
        <f>INDEX(User!$F:$F,MATCH($C14,User!$A:$A,0))</f>
        <v>018d074d-ea0c-e942-07db-a3cc0ba1d653</v>
      </c>
      <c r="H14" s="6" t="b">
        <f>INDEX(User!$L:$L,MATCH($C14,User!$A:$A,0))</f>
        <v>0</v>
      </c>
      <c r="I14" s="6">
        <f>IF(ISNA(MATCH($G14&amp;"|"&amp;$V14,OrganizationAccessCasePolicy!$V:$V,0)),"",MATCH($G14&amp;"|"&amp;$V14,OrganizationAccessCasePolicy!$V:$V,0))</f>
        <v>2</v>
      </c>
      <c r="J14" s="6" t="b" cm="1">
        <f t="array" aca="1" ref="J14" ca="1">IF($I14="",FALSE,NOT(ISNA(MATCH(INDIRECT("OrganizationAccessCasePolicy!D"&amp;$I14)&amp;"|"&amp;$R14,CaseTypeSetMember!$H:$H,0))))</f>
        <v>1</v>
      </c>
      <c r="K14" s="6" t="b" cm="1">
        <f t="array" aca="1" ref="K14" ca="1">IF($I14="",FALSE,AND(INDIRECT("OrganizationAccessCasePolicy!H"&amp;$I14),NOT(ISNA(MATCH(INDIRECT("OrganizationAccessCasePolicy!D"&amp;$I14)&amp;"|"&amp;$R14,CaseTypeSetMember!$H:$H,0)))))</f>
        <v>1</v>
      </c>
      <c r="L14" s="6" t="b" cm="1">
        <f t="array" aca="1" ref="L14" ca="1">IF($I14="",FALSE,AND(INDIRECT("OrganizationAccessCasePolicy!I"&amp;$I14),NOT(ISNA(MATCH(INDIRECT("OrganizationAccessCasePolicy!D"&amp;$I14)&amp;"|"&amp;$R14,CaseTypeSetMember!$H:$H,0)))))</f>
        <v>1</v>
      </c>
      <c r="M14" s="6">
        <f>IF(ISNA(MATCH($C14&amp;"|"&amp;$V14,UserAccessCasePolicy!$W:$W,0)),"",MATCH($C14&amp;"|"&amp;$V14,UserAccessCasePolicy!$W:$W,0))</f>
        <v>2</v>
      </c>
      <c r="N14" s="6" t="b" cm="1">
        <f t="array" aca="1" ref="N14" ca="1">IF($M14="",FALSE,NOT(ISNA(MATCH(INDIRECT("UserAccessCasePolicy!D"&amp;$M14)&amp;"|"&amp;$R14,CaseTypeSetMember!$H:$H,0))))</f>
        <v>1</v>
      </c>
      <c r="O14" s="6" t="b" cm="1">
        <f t="array" aca="1" ref="O14" ca="1">IF($M14="",FALSE,AND(INDIRECT("UserAccessCasePolicy!G"&amp;$M14),NOT(ISNA(MATCH(INDIRECT("UserAccessCasePolicy!D"&amp;$M14)&amp;"|"&amp;$R14,CaseTypeSetMember!$H:$H,0)))))</f>
        <v>1</v>
      </c>
      <c r="P14" s="6" t="b" cm="1">
        <f t="array" aca="1" ref="P14" ca="1">IF($M14="",FALSE,AND(INDIRECT("UserAccessCasePolicy!H"&amp;$M14),NOT(ISNA(MATCH(INDIRECT("UserAccessCasePolicy!D"&amp;$M14)&amp;"|"&amp;$R14,CaseTypeSetMember!$H:$H,0)))))</f>
        <v>1</v>
      </c>
      <c r="Q14" t="s">
        <v>641</v>
      </c>
      <c r="R14" t="s">
        <v>119</v>
      </c>
      <c r="S14" s="6" t="str">
        <f>INDEX(CaseType!$B:$B,MATCH($R14,CaseType!$A:$A,0))</f>
        <v>case_type1</v>
      </c>
      <c r="T14" s="6" t="b">
        <f>AND(IF($Z14="",TRUE,$R14=INDEX(CaseTypeCol!$B:$B,MATCH($Z14,CaseTypeCol!$A:$A,0))),IF($AG14="",TRUE,$R14=INDEX(CaseTypeCol!$B:$B,MATCH($AG14,CaseTypeCol!$A:$A,0))),IF($AN14="",TRUE,$R14=INDEX(CaseTypeCol!$B:$B,MATCH($AN14,CaseTypeCol!$A:$A,0))))</f>
        <v>1</v>
      </c>
      <c r="V14" t="s">
        <v>11</v>
      </c>
      <c r="W14" s="6" t="str">
        <f>INDEX(DataCollection!$B:$B,MATCH($V14,DataCollection!$A:$A,0))</f>
        <v>data_collection1</v>
      </c>
      <c r="Y14" s="14">
        <v>36526</v>
      </c>
      <c r="Z14" t="s">
        <v>142</v>
      </c>
      <c r="AA14" t="s">
        <v>665</v>
      </c>
      <c r="AB14" s="6" t="str">
        <f>IF($Z14="","",INDEX(CaseTypeCol!$G:$G,MATCH($Z14,CaseTypeCol!$A:$A,0)))</f>
        <v>case_type1_dim1_1_text</v>
      </c>
      <c r="AC14" s="6" t="b" cm="1">
        <f t="array" aca="1" ref="AC14" ca="1">IF($Z14="",TRUE,IF($I14="",FALSE,IF(INDIRECT("OrganizationAccessCasePolicy!J"&amp;$I14)="",FALSE,NOT(ISNA(MATCH(INDIRECT("OrganizationAccessCasePolicy!J"&amp;$I14)&amp;"|"&amp;$Z14,CaseTypeColSetMember!$H:$H,0))))))</f>
        <v>1</v>
      </c>
      <c r="AD14" s="6" t="b" cm="1">
        <f t="array" aca="1" ref="AD14" ca="1">IF($Z14="",TRUE,IF($I14="",FALSE,IF(INDIRECT("OrganizationAccessCasePolicy!L"&amp;$I14)="",FALSE,NOT(ISNA(MATCH(INDIRECT("OrganizationAccessCasePolicy!L"&amp;$I14)&amp;"|"&amp;$Z14,CaseTypeColSetMember!$H:$H,0))))))</f>
        <v>1</v>
      </c>
      <c r="AE14" s="6" t="b" cm="1">
        <f t="array" aca="1" ref="AE14" ca="1">IF($Z14="",TRUE,IF($M14="",FALSE,IF(INDIRECT("UserAccessCasePolicy!I"&amp;$M14)="",FALSE,NOT(ISNA(MATCH(INDIRECT("UserAccessCasePolicy!I"&amp;$M14)&amp;"|"&amp;$Z14,CaseTypeColSetMember!$H:$H,0))))))</f>
        <v>1</v>
      </c>
      <c r="AF14" s="6" t="b" cm="1">
        <f t="array" aca="1" ref="AF14" ca="1">IF($Z14="",TRUE,IF($M14="",FALSE,IF(INDIRECT("UserAccessCasePolicy!K"&amp;$M14)="",FALSE,NOT(ISNA(MATCH(INDIRECT("UserAccessCasePolicy!K"&amp;$M14)&amp;"|"&amp;$Z14,CaseTypeColSetMember!$H:$H,0))))))</f>
        <v>1</v>
      </c>
      <c r="AI14" s="6" t="str">
        <f>IF($AG14="","",INDEX(CaseTypeCol!$G:$G,MATCH($AG14,CaseTypeCol!$A:$A,0)))</f>
        <v/>
      </c>
      <c r="AJ14" s="6" t="b" cm="1">
        <f t="array" aca="1" ref="AJ14" ca="1">IF($AG14="",TRUE,IF($I14="",FALSE,IF(INDIRECT("OrganizationAccessCasePolicy!J"&amp;$I14)="",FALSE,NOT(ISNA(MATCH(INDIRECT("OrganizationAccessCasePolicy!J"&amp;$I14)&amp;"|"&amp;$AG14,CaseTypeColSetMember!$H:$H,0))))))</f>
        <v>1</v>
      </c>
      <c r="AK14" s="6" t="b" cm="1">
        <f t="array" aca="1" ref="AK14" ca="1">IF($AG14="",TRUE,IF($I14="",FALSE,IF(INDIRECT("OrganizationAccessCasePolicy!L"&amp;$I14)="",FALSE,NOT(ISNA(MATCH(INDIRECT("OrganizationAccessCasePolicy!L"&amp;$I14)&amp;"|"&amp;$AG14,CaseTypeColSetMember!$H:$H,0))))))</f>
        <v>1</v>
      </c>
      <c r="AL14" s="6" t="b" cm="1">
        <f t="array" aca="1" ref="AL14" ca="1">IF($AG14="",TRUE,IF($M14="",FALSE,IF(INDIRECT("UserAccessCasePolicy!I"&amp;$M14)="",FALSE,NOT(ISNA(MATCH(INDIRECT("UserAccessCasePolicy!I"&amp;$M14)&amp;"|"&amp;$AG14,CaseTypeColSetMember!$H:$H,0))))))</f>
        <v>1</v>
      </c>
      <c r="AM14" s="6" t="b" cm="1">
        <f t="array" aca="1" ref="AM14" ca="1">IF($AG14="",TRUE,IF($M14="",FALSE,IF(INDIRECT("UserAccessCasePolicy!K"&amp;$M14)="",FALSE,NOT(ISNA(MATCH(INDIRECT("UserAccessCasePolicy!K"&amp;$M14)&amp;"|"&amp;$AG14,CaseTypeColSetMember!$H:$H,0))))))</f>
        <v>1</v>
      </c>
      <c r="AP14" s="6" t="str">
        <f>IF($AN14="","",INDEX(CaseTypeCol!$G:$G,MATCH($AN14,CaseTypeCol!$A:$A,0)))</f>
        <v/>
      </c>
      <c r="AQ14" s="6" t="b" cm="1">
        <f t="array" aca="1" ref="AQ14" ca="1">IF($AN14="",TRUE,IF($I14="",FALSE,IF(INDIRECT("OrganizationAccessCasePolicy!J"&amp;$I14)="",FALSE,NOT(ISNA(MATCH(INDIRECT("OrganizationAccessCasePolicy!J"&amp;$I14)&amp;"|"&amp;$AN14,CaseTypeColSetMember!$H:$H,0))))))</f>
        <v>1</v>
      </c>
      <c r="AR14" s="6" t="b" cm="1">
        <f t="array" aca="1" ref="AR14" ca="1">IF($AN14="",TRUE,IF($I14="",FALSE,IF(INDIRECT("OrganizationAccessCasePolicy!L"&amp;$I14)="",FALSE,NOT(ISNA(MATCH(INDIRECT("OrganizationAccessCasePolicy!L"&amp;$I14)&amp;"|"&amp;$AN14,CaseTypeColSetMember!$H:$H,0))))))</f>
        <v>1</v>
      </c>
      <c r="AS14" s="6" t="b" cm="1">
        <f t="array" aca="1" ref="AS14" ca="1">IF($AN14="",TRUE,IF($M14="",FALSE,IF(INDIRECT("UserAccessCasePolicy!I"&amp;$M14)="",FALSE,NOT(ISNA(MATCH(INDIRECT("UserAccessCasePolicy!I"&amp;$M14)&amp;"|"&amp;$AN14,CaseTypeColSetMember!$H:$H,0))))))</f>
        <v>1</v>
      </c>
      <c r="AT14" s="6" t="b" cm="1">
        <f t="array" aca="1" ref="AT14" ca="1">IF($AN14="",TRUE,IF($M14="",FALSE,IF(INDIRECT("UserAccessCasePolicy!K"&amp;$M14)="",FALSE,NOT(ISNA(MATCH(INDIRECT("UserAccessCasePolicy!K"&amp;$M14)&amp;"|"&amp;$AN14,CaseTypeColSetMember!$H:$H,0))))))</f>
        <v>1</v>
      </c>
    </row>
    <row r="15" spans="1:46" x14ac:dyDescent="0.3">
      <c r="A15">
        <v>14</v>
      </c>
      <c r="B15" t="s">
        <v>616</v>
      </c>
      <c r="C15" t="s">
        <v>12</v>
      </c>
      <c r="D15" s="6" t="str">
        <f>INDEX(User!$C:$C,MATCH($C15,User!$A:$A,0))</f>
        <v>org_user1_2</v>
      </c>
      <c r="E15" t="s">
        <v>723</v>
      </c>
      <c r="F15" s="19" t="b">
        <f t="shared" ca="1" si="0"/>
        <v>0</v>
      </c>
      <c r="G15" s="6" t="str">
        <f>INDEX(User!$F:$F,MATCH($C15,User!$A:$A,0))</f>
        <v>018d074d-ea0c-e942-07db-a3cc0ba1d653</v>
      </c>
      <c r="H15" s="6" t="b">
        <f>INDEX(User!$L:$L,MATCH($C15,User!$A:$A,0))</f>
        <v>0</v>
      </c>
      <c r="I15" s="6">
        <f>IF(ISNA(MATCH($G15&amp;"|"&amp;$V15,OrganizationAccessCasePolicy!$V:$V,0)),"",MATCH($G15&amp;"|"&amp;$V15,OrganizationAccessCasePolicy!$V:$V,0))</f>
        <v>2</v>
      </c>
      <c r="J15" s="6" t="b" cm="1">
        <f t="array" aca="1" ref="J15" ca="1">IF($I15="",FALSE,NOT(ISNA(MATCH(INDIRECT("OrganizationAccessCasePolicy!D"&amp;$I15)&amp;"|"&amp;$R15,CaseTypeSetMember!$H:$H,0))))</f>
        <v>1</v>
      </c>
      <c r="K15" s="6" t="b" cm="1">
        <f t="array" aca="1" ref="K15" ca="1">IF($I15="",FALSE,AND(INDIRECT("OrganizationAccessCasePolicy!H"&amp;$I15),NOT(ISNA(MATCH(INDIRECT("OrganizationAccessCasePolicy!D"&amp;$I15)&amp;"|"&amp;$R15,CaseTypeSetMember!$H:$H,0)))))</f>
        <v>1</v>
      </c>
      <c r="L15" s="6" t="b" cm="1">
        <f t="array" aca="1" ref="L15" ca="1">IF($I15="",FALSE,AND(INDIRECT("OrganizationAccessCasePolicy!I"&amp;$I15),NOT(ISNA(MATCH(INDIRECT("OrganizationAccessCasePolicy!D"&amp;$I15)&amp;"|"&amp;$R15,CaseTypeSetMember!$H:$H,0)))))</f>
        <v>1</v>
      </c>
      <c r="M15" s="6" t="str">
        <f>IF(ISNA(MATCH($C15&amp;"|"&amp;$V15,UserAccessCasePolicy!$W:$W,0)),"",MATCH($C15&amp;"|"&amp;$V15,UserAccessCasePolicy!$W:$W,0))</f>
        <v/>
      </c>
      <c r="N15" s="6" t="b" cm="1">
        <f t="array" aca="1" ref="N15" ca="1">IF($M15="",FALSE,NOT(ISNA(MATCH(INDIRECT("UserAccessCasePolicy!D"&amp;$M15)&amp;"|"&amp;$R15,CaseTypeSetMember!$H:$H,0))))</f>
        <v>0</v>
      </c>
      <c r="O15" s="6" t="b" cm="1">
        <f t="array" aca="1" ref="O15" ca="1">IF($M15="",FALSE,AND(INDIRECT("UserAccessCasePolicy!G"&amp;$M15),NOT(ISNA(MATCH(INDIRECT("UserAccessCasePolicy!D"&amp;$M15)&amp;"|"&amp;$R15,CaseTypeSetMember!$H:$H,0)))))</f>
        <v>0</v>
      </c>
      <c r="P15" s="6" t="b" cm="1">
        <f t="array" aca="1" ref="P15" ca="1">IF($M15="",FALSE,AND(INDIRECT("UserAccessCasePolicy!H"&amp;$M15),NOT(ISNA(MATCH(INDIRECT("UserAccessCasePolicy!D"&amp;$M15)&amp;"|"&amp;$R15,CaseTypeSetMember!$H:$H,0)))))</f>
        <v>0</v>
      </c>
      <c r="Q15" t="s">
        <v>642</v>
      </c>
      <c r="R15" t="s">
        <v>119</v>
      </c>
      <c r="S15" s="6" t="str">
        <f>INDEX(CaseType!$B:$B,MATCH($R15,CaseType!$A:$A,0))</f>
        <v>case_type1</v>
      </c>
      <c r="T15" s="6" t="b">
        <f>AND(IF($Z15="",TRUE,$R15=INDEX(CaseTypeCol!$B:$B,MATCH($Z15,CaseTypeCol!$A:$A,0))),IF($AG15="",TRUE,$R15=INDEX(CaseTypeCol!$B:$B,MATCH($AG15,CaseTypeCol!$A:$A,0))),IF($AN15="",TRUE,$R15=INDEX(CaseTypeCol!$B:$B,MATCH($AN15,CaseTypeCol!$A:$A,0))))</f>
        <v>1</v>
      </c>
      <c r="V15" t="s">
        <v>11</v>
      </c>
      <c r="W15" s="6" t="str">
        <f>INDEX(DataCollection!$B:$B,MATCH($V15,DataCollection!$A:$A,0))</f>
        <v>data_collection1</v>
      </c>
      <c r="Y15" s="14">
        <v>36526</v>
      </c>
      <c r="Z15" t="s">
        <v>142</v>
      </c>
      <c r="AA15" t="s">
        <v>665</v>
      </c>
      <c r="AB15" s="6" t="str">
        <f>IF($Z15="","",INDEX(CaseTypeCol!$G:$G,MATCH($Z15,CaseTypeCol!$A:$A,0)))</f>
        <v>case_type1_dim1_1_text</v>
      </c>
      <c r="AC15" s="6" t="b" cm="1">
        <f t="array" aca="1" ref="AC15" ca="1">IF($Z15="",TRUE,IF($I15="",FALSE,IF(INDIRECT("OrganizationAccessCasePolicy!J"&amp;$I15)="",FALSE,NOT(ISNA(MATCH(INDIRECT("OrganizationAccessCasePolicy!J"&amp;$I15)&amp;"|"&amp;$Z15,CaseTypeColSetMember!$H:$H,0))))))</f>
        <v>1</v>
      </c>
      <c r="AD15" s="6" t="b" cm="1">
        <f t="array" aca="1" ref="AD15" ca="1">IF($Z15="",TRUE,IF($I15="",FALSE,IF(INDIRECT("OrganizationAccessCasePolicy!L"&amp;$I15)="",FALSE,NOT(ISNA(MATCH(INDIRECT("OrganizationAccessCasePolicy!L"&amp;$I15)&amp;"|"&amp;$Z15,CaseTypeColSetMember!$H:$H,0))))))</f>
        <v>1</v>
      </c>
      <c r="AE15" s="6" t="b" cm="1">
        <f t="array" aca="1" ref="AE15" ca="1">IF($Z15="",TRUE,IF($M15="",FALSE,IF(INDIRECT("UserAccessCasePolicy!I"&amp;$M15)="",FALSE,NOT(ISNA(MATCH(INDIRECT("UserAccessCasePolicy!I"&amp;$M15)&amp;"|"&amp;$Z15,CaseTypeColSetMember!$H:$H,0))))))</f>
        <v>0</v>
      </c>
      <c r="AF15" s="6" t="b" cm="1">
        <f t="array" aca="1" ref="AF15" ca="1">IF($Z15="",TRUE,IF($M15="",FALSE,IF(INDIRECT("UserAccessCasePolicy!K"&amp;$M15)="",FALSE,NOT(ISNA(MATCH(INDIRECT("UserAccessCasePolicy!K"&amp;$M15)&amp;"|"&amp;$Z15,CaseTypeColSetMember!$H:$H,0))))))</f>
        <v>0</v>
      </c>
      <c r="AI15" s="6" t="str">
        <f>IF($AG15="","",INDEX(CaseTypeCol!$G:$G,MATCH($AG15,CaseTypeCol!$A:$A,0)))</f>
        <v/>
      </c>
      <c r="AJ15" s="6" t="b" cm="1">
        <f t="array" aca="1" ref="AJ15" ca="1">IF($AG15="",TRUE,IF($I15="",FALSE,IF(INDIRECT("OrganizationAccessCasePolicy!J"&amp;$I15)="",FALSE,NOT(ISNA(MATCH(INDIRECT("OrganizationAccessCasePolicy!J"&amp;$I15)&amp;"|"&amp;$AG15,CaseTypeColSetMember!$H:$H,0))))))</f>
        <v>1</v>
      </c>
      <c r="AK15" s="6" t="b" cm="1">
        <f t="array" aca="1" ref="AK15" ca="1">IF($AG15="",TRUE,IF($I15="",FALSE,IF(INDIRECT("OrganizationAccessCasePolicy!L"&amp;$I15)="",FALSE,NOT(ISNA(MATCH(INDIRECT("OrganizationAccessCasePolicy!L"&amp;$I15)&amp;"|"&amp;$AG15,CaseTypeColSetMember!$H:$H,0))))))</f>
        <v>1</v>
      </c>
      <c r="AL15" s="6" t="b" cm="1">
        <f t="array" aca="1" ref="AL15" ca="1">IF($AG15="",TRUE,IF($M15="",FALSE,IF(INDIRECT("UserAccessCasePolicy!I"&amp;$M15)="",FALSE,NOT(ISNA(MATCH(INDIRECT("UserAccessCasePolicy!I"&amp;$M15)&amp;"|"&amp;$AG15,CaseTypeColSetMember!$H:$H,0))))))</f>
        <v>1</v>
      </c>
      <c r="AM15" s="6" t="b" cm="1">
        <f t="array" aca="1" ref="AM15" ca="1">IF($AG15="",TRUE,IF($M15="",FALSE,IF(INDIRECT("UserAccessCasePolicy!K"&amp;$M15)="",FALSE,NOT(ISNA(MATCH(INDIRECT("UserAccessCasePolicy!K"&amp;$M15)&amp;"|"&amp;$AG15,CaseTypeColSetMember!$H:$H,0))))))</f>
        <v>1</v>
      </c>
      <c r="AP15" s="6" t="str">
        <f>IF($AN15="","",INDEX(CaseTypeCol!$G:$G,MATCH($AN15,CaseTypeCol!$A:$A,0)))</f>
        <v/>
      </c>
      <c r="AQ15" s="6" t="b" cm="1">
        <f t="array" aca="1" ref="AQ15" ca="1">IF($AN15="",TRUE,IF($I15="",FALSE,IF(INDIRECT("OrganizationAccessCasePolicy!J"&amp;$I15)="",FALSE,NOT(ISNA(MATCH(INDIRECT("OrganizationAccessCasePolicy!J"&amp;$I15)&amp;"|"&amp;$AN15,CaseTypeColSetMember!$H:$H,0))))))</f>
        <v>1</v>
      </c>
      <c r="AR15" s="6" t="b" cm="1">
        <f t="array" aca="1" ref="AR15" ca="1">IF($AN15="",TRUE,IF($I15="",FALSE,IF(INDIRECT("OrganizationAccessCasePolicy!L"&amp;$I15)="",FALSE,NOT(ISNA(MATCH(INDIRECT("OrganizationAccessCasePolicy!L"&amp;$I15)&amp;"|"&amp;$AN15,CaseTypeColSetMember!$H:$H,0))))))</f>
        <v>1</v>
      </c>
      <c r="AS15" s="6" t="b" cm="1">
        <f t="array" aca="1" ref="AS15" ca="1">IF($AN15="",TRUE,IF($M15="",FALSE,IF(INDIRECT("UserAccessCasePolicy!I"&amp;$M15)="",FALSE,NOT(ISNA(MATCH(INDIRECT("UserAccessCasePolicy!I"&amp;$M15)&amp;"|"&amp;$AN15,CaseTypeColSetMember!$H:$H,0))))))</f>
        <v>1</v>
      </c>
      <c r="AT15" s="6" t="b" cm="1">
        <f t="array" aca="1" ref="AT15" ca="1">IF($AN15="",TRUE,IF($M15="",FALSE,IF(INDIRECT("UserAccessCasePolicy!K"&amp;$M15)="",FALSE,NOT(ISNA(MATCH(INDIRECT("UserAccessCasePolicy!K"&amp;$M15)&amp;"|"&amp;$AN15,CaseTypeColSetMember!$H:$H,0))))))</f>
        <v>1</v>
      </c>
    </row>
    <row r="16" spans="1:46" x14ac:dyDescent="0.3">
      <c r="A16">
        <v>15</v>
      </c>
      <c r="B16" t="s">
        <v>617</v>
      </c>
      <c r="C16" t="s">
        <v>13</v>
      </c>
      <c r="D16" s="6" t="str">
        <f>INDEX(User!$C:$C,MATCH($C16,User!$A:$A,0))</f>
        <v>org_user1_3</v>
      </c>
      <c r="E16" t="s">
        <v>723</v>
      </c>
      <c r="F16" s="19" t="b">
        <f t="shared" ca="1" si="0"/>
        <v>0</v>
      </c>
      <c r="G16" s="6" t="str">
        <f>INDEX(User!$F:$F,MATCH($C16,User!$A:$A,0))</f>
        <v>018d074d-ea0c-e942-07db-a3cc0ba1d653</v>
      </c>
      <c r="H16" s="6" t="b">
        <f>INDEX(User!$L:$L,MATCH($C16,User!$A:$A,0))</f>
        <v>0</v>
      </c>
      <c r="I16" s="6">
        <f>IF(ISNA(MATCH($G16&amp;"|"&amp;$V16,OrganizationAccessCasePolicy!$V:$V,0)),"",MATCH($G16&amp;"|"&amp;$V16,OrganizationAccessCasePolicy!$V:$V,0))</f>
        <v>2</v>
      </c>
      <c r="J16" s="6" t="b" cm="1">
        <f t="array" aca="1" ref="J16" ca="1">IF($I16="",FALSE,NOT(ISNA(MATCH(INDIRECT("OrganizationAccessCasePolicy!D"&amp;$I16)&amp;"|"&amp;$R16,CaseTypeSetMember!$H:$H,0))))</f>
        <v>1</v>
      </c>
      <c r="K16" s="6" t="b" cm="1">
        <f t="array" aca="1" ref="K16" ca="1">IF($I16="",FALSE,AND(INDIRECT("OrganizationAccessCasePolicy!H"&amp;$I16),NOT(ISNA(MATCH(INDIRECT("OrganizationAccessCasePolicy!D"&amp;$I16)&amp;"|"&amp;$R16,CaseTypeSetMember!$H:$H,0)))))</f>
        <v>1</v>
      </c>
      <c r="L16" s="6" t="b" cm="1">
        <f t="array" aca="1" ref="L16" ca="1">IF($I16="",FALSE,AND(INDIRECT("OrganizationAccessCasePolicy!I"&amp;$I16),NOT(ISNA(MATCH(INDIRECT("OrganizationAccessCasePolicy!D"&amp;$I16)&amp;"|"&amp;$R16,CaseTypeSetMember!$H:$H,0)))))</f>
        <v>1</v>
      </c>
      <c r="M16" s="6" t="str">
        <f>IF(ISNA(MATCH($C16&amp;"|"&amp;$V16,UserAccessCasePolicy!$W:$W,0)),"",MATCH($C16&amp;"|"&amp;$V16,UserAccessCasePolicy!$W:$W,0))</f>
        <v/>
      </c>
      <c r="N16" s="6" t="b" cm="1">
        <f t="array" aca="1" ref="N16" ca="1">IF($M16="",FALSE,NOT(ISNA(MATCH(INDIRECT("UserAccessCasePolicy!D"&amp;$M16)&amp;"|"&amp;$R16,CaseTypeSetMember!$H:$H,0))))</f>
        <v>0</v>
      </c>
      <c r="O16" s="6" t="b" cm="1">
        <f t="array" aca="1" ref="O16" ca="1">IF($M16="",FALSE,AND(INDIRECT("UserAccessCasePolicy!G"&amp;$M16),NOT(ISNA(MATCH(INDIRECT("UserAccessCasePolicy!D"&amp;$M16)&amp;"|"&amp;$R16,CaseTypeSetMember!$H:$H,0)))))</f>
        <v>0</v>
      </c>
      <c r="P16" s="6" t="b" cm="1">
        <f t="array" aca="1" ref="P16" ca="1">IF($M16="",FALSE,AND(INDIRECT("UserAccessCasePolicy!H"&amp;$M16),NOT(ISNA(MATCH(INDIRECT("UserAccessCasePolicy!D"&amp;$M16)&amp;"|"&amp;$R16,CaseTypeSetMember!$H:$H,0)))))</f>
        <v>0</v>
      </c>
      <c r="Q16" t="s">
        <v>643</v>
      </c>
      <c r="R16" t="s">
        <v>119</v>
      </c>
      <c r="S16" s="6" t="str">
        <f>INDEX(CaseType!$B:$B,MATCH($R16,CaseType!$A:$A,0))</f>
        <v>case_type1</v>
      </c>
      <c r="T16" s="6" t="b">
        <f>AND(IF($Z16="",TRUE,$R16=INDEX(CaseTypeCol!$B:$B,MATCH($Z16,CaseTypeCol!$A:$A,0))),IF($AG16="",TRUE,$R16=INDEX(CaseTypeCol!$B:$B,MATCH($AG16,CaseTypeCol!$A:$A,0))),IF($AN16="",TRUE,$R16=INDEX(CaseTypeCol!$B:$B,MATCH($AN16,CaseTypeCol!$A:$A,0))))</f>
        <v>1</v>
      </c>
      <c r="V16" t="s">
        <v>11</v>
      </c>
      <c r="W16" s="6" t="str">
        <f>INDEX(DataCollection!$B:$B,MATCH($V16,DataCollection!$A:$A,0))</f>
        <v>data_collection1</v>
      </c>
      <c r="Y16" s="14">
        <v>36526</v>
      </c>
      <c r="Z16" t="s">
        <v>142</v>
      </c>
      <c r="AA16" t="s">
        <v>665</v>
      </c>
      <c r="AB16" s="6" t="str">
        <f>IF($Z16="","",INDEX(CaseTypeCol!$G:$G,MATCH($Z16,CaseTypeCol!$A:$A,0)))</f>
        <v>case_type1_dim1_1_text</v>
      </c>
      <c r="AC16" s="6" t="b" cm="1">
        <f t="array" aca="1" ref="AC16" ca="1">IF($Z16="",TRUE,IF($I16="",FALSE,IF(INDIRECT("OrganizationAccessCasePolicy!J"&amp;$I16)="",FALSE,NOT(ISNA(MATCH(INDIRECT("OrganizationAccessCasePolicy!J"&amp;$I16)&amp;"|"&amp;$Z16,CaseTypeColSetMember!$H:$H,0))))))</f>
        <v>1</v>
      </c>
      <c r="AD16" s="6" t="b" cm="1">
        <f t="array" aca="1" ref="AD16" ca="1">IF($Z16="",TRUE,IF($I16="",FALSE,IF(INDIRECT("OrganizationAccessCasePolicy!L"&amp;$I16)="",FALSE,NOT(ISNA(MATCH(INDIRECT("OrganizationAccessCasePolicy!L"&amp;$I16)&amp;"|"&amp;$Z16,CaseTypeColSetMember!$H:$H,0))))))</f>
        <v>1</v>
      </c>
      <c r="AE16" s="6" t="b" cm="1">
        <f t="array" aca="1" ref="AE16" ca="1">IF($Z16="",TRUE,IF($M16="",FALSE,IF(INDIRECT("UserAccessCasePolicy!I"&amp;$M16)="",FALSE,NOT(ISNA(MATCH(INDIRECT("UserAccessCasePolicy!I"&amp;$M16)&amp;"|"&amp;$Z16,CaseTypeColSetMember!$H:$H,0))))))</f>
        <v>0</v>
      </c>
      <c r="AF16" s="6" t="b" cm="1">
        <f t="array" aca="1" ref="AF16" ca="1">IF($Z16="",TRUE,IF($M16="",FALSE,IF(INDIRECT("UserAccessCasePolicy!K"&amp;$M16)="",FALSE,NOT(ISNA(MATCH(INDIRECT("UserAccessCasePolicy!K"&amp;$M16)&amp;"|"&amp;$Z16,CaseTypeColSetMember!$H:$H,0))))))</f>
        <v>0</v>
      </c>
      <c r="AI16" s="6" t="str">
        <f>IF($AG16="","",INDEX(CaseTypeCol!$G:$G,MATCH($AG16,CaseTypeCol!$A:$A,0)))</f>
        <v/>
      </c>
      <c r="AJ16" s="6" t="b" cm="1">
        <f t="array" aca="1" ref="AJ16" ca="1">IF($AG16="",TRUE,IF($I16="",FALSE,IF(INDIRECT("OrganizationAccessCasePolicy!J"&amp;$I16)="",FALSE,NOT(ISNA(MATCH(INDIRECT("OrganizationAccessCasePolicy!J"&amp;$I16)&amp;"|"&amp;$AG16,CaseTypeColSetMember!$H:$H,0))))))</f>
        <v>1</v>
      </c>
      <c r="AK16" s="6" t="b" cm="1">
        <f t="array" aca="1" ref="AK16" ca="1">IF($AG16="",TRUE,IF($I16="",FALSE,IF(INDIRECT("OrganizationAccessCasePolicy!L"&amp;$I16)="",FALSE,NOT(ISNA(MATCH(INDIRECT("OrganizationAccessCasePolicy!L"&amp;$I16)&amp;"|"&amp;$AG16,CaseTypeColSetMember!$H:$H,0))))))</f>
        <v>1</v>
      </c>
      <c r="AL16" s="6" t="b" cm="1">
        <f t="array" aca="1" ref="AL16" ca="1">IF($AG16="",TRUE,IF($M16="",FALSE,IF(INDIRECT("UserAccessCasePolicy!I"&amp;$M16)="",FALSE,NOT(ISNA(MATCH(INDIRECT("UserAccessCasePolicy!I"&amp;$M16)&amp;"|"&amp;$AG16,CaseTypeColSetMember!$H:$H,0))))))</f>
        <v>1</v>
      </c>
      <c r="AM16" s="6" t="b" cm="1">
        <f t="array" aca="1" ref="AM16" ca="1">IF($AG16="",TRUE,IF($M16="",FALSE,IF(INDIRECT("UserAccessCasePolicy!K"&amp;$M16)="",FALSE,NOT(ISNA(MATCH(INDIRECT("UserAccessCasePolicy!K"&amp;$M16)&amp;"|"&amp;$AG16,CaseTypeColSetMember!$H:$H,0))))))</f>
        <v>1</v>
      </c>
      <c r="AP16" s="6" t="str">
        <f>IF($AN16="","",INDEX(CaseTypeCol!$G:$G,MATCH($AN16,CaseTypeCol!$A:$A,0)))</f>
        <v/>
      </c>
      <c r="AQ16" s="6" t="b" cm="1">
        <f t="array" aca="1" ref="AQ16" ca="1">IF($AN16="",TRUE,IF($I16="",FALSE,IF(INDIRECT("OrganizationAccessCasePolicy!J"&amp;$I16)="",FALSE,NOT(ISNA(MATCH(INDIRECT("OrganizationAccessCasePolicy!J"&amp;$I16)&amp;"|"&amp;$AN16,CaseTypeColSetMember!$H:$H,0))))))</f>
        <v>1</v>
      </c>
      <c r="AR16" s="6" t="b" cm="1">
        <f t="array" aca="1" ref="AR16" ca="1">IF($AN16="",TRUE,IF($I16="",FALSE,IF(INDIRECT("OrganizationAccessCasePolicy!L"&amp;$I16)="",FALSE,NOT(ISNA(MATCH(INDIRECT("OrganizationAccessCasePolicy!L"&amp;$I16)&amp;"|"&amp;$AN16,CaseTypeColSetMember!$H:$H,0))))))</f>
        <v>1</v>
      </c>
      <c r="AS16" s="6" t="b" cm="1">
        <f t="array" aca="1" ref="AS16" ca="1">IF($AN16="",TRUE,IF($M16="",FALSE,IF(INDIRECT("UserAccessCasePolicy!I"&amp;$M16)="",FALSE,NOT(ISNA(MATCH(INDIRECT("UserAccessCasePolicy!I"&amp;$M16)&amp;"|"&amp;$AN16,CaseTypeColSetMember!$H:$H,0))))))</f>
        <v>1</v>
      </c>
      <c r="AT16" s="6" t="b" cm="1">
        <f t="array" aca="1" ref="AT16" ca="1">IF($AN16="",TRUE,IF($M16="",FALSE,IF(INDIRECT("UserAccessCasePolicy!K"&amp;$M16)="",FALSE,NOT(ISNA(MATCH(INDIRECT("UserAccessCasePolicy!K"&amp;$M16)&amp;"|"&amp;$AN16,CaseTypeColSetMember!$H:$H,0))))))</f>
        <v>1</v>
      </c>
    </row>
    <row r="17" spans="1:46" x14ac:dyDescent="0.3">
      <c r="A17">
        <v>16</v>
      </c>
      <c r="B17" t="s">
        <v>618</v>
      </c>
      <c r="C17" t="s">
        <v>14</v>
      </c>
      <c r="D17" s="6" t="str">
        <f>INDEX(User!$C:$C,MATCH($C17,User!$A:$A,0))</f>
        <v>org_user1_4</v>
      </c>
      <c r="E17" t="s">
        <v>723</v>
      </c>
      <c r="F17" s="19" t="b">
        <f t="shared" ca="1" si="0"/>
        <v>0</v>
      </c>
      <c r="G17" s="6" t="str">
        <f>INDEX(User!$F:$F,MATCH($C17,User!$A:$A,0))</f>
        <v>018d074d-ea0c-e942-07db-a3cc0ba1d653</v>
      </c>
      <c r="H17" s="6" t="b">
        <f>INDEX(User!$L:$L,MATCH($C17,User!$A:$A,0))</f>
        <v>0</v>
      </c>
      <c r="I17" s="6">
        <f>IF(ISNA(MATCH($G17&amp;"|"&amp;$V17,OrganizationAccessCasePolicy!$V:$V,0)),"",MATCH($G17&amp;"|"&amp;$V17,OrganizationAccessCasePolicy!$V:$V,0))</f>
        <v>2</v>
      </c>
      <c r="J17" s="6" t="b" cm="1">
        <f t="array" aca="1" ref="J17" ca="1">IF($I17="",FALSE,NOT(ISNA(MATCH(INDIRECT("OrganizationAccessCasePolicy!D"&amp;$I17)&amp;"|"&amp;$R17,CaseTypeSetMember!$H:$H,0))))</f>
        <v>1</v>
      </c>
      <c r="K17" s="6" t="b" cm="1">
        <f t="array" aca="1" ref="K17" ca="1">IF($I17="",FALSE,AND(INDIRECT("OrganizationAccessCasePolicy!H"&amp;$I17),NOT(ISNA(MATCH(INDIRECT("OrganizationAccessCasePolicy!D"&amp;$I17)&amp;"|"&amp;$R17,CaseTypeSetMember!$H:$H,0)))))</f>
        <v>1</v>
      </c>
      <c r="L17" s="6" t="b" cm="1">
        <f t="array" aca="1" ref="L17" ca="1">IF($I17="",FALSE,AND(INDIRECT("OrganizationAccessCasePolicy!I"&amp;$I17),NOT(ISNA(MATCH(INDIRECT("OrganizationAccessCasePolicy!D"&amp;$I17)&amp;"|"&amp;$R17,CaseTypeSetMember!$H:$H,0)))))</f>
        <v>1</v>
      </c>
      <c r="M17" s="6" t="str">
        <f>IF(ISNA(MATCH($C17&amp;"|"&amp;$V17,UserAccessCasePolicy!$W:$W,0)),"",MATCH($C17&amp;"|"&amp;$V17,UserAccessCasePolicy!$W:$W,0))</f>
        <v/>
      </c>
      <c r="N17" s="6" t="b" cm="1">
        <f t="array" aca="1" ref="N17" ca="1">IF($M17="",FALSE,NOT(ISNA(MATCH(INDIRECT("UserAccessCasePolicy!D"&amp;$M17)&amp;"|"&amp;$R17,CaseTypeSetMember!$H:$H,0))))</f>
        <v>0</v>
      </c>
      <c r="O17" s="6" t="b" cm="1">
        <f t="array" aca="1" ref="O17" ca="1">IF($M17="",FALSE,AND(INDIRECT("UserAccessCasePolicy!G"&amp;$M17),NOT(ISNA(MATCH(INDIRECT("UserAccessCasePolicy!D"&amp;$M17)&amp;"|"&amp;$R17,CaseTypeSetMember!$H:$H,0)))))</f>
        <v>0</v>
      </c>
      <c r="P17" s="6" t="b" cm="1">
        <f t="array" aca="1" ref="P17" ca="1">IF($M17="",FALSE,AND(INDIRECT("UserAccessCasePolicy!H"&amp;$M17),NOT(ISNA(MATCH(INDIRECT("UserAccessCasePolicy!D"&amp;$M17)&amp;"|"&amp;$R17,CaseTypeSetMember!$H:$H,0)))))</f>
        <v>0</v>
      </c>
      <c r="Q17" t="s">
        <v>644</v>
      </c>
      <c r="R17" t="s">
        <v>119</v>
      </c>
      <c r="S17" s="6" t="str">
        <f>INDEX(CaseType!$B:$B,MATCH($R17,CaseType!$A:$A,0))</f>
        <v>case_type1</v>
      </c>
      <c r="T17" s="6" t="b">
        <f>AND(IF($Z17="",TRUE,$R17=INDEX(CaseTypeCol!$B:$B,MATCH($Z17,CaseTypeCol!$A:$A,0))),IF($AG17="",TRUE,$R17=INDEX(CaseTypeCol!$B:$B,MATCH($AG17,CaseTypeCol!$A:$A,0))),IF($AN17="",TRUE,$R17=INDEX(CaseTypeCol!$B:$B,MATCH($AN17,CaseTypeCol!$A:$A,0))))</f>
        <v>1</v>
      </c>
      <c r="V17" t="s">
        <v>11</v>
      </c>
      <c r="W17" s="6" t="str">
        <f>INDEX(DataCollection!$B:$B,MATCH($V17,DataCollection!$A:$A,0))</f>
        <v>data_collection1</v>
      </c>
      <c r="Y17" s="14">
        <v>36526</v>
      </c>
      <c r="Z17" t="s">
        <v>142</v>
      </c>
      <c r="AA17" t="s">
        <v>665</v>
      </c>
      <c r="AB17" s="6" t="str">
        <f>IF($Z17="","",INDEX(CaseTypeCol!$G:$G,MATCH($Z17,CaseTypeCol!$A:$A,0)))</f>
        <v>case_type1_dim1_1_text</v>
      </c>
      <c r="AC17" s="6" t="b" cm="1">
        <f t="array" aca="1" ref="AC17" ca="1">IF($Z17="",TRUE,IF($I17="",FALSE,IF(INDIRECT("OrganizationAccessCasePolicy!J"&amp;$I17)="",FALSE,NOT(ISNA(MATCH(INDIRECT("OrganizationAccessCasePolicy!J"&amp;$I17)&amp;"|"&amp;$Z17,CaseTypeColSetMember!$H:$H,0))))))</f>
        <v>1</v>
      </c>
      <c r="AD17" s="6" t="b" cm="1">
        <f t="array" aca="1" ref="AD17" ca="1">IF($Z17="",TRUE,IF($I17="",FALSE,IF(INDIRECT("OrganizationAccessCasePolicy!L"&amp;$I17)="",FALSE,NOT(ISNA(MATCH(INDIRECT("OrganizationAccessCasePolicy!L"&amp;$I17)&amp;"|"&amp;$Z17,CaseTypeColSetMember!$H:$H,0))))))</f>
        <v>1</v>
      </c>
      <c r="AE17" s="6" t="b" cm="1">
        <f t="array" aca="1" ref="AE17" ca="1">IF($Z17="",TRUE,IF($M17="",FALSE,IF(INDIRECT("UserAccessCasePolicy!I"&amp;$M17)="",FALSE,NOT(ISNA(MATCH(INDIRECT("UserAccessCasePolicy!I"&amp;$M17)&amp;"|"&amp;$Z17,CaseTypeColSetMember!$H:$H,0))))))</f>
        <v>0</v>
      </c>
      <c r="AF17" s="6" t="b" cm="1">
        <f t="array" aca="1" ref="AF17" ca="1">IF($Z17="",TRUE,IF($M17="",FALSE,IF(INDIRECT("UserAccessCasePolicy!K"&amp;$M17)="",FALSE,NOT(ISNA(MATCH(INDIRECT("UserAccessCasePolicy!K"&amp;$M17)&amp;"|"&amp;$Z17,CaseTypeColSetMember!$H:$H,0))))))</f>
        <v>0</v>
      </c>
      <c r="AI17" s="6" t="str">
        <f>IF($AG17="","",INDEX(CaseTypeCol!$G:$G,MATCH($AG17,CaseTypeCol!$A:$A,0)))</f>
        <v/>
      </c>
      <c r="AJ17" s="6" t="b" cm="1">
        <f t="array" aca="1" ref="AJ17" ca="1">IF($AG17="",TRUE,IF($I17="",FALSE,IF(INDIRECT("OrganizationAccessCasePolicy!J"&amp;$I17)="",FALSE,NOT(ISNA(MATCH(INDIRECT("OrganizationAccessCasePolicy!J"&amp;$I17)&amp;"|"&amp;$AG17,CaseTypeColSetMember!$H:$H,0))))))</f>
        <v>1</v>
      </c>
      <c r="AK17" s="6" t="b" cm="1">
        <f t="array" aca="1" ref="AK17" ca="1">IF($AG17="",TRUE,IF($I17="",FALSE,IF(INDIRECT("OrganizationAccessCasePolicy!L"&amp;$I17)="",FALSE,NOT(ISNA(MATCH(INDIRECT("OrganizationAccessCasePolicy!L"&amp;$I17)&amp;"|"&amp;$AG17,CaseTypeColSetMember!$H:$H,0))))))</f>
        <v>1</v>
      </c>
      <c r="AL17" s="6" t="b" cm="1">
        <f t="array" aca="1" ref="AL17" ca="1">IF($AG17="",TRUE,IF($M17="",FALSE,IF(INDIRECT("UserAccessCasePolicy!I"&amp;$M17)="",FALSE,NOT(ISNA(MATCH(INDIRECT("UserAccessCasePolicy!I"&amp;$M17)&amp;"|"&amp;$AG17,CaseTypeColSetMember!$H:$H,0))))))</f>
        <v>1</v>
      </c>
      <c r="AM17" s="6" t="b" cm="1">
        <f t="array" aca="1" ref="AM17" ca="1">IF($AG17="",TRUE,IF($M17="",FALSE,IF(INDIRECT("UserAccessCasePolicy!K"&amp;$M17)="",FALSE,NOT(ISNA(MATCH(INDIRECT("UserAccessCasePolicy!K"&amp;$M17)&amp;"|"&amp;$AG17,CaseTypeColSetMember!$H:$H,0))))))</f>
        <v>1</v>
      </c>
      <c r="AP17" s="6" t="str">
        <f>IF($AN17="","",INDEX(CaseTypeCol!$G:$G,MATCH($AN17,CaseTypeCol!$A:$A,0)))</f>
        <v/>
      </c>
      <c r="AQ17" s="6" t="b" cm="1">
        <f t="array" aca="1" ref="AQ17" ca="1">IF($AN17="",TRUE,IF($I17="",FALSE,IF(INDIRECT("OrganizationAccessCasePolicy!J"&amp;$I17)="",FALSE,NOT(ISNA(MATCH(INDIRECT("OrganizationAccessCasePolicy!J"&amp;$I17)&amp;"|"&amp;$AN17,CaseTypeColSetMember!$H:$H,0))))))</f>
        <v>1</v>
      </c>
      <c r="AR17" s="6" t="b" cm="1">
        <f t="array" aca="1" ref="AR17" ca="1">IF($AN17="",TRUE,IF($I17="",FALSE,IF(INDIRECT("OrganizationAccessCasePolicy!L"&amp;$I17)="",FALSE,NOT(ISNA(MATCH(INDIRECT("OrganizationAccessCasePolicy!L"&amp;$I17)&amp;"|"&amp;$AN17,CaseTypeColSetMember!$H:$H,0))))))</f>
        <v>1</v>
      </c>
      <c r="AS17" s="6" t="b" cm="1">
        <f t="array" aca="1" ref="AS17" ca="1">IF($AN17="",TRUE,IF($M17="",FALSE,IF(INDIRECT("UserAccessCasePolicy!I"&amp;$M17)="",FALSE,NOT(ISNA(MATCH(INDIRECT("UserAccessCasePolicy!I"&amp;$M17)&amp;"|"&amp;$AN17,CaseTypeColSetMember!$H:$H,0))))))</f>
        <v>1</v>
      </c>
      <c r="AT17" s="6" t="b" cm="1">
        <f t="array" aca="1" ref="AT17" ca="1">IF($AN17="",TRUE,IF($M17="",FALSE,IF(INDIRECT("UserAccessCasePolicy!K"&amp;$M17)="",FALSE,NOT(ISNA(MATCH(INDIRECT("UserAccessCasePolicy!K"&amp;$M17)&amp;"|"&amp;$AN17,CaseTypeColSetMember!$H:$H,0))))))</f>
        <v>1</v>
      </c>
    </row>
    <row r="18" spans="1:46" x14ac:dyDescent="0.3">
      <c r="A18">
        <v>17</v>
      </c>
      <c r="B18" t="s">
        <v>619</v>
      </c>
      <c r="C18" t="s">
        <v>16</v>
      </c>
      <c r="D18" s="6" t="str">
        <f>INDEX(User!$C:$C,MATCH($C18,User!$A:$A,0))</f>
        <v>org_user2_1</v>
      </c>
      <c r="E18" t="s">
        <v>723</v>
      </c>
      <c r="F18" s="19" t="b">
        <f t="shared" ca="1" si="0"/>
        <v>0</v>
      </c>
      <c r="G18" s="6" t="str">
        <f>INDEX(User!$F:$F,MATCH($C18,User!$A:$A,0))</f>
        <v>0195d18c-1c92-0ed4-2e94-b4f66d82baf3</v>
      </c>
      <c r="H18" s="6" t="b">
        <f>INDEX(User!$L:$L,MATCH($C18,User!$A:$A,0))</f>
        <v>0</v>
      </c>
      <c r="I18" s="6" t="str">
        <f>IF(ISNA(MATCH($G18&amp;"|"&amp;$V18,OrganizationAccessCasePolicy!$V:$V,0)),"",MATCH($G18&amp;"|"&amp;$V18,OrganizationAccessCasePolicy!$V:$V,0))</f>
        <v/>
      </c>
      <c r="J18" s="6" t="b" cm="1">
        <f t="array" aca="1" ref="J18" ca="1">IF($I18="",FALSE,NOT(ISNA(MATCH(INDIRECT("OrganizationAccessCasePolicy!D"&amp;$I18)&amp;"|"&amp;$R18,CaseTypeSetMember!$H:$H,0))))</f>
        <v>0</v>
      </c>
      <c r="K18" s="6" t="b" cm="1">
        <f t="array" aca="1" ref="K18" ca="1">IF($I18="",FALSE,AND(INDIRECT("OrganizationAccessCasePolicy!H"&amp;$I18),NOT(ISNA(MATCH(INDIRECT("OrganizationAccessCasePolicy!D"&amp;$I18)&amp;"|"&amp;$R18,CaseTypeSetMember!$H:$H,0)))))</f>
        <v>0</v>
      </c>
      <c r="L18" s="6" t="b" cm="1">
        <f t="array" aca="1" ref="L18" ca="1">IF($I18="",FALSE,AND(INDIRECT("OrganizationAccessCasePolicy!I"&amp;$I18),NOT(ISNA(MATCH(INDIRECT("OrganizationAccessCasePolicy!D"&amp;$I18)&amp;"|"&amp;$R18,CaseTypeSetMember!$H:$H,0)))))</f>
        <v>0</v>
      </c>
      <c r="M18" s="6" t="str">
        <f>IF(ISNA(MATCH($C18&amp;"|"&amp;$V18,UserAccessCasePolicy!$W:$W,0)),"",MATCH($C18&amp;"|"&amp;$V18,UserAccessCasePolicy!$W:$W,0))</f>
        <v/>
      </c>
      <c r="N18" s="6" t="b" cm="1">
        <f t="array" aca="1" ref="N18" ca="1">IF($M18="",FALSE,NOT(ISNA(MATCH(INDIRECT("UserAccessCasePolicy!D"&amp;$M18)&amp;"|"&amp;$R18,CaseTypeSetMember!$H:$H,0))))</f>
        <v>0</v>
      </c>
      <c r="O18" s="6" t="b" cm="1">
        <f t="array" aca="1" ref="O18" ca="1">IF($M18="",FALSE,AND(INDIRECT("UserAccessCasePolicy!G"&amp;$M18),NOT(ISNA(MATCH(INDIRECT("UserAccessCasePolicy!D"&amp;$M18)&amp;"|"&amp;$R18,CaseTypeSetMember!$H:$H,0)))))</f>
        <v>0</v>
      </c>
      <c r="P18" s="6" t="b" cm="1">
        <f t="array" aca="1" ref="P18" ca="1">IF($M18="",FALSE,AND(INDIRECT("UserAccessCasePolicy!H"&amp;$M18),NOT(ISNA(MATCH(INDIRECT("UserAccessCasePolicy!D"&amp;$M18)&amp;"|"&amp;$R18,CaseTypeSetMember!$H:$H,0)))))</f>
        <v>0</v>
      </c>
      <c r="Q18" t="s">
        <v>645</v>
      </c>
      <c r="R18" t="s">
        <v>119</v>
      </c>
      <c r="S18" s="6" t="str">
        <f>INDEX(CaseType!$B:$B,MATCH($R18,CaseType!$A:$A,0))</f>
        <v>case_type1</v>
      </c>
      <c r="T18" s="6" t="b">
        <f>AND(IF($Z18="",TRUE,$R18=INDEX(CaseTypeCol!$B:$B,MATCH($Z18,CaseTypeCol!$A:$A,0))),IF($AG18="",TRUE,$R18=INDEX(CaseTypeCol!$B:$B,MATCH($AG18,CaseTypeCol!$A:$A,0))),IF($AN18="",TRUE,$R18=INDEX(CaseTypeCol!$B:$B,MATCH($AN18,CaseTypeCol!$A:$A,0))))</f>
        <v>1</v>
      </c>
      <c r="V18" t="s">
        <v>11</v>
      </c>
      <c r="W18" s="6" t="str">
        <f>INDEX(DataCollection!$B:$B,MATCH($V18,DataCollection!$A:$A,0))</f>
        <v>data_collection1</v>
      </c>
      <c r="Y18" s="14">
        <v>36526</v>
      </c>
      <c r="Z18" t="s">
        <v>142</v>
      </c>
      <c r="AA18" t="s">
        <v>665</v>
      </c>
      <c r="AB18" s="6" t="str">
        <f>IF($Z18="","",INDEX(CaseTypeCol!$G:$G,MATCH($Z18,CaseTypeCol!$A:$A,0)))</f>
        <v>case_type1_dim1_1_text</v>
      </c>
      <c r="AC18" s="6" t="b" cm="1">
        <f t="array" aca="1" ref="AC18" ca="1">IF($Z18="",TRUE,IF($I18="",FALSE,IF(INDIRECT("OrganizationAccessCasePolicy!J"&amp;$I18)="",FALSE,NOT(ISNA(MATCH(INDIRECT("OrganizationAccessCasePolicy!J"&amp;$I18)&amp;"|"&amp;$Z18,CaseTypeColSetMember!$H:$H,0))))))</f>
        <v>0</v>
      </c>
      <c r="AD18" s="6" t="b" cm="1">
        <f t="array" aca="1" ref="AD18" ca="1">IF($Z18="",TRUE,IF($I18="",FALSE,IF(INDIRECT("OrganizationAccessCasePolicy!L"&amp;$I18)="",FALSE,NOT(ISNA(MATCH(INDIRECT("OrganizationAccessCasePolicy!L"&amp;$I18)&amp;"|"&amp;$Z18,CaseTypeColSetMember!$H:$H,0))))))</f>
        <v>0</v>
      </c>
      <c r="AE18" s="6" t="b" cm="1">
        <f t="array" aca="1" ref="AE18" ca="1">IF($Z18="",TRUE,IF($M18="",FALSE,IF(INDIRECT("UserAccessCasePolicy!I"&amp;$M18)="",FALSE,NOT(ISNA(MATCH(INDIRECT("UserAccessCasePolicy!I"&amp;$M18)&amp;"|"&amp;$Z18,CaseTypeColSetMember!$H:$H,0))))))</f>
        <v>0</v>
      </c>
      <c r="AF18" s="6" t="b" cm="1">
        <f t="array" aca="1" ref="AF18" ca="1">IF($Z18="",TRUE,IF($M18="",FALSE,IF(INDIRECT("UserAccessCasePolicy!K"&amp;$M18)="",FALSE,NOT(ISNA(MATCH(INDIRECT("UserAccessCasePolicy!K"&amp;$M18)&amp;"|"&amp;$Z18,CaseTypeColSetMember!$H:$H,0))))))</f>
        <v>0</v>
      </c>
      <c r="AI18" s="6" t="str">
        <f>IF($AG18="","",INDEX(CaseTypeCol!$G:$G,MATCH($AG18,CaseTypeCol!$A:$A,0)))</f>
        <v/>
      </c>
      <c r="AJ18" s="6" t="b" cm="1">
        <f t="array" aca="1" ref="AJ18" ca="1">IF($AG18="",TRUE,IF($I18="",FALSE,IF(INDIRECT("OrganizationAccessCasePolicy!J"&amp;$I18)="",FALSE,NOT(ISNA(MATCH(INDIRECT("OrganizationAccessCasePolicy!J"&amp;$I18)&amp;"|"&amp;$AG18,CaseTypeColSetMember!$H:$H,0))))))</f>
        <v>1</v>
      </c>
      <c r="AK18" s="6" t="b" cm="1">
        <f t="array" aca="1" ref="AK18" ca="1">IF($AG18="",TRUE,IF($I18="",FALSE,IF(INDIRECT("OrganizationAccessCasePolicy!L"&amp;$I18)="",FALSE,NOT(ISNA(MATCH(INDIRECT("OrganizationAccessCasePolicy!L"&amp;$I18)&amp;"|"&amp;$AG18,CaseTypeColSetMember!$H:$H,0))))))</f>
        <v>1</v>
      </c>
      <c r="AL18" s="6" t="b" cm="1">
        <f t="array" aca="1" ref="AL18" ca="1">IF($AG18="",TRUE,IF($M18="",FALSE,IF(INDIRECT("UserAccessCasePolicy!I"&amp;$M18)="",FALSE,NOT(ISNA(MATCH(INDIRECT("UserAccessCasePolicy!I"&amp;$M18)&amp;"|"&amp;$AG18,CaseTypeColSetMember!$H:$H,0))))))</f>
        <v>1</v>
      </c>
      <c r="AM18" s="6" t="b" cm="1">
        <f t="array" aca="1" ref="AM18" ca="1">IF($AG18="",TRUE,IF($M18="",FALSE,IF(INDIRECT("UserAccessCasePolicy!K"&amp;$M18)="",FALSE,NOT(ISNA(MATCH(INDIRECT("UserAccessCasePolicy!K"&amp;$M18)&amp;"|"&amp;$AG18,CaseTypeColSetMember!$H:$H,0))))))</f>
        <v>1</v>
      </c>
      <c r="AP18" s="6" t="str">
        <f>IF($AN18="","",INDEX(CaseTypeCol!$G:$G,MATCH($AN18,CaseTypeCol!$A:$A,0)))</f>
        <v/>
      </c>
      <c r="AQ18" s="6" t="b" cm="1">
        <f t="array" aca="1" ref="AQ18" ca="1">IF($AN18="",TRUE,IF($I18="",FALSE,IF(INDIRECT("OrganizationAccessCasePolicy!J"&amp;$I18)="",FALSE,NOT(ISNA(MATCH(INDIRECT("OrganizationAccessCasePolicy!J"&amp;$I18)&amp;"|"&amp;$AN18,CaseTypeColSetMember!$H:$H,0))))))</f>
        <v>1</v>
      </c>
      <c r="AR18" s="6" t="b" cm="1">
        <f t="array" aca="1" ref="AR18" ca="1">IF($AN18="",TRUE,IF($I18="",FALSE,IF(INDIRECT("OrganizationAccessCasePolicy!L"&amp;$I18)="",FALSE,NOT(ISNA(MATCH(INDIRECT("OrganizationAccessCasePolicy!L"&amp;$I18)&amp;"|"&amp;$AN18,CaseTypeColSetMember!$H:$H,0))))))</f>
        <v>1</v>
      </c>
      <c r="AS18" s="6" t="b" cm="1">
        <f t="array" aca="1" ref="AS18" ca="1">IF($AN18="",TRUE,IF($M18="",FALSE,IF(INDIRECT("UserAccessCasePolicy!I"&amp;$M18)="",FALSE,NOT(ISNA(MATCH(INDIRECT("UserAccessCasePolicy!I"&amp;$M18)&amp;"|"&amp;$AN18,CaseTypeColSetMember!$H:$H,0))))))</f>
        <v>1</v>
      </c>
      <c r="AT18" s="6" t="b" cm="1">
        <f t="array" aca="1" ref="AT18" ca="1">IF($AN18="",TRUE,IF($M18="",FALSE,IF(INDIRECT("UserAccessCasePolicy!K"&amp;$M18)="",FALSE,NOT(ISNA(MATCH(INDIRECT("UserAccessCasePolicy!K"&amp;$M18)&amp;"|"&amp;$AN18,CaseTypeColSetMember!$H:$H,0))))))</f>
        <v>1</v>
      </c>
    </row>
    <row r="19" spans="1:46" x14ac:dyDescent="0.3">
      <c r="A19">
        <v>18</v>
      </c>
      <c r="B19" t="s">
        <v>620</v>
      </c>
      <c r="C19" t="s">
        <v>18</v>
      </c>
      <c r="D19" s="6" t="str">
        <f>INDEX(User!$C:$C,MATCH($C19,User!$A:$A,0))</f>
        <v>org_user2_2</v>
      </c>
      <c r="E19" t="s">
        <v>723</v>
      </c>
      <c r="F19" s="19" t="b">
        <f t="shared" ca="1" si="0"/>
        <v>0</v>
      </c>
      <c r="G19" s="6" t="str">
        <f>INDEX(User!$F:$F,MATCH($C19,User!$A:$A,0))</f>
        <v>0195d18c-1c92-0ed4-2e94-b4f66d82baf3</v>
      </c>
      <c r="H19" s="6" t="b">
        <f>INDEX(User!$L:$L,MATCH($C19,User!$A:$A,0))</f>
        <v>0</v>
      </c>
      <c r="I19" s="6" t="str">
        <f>IF(ISNA(MATCH($G19&amp;"|"&amp;$V19,OrganizationAccessCasePolicy!$V:$V,0)),"",MATCH($G19&amp;"|"&amp;$V19,OrganizationAccessCasePolicy!$V:$V,0))</f>
        <v/>
      </c>
      <c r="J19" s="6" t="b" cm="1">
        <f t="array" aca="1" ref="J19" ca="1">IF($I19="",FALSE,NOT(ISNA(MATCH(INDIRECT("OrganizationAccessCasePolicy!D"&amp;$I19)&amp;"|"&amp;$R19,CaseTypeSetMember!$H:$H,0))))</f>
        <v>0</v>
      </c>
      <c r="K19" s="6" t="b" cm="1">
        <f t="array" aca="1" ref="K19" ca="1">IF($I19="",FALSE,AND(INDIRECT("OrganizationAccessCasePolicy!H"&amp;$I19),NOT(ISNA(MATCH(INDIRECT("OrganizationAccessCasePolicy!D"&amp;$I19)&amp;"|"&amp;$R19,CaseTypeSetMember!$H:$H,0)))))</f>
        <v>0</v>
      </c>
      <c r="L19" s="6" t="b" cm="1">
        <f t="array" aca="1" ref="L19" ca="1">IF($I19="",FALSE,AND(INDIRECT("OrganizationAccessCasePolicy!I"&amp;$I19),NOT(ISNA(MATCH(INDIRECT("OrganizationAccessCasePolicy!D"&amp;$I19)&amp;"|"&amp;$R19,CaseTypeSetMember!$H:$H,0)))))</f>
        <v>0</v>
      </c>
      <c r="M19" s="6" t="str">
        <f>IF(ISNA(MATCH($C19&amp;"|"&amp;$V19,UserAccessCasePolicy!$W:$W,0)),"",MATCH($C19&amp;"|"&amp;$V19,UserAccessCasePolicy!$W:$W,0))</f>
        <v/>
      </c>
      <c r="N19" s="6" t="b" cm="1">
        <f t="array" aca="1" ref="N19" ca="1">IF($M19="",FALSE,NOT(ISNA(MATCH(INDIRECT("UserAccessCasePolicy!D"&amp;$M19)&amp;"|"&amp;$R19,CaseTypeSetMember!$H:$H,0))))</f>
        <v>0</v>
      </c>
      <c r="O19" s="6" t="b" cm="1">
        <f t="array" aca="1" ref="O19" ca="1">IF($M19="",FALSE,AND(INDIRECT("UserAccessCasePolicy!G"&amp;$M19),NOT(ISNA(MATCH(INDIRECT("UserAccessCasePolicy!D"&amp;$M19)&amp;"|"&amp;$R19,CaseTypeSetMember!$H:$H,0)))))</f>
        <v>0</v>
      </c>
      <c r="P19" s="6" t="b" cm="1">
        <f t="array" aca="1" ref="P19" ca="1">IF($M19="",FALSE,AND(INDIRECT("UserAccessCasePolicy!H"&amp;$M19),NOT(ISNA(MATCH(INDIRECT("UserAccessCasePolicy!D"&amp;$M19)&amp;"|"&amp;$R19,CaseTypeSetMember!$H:$H,0)))))</f>
        <v>0</v>
      </c>
      <c r="Q19" t="s">
        <v>646</v>
      </c>
      <c r="R19" t="s">
        <v>119</v>
      </c>
      <c r="S19" s="6" t="str">
        <f>INDEX(CaseType!$B:$B,MATCH($R19,CaseType!$A:$A,0))</f>
        <v>case_type1</v>
      </c>
      <c r="T19" s="6" t="b">
        <f>AND(IF($Z19="",TRUE,$R19=INDEX(CaseTypeCol!$B:$B,MATCH($Z19,CaseTypeCol!$A:$A,0))),IF($AG19="",TRUE,$R19=INDEX(CaseTypeCol!$B:$B,MATCH($AG19,CaseTypeCol!$A:$A,0))),IF($AN19="",TRUE,$R19=INDEX(CaseTypeCol!$B:$B,MATCH($AN19,CaseTypeCol!$A:$A,0))))</f>
        <v>1</v>
      </c>
      <c r="V19" t="s">
        <v>11</v>
      </c>
      <c r="W19" s="6" t="str">
        <f>INDEX(DataCollection!$B:$B,MATCH($V19,DataCollection!$A:$A,0))</f>
        <v>data_collection1</v>
      </c>
      <c r="Y19" s="14">
        <v>36526</v>
      </c>
      <c r="Z19" t="s">
        <v>142</v>
      </c>
      <c r="AA19" t="s">
        <v>665</v>
      </c>
      <c r="AB19" s="6" t="str">
        <f>IF($Z19="","",INDEX(CaseTypeCol!$G:$G,MATCH($Z19,CaseTypeCol!$A:$A,0)))</f>
        <v>case_type1_dim1_1_text</v>
      </c>
      <c r="AC19" s="6" t="b" cm="1">
        <f t="array" aca="1" ref="AC19" ca="1">IF($Z19="",TRUE,IF($I19="",FALSE,IF(INDIRECT("OrganizationAccessCasePolicy!J"&amp;$I19)="",FALSE,NOT(ISNA(MATCH(INDIRECT("OrganizationAccessCasePolicy!J"&amp;$I19)&amp;"|"&amp;$Z19,CaseTypeColSetMember!$H:$H,0))))))</f>
        <v>0</v>
      </c>
      <c r="AD19" s="6" t="b" cm="1">
        <f t="array" aca="1" ref="AD19" ca="1">IF($Z19="",TRUE,IF($I19="",FALSE,IF(INDIRECT("OrganizationAccessCasePolicy!L"&amp;$I19)="",FALSE,NOT(ISNA(MATCH(INDIRECT("OrganizationAccessCasePolicy!L"&amp;$I19)&amp;"|"&amp;$Z19,CaseTypeColSetMember!$H:$H,0))))))</f>
        <v>0</v>
      </c>
      <c r="AE19" s="6" t="b" cm="1">
        <f t="array" aca="1" ref="AE19" ca="1">IF($Z19="",TRUE,IF($M19="",FALSE,IF(INDIRECT("UserAccessCasePolicy!I"&amp;$M19)="",FALSE,NOT(ISNA(MATCH(INDIRECT("UserAccessCasePolicy!I"&amp;$M19)&amp;"|"&amp;$Z19,CaseTypeColSetMember!$H:$H,0))))))</f>
        <v>0</v>
      </c>
      <c r="AF19" s="6" t="b" cm="1">
        <f t="array" aca="1" ref="AF19" ca="1">IF($Z19="",TRUE,IF($M19="",FALSE,IF(INDIRECT("UserAccessCasePolicy!K"&amp;$M19)="",FALSE,NOT(ISNA(MATCH(INDIRECT("UserAccessCasePolicy!K"&amp;$M19)&amp;"|"&amp;$Z19,CaseTypeColSetMember!$H:$H,0))))))</f>
        <v>0</v>
      </c>
      <c r="AI19" s="6" t="str">
        <f>IF($AG19="","",INDEX(CaseTypeCol!$G:$G,MATCH($AG19,CaseTypeCol!$A:$A,0)))</f>
        <v/>
      </c>
      <c r="AJ19" s="6" t="b" cm="1">
        <f t="array" aca="1" ref="AJ19" ca="1">IF($AG19="",TRUE,IF($I19="",FALSE,IF(INDIRECT("OrganizationAccessCasePolicy!J"&amp;$I19)="",FALSE,NOT(ISNA(MATCH(INDIRECT("OrganizationAccessCasePolicy!J"&amp;$I19)&amp;"|"&amp;$AG19,CaseTypeColSetMember!$H:$H,0))))))</f>
        <v>1</v>
      </c>
      <c r="AK19" s="6" t="b" cm="1">
        <f t="array" aca="1" ref="AK19" ca="1">IF($AG19="",TRUE,IF($I19="",FALSE,IF(INDIRECT("OrganizationAccessCasePolicy!L"&amp;$I19)="",FALSE,NOT(ISNA(MATCH(INDIRECT("OrganizationAccessCasePolicy!L"&amp;$I19)&amp;"|"&amp;$AG19,CaseTypeColSetMember!$H:$H,0))))))</f>
        <v>1</v>
      </c>
      <c r="AL19" s="6" t="b" cm="1">
        <f t="array" aca="1" ref="AL19" ca="1">IF($AG19="",TRUE,IF($M19="",FALSE,IF(INDIRECT("UserAccessCasePolicy!I"&amp;$M19)="",FALSE,NOT(ISNA(MATCH(INDIRECT("UserAccessCasePolicy!I"&amp;$M19)&amp;"|"&amp;$AG19,CaseTypeColSetMember!$H:$H,0))))))</f>
        <v>1</v>
      </c>
      <c r="AM19" s="6" t="b" cm="1">
        <f t="array" aca="1" ref="AM19" ca="1">IF($AG19="",TRUE,IF($M19="",FALSE,IF(INDIRECT("UserAccessCasePolicy!K"&amp;$M19)="",FALSE,NOT(ISNA(MATCH(INDIRECT("UserAccessCasePolicy!K"&amp;$M19)&amp;"|"&amp;$AG19,CaseTypeColSetMember!$H:$H,0))))))</f>
        <v>1</v>
      </c>
      <c r="AP19" s="6" t="str">
        <f>IF($AN19="","",INDEX(CaseTypeCol!$G:$G,MATCH($AN19,CaseTypeCol!$A:$A,0)))</f>
        <v/>
      </c>
      <c r="AQ19" s="6" t="b" cm="1">
        <f t="array" aca="1" ref="AQ19" ca="1">IF($AN19="",TRUE,IF($I19="",FALSE,IF(INDIRECT("OrganizationAccessCasePolicy!J"&amp;$I19)="",FALSE,NOT(ISNA(MATCH(INDIRECT("OrganizationAccessCasePolicy!J"&amp;$I19)&amp;"|"&amp;$AN19,CaseTypeColSetMember!$H:$H,0))))))</f>
        <v>1</v>
      </c>
      <c r="AR19" s="6" t="b" cm="1">
        <f t="array" aca="1" ref="AR19" ca="1">IF($AN19="",TRUE,IF($I19="",FALSE,IF(INDIRECT("OrganizationAccessCasePolicy!L"&amp;$I19)="",FALSE,NOT(ISNA(MATCH(INDIRECT("OrganizationAccessCasePolicy!L"&amp;$I19)&amp;"|"&amp;$AN19,CaseTypeColSetMember!$H:$H,0))))))</f>
        <v>1</v>
      </c>
      <c r="AS19" s="6" t="b" cm="1">
        <f t="array" aca="1" ref="AS19" ca="1">IF($AN19="",TRUE,IF($M19="",FALSE,IF(INDIRECT("UserAccessCasePolicy!I"&amp;$M19)="",FALSE,NOT(ISNA(MATCH(INDIRECT("UserAccessCasePolicy!I"&amp;$M19)&amp;"|"&amp;$AN19,CaseTypeColSetMember!$H:$H,0))))))</f>
        <v>1</v>
      </c>
      <c r="AT19" s="6" t="b" cm="1">
        <f t="array" aca="1" ref="AT19" ca="1">IF($AN19="",TRUE,IF($M19="",FALSE,IF(INDIRECT("UserAccessCasePolicy!K"&amp;$M19)="",FALSE,NOT(ISNA(MATCH(INDIRECT("UserAccessCasePolicy!K"&amp;$M19)&amp;"|"&amp;$AN19,CaseTypeColSetMember!$H:$H,0))))))</f>
        <v>1</v>
      </c>
    </row>
    <row r="20" spans="1:46" x14ac:dyDescent="0.3">
      <c r="A20">
        <v>19</v>
      </c>
      <c r="B20" t="s">
        <v>621</v>
      </c>
      <c r="C20" t="s">
        <v>19</v>
      </c>
      <c r="D20" s="6" t="str">
        <f>INDEX(User!$C:$C,MATCH($C20,User!$A:$A,0))</f>
        <v>org_user2_3</v>
      </c>
      <c r="E20" t="s">
        <v>723</v>
      </c>
      <c r="F20" s="19" t="b">
        <f t="shared" ca="1" si="0"/>
        <v>0</v>
      </c>
      <c r="G20" s="6" t="str">
        <f>INDEX(User!$F:$F,MATCH($C20,User!$A:$A,0))</f>
        <v>0195d18c-1c92-0ed4-2e94-b4f66d82baf3</v>
      </c>
      <c r="H20" s="6" t="b">
        <f>INDEX(User!$L:$L,MATCH($C20,User!$A:$A,0))</f>
        <v>0</v>
      </c>
      <c r="I20" s="6" t="str">
        <f>IF(ISNA(MATCH($G20&amp;"|"&amp;$V20,OrganizationAccessCasePolicy!$V:$V,0)),"",MATCH($G20&amp;"|"&amp;$V20,OrganizationAccessCasePolicy!$V:$V,0))</f>
        <v/>
      </c>
      <c r="J20" s="6" t="b" cm="1">
        <f t="array" aca="1" ref="J20" ca="1">IF($I20="",FALSE,NOT(ISNA(MATCH(INDIRECT("OrganizationAccessCasePolicy!D"&amp;$I20)&amp;"|"&amp;$R20,CaseTypeSetMember!$H:$H,0))))</f>
        <v>0</v>
      </c>
      <c r="K20" s="6" t="b" cm="1">
        <f t="array" aca="1" ref="K20" ca="1">IF($I20="",FALSE,AND(INDIRECT("OrganizationAccessCasePolicy!H"&amp;$I20),NOT(ISNA(MATCH(INDIRECT("OrganizationAccessCasePolicy!D"&amp;$I20)&amp;"|"&amp;$R20,CaseTypeSetMember!$H:$H,0)))))</f>
        <v>0</v>
      </c>
      <c r="L20" s="6" t="b" cm="1">
        <f t="array" aca="1" ref="L20" ca="1">IF($I20="",FALSE,AND(INDIRECT("OrganizationAccessCasePolicy!I"&amp;$I20),NOT(ISNA(MATCH(INDIRECT("OrganizationAccessCasePolicy!D"&amp;$I20)&amp;"|"&amp;$R20,CaseTypeSetMember!$H:$H,0)))))</f>
        <v>0</v>
      </c>
      <c r="M20" s="6" t="str">
        <f>IF(ISNA(MATCH($C20&amp;"|"&amp;$V20,UserAccessCasePolicy!$W:$W,0)),"",MATCH($C20&amp;"|"&amp;$V20,UserAccessCasePolicy!$W:$W,0))</f>
        <v/>
      </c>
      <c r="N20" s="6" t="b" cm="1">
        <f t="array" aca="1" ref="N20" ca="1">IF($M20="",FALSE,NOT(ISNA(MATCH(INDIRECT("UserAccessCasePolicy!D"&amp;$M20)&amp;"|"&amp;$R20,CaseTypeSetMember!$H:$H,0))))</f>
        <v>0</v>
      </c>
      <c r="O20" s="6" t="b" cm="1">
        <f t="array" aca="1" ref="O20" ca="1">IF($M20="",FALSE,AND(INDIRECT("UserAccessCasePolicy!G"&amp;$M20),NOT(ISNA(MATCH(INDIRECT("UserAccessCasePolicy!D"&amp;$M20)&amp;"|"&amp;$R20,CaseTypeSetMember!$H:$H,0)))))</f>
        <v>0</v>
      </c>
      <c r="P20" s="6" t="b" cm="1">
        <f t="array" aca="1" ref="P20" ca="1">IF($M20="",FALSE,AND(INDIRECT("UserAccessCasePolicy!H"&amp;$M20),NOT(ISNA(MATCH(INDIRECT("UserAccessCasePolicy!D"&amp;$M20)&amp;"|"&amp;$R20,CaseTypeSetMember!$H:$H,0)))))</f>
        <v>0</v>
      </c>
      <c r="Q20" t="s">
        <v>647</v>
      </c>
      <c r="R20" t="s">
        <v>119</v>
      </c>
      <c r="S20" s="6" t="str">
        <f>INDEX(CaseType!$B:$B,MATCH($R20,CaseType!$A:$A,0))</f>
        <v>case_type1</v>
      </c>
      <c r="T20" s="6" t="b">
        <f>AND(IF($Z20="",TRUE,$R20=INDEX(CaseTypeCol!$B:$B,MATCH($Z20,CaseTypeCol!$A:$A,0))),IF($AG20="",TRUE,$R20=INDEX(CaseTypeCol!$B:$B,MATCH($AG20,CaseTypeCol!$A:$A,0))),IF($AN20="",TRUE,$R20=INDEX(CaseTypeCol!$B:$B,MATCH($AN20,CaseTypeCol!$A:$A,0))))</f>
        <v>1</v>
      </c>
      <c r="V20" t="s">
        <v>11</v>
      </c>
      <c r="W20" s="6" t="str">
        <f>INDEX(DataCollection!$B:$B,MATCH($V20,DataCollection!$A:$A,0))</f>
        <v>data_collection1</v>
      </c>
      <c r="Y20" s="14">
        <v>36526</v>
      </c>
      <c r="Z20" t="s">
        <v>142</v>
      </c>
      <c r="AA20" t="s">
        <v>665</v>
      </c>
      <c r="AB20" s="6" t="str">
        <f>IF($Z20="","",INDEX(CaseTypeCol!$G:$G,MATCH($Z20,CaseTypeCol!$A:$A,0)))</f>
        <v>case_type1_dim1_1_text</v>
      </c>
      <c r="AC20" s="6" t="b" cm="1">
        <f t="array" aca="1" ref="AC20" ca="1">IF($Z20="",TRUE,IF($I20="",FALSE,IF(INDIRECT("OrganizationAccessCasePolicy!J"&amp;$I20)="",FALSE,NOT(ISNA(MATCH(INDIRECT("OrganizationAccessCasePolicy!J"&amp;$I20)&amp;"|"&amp;$Z20,CaseTypeColSetMember!$H:$H,0))))))</f>
        <v>0</v>
      </c>
      <c r="AD20" s="6" t="b" cm="1">
        <f t="array" aca="1" ref="AD20" ca="1">IF($Z20="",TRUE,IF($I20="",FALSE,IF(INDIRECT("OrganizationAccessCasePolicy!L"&amp;$I20)="",FALSE,NOT(ISNA(MATCH(INDIRECT("OrganizationAccessCasePolicy!L"&amp;$I20)&amp;"|"&amp;$Z20,CaseTypeColSetMember!$H:$H,0))))))</f>
        <v>0</v>
      </c>
      <c r="AE20" s="6" t="b" cm="1">
        <f t="array" aca="1" ref="AE20" ca="1">IF($Z20="",TRUE,IF($M20="",FALSE,IF(INDIRECT("UserAccessCasePolicy!I"&amp;$M20)="",FALSE,NOT(ISNA(MATCH(INDIRECT("UserAccessCasePolicy!I"&amp;$M20)&amp;"|"&amp;$Z20,CaseTypeColSetMember!$H:$H,0))))))</f>
        <v>0</v>
      </c>
      <c r="AF20" s="6" t="b" cm="1">
        <f t="array" aca="1" ref="AF20" ca="1">IF($Z20="",TRUE,IF($M20="",FALSE,IF(INDIRECT("UserAccessCasePolicy!K"&amp;$M20)="",FALSE,NOT(ISNA(MATCH(INDIRECT("UserAccessCasePolicy!K"&amp;$M20)&amp;"|"&amp;$Z20,CaseTypeColSetMember!$H:$H,0))))))</f>
        <v>0</v>
      </c>
      <c r="AI20" s="6" t="str">
        <f>IF($AG20="","",INDEX(CaseTypeCol!$G:$G,MATCH($AG20,CaseTypeCol!$A:$A,0)))</f>
        <v/>
      </c>
      <c r="AJ20" s="6" t="b" cm="1">
        <f t="array" aca="1" ref="AJ20" ca="1">IF($AG20="",TRUE,IF($I20="",FALSE,IF(INDIRECT("OrganizationAccessCasePolicy!J"&amp;$I20)="",FALSE,NOT(ISNA(MATCH(INDIRECT("OrganizationAccessCasePolicy!J"&amp;$I20)&amp;"|"&amp;$AG20,CaseTypeColSetMember!$H:$H,0))))))</f>
        <v>1</v>
      </c>
      <c r="AK20" s="6" t="b" cm="1">
        <f t="array" aca="1" ref="AK20" ca="1">IF($AG20="",TRUE,IF($I20="",FALSE,IF(INDIRECT("OrganizationAccessCasePolicy!L"&amp;$I20)="",FALSE,NOT(ISNA(MATCH(INDIRECT("OrganizationAccessCasePolicy!L"&amp;$I20)&amp;"|"&amp;$AG20,CaseTypeColSetMember!$H:$H,0))))))</f>
        <v>1</v>
      </c>
      <c r="AL20" s="6" t="b" cm="1">
        <f t="array" aca="1" ref="AL20" ca="1">IF($AG20="",TRUE,IF($M20="",FALSE,IF(INDIRECT("UserAccessCasePolicy!I"&amp;$M20)="",FALSE,NOT(ISNA(MATCH(INDIRECT("UserAccessCasePolicy!I"&amp;$M20)&amp;"|"&amp;$AG20,CaseTypeColSetMember!$H:$H,0))))))</f>
        <v>1</v>
      </c>
      <c r="AM20" s="6" t="b" cm="1">
        <f t="array" aca="1" ref="AM20" ca="1">IF($AG20="",TRUE,IF($M20="",FALSE,IF(INDIRECT("UserAccessCasePolicy!K"&amp;$M20)="",FALSE,NOT(ISNA(MATCH(INDIRECT("UserAccessCasePolicy!K"&amp;$M20)&amp;"|"&amp;$AG20,CaseTypeColSetMember!$H:$H,0))))))</f>
        <v>1</v>
      </c>
      <c r="AP20" s="6" t="str">
        <f>IF($AN20="","",INDEX(CaseTypeCol!$G:$G,MATCH($AN20,CaseTypeCol!$A:$A,0)))</f>
        <v/>
      </c>
      <c r="AQ20" s="6" t="b" cm="1">
        <f t="array" aca="1" ref="AQ20" ca="1">IF($AN20="",TRUE,IF($I20="",FALSE,IF(INDIRECT("OrganizationAccessCasePolicy!J"&amp;$I20)="",FALSE,NOT(ISNA(MATCH(INDIRECT("OrganizationAccessCasePolicy!J"&amp;$I20)&amp;"|"&amp;$AN20,CaseTypeColSetMember!$H:$H,0))))))</f>
        <v>1</v>
      </c>
      <c r="AR20" s="6" t="b" cm="1">
        <f t="array" aca="1" ref="AR20" ca="1">IF($AN20="",TRUE,IF($I20="",FALSE,IF(INDIRECT("OrganizationAccessCasePolicy!L"&amp;$I20)="",FALSE,NOT(ISNA(MATCH(INDIRECT("OrganizationAccessCasePolicy!L"&amp;$I20)&amp;"|"&amp;$AN20,CaseTypeColSetMember!$H:$H,0))))))</f>
        <v>1</v>
      </c>
      <c r="AS20" s="6" t="b" cm="1">
        <f t="array" aca="1" ref="AS20" ca="1">IF($AN20="",TRUE,IF($M20="",FALSE,IF(INDIRECT("UserAccessCasePolicy!I"&amp;$M20)="",FALSE,NOT(ISNA(MATCH(INDIRECT("UserAccessCasePolicy!I"&amp;$M20)&amp;"|"&amp;$AN20,CaseTypeColSetMember!$H:$H,0))))))</f>
        <v>1</v>
      </c>
      <c r="AT20" s="6" t="b" cm="1">
        <f t="array" aca="1" ref="AT20" ca="1">IF($AN20="",TRUE,IF($M20="",FALSE,IF(INDIRECT("UserAccessCasePolicy!K"&amp;$M20)="",FALSE,NOT(ISNA(MATCH(INDIRECT("UserAccessCasePolicy!K"&amp;$M20)&amp;"|"&amp;$AN20,CaseTypeColSetMember!$H:$H,0))))))</f>
        <v>1</v>
      </c>
    </row>
    <row r="21" spans="1:46" x14ac:dyDescent="0.3">
      <c r="A21">
        <v>20</v>
      </c>
      <c r="B21" t="s">
        <v>622</v>
      </c>
      <c r="C21" t="s">
        <v>20</v>
      </c>
      <c r="D21" s="6" t="str">
        <f>INDEX(User!$C:$C,MATCH($C21,User!$A:$A,0))</f>
        <v>org_user2_4</v>
      </c>
      <c r="E21" t="s">
        <v>723</v>
      </c>
      <c r="F21" s="19" t="b">
        <f t="shared" ca="1" si="0"/>
        <v>0</v>
      </c>
      <c r="G21" s="6" t="str">
        <f>INDEX(User!$F:$F,MATCH($C21,User!$A:$A,0))</f>
        <v>0195d18c-1c92-0ed4-2e94-b4f66d82baf3</v>
      </c>
      <c r="H21" s="6" t="b">
        <f>INDEX(User!$L:$L,MATCH($C21,User!$A:$A,0))</f>
        <v>0</v>
      </c>
      <c r="I21" s="6" t="str">
        <f>IF(ISNA(MATCH($G21&amp;"|"&amp;$V21,OrganizationAccessCasePolicy!$V:$V,0)),"",MATCH($G21&amp;"|"&amp;$V21,OrganizationAccessCasePolicy!$V:$V,0))</f>
        <v/>
      </c>
      <c r="J21" s="6" t="b" cm="1">
        <f t="array" aca="1" ref="J21" ca="1">IF($I21="",FALSE,NOT(ISNA(MATCH(INDIRECT("OrganizationAccessCasePolicy!D"&amp;$I21)&amp;"|"&amp;$R21,CaseTypeSetMember!$H:$H,0))))</f>
        <v>0</v>
      </c>
      <c r="K21" s="6" t="b" cm="1">
        <f t="array" aca="1" ref="K21" ca="1">IF($I21="",FALSE,AND(INDIRECT("OrganizationAccessCasePolicy!H"&amp;$I21),NOT(ISNA(MATCH(INDIRECT("OrganizationAccessCasePolicy!D"&amp;$I21)&amp;"|"&amp;$R21,CaseTypeSetMember!$H:$H,0)))))</f>
        <v>0</v>
      </c>
      <c r="L21" s="6" t="b" cm="1">
        <f t="array" aca="1" ref="L21" ca="1">IF($I21="",FALSE,AND(INDIRECT("OrganizationAccessCasePolicy!I"&amp;$I21),NOT(ISNA(MATCH(INDIRECT("OrganizationAccessCasePolicy!D"&amp;$I21)&amp;"|"&amp;$R21,CaseTypeSetMember!$H:$H,0)))))</f>
        <v>0</v>
      </c>
      <c r="M21" s="6" t="str">
        <f>IF(ISNA(MATCH($C21&amp;"|"&amp;$V21,UserAccessCasePolicy!$W:$W,0)),"",MATCH($C21&amp;"|"&amp;$V21,UserAccessCasePolicy!$W:$W,0))</f>
        <v/>
      </c>
      <c r="N21" s="6" t="b" cm="1">
        <f t="array" aca="1" ref="N21" ca="1">IF($M21="",FALSE,NOT(ISNA(MATCH(INDIRECT("UserAccessCasePolicy!D"&amp;$M21)&amp;"|"&amp;$R21,CaseTypeSetMember!$H:$H,0))))</f>
        <v>0</v>
      </c>
      <c r="O21" s="6" t="b" cm="1">
        <f t="array" aca="1" ref="O21" ca="1">IF($M21="",FALSE,AND(INDIRECT("UserAccessCasePolicy!G"&amp;$M21),NOT(ISNA(MATCH(INDIRECT("UserAccessCasePolicy!D"&amp;$M21)&amp;"|"&amp;$R21,CaseTypeSetMember!$H:$H,0)))))</f>
        <v>0</v>
      </c>
      <c r="P21" s="6" t="b" cm="1">
        <f t="array" aca="1" ref="P21" ca="1">IF($M21="",FALSE,AND(INDIRECT("UserAccessCasePolicy!H"&amp;$M21),NOT(ISNA(MATCH(INDIRECT("UserAccessCasePolicy!D"&amp;$M21)&amp;"|"&amp;$R21,CaseTypeSetMember!$H:$H,0)))))</f>
        <v>0</v>
      </c>
      <c r="Q21" t="s">
        <v>648</v>
      </c>
      <c r="R21" t="s">
        <v>119</v>
      </c>
      <c r="S21" s="6" t="str">
        <f>INDEX(CaseType!$B:$B,MATCH($R21,CaseType!$A:$A,0))</f>
        <v>case_type1</v>
      </c>
      <c r="T21" s="6" t="b">
        <f>AND(IF($Z21="",TRUE,$R21=INDEX(CaseTypeCol!$B:$B,MATCH($Z21,CaseTypeCol!$A:$A,0))),IF($AG21="",TRUE,$R21=INDEX(CaseTypeCol!$B:$B,MATCH($AG21,CaseTypeCol!$A:$A,0))),IF($AN21="",TRUE,$R21=INDEX(CaseTypeCol!$B:$B,MATCH($AN21,CaseTypeCol!$A:$A,0))))</f>
        <v>1</v>
      </c>
      <c r="V21" t="s">
        <v>11</v>
      </c>
      <c r="W21" s="6" t="str">
        <f>INDEX(DataCollection!$B:$B,MATCH($V21,DataCollection!$A:$A,0))</f>
        <v>data_collection1</v>
      </c>
      <c r="Y21" s="14">
        <v>36526</v>
      </c>
      <c r="Z21" t="s">
        <v>142</v>
      </c>
      <c r="AA21" t="s">
        <v>665</v>
      </c>
      <c r="AB21" s="6" t="str">
        <f>IF($Z21="","",INDEX(CaseTypeCol!$G:$G,MATCH($Z21,CaseTypeCol!$A:$A,0)))</f>
        <v>case_type1_dim1_1_text</v>
      </c>
      <c r="AC21" s="6" t="b" cm="1">
        <f t="array" aca="1" ref="AC21" ca="1">IF($Z21="",TRUE,IF($I21="",FALSE,IF(INDIRECT("OrganizationAccessCasePolicy!J"&amp;$I21)="",FALSE,NOT(ISNA(MATCH(INDIRECT("OrganizationAccessCasePolicy!J"&amp;$I21)&amp;"|"&amp;$Z21,CaseTypeColSetMember!$H:$H,0))))))</f>
        <v>0</v>
      </c>
      <c r="AD21" s="6" t="b" cm="1">
        <f t="array" aca="1" ref="AD21" ca="1">IF($Z21="",TRUE,IF($I21="",FALSE,IF(INDIRECT("OrganizationAccessCasePolicy!L"&amp;$I21)="",FALSE,NOT(ISNA(MATCH(INDIRECT("OrganizationAccessCasePolicy!L"&amp;$I21)&amp;"|"&amp;$Z21,CaseTypeColSetMember!$H:$H,0))))))</f>
        <v>0</v>
      </c>
      <c r="AE21" s="6" t="b" cm="1">
        <f t="array" aca="1" ref="AE21" ca="1">IF($Z21="",TRUE,IF($M21="",FALSE,IF(INDIRECT("UserAccessCasePolicy!I"&amp;$M21)="",FALSE,NOT(ISNA(MATCH(INDIRECT("UserAccessCasePolicy!I"&amp;$M21)&amp;"|"&amp;$Z21,CaseTypeColSetMember!$H:$H,0))))))</f>
        <v>0</v>
      </c>
      <c r="AF21" s="6" t="b" cm="1">
        <f t="array" aca="1" ref="AF21" ca="1">IF($Z21="",TRUE,IF($M21="",FALSE,IF(INDIRECT("UserAccessCasePolicy!K"&amp;$M21)="",FALSE,NOT(ISNA(MATCH(INDIRECT("UserAccessCasePolicy!K"&amp;$M21)&amp;"|"&amp;$Z21,CaseTypeColSetMember!$H:$H,0))))))</f>
        <v>0</v>
      </c>
      <c r="AI21" s="6" t="str">
        <f>IF($AG21="","",INDEX(CaseTypeCol!$G:$G,MATCH($AG21,CaseTypeCol!$A:$A,0)))</f>
        <v/>
      </c>
      <c r="AJ21" s="6" t="b" cm="1">
        <f t="array" aca="1" ref="AJ21" ca="1">IF($AG21="",TRUE,IF($I21="",FALSE,IF(INDIRECT("OrganizationAccessCasePolicy!J"&amp;$I21)="",FALSE,NOT(ISNA(MATCH(INDIRECT("OrganizationAccessCasePolicy!J"&amp;$I21)&amp;"|"&amp;$AG21,CaseTypeColSetMember!$H:$H,0))))))</f>
        <v>1</v>
      </c>
      <c r="AK21" s="6" t="b" cm="1">
        <f t="array" aca="1" ref="AK21" ca="1">IF($AG21="",TRUE,IF($I21="",FALSE,IF(INDIRECT("OrganizationAccessCasePolicy!L"&amp;$I21)="",FALSE,NOT(ISNA(MATCH(INDIRECT("OrganizationAccessCasePolicy!L"&amp;$I21)&amp;"|"&amp;$AG21,CaseTypeColSetMember!$H:$H,0))))))</f>
        <v>1</v>
      </c>
      <c r="AL21" s="6" t="b" cm="1">
        <f t="array" aca="1" ref="AL21" ca="1">IF($AG21="",TRUE,IF($M21="",FALSE,IF(INDIRECT("UserAccessCasePolicy!I"&amp;$M21)="",FALSE,NOT(ISNA(MATCH(INDIRECT("UserAccessCasePolicy!I"&amp;$M21)&amp;"|"&amp;$AG21,CaseTypeColSetMember!$H:$H,0))))))</f>
        <v>1</v>
      </c>
      <c r="AM21" s="6" t="b" cm="1">
        <f t="array" aca="1" ref="AM21" ca="1">IF($AG21="",TRUE,IF($M21="",FALSE,IF(INDIRECT("UserAccessCasePolicy!K"&amp;$M21)="",FALSE,NOT(ISNA(MATCH(INDIRECT("UserAccessCasePolicy!K"&amp;$M21)&amp;"|"&amp;$AG21,CaseTypeColSetMember!$H:$H,0))))))</f>
        <v>1</v>
      </c>
      <c r="AP21" s="6" t="str">
        <f>IF($AN21="","",INDEX(CaseTypeCol!$G:$G,MATCH($AN21,CaseTypeCol!$A:$A,0)))</f>
        <v/>
      </c>
      <c r="AQ21" s="6" t="b" cm="1">
        <f t="array" aca="1" ref="AQ21" ca="1">IF($AN21="",TRUE,IF($I21="",FALSE,IF(INDIRECT("OrganizationAccessCasePolicy!J"&amp;$I21)="",FALSE,NOT(ISNA(MATCH(INDIRECT("OrganizationAccessCasePolicy!J"&amp;$I21)&amp;"|"&amp;$AN21,CaseTypeColSetMember!$H:$H,0))))))</f>
        <v>1</v>
      </c>
      <c r="AR21" s="6" t="b" cm="1">
        <f t="array" aca="1" ref="AR21" ca="1">IF($AN21="",TRUE,IF($I21="",FALSE,IF(INDIRECT("OrganizationAccessCasePolicy!L"&amp;$I21)="",FALSE,NOT(ISNA(MATCH(INDIRECT("OrganizationAccessCasePolicy!L"&amp;$I21)&amp;"|"&amp;$AN21,CaseTypeColSetMember!$H:$H,0))))))</f>
        <v>1</v>
      </c>
      <c r="AS21" s="6" t="b" cm="1">
        <f t="array" aca="1" ref="AS21" ca="1">IF($AN21="",TRUE,IF($M21="",FALSE,IF(INDIRECT("UserAccessCasePolicy!I"&amp;$M21)="",FALSE,NOT(ISNA(MATCH(INDIRECT("UserAccessCasePolicy!I"&amp;$M21)&amp;"|"&amp;$AN21,CaseTypeColSetMember!$H:$H,0))))))</f>
        <v>1</v>
      </c>
      <c r="AT21" s="6" t="b" cm="1">
        <f t="array" aca="1" ref="AT21" ca="1">IF($AN21="",TRUE,IF($M21="",FALSE,IF(INDIRECT("UserAccessCasePolicy!K"&amp;$M21)="",FALSE,NOT(ISNA(MATCH(INDIRECT("UserAccessCasePolicy!K"&amp;$M21)&amp;"|"&amp;$AN21,CaseTypeColSetMember!$H:$H,0))))))</f>
        <v>1</v>
      </c>
    </row>
    <row r="22" spans="1:46" x14ac:dyDescent="0.3">
      <c r="A22">
        <v>21</v>
      </c>
      <c r="B22" t="s">
        <v>623</v>
      </c>
      <c r="C22" t="s">
        <v>22</v>
      </c>
      <c r="D22" s="6" t="str">
        <f>INDEX(User!$C:$C,MATCH($C22,User!$A:$A,0))</f>
        <v>org_user3_1</v>
      </c>
      <c r="E22" t="s">
        <v>723</v>
      </c>
      <c r="F22" s="19" t="b">
        <f t="shared" ca="1" si="0"/>
        <v>0</v>
      </c>
      <c r="G22" s="6" t="str">
        <f>INDEX(User!$F:$F,MATCH($C22,User!$A:$A,0))</f>
        <v>0195d18c-1c92-52b3-93e0-43dc1f2aa037</v>
      </c>
      <c r="H22" s="6" t="b">
        <f>INDEX(User!$L:$L,MATCH($C22,User!$A:$A,0))</f>
        <v>0</v>
      </c>
      <c r="I22" s="6" t="str">
        <f>IF(ISNA(MATCH($G22&amp;"|"&amp;$V22,OrganizationAccessCasePolicy!$V:$V,0)),"",MATCH($G22&amp;"|"&amp;$V22,OrganizationAccessCasePolicy!$V:$V,0))</f>
        <v/>
      </c>
      <c r="J22" s="6" t="b" cm="1">
        <f t="array" aca="1" ref="J22" ca="1">IF($I22="",FALSE,NOT(ISNA(MATCH(INDIRECT("OrganizationAccessCasePolicy!D"&amp;$I22)&amp;"|"&amp;$R22,CaseTypeSetMember!$H:$H,0))))</f>
        <v>0</v>
      </c>
      <c r="K22" s="6" t="b" cm="1">
        <f t="array" aca="1" ref="K22" ca="1">IF($I22="",FALSE,AND(INDIRECT("OrganizationAccessCasePolicy!H"&amp;$I22),NOT(ISNA(MATCH(INDIRECT("OrganizationAccessCasePolicy!D"&amp;$I22)&amp;"|"&amp;$R22,CaseTypeSetMember!$H:$H,0)))))</f>
        <v>0</v>
      </c>
      <c r="L22" s="6" t="b" cm="1">
        <f t="array" aca="1" ref="L22" ca="1">IF($I22="",FALSE,AND(INDIRECT("OrganizationAccessCasePolicy!I"&amp;$I22),NOT(ISNA(MATCH(INDIRECT("OrganizationAccessCasePolicy!D"&amp;$I22)&amp;"|"&amp;$R22,CaseTypeSetMember!$H:$H,0)))))</f>
        <v>0</v>
      </c>
      <c r="M22" s="6" t="str">
        <f>IF(ISNA(MATCH($C22&amp;"|"&amp;$V22,UserAccessCasePolicy!$W:$W,0)),"",MATCH($C22&amp;"|"&amp;$V22,UserAccessCasePolicy!$W:$W,0))</f>
        <v/>
      </c>
      <c r="N22" s="6" t="b" cm="1">
        <f t="array" aca="1" ref="N22" ca="1">IF($M22="",FALSE,NOT(ISNA(MATCH(INDIRECT("UserAccessCasePolicy!D"&amp;$M22)&amp;"|"&amp;$R22,CaseTypeSetMember!$H:$H,0))))</f>
        <v>0</v>
      </c>
      <c r="O22" s="6" t="b" cm="1">
        <f t="array" aca="1" ref="O22" ca="1">IF($M22="",FALSE,AND(INDIRECT("UserAccessCasePolicy!G"&amp;$M22),NOT(ISNA(MATCH(INDIRECT("UserAccessCasePolicy!D"&amp;$M22)&amp;"|"&amp;$R22,CaseTypeSetMember!$H:$H,0)))))</f>
        <v>0</v>
      </c>
      <c r="P22" s="6" t="b" cm="1">
        <f t="array" aca="1" ref="P22" ca="1">IF($M22="",FALSE,AND(INDIRECT("UserAccessCasePolicy!H"&amp;$M22),NOT(ISNA(MATCH(INDIRECT("UserAccessCasePolicy!D"&amp;$M22)&amp;"|"&amp;$R22,CaseTypeSetMember!$H:$H,0)))))</f>
        <v>0</v>
      </c>
      <c r="Q22" t="s">
        <v>649</v>
      </c>
      <c r="R22" t="s">
        <v>119</v>
      </c>
      <c r="S22" s="6" t="str">
        <f>INDEX(CaseType!$B:$B,MATCH($R22,CaseType!$A:$A,0))</f>
        <v>case_type1</v>
      </c>
      <c r="T22" s="6" t="b">
        <f>AND(IF($Z22="",TRUE,$R22=INDEX(CaseTypeCol!$B:$B,MATCH($Z22,CaseTypeCol!$A:$A,0))),IF($AG22="",TRUE,$R22=INDEX(CaseTypeCol!$B:$B,MATCH($AG22,CaseTypeCol!$A:$A,0))),IF($AN22="",TRUE,$R22=INDEX(CaseTypeCol!$B:$B,MATCH($AN22,CaseTypeCol!$A:$A,0))))</f>
        <v>1</v>
      </c>
      <c r="V22" t="s">
        <v>11</v>
      </c>
      <c r="W22" s="6" t="str">
        <f>INDEX(DataCollection!$B:$B,MATCH($V22,DataCollection!$A:$A,0))</f>
        <v>data_collection1</v>
      </c>
      <c r="Y22" s="14">
        <v>36526</v>
      </c>
      <c r="Z22" t="s">
        <v>142</v>
      </c>
      <c r="AA22" t="s">
        <v>665</v>
      </c>
      <c r="AB22" s="6" t="str">
        <f>IF($Z22="","",INDEX(CaseTypeCol!$G:$G,MATCH($Z22,CaseTypeCol!$A:$A,0)))</f>
        <v>case_type1_dim1_1_text</v>
      </c>
      <c r="AC22" s="6" t="b" cm="1">
        <f t="array" aca="1" ref="AC22" ca="1">IF($Z22="",TRUE,IF($I22="",FALSE,IF(INDIRECT("OrganizationAccessCasePolicy!J"&amp;$I22)="",FALSE,NOT(ISNA(MATCH(INDIRECT("OrganizationAccessCasePolicy!J"&amp;$I22)&amp;"|"&amp;$Z22,CaseTypeColSetMember!$H:$H,0))))))</f>
        <v>0</v>
      </c>
      <c r="AD22" s="6" t="b" cm="1">
        <f t="array" aca="1" ref="AD22" ca="1">IF($Z22="",TRUE,IF($I22="",FALSE,IF(INDIRECT("OrganizationAccessCasePolicy!L"&amp;$I22)="",FALSE,NOT(ISNA(MATCH(INDIRECT("OrganizationAccessCasePolicy!L"&amp;$I22)&amp;"|"&amp;$Z22,CaseTypeColSetMember!$H:$H,0))))))</f>
        <v>0</v>
      </c>
      <c r="AE22" s="6" t="b" cm="1">
        <f t="array" aca="1" ref="AE22" ca="1">IF($Z22="",TRUE,IF($M22="",FALSE,IF(INDIRECT("UserAccessCasePolicy!I"&amp;$M22)="",FALSE,NOT(ISNA(MATCH(INDIRECT("UserAccessCasePolicy!I"&amp;$M22)&amp;"|"&amp;$Z22,CaseTypeColSetMember!$H:$H,0))))))</f>
        <v>0</v>
      </c>
      <c r="AF22" s="6" t="b" cm="1">
        <f t="array" aca="1" ref="AF22" ca="1">IF($Z22="",TRUE,IF($M22="",FALSE,IF(INDIRECT("UserAccessCasePolicy!K"&amp;$M22)="",FALSE,NOT(ISNA(MATCH(INDIRECT("UserAccessCasePolicy!K"&amp;$M22)&amp;"|"&amp;$Z22,CaseTypeColSetMember!$H:$H,0))))))</f>
        <v>0</v>
      </c>
      <c r="AI22" s="6" t="str">
        <f>IF($AG22="","",INDEX(CaseTypeCol!$G:$G,MATCH($AG22,CaseTypeCol!$A:$A,0)))</f>
        <v/>
      </c>
      <c r="AJ22" s="6" t="b" cm="1">
        <f t="array" aca="1" ref="AJ22" ca="1">IF($AG22="",TRUE,IF($I22="",FALSE,IF(INDIRECT("OrganizationAccessCasePolicy!J"&amp;$I22)="",FALSE,NOT(ISNA(MATCH(INDIRECT("OrganizationAccessCasePolicy!J"&amp;$I22)&amp;"|"&amp;$AG22,CaseTypeColSetMember!$H:$H,0))))))</f>
        <v>1</v>
      </c>
      <c r="AK22" s="6" t="b" cm="1">
        <f t="array" aca="1" ref="AK22" ca="1">IF($AG22="",TRUE,IF($I22="",FALSE,IF(INDIRECT("OrganizationAccessCasePolicy!L"&amp;$I22)="",FALSE,NOT(ISNA(MATCH(INDIRECT("OrganizationAccessCasePolicy!L"&amp;$I22)&amp;"|"&amp;$AG22,CaseTypeColSetMember!$H:$H,0))))))</f>
        <v>1</v>
      </c>
      <c r="AL22" s="6" t="b" cm="1">
        <f t="array" aca="1" ref="AL22" ca="1">IF($AG22="",TRUE,IF($M22="",FALSE,IF(INDIRECT("UserAccessCasePolicy!I"&amp;$M22)="",FALSE,NOT(ISNA(MATCH(INDIRECT("UserAccessCasePolicy!I"&amp;$M22)&amp;"|"&amp;$AG22,CaseTypeColSetMember!$H:$H,0))))))</f>
        <v>1</v>
      </c>
      <c r="AM22" s="6" t="b" cm="1">
        <f t="array" aca="1" ref="AM22" ca="1">IF($AG22="",TRUE,IF($M22="",FALSE,IF(INDIRECT("UserAccessCasePolicy!K"&amp;$M22)="",FALSE,NOT(ISNA(MATCH(INDIRECT("UserAccessCasePolicy!K"&amp;$M22)&amp;"|"&amp;$AG22,CaseTypeColSetMember!$H:$H,0))))))</f>
        <v>1</v>
      </c>
      <c r="AP22" s="6" t="str">
        <f>IF($AN22="","",INDEX(CaseTypeCol!$G:$G,MATCH($AN22,CaseTypeCol!$A:$A,0)))</f>
        <v/>
      </c>
      <c r="AQ22" s="6" t="b" cm="1">
        <f t="array" aca="1" ref="AQ22" ca="1">IF($AN22="",TRUE,IF($I22="",FALSE,IF(INDIRECT("OrganizationAccessCasePolicy!J"&amp;$I22)="",FALSE,NOT(ISNA(MATCH(INDIRECT("OrganizationAccessCasePolicy!J"&amp;$I22)&amp;"|"&amp;$AN22,CaseTypeColSetMember!$H:$H,0))))))</f>
        <v>1</v>
      </c>
      <c r="AR22" s="6" t="b" cm="1">
        <f t="array" aca="1" ref="AR22" ca="1">IF($AN22="",TRUE,IF($I22="",FALSE,IF(INDIRECT("OrganizationAccessCasePolicy!L"&amp;$I22)="",FALSE,NOT(ISNA(MATCH(INDIRECT("OrganizationAccessCasePolicy!L"&amp;$I22)&amp;"|"&amp;$AN22,CaseTypeColSetMember!$H:$H,0))))))</f>
        <v>1</v>
      </c>
      <c r="AS22" s="6" t="b" cm="1">
        <f t="array" aca="1" ref="AS22" ca="1">IF($AN22="",TRUE,IF($M22="",FALSE,IF(INDIRECT("UserAccessCasePolicy!I"&amp;$M22)="",FALSE,NOT(ISNA(MATCH(INDIRECT("UserAccessCasePolicy!I"&amp;$M22)&amp;"|"&amp;$AN22,CaseTypeColSetMember!$H:$H,0))))))</f>
        <v>1</v>
      </c>
      <c r="AT22" s="6" t="b" cm="1">
        <f t="array" aca="1" ref="AT22" ca="1">IF($AN22="",TRUE,IF($M22="",FALSE,IF(INDIRECT("UserAccessCasePolicy!K"&amp;$M22)="",FALSE,NOT(ISNA(MATCH(INDIRECT("UserAccessCasePolicy!K"&amp;$M22)&amp;"|"&amp;$AN22,CaseTypeColSetMember!$H:$H,0))))))</f>
        <v>1</v>
      </c>
    </row>
    <row r="23" spans="1:46" x14ac:dyDescent="0.3">
      <c r="A23">
        <v>22</v>
      </c>
      <c r="B23" t="s">
        <v>624</v>
      </c>
      <c r="C23" t="s">
        <v>24</v>
      </c>
      <c r="D23" s="6" t="str">
        <f>INDEX(User!$C:$C,MATCH($C23,User!$A:$A,0))</f>
        <v>org_user3_2</v>
      </c>
      <c r="E23" t="s">
        <v>723</v>
      </c>
      <c r="F23" s="19" t="b">
        <f t="shared" ca="1" si="0"/>
        <v>0</v>
      </c>
      <c r="G23" s="6" t="str">
        <f>INDEX(User!$F:$F,MATCH($C23,User!$A:$A,0))</f>
        <v>0195d18c-1c92-52b3-93e0-43dc1f2aa037</v>
      </c>
      <c r="H23" s="6" t="b">
        <f>INDEX(User!$L:$L,MATCH($C23,User!$A:$A,0))</f>
        <v>0</v>
      </c>
      <c r="I23" s="6" t="str">
        <f>IF(ISNA(MATCH($G23&amp;"|"&amp;$V23,OrganizationAccessCasePolicy!$V:$V,0)),"",MATCH($G23&amp;"|"&amp;$V23,OrganizationAccessCasePolicy!$V:$V,0))</f>
        <v/>
      </c>
      <c r="J23" s="6" t="b" cm="1">
        <f t="array" aca="1" ref="J23" ca="1">IF($I23="",FALSE,NOT(ISNA(MATCH(INDIRECT("OrganizationAccessCasePolicy!D"&amp;$I23)&amp;"|"&amp;$R23,CaseTypeSetMember!$H:$H,0))))</f>
        <v>0</v>
      </c>
      <c r="K23" s="6" t="b" cm="1">
        <f t="array" aca="1" ref="K23" ca="1">IF($I23="",FALSE,AND(INDIRECT("OrganizationAccessCasePolicy!H"&amp;$I23),NOT(ISNA(MATCH(INDIRECT("OrganizationAccessCasePolicy!D"&amp;$I23)&amp;"|"&amp;$R23,CaseTypeSetMember!$H:$H,0)))))</f>
        <v>0</v>
      </c>
      <c r="L23" s="6" t="b" cm="1">
        <f t="array" aca="1" ref="L23" ca="1">IF($I23="",FALSE,AND(INDIRECT("OrganizationAccessCasePolicy!I"&amp;$I23),NOT(ISNA(MATCH(INDIRECT("OrganizationAccessCasePolicy!D"&amp;$I23)&amp;"|"&amp;$R23,CaseTypeSetMember!$H:$H,0)))))</f>
        <v>0</v>
      </c>
      <c r="M23" s="6" t="str">
        <f>IF(ISNA(MATCH($C23&amp;"|"&amp;$V23,UserAccessCasePolicy!$W:$W,0)),"",MATCH($C23&amp;"|"&amp;$V23,UserAccessCasePolicy!$W:$W,0))</f>
        <v/>
      </c>
      <c r="N23" s="6" t="b" cm="1">
        <f t="array" aca="1" ref="N23" ca="1">IF($M23="",FALSE,NOT(ISNA(MATCH(INDIRECT("UserAccessCasePolicy!D"&amp;$M23)&amp;"|"&amp;$R23,CaseTypeSetMember!$H:$H,0))))</f>
        <v>0</v>
      </c>
      <c r="O23" s="6" t="b" cm="1">
        <f t="array" aca="1" ref="O23" ca="1">IF($M23="",FALSE,AND(INDIRECT("UserAccessCasePolicy!G"&amp;$M23),NOT(ISNA(MATCH(INDIRECT("UserAccessCasePolicy!D"&amp;$M23)&amp;"|"&amp;$R23,CaseTypeSetMember!$H:$H,0)))))</f>
        <v>0</v>
      </c>
      <c r="P23" s="6" t="b" cm="1">
        <f t="array" aca="1" ref="P23" ca="1">IF($M23="",FALSE,AND(INDIRECT("UserAccessCasePolicy!H"&amp;$M23),NOT(ISNA(MATCH(INDIRECT("UserAccessCasePolicy!D"&amp;$M23)&amp;"|"&amp;$R23,CaseTypeSetMember!$H:$H,0)))))</f>
        <v>0</v>
      </c>
      <c r="Q23" t="s">
        <v>650</v>
      </c>
      <c r="R23" t="s">
        <v>119</v>
      </c>
      <c r="S23" s="6" t="str">
        <f>INDEX(CaseType!$B:$B,MATCH($R23,CaseType!$A:$A,0))</f>
        <v>case_type1</v>
      </c>
      <c r="T23" s="6" t="b">
        <f>AND(IF($Z23="",TRUE,$R23=INDEX(CaseTypeCol!$B:$B,MATCH($Z23,CaseTypeCol!$A:$A,0))),IF($AG23="",TRUE,$R23=INDEX(CaseTypeCol!$B:$B,MATCH($AG23,CaseTypeCol!$A:$A,0))),IF($AN23="",TRUE,$R23=INDEX(CaseTypeCol!$B:$B,MATCH($AN23,CaseTypeCol!$A:$A,0))))</f>
        <v>1</v>
      </c>
      <c r="V23" t="s">
        <v>11</v>
      </c>
      <c r="W23" s="6" t="str">
        <f>INDEX(DataCollection!$B:$B,MATCH($V23,DataCollection!$A:$A,0))</f>
        <v>data_collection1</v>
      </c>
      <c r="Y23" s="14">
        <v>36526</v>
      </c>
      <c r="Z23" t="s">
        <v>142</v>
      </c>
      <c r="AA23" t="s">
        <v>665</v>
      </c>
      <c r="AB23" s="6" t="str">
        <f>IF($Z23="","",INDEX(CaseTypeCol!$G:$G,MATCH($Z23,CaseTypeCol!$A:$A,0)))</f>
        <v>case_type1_dim1_1_text</v>
      </c>
      <c r="AC23" s="6" t="b" cm="1">
        <f t="array" aca="1" ref="AC23" ca="1">IF($Z23="",TRUE,IF($I23="",FALSE,IF(INDIRECT("OrganizationAccessCasePolicy!J"&amp;$I23)="",FALSE,NOT(ISNA(MATCH(INDIRECT("OrganizationAccessCasePolicy!J"&amp;$I23)&amp;"|"&amp;$Z23,CaseTypeColSetMember!$H:$H,0))))))</f>
        <v>0</v>
      </c>
      <c r="AD23" s="6" t="b" cm="1">
        <f t="array" aca="1" ref="AD23" ca="1">IF($Z23="",TRUE,IF($I23="",FALSE,IF(INDIRECT("OrganizationAccessCasePolicy!L"&amp;$I23)="",FALSE,NOT(ISNA(MATCH(INDIRECT("OrganizationAccessCasePolicy!L"&amp;$I23)&amp;"|"&amp;$Z23,CaseTypeColSetMember!$H:$H,0))))))</f>
        <v>0</v>
      </c>
      <c r="AE23" s="6" t="b" cm="1">
        <f t="array" aca="1" ref="AE23" ca="1">IF($Z23="",TRUE,IF($M23="",FALSE,IF(INDIRECT("UserAccessCasePolicy!I"&amp;$M23)="",FALSE,NOT(ISNA(MATCH(INDIRECT("UserAccessCasePolicy!I"&amp;$M23)&amp;"|"&amp;$Z23,CaseTypeColSetMember!$H:$H,0))))))</f>
        <v>0</v>
      </c>
      <c r="AF23" s="6" t="b" cm="1">
        <f t="array" aca="1" ref="AF23" ca="1">IF($Z23="",TRUE,IF($M23="",FALSE,IF(INDIRECT("UserAccessCasePolicy!K"&amp;$M23)="",FALSE,NOT(ISNA(MATCH(INDIRECT("UserAccessCasePolicy!K"&amp;$M23)&amp;"|"&amp;$Z23,CaseTypeColSetMember!$H:$H,0))))))</f>
        <v>0</v>
      </c>
      <c r="AI23" s="6" t="str">
        <f>IF($AG23="","",INDEX(CaseTypeCol!$G:$G,MATCH($AG23,CaseTypeCol!$A:$A,0)))</f>
        <v/>
      </c>
      <c r="AJ23" s="6" t="b" cm="1">
        <f t="array" aca="1" ref="AJ23" ca="1">IF($AG23="",TRUE,IF($I23="",FALSE,IF(INDIRECT("OrganizationAccessCasePolicy!J"&amp;$I23)="",FALSE,NOT(ISNA(MATCH(INDIRECT("OrganizationAccessCasePolicy!J"&amp;$I23)&amp;"|"&amp;$AG23,CaseTypeColSetMember!$H:$H,0))))))</f>
        <v>1</v>
      </c>
      <c r="AK23" s="6" t="b" cm="1">
        <f t="array" aca="1" ref="AK23" ca="1">IF($AG23="",TRUE,IF($I23="",FALSE,IF(INDIRECT("OrganizationAccessCasePolicy!L"&amp;$I23)="",FALSE,NOT(ISNA(MATCH(INDIRECT("OrganizationAccessCasePolicy!L"&amp;$I23)&amp;"|"&amp;$AG23,CaseTypeColSetMember!$H:$H,0))))))</f>
        <v>1</v>
      </c>
      <c r="AL23" s="6" t="b" cm="1">
        <f t="array" aca="1" ref="AL23" ca="1">IF($AG23="",TRUE,IF($M23="",FALSE,IF(INDIRECT("UserAccessCasePolicy!I"&amp;$M23)="",FALSE,NOT(ISNA(MATCH(INDIRECT("UserAccessCasePolicy!I"&amp;$M23)&amp;"|"&amp;$AG23,CaseTypeColSetMember!$H:$H,0))))))</f>
        <v>1</v>
      </c>
      <c r="AM23" s="6" t="b" cm="1">
        <f t="array" aca="1" ref="AM23" ca="1">IF($AG23="",TRUE,IF($M23="",FALSE,IF(INDIRECT("UserAccessCasePolicy!K"&amp;$M23)="",FALSE,NOT(ISNA(MATCH(INDIRECT("UserAccessCasePolicy!K"&amp;$M23)&amp;"|"&amp;$AG23,CaseTypeColSetMember!$H:$H,0))))))</f>
        <v>1</v>
      </c>
      <c r="AP23" s="6" t="str">
        <f>IF($AN23="","",INDEX(CaseTypeCol!$G:$G,MATCH($AN23,CaseTypeCol!$A:$A,0)))</f>
        <v/>
      </c>
      <c r="AQ23" s="6" t="b" cm="1">
        <f t="array" aca="1" ref="AQ23" ca="1">IF($AN23="",TRUE,IF($I23="",FALSE,IF(INDIRECT("OrganizationAccessCasePolicy!J"&amp;$I23)="",FALSE,NOT(ISNA(MATCH(INDIRECT("OrganizationAccessCasePolicy!J"&amp;$I23)&amp;"|"&amp;$AN23,CaseTypeColSetMember!$H:$H,0))))))</f>
        <v>1</v>
      </c>
      <c r="AR23" s="6" t="b" cm="1">
        <f t="array" aca="1" ref="AR23" ca="1">IF($AN23="",TRUE,IF($I23="",FALSE,IF(INDIRECT("OrganizationAccessCasePolicy!L"&amp;$I23)="",FALSE,NOT(ISNA(MATCH(INDIRECT("OrganizationAccessCasePolicy!L"&amp;$I23)&amp;"|"&amp;$AN23,CaseTypeColSetMember!$H:$H,0))))))</f>
        <v>1</v>
      </c>
      <c r="AS23" s="6" t="b" cm="1">
        <f t="array" aca="1" ref="AS23" ca="1">IF($AN23="",TRUE,IF($M23="",FALSE,IF(INDIRECT("UserAccessCasePolicy!I"&amp;$M23)="",FALSE,NOT(ISNA(MATCH(INDIRECT("UserAccessCasePolicy!I"&amp;$M23)&amp;"|"&amp;$AN23,CaseTypeColSetMember!$H:$H,0))))))</f>
        <v>1</v>
      </c>
      <c r="AT23" s="6" t="b" cm="1">
        <f t="array" aca="1" ref="AT23" ca="1">IF($AN23="",TRUE,IF($M23="",FALSE,IF(INDIRECT("UserAccessCasePolicy!K"&amp;$M23)="",FALSE,NOT(ISNA(MATCH(INDIRECT("UserAccessCasePolicy!K"&amp;$M23)&amp;"|"&amp;$AN23,CaseTypeColSetMember!$H:$H,0))))))</f>
        <v>1</v>
      </c>
    </row>
    <row r="24" spans="1:46" x14ac:dyDescent="0.3">
      <c r="A24">
        <v>23</v>
      </c>
      <c r="B24" t="s">
        <v>625</v>
      </c>
      <c r="C24" t="s">
        <v>25</v>
      </c>
      <c r="D24" s="6" t="str">
        <f>INDEX(User!$C:$C,MATCH($C24,User!$A:$A,0))</f>
        <v>org_user3_3</v>
      </c>
      <c r="E24" t="s">
        <v>723</v>
      </c>
      <c r="F24" s="19" t="b">
        <f t="shared" ca="1" si="0"/>
        <v>0</v>
      </c>
      <c r="G24" s="6" t="str">
        <f>INDEX(User!$F:$F,MATCH($C24,User!$A:$A,0))</f>
        <v>0195d18c-1c92-52b3-93e0-43dc1f2aa037</v>
      </c>
      <c r="H24" s="6" t="b">
        <f>INDEX(User!$L:$L,MATCH($C24,User!$A:$A,0))</f>
        <v>0</v>
      </c>
      <c r="I24" s="6" t="str">
        <f>IF(ISNA(MATCH($G24&amp;"|"&amp;$V24,OrganizationAccessCasePolicy!$V:$V,0)),"",MATCH($G24&amp;"|"&amp;$V24,OrganizationAccessCasePolicy!$V:$V,0))</f>
        <v/>
      </c>
      <c r="J24" s="6" t="b" cm="1">
        <f t="array" aca="1" ref="J24" ca="1">IF($I24="",FALSE,NOT(ISNA(MATCH(INDIRECT("OrganizationAccessCasePolicy!D"&amp;$I24)&amp;"|"&amp;$R24,CaseTypeSetMember!$H:$H,0))))</f>
        <v>0</v>
      </c>
      <c r="K24" s="6" t="b" cm="1">
        <f t="array" aca="1" ref="K24" ca="1">IF($I24="",FALSE,AND(INDIRECT("OrganizationAccessCasePolicy!H"&amp;$I24),NOT(ISNA(MATCH(INDIRECT("OrganizationAccessCasePolicy!D"&amp;$I24)&amp;"|"&amp;$R24,CaseTypeSetMember!$H:$H,0)))))</f>
        <v>0</v>
      </c>
      <c r="L24" s="6" t="b" cm="1">
        <f t="array" aca="1" ref="L24" ca="1">IF($I24="",FALSE,AND(INDIRECT("OrganizationAccessCasePolicy!I"&amp;$I24),NOT(ISNA(MATCH(INDIRECT("OrganizationAccessCasePolicy!D"&amp;$I24)&amp;"|"&amp;$R24,CaseTypeSetMember!$H:$H,0)))))</f>
        <v>0</v>
      </c>
      <c r="M24" s="6" t="str">
        <f>IF(ISNA(MATCH($C24&amp;"|"&amp;$V24,UserAccessCasePolicy!$W:$W,0)),"",MATCH($C24&amp;"|"&amp;$V24,UserAccessCasePolicy!$W:$W,0))</f>
        <v/>
      </c>
      <c r="N24" s="6" t="b" cm="1">
        <f t="array" aca="1" ref="N24" ca="1">IF($M24="",FALSE,NOT(ISNA(MATCH(INDIRECT("UserAccessCasePolicy!D"&amp;$M24)&amp;"|"&amp;$R24,CaseTypeSetMember!$H:$H,0))))</f>
        <v>0</v>
      </c>
      <c r="O24" s="6" t="b" cm="1">
        <f t="array" aca="1" ref="O24" ca="1">IF($M24="",FALSE,AND(INDIRECT("UserAccessCasePolicy!G"&amp;$M24),NOT(ISNA(MATCH(INDIRECT("UserAccessCasePolicy!D"&amp;$M24)&amp;"|"&amp;$R24,CaseTypeSetMember!$H:$H,0)))))</f>
        <v>0</v>
      </c>
      <c r="P24" s="6" t="b" cm="1">
        <f t="array" aca="1" ref="P24" ca="1">IF($M24="",FALSE,AND(INDIRECT("UserAccessCasePolicy!H"&amp;$M24),NOT(ISNA(MATCH(INDIRECT("UserAccessCasePolicy!D"&amp;$M24)&amp;"|"&amp;$R24,CaseTypeSetMember!$H:$H,0)))))</f>
        <v>0</v>
      </c>
      <c r="Q24" t="s">
        <v>651</v>
      </c>
      <c r="R24" t="s">
        <v>119</v>
      </c>
      <c r="S24" s="6" t="str">
        <f>INDEX(CaseType!$B:$B,MATCH($R24,CaseType!$A:$A,0))</f>
        <v>case_type1</v>
      </c>
      <c r="T24" s="6" t="b">
        <f>AND(IF($Z24="",TRUE,$R24=INDEX(CaseTypeCol!$B:$B,MATCH($Z24,CaseTypeCol!$A:$A,0))),IF($AG24="",TRUE,$R24=INDEX(CaseTypeCol!$B:$B,MATCH($AG24,CaseTypeCol!$A:$A,0))),IF($AN24="",TRUE,$R24=INDEX(CaseTypeCol!$B:$B,MATCH($AN24,CaseTypeCol!$A:$A,0))))</f>
        <v>1</v>
      </c>
      <c r="V24" t="s">
        <v>11</v>
      </c>
      <c r="W24" s="6" t="str">
        <f>INDEX(DataCollection!$B:$B,MATCH($V24,DataCollection!$A:$A,0))</f>
        <v>data_collection1</v>
      </c>
      <c r="Y24" s="14">
        <v>36526</v>
      </c>
      <c r="Z24" t="s">
        <v>142</v>
      </c>
      <c r="AA24" t="s">
        <v>665</v>
      </c>
      <c r="AB24" s="6" t="str">
        <f>IF($Z24="","",INDEX(CaseTypeCol!$G:$G,MATCH($Z24,CaseTypeCol!$A:$A,0)))</f>
        <v>case_type1_dim1_1_text</v>
      </c>
      <c r="AC24" s="6" t="b" cm="1">
        <f t="array" aca="1" ref="AC24" ca="1">IF($Z24="",TRUE,IF($I24="",FALSE,IF(INDIRECT("OrganizationAccessCasePolicy!J"&amp;$I24)="",FALSE,NOT(ISNA(MATCH(INDIRECT("OrganizationAccessCasePolicy!J"&amp;$I24)&amp;"|"&amp;$Z24,CaseTypeColSetMember!$H:$H,0))))))</f>
        <v>0</v>
      </c>
      <c r="AD24" s="6" t="b" cm="1">
        <f t="array" aca="1" ref="AD24" ca="1">IF($Z24="",TRUE,IF($I24="",FALSE,IF(INDIRECT("OrganizationAccessCasePolicy!L"&amp;$I24)="",FALSE,NOT(ISNA(MATCH(INDIRECT("OrganizationAccessCasePolicy!L"&amp;$I24)&amp;"|"&amp;$Z24,CaseTypeColSetMember!$H:$H,0))))))</f>
        <v>0</v>
      </c>
      <c r="AE24" s="6" t="b" cm="1">
        <f t="array" aca="1" ref="AE24" ca="1">IF($Z24="",TRUE,IF($M24="",FALSE,IF(INDIRECT("UserAccessCasePolicy!I"&amp;$M24)="",FALSE,NOT(ISNA(MATCH(INDIRECT("UserAccessCasePolicy!I"&amp;$M24)&amp;"|"&amp;$Z24,CaseTypeColSetMember!$H:$H,0))))))</f>
        <v>0</v>
      </c>
      <c r="AF24" s="6" t="b" cm="1">
        <f t="array" aca="1" ref="AF24" ca="1">IF($Z24="",TRUE,IF($M24="",FALSE,IF(INDIRECT("UserAccessCasePolicy!K"&amp;$M24)="",FALSE,NOT(ISNA(MATCH(INDIRECT("UserAccessCasePolicy!K"&amp;$M24)&amp;"|"&amp;$Z24,CaseTypeColSetMember!$H:$H,0))))))</f>
        <v>0</v>
      </c>
      <c r="AI24" s="6" t="str">
        <f>IF($AG24="","",INDEX(CaseTypeCol!$G:$G,MATCH($AG24,CaseTypeCol!$A:$A,0)))</f>
        <v/>
      </c>
      <c r="AJ24" s="6" t="b" cm="1">
        <f t="array" aca="1" ref="AJ24" ca="1">IF($AG24="",TRUE,IF($I24="",FALSE,IF(INDIRECT("OrganizationAccessCasePolicy!J"&amp;$I24)="",FALSE,NOT(ISNA(MATCH(INDIRECT("OrganizationAccessCasePolicy!J"&amp;$I24)&amp;"|"&amp;$AG24,CaseTypeColSetMember!$H:$H,0))))))</f>
        <v>1</v>
      </c>
      <c r="AK24" s="6" t="b" cm="1">
        <f t="array" aca="1" ref="AK24" ca="1">IF($AG24="",TRUE,IF($I24="",FALSE,IF(INDIRECT("OrganizationAccessCasePolicy!L"&amp;$I24)="",FALSE,NOT(ISNA(MATCH(INDIRECT("OrganizationAccessCasePolicy!L"&amp;$I24)&amp;"|"&amp;$AG24,CaseTypeColSetMember!$H:$H,0))))))</f>
        <v>1</v>
      </c>
      <c r="AL24" s="6" t="b" cm="1">
        <f t="array" aca="1" ref="AL24" ca="1">IF($AG24="",TRUE,IF($M24="",FALSE,IF(INDIRECT("UserAccessCasePolicy!I"&amp;$M24)="",FALSE,NOT(ISNA(MATCH(INDIRECT("UserAccessCasePolicy!I"&amp;$M24)&amp;"|"&amp;$AG24,CaseTypeColSetMember!$H:$H,0))))))</f>
        <v>1</v>
      </c>
      <c r="AM24" s="6" t="b" cm="1">
        <f t="array" aca="1" ref="AM24" ca="1">IF($AG24="",TRUE,IF($M24="",FALSE,IF(INDIRECT("UserAccessCasePolicy!K"&amp;$M24)="",FALSE,NOT(ISNA(MATCH(INDIRECT("UserAccessCasePolicy!K"&amp;$M24)&amp;"|"&amp;$AG24,CaseTypeColSetMember!$H:$H,0))))))</f>
        <v>1</v>
      </c>
      <c r="AP24" s="6" t="str">
        <f>IF($AN24="","",INDEX(CaseTypeCol!$G:$G,MATCH($AN24,CaseTypeCol!$A:$A,0)))</f>
        <v/>
      </c>
      <c r="AQ24" s="6" t="b" cm="1">
        <f t="array" aca="1" ref="AQ24" ca="1">IF($AN24="",TRUE,IF($I24="",FALSE,IF(INDIRECT("OrganizationAccessCasePolicy!J"&amp;$I24)="",FALSE,NOT(ISNA(MATCH(INDIRECT("OrganizationAccessCasePolicy!J"&amp;$I24)&amp;"|"&amp;$AN24,CaseTypeColSetMember!$H:$H,0))))))</f>
        <v>1</v>
      </c>
      <c r="AR24" s="6" t="b" cm="1">
        <f t="array" aca="1" ref="AR24" ca="1">IF($AN24="",TRUE,IF($I24="",FALSE,IF(INDIRECT("OrganizationAccessCasePolicy!L"&amp;$I24)="",FALSE,NOT(ISNA(MATCH(INDIRECT("OrganizationAccessCasePolicy!L"&amp;$I24)&amp;"|"&amp;$AN24,CaseTypeColSetMember!$H:$H,0))))))</f>
        <v>1</v>
      </c>
      <c r="AS24" s="6" t="b" cm="1">
        <f t="array" aca="1" ref="AS24" ca="1">IF($AN24="",TRUE,IF($M24="",FALSE,IF(INDIRECT("UserAccessCasePolicy!I"&amp;$M24)="",FALSE,NOT(ISNA(MATCH(INDIRECT("UserAccessCasePolicy!I"&amp;$M24)&amp;"|"&amp;$AN24,CaseTypeColSetMember!$H:$H,0))))))</f>
        <v>1</v>
      </c>
      <c r="AT24" s="6" t="b" cm="1">
        <f t="array" aca="1" ref="AT24" ca="1">IF($AN24="",TRUE,IF($M24="",FALSE,IF(INDIRECT("UserAccessCasePolicy!K"&amp;$M24)="",FALSE,NOT(ISNA(MATCH(INDIRECT("UserAccessCasePolicy!K"&amp;$M24)&amp;"|"&amp;$AN24,CaseTypeColSetMember!$H:$H,0))))))</f>
        <v>1</v>
      </c>
    </row>
    <row r="25" spans="1:46" x14ac:dyDescent="0.3">
      <c r="A25">
        <v>24</v>
      </c>
      <c r="B25" t="s">
        <v>626</v>
      </c>
      <c r="C25" t="s">
        <v>26</v>
      </c>
      <c r="D25" s="6" t="str">
        <f>INDEX(User!$C:$C,MATCH($C25,User!$A:$A,0))</f>
        <v>org_user3_4</v>
      </c>
      <c r="E25" t="s">
        <v>723</v>
      </c>
      <c r="F25" s="19" t="b">
        <f t="shared" ca="1" si="0"/>
        <v>0</v>
      </c>
      <c r="G25" s="6" t="str">
        <f>INDEX(User!$F:$F,MATCH($C25,User!$A:$A,0))</f>
        <v>0195d18c-1c92-52b3-93e0-43dc1f2aa037</v>
      </c>
      <c r="H25" s="6" t="b">
        <f>INDEX(User!$L:$L,MATCH($C25,User!$A:$A,0))</f>
        <v>0</v>
      </c>
      <c r="I25" s="6" t="str">
        <f>IF(ISNA(MATCH($G25&amp;"|"&amp;$V25,OrganizationAccessCasePolicy!$V:$V,0)),"",MATCH($G25&amp;"|"&amp;$V25,OrganizationAccessCasePolicy!$V:$V,0))</f>
        <v/>
      </c>
      <c r="J25" s="6" t="b" cm="1">
        <f t="array" aca="1" ref="J25" ca="1">IF($I25="",FALSE,NOT(ISNA(MATCH(INDIRECT("OrganizationAccessCasePolicy!D"&amp;$I25)&amp;"|"&amp;$R25,CaseTypeSetMember!$H:$H,0))))</f>
        <v>0</v>
      </c>
      <c r="K25" s="6" t="b" cm="1">
        <f t="array" aca="1" ref="K25" ca="1">IF($I25="",FALSE,AND(INDIRECT("OrganizationAccessCasePolicy!H"&amp;$I25),NOT(ISNA(MATCH(INDIRECT("OrganizationAccessCasePolicy!D"&amp;$I25)&amp;"|"&amp;$R25,CaseTypeSetMember!$H:$H,0)))))</f>
        <v>0</v>
      </c>
      <c r="L25" s="6" t="b" cm="1">
        <f t="array" aca="1" ref="L25" ca="1">IF($I25="",FALSE,AND(INDIRECT("OrganizationAccessCasePolicy!I"&amp;$I25),NOT(ISNA(MATCH(INDIRECT("OrganizationAccessCasePolicy!D"&amp;$I25)&amp;"|"&amp;$R25,CaseTypeSetMember!$H:$H,0)))))</f>
        <v>0</v>
      </c>
      <c r="M25" s="6" t="str">
        <f>IF(ISNA(MATCH($C25&amp;"|"&amp;$V25,UserAccessCasePolicy!$W:$W,0)),"",MATCH($C25&amp;"|"&amp;$V25,UserAccessCasePolicy!$W:$W,0))</f>
        <v/>
      </c>
      <c r="N25" s="6" t="b" cm="1">
        <f t="array" aca="1" ref="N25" ca="1">IF($M25="",FALSE,NOT(ISNA(MATCH(INDIRECT("UserAccessCasePolicy!D"&amp;$M25)&amp;"|"&amp;$R25,CaseTypeSetMember!$H:$H,0))))</f>
        <v>0</v>
      </c>
      <c r="O25" s="6" t="b" cm="1">
        <f t="array" aca="1" ref="O25" ca="1">IF($M25="",FALSE,AND(INDIRECT("UserAccessCasePolicy!G"&amp;$M25),NOT(ISNA(MATCH(INDIRECT("UserAccessCasePolicy!D"&amp;$M25)&amp;"|"&amp;$R25,CaseTypeSetMember!$H:$H,0)))))</f>
        <v>0</v>
      </c>
      <c r="P25" s="6" t="b" cm="1">
        <f t="array" aca="1" ref="P25" ca="1">IF($M25="",FALSE,AND(INDIRECT("UserAccessCasePolicy!H"&amp;$M25),NOT(ISNA(MATCH(INDIRECT("UserAccessCasePolicy!D"&amp;$M25)&amp;"|"&amp;$R25,CaseTypeSetMember!$H:$H,0)))))</f>
        <v>0</v>
      </c>
      <c r="Q25" t="s">
        <v>652</v>
      </c>
      <c r="R25" t="s">
        <v>119</v>
      </c>
      <c r="S25" s="6" t="str">
        <f>INDEX(CaseType!$B:$B,MATCH($R25,CaseType!$A:$A,0))</f>
        <v>case_type1</v>
      </c>
      <c r="T25" s="6" t="b">
        <f>AND(IF($Z25="",TRUE,$R25=INDEX(CaseTypeCol!$B:$B,MATCH($Z25,CaseTypeCol!$A:$A,0))),IF($AG25="",TRUE,$R25=INDEX(CaseTypeCol!$B:$B,MATCH($AG25,CaseTypeCol!$A:$A,0))),IF($AN25="",TRUE,$R25=INDEX(CaseTypeCol!$B:$B,MATCH($AN25,CaseTypeCol!$A:$A,0))))</f>
        <v>1</v>
      </c>
      <c r="V25" t="s">
        <v>11</v>
      </c>
      <c r="W25" s="6" t="str">
        <f>INDEX(DataCollection!$B:$B,MATCH($V25,DataCollection!$A:$A,0))</f>
        <v>data_collection1</v>
      </c>
      <c r="Y25" s="14">
        <v>36526</v>
      </c>
      <c r="Z25" t="s">
        <v>142</v>
      </c>
      <c r="AA25" t="s">
        <v>665</v>
      </c>
      <c r="AB25" s="6" t="str">
        <f>IF($Z25="","",INDEX(CaseTypeCol!$G:$G,MATCH($Z25,CaseTypeCol!$A:$A,0)))</f>
        <v>case_type1_dim1_1_text</v>
      </c>
      <c r="AC25" s="6" t="b" cm="1">
        <f t="array" aca="1" ref="AC25" ca="1">IF($Z25="",TRUE,IF($I25="",FALSE,IF(INDIRECT("OrganizationAccessCasePolicy!J"&amp;$I25)="",FALSE,NOT(ISNA(MATCH(INDIRECT("OrganizationAccessCasePolicy!J"&amp;$I25)&amp;"|"&amp;$Z25,CaseTypeColSetMember!$H:$H,0))))))</f>
        <v>0</v>
      </c>
      <c r="AD25" s="6" t="b" cm="1">
        <f t="array" aca="1" ref="AD25" ca="1">IF($Z25="",TRUE,IF($I25="",FALSE,IF(INDIRECT("OrganizationAccessCasePolicy!L"&amp;$I25)="",FALSE,NOT(ISNA(MATCH(INDIRECT("OrganizationAccessCasePolicy!L"&amp;$I25)&amp;"|"&amp;$Z25,CaseTypeColSetMember!$H:$H,0))))))</f>
        <v>0</v>
      </c>
      <c r="AE25" s="6" t="b" cm="1">
        <f t="array" aca="1" ref="AE25" ca="1">IF($Z25="",TRUE,IF($M25="",FALSE,IF(INDIRECT("UserAccessCasePolicy!I"&amp;$M25)="",FALSE,NOT(ISNA(MATCH(INDIRECT("UserAccessCasePolicy!I"&amp;$M25)&amp;"|"&amp;$Z25,CaseTypeColSetMember!$H:$H,0))))))</f>
        <v>0</v>
      </c>
      <c r="AF25" s="6" t="b" cm="1">
        <f t="array" aca="1" ref="AF25" ca="1">IF($Z25="",TRUE,IF($M25="",FALSE,IF(INDIRECT("UserAccessCasePolicy!K"&amp;$M25)="",FALSE,NOT(ISNA(MATCH(INDIRECT("UserAccessCasePolicy!K"&amp;$M25)&amp;"|"&amp;$Z25,CaseTypeColSetMember!$H:$H,0))))))</f>
        <v>0</v>
      </c>
      <c r="AI25" s="6" t="str">
        <f>IF($AG25="","",INDEX(CaseTypeCol!$G:$G,MATCH($AG25,CaseTypeCol!$A:$A,0)))</f>
        <v/>
      </c>
      <c r="AJ25" s="6" t="b" cm="1">
        <f t="array" aca="1" ref="AJ25" ca="1">IF($AG25="",TRUE,IF($I25="",FALSE,IF(INDIRECT("OrganizationAccessCasePolicy!J"&amp;$I25)="",FALSE,NOT(ISNA(MATCH(INDIRECT("OrganizationAccessCasePolicy!J"&amp;$I25)&amp;"|"&amp;$AG25,CaseTypeColSetMember!$H:$H,0))))))</f>
        <v>1</v>
      </c>
      <c r="AK25" s="6" t="b" cm="1">
        <f t="array" aca="1" ref="AK25" ca="1">IF($AG25="",TRUE,IF($I25="",FALSE,IF(INDIRECT("OrganizationAccessCasePolicy!L"&amp;$I25)="",FALSE,NOT(ISNA(MATCH(INDIRECT("OrganizationAccessCasePolicy!L"&amp;$I25)&amp;"|"&amp;$AG25,CaseTypeColSetMember!$H:$H,0))))))</f>
        <v>1</v>
      </c>
      <c r="AL25" s="6" t="b" cm="1">
        <f t="array" aca="1" ref="AL25" ca="1">IF($AG25="",TRUE,IF($M25="",FALSE,IF(INDIRECT("UserAccessCasePolicy!I"&amp;$M25)="",FALSE,NOT(ISNA(MATCH(INDIRECT("UserAccessCasePolicy!I"&amp;$M25)&amp;"|"&amp;$AG25,CaseTypeColSetMember!$H:$H,0))))))</f>
        <v>1</v>
      </c>
      <c r="AM25" s="6" t="b" cm="1">
        <f t="array" aca="1" ref="AM25" ca="1">IF($AG25="",TRUE,IF($M25="",FALSE,IF(INDIRECT("UserAccessCasePolicy!K"&amp;$M25)="",FALSE,NOT(ISNA(MATCH(INDIRECT("UserAccessCasePolicy!K"&amp;$M25)&amp;"|"&amp;$AG25,CaseTypeColSetMember!$H:$H,0))))))</f>
        <v>1</v>
      </c>
      <c r="AP25" s="6" t="str">
        <f>IF($AN25="","",INDEX(CaseTypeCol!$G:$G,MATCH($AN25,CaseTypeCol!$A:$A,0)))</f>
        <v/>
      </c>
      <c r="AQ25" s="6" t="b" cm="1">
        <f t="array" aca="1" ref="AQ25" ca="1">IF($AN25="",TRUE,IF($I25="",FALSE,IF(INDIRECT("OrganizationAccessCasePolicy!J"&amp;$I25)="",FALSE,NOT(ISNA(MATCH(INDIRECT("OrganizationAccessCasePolicy!J"&amp;$I25)&amp;"|"&amp;$AN25,CaseTypeColSetMember!$H:$H,0))))))</f>
        <v>1</v>
      </c>
      <c r="AR25" s="6" t="b" cm="1">
        <f t="array" aca="1" ref="AR25" ca="1">IF($AN25="",TRUE,IF($I25="",FALSE,IF(INDIRECT("OrganizationAccessCasePolicy!L"&amp;$I25)="",FALSE,NOT(ISNA(MATCH(INDIRECT("OrganizationAccessCasePolicy!L"&amp;$I25)&amp;"|"&amp;$AN25,CaseTypeColSetMember!$H:$H,0))))))</f>
        <v>1</v>
      </c>
      <c r="AS25" s="6" t="b" cm="1">
        <f t="array" aca="1" ref="AS25" ca="1">IF($AN25="",TRUE,IF($M25="",FALSE,IF(INDIRECT("UserAccessCasePolicy!I"&amp;$M25)="",FALSE,NOT(ISNA(MATCH(INDIRECT("UserAccessCasePolicy!I"&amp;$M25)&amp;"|"&amp;$AN25,CaseTypeColSetMember!$H:$H,0))))))</f>
        <v>1</v>
      </c>
      <c r="AT25" s="6" t="b" cm="1">
        <f t="array" aca="1" ref="AT25" ca="1">IF($AN25="",TRUE,IF($M25="",FALSE,IF(INDIRECT("UserAccessCasePolicy!K"&amp;$M25)="",FALSE,NOT(ISNA(MATCH(INDIRECT("UserAccessCasePolicy!K"&amp;$M25)&amp;"|"&amp;$AN25,CaseTypeColSetMember!$H:$H,0))))))</f>
        <v>1</v>
      </c>
    </row>
    <row r="26" spans="1:46" x14ac:dyDescent="0.3">
      <c r="A26">
        <v>25</v>
      </c>
      <c r="B26" t="s">
        <v>627</v>
      </c>
      <c r="C26" t="s">
        <v>28</v>
      </c>
      <c r="D26" s="6" t="str">
        <f>INDEX(User!$C:$C,MATCH($C26,User!$A:$A,0))</f>
        <v>org_user4_1</v>
      </c>
      <c r="E26" t="s">
        <v>723</v>
      </c>
      <c r="F26" s="19" t="b">
        <f t="shared" ca="1" si="0"/>
        <v>0</v>
      </c>
      <c r="G26" s="6" t="str">
        <f>INDEX(User!$F:$F,MATCH($C26,User!$A:$A,0))</f>
        <v>0195d18c-1c92-d419-4c71-a570f428499b</v>
      </c>
      <c r="H26" s="6" t="b">
        <f>INDEX(User!$L:$L,MATCH($C26,User!$A:$A,0))</f>
        <v>0</v>
      </c>
      <c r="I26" s="6" t="str">
        <f>IF(ISNA(MATCH($G26&amp;"|"&amp;$V26,OrganizationAccessCasePolicy!$V:$V,0)),"",MATCH($G26&amp;"|"&amp;$V26,OrganizationAccessCasePolicy!$V:$V,0))</f>
        <v/>
      </c>
      <c r="J26" s="6" t="b" cm="1">
        <f t="array" aca="1" ref="J26" ca="1">IF($I26="",FALSE,NOT(ISNA(MATCH(INDIRECT("OrganizationAccessCasePolicy!D"&amp;$I26)&amp;"|"&amp;$R26,CaseTypeSetMember!$H:$H,0))))</f>
        <v>0</v>
      </c>
      <c r="K26" s="6" t="b" cm="1">
        <f t="array" aca="1" ref="K26" ca="1">IF($I26="",FALSE,AND(INDIRECT("OrganizationAccessCasePolicy!H"&amp;$I26),NOT(ISNA(MATCH(INDIRECT("OrganizationAccessCasePolicy!D"&amp;$I26)&amp;"|"&amp;$R26,CaseTypeSetMember!$H:$H,0)))))</f>
        <v>0</v>
      </c>
      <c r="L26" s="6" t="b" cm="1">
        <f t="array" aca="1" ref="L26" ca="1">IF($I26="",FALSE,AND(INDIRECT("OrganizationAccessCasePolicy!I"&amp;$I26),NOT(ISNA(MATCH(INDIRECT("OrganizationAccessCasePolicy!D"&amp;$I26)&amp;"|"&amp;$R26,CaseTypeSetMember!$H:$H,0)))))</f>
        <v>0</v>
      </c>
      <c r="M26" s="6" t="str">
        <f>IF(ISNA(MATCH($C26&amp;"|"&amp;$V26,UserAccessCasePolicy!$W:$W,0)),"",MATCH($C26&amp;"|"&amp;$V26,UserAccessCasePolicy!$W:$W,0))</f>
        <v/>
      </c>
      <c r="N26" s="6" t="b" cm="1">
        <f t="array" aca="1" ref="N26" ca="1">IF($M26="",FALSE,NOT(ISNA(MATCH(INDIRECT("UserAccessCasePolicy!D"&amp;$M26)&amp;"|"&amp;$R26,CaseTypeSetMember!$H:$H,0))))</f>
        <v>0</v>
      </c>
      <c r="O26" s="6" t="b" cm="1">
        <f t="array" aca="1" ref="O26" ca="1">IF($M26="",FALSE,AND(INDIRECT("UserAccessCasePolicy!G"&amp;$M26),NOT(ISNA(MATCH(INDIRECT("UserAccessCasePolicy!D"&amp;$M26)&amp;"|"&amp;$R26,CaseTypeSetMember!$H:$H,0)))))</f>
        <v>0</v>
      </c>
      <c r="P26" s="6" t="b" cm="1">
        <f t="array" aca="1" ref="P26" ca="1">IF($M26="",FALSE,AND(INDIRECT("UserAccessCasePolicy!H"&amp;$M26),NOT(ISNA(MATCH(INDIRECT("UserAccessCasePolicy!D"&amp;$M26)&amp;"|"&amp;$R26,CaseTypeSetMember!$H:$H,0)))))</f>
        <v>0</v>
      </c>
      <c r="Q26" t="s">
        <v>653</v>
      </c>
      <c r="R26" t="s">
        <v>119</v>
      </c>
      <c r="S26" s="6" t="str">
        <f>INDEX(CaseType!$B:$B,MATCH($R26,CaseType!$A:$A,0))</f>
        <v>case_type1</v>
      </c>
      <c r="T26" s="6" t="b">
        <f>AND(IF($Z26="",TRUE,$R26=INDEX(CaseTypeCol!$B:$B,MATCH($Z26,CaseTypeCol!$A:$A,0))),IF($AG26="",TRUE,$R26=INDEX(CaseTypeCol!$B:$B,MATCH($AG26,CaseTypeCol!$A:$A,0))),IF($AN26="",TRUE,$R26=INDEX(CaseTypeCol!$B:$B,MATCH($AN26,CaseTypeCol!$A:$A,0))))</f>
        <v>1</v>
      </c>
      <c r="V26" t="s">
        <v>11</v>
      </c>
      <c r="W26" s="6" t="str">
        <f>INDEX(DataCollection!$B:$B,MATCH($V26,DataCollection!$A:$A,0))</f>
        <v>data_collection1</v>
      </c>
      <c r="Y26" s="14">
        <v>36526</v>
      </c>
      <c r="Z26" t="s">
        <v>142</v>
      </c>
      <c r="AA26" t="s">
        <v>665</v>
      </c>
      <c r="AB26" s="6" t="str">
        <f>IF($Z26="","",INDEX(CaseTypeCol!$G:$G,MATCH($Z26,CaseTypeCol!$A:$A,0)))</f>
        <v>case_type1_dim1_1_text</v>
      </c>
      <c r="AC26" s="6" t="b" cm="1">
        <f t="array" aca="1" ref="AC26" ca="1">IF($Z26="",TRUE,IF($I26="",FALSE,IF(INDIRECT("OrganizationAccessCasePolicy!J"&amp;$I26)="",FALSE,NOT(ISNA(MATCH(INDIRECT("OrganizationAccessCasePolicy!J"&amp;$I26)&amp;"|"&amp;$Z26,CaseTypeColSetMember!$H:$H,0))))))</f>
        <v>0</v>
      </c>
      <c r="AD26" s="6" t="b" cm="1">
        <f t="array" aca="1" ref="AD26" ca="1">IF($Z26="",TRUE,IF($I26="",FALSE,IF(INDIRECT("OrganizationAccessCasePolicy!L"&amp;$I26)="",FALSE,NOT(ISNA(MATCH(INDIRECT("OrganizationAccessCasePolicy!L"&amp;$I26)&amp;"|"&amp;$Z26,CaseTypeColSetMember!$H:$H,0))))))</f>
        <v>0</v>
      </c>
      <c r="AE26" s="6" t="b" cm="1">
        <f t="array" aca="1" ref="AE26" ca="1">IF($Z26="",TRUE,IF($M26="",FALSE,IF(INDIRECT("UserAccessCasePolicy!I"&amp;$M26)="",FALSE,NOT(ISNA(MATCH(INDIRECT("UserAccessCasePolicy!I"&amp;$M26)&amp;"|"&amp;$Z26,CaseTypeColSetMember!$H:$H,0))))))</f>
        <v>0</v>
      </c>
      <c r="AF26" s="6" t="b" cm="1">
        <f t="array" aca="1" ref="AF26" ca="1">IF($Z26="",TRUE,IF($M26="",FALSE,IF(INDIRECT("UserAccessCasePolicy!K"&amp;$M26)="",FALSE,NOT(ISNA(MATCH(INDIRECT("UserAccessCasePolicy!K"&amp;$M26)&amp;"|"&amp;$Z26,CaseTypeColSetMember!$H:$H,0))))))</f>
        <v>0</v>
      </c>
      <c r="AI26" s="6" t="str">
        <f>IF($AG26="","",INDEX(CaseTypeCol!$G:$G,MATCH($AG26,CaseTypeCol!$A:$A,0)))</f>
        <v/>
      </c>
      <c r="AJ26" s="6" t="b" cm="1">
        <f t="array" aca="1" ref="AJ26" ca="1">IF($AG26="",TRUE,IF($I26="",FALSE,IF(INDIRECT("OrganizationAccessCasePolicy!J"&amp;$I26)="",FALSE,NOT(ISNA(MATCH(INDIRECT("OrganizationAccessCasePolicy!J"&amp;$I26)&amp;"|"&amp;$AG26,CaseTypeColSetMember!$H:$H,0))))))</f>
        <v>1</v>
      </c>
      <c r="AK26" s="6" t="b" cm="1">
        <f t="array" aca="1" ref="AK26" ca="1">IF($AG26="",TRUE,IF($I26="",FALSE,IF(INDIRECT("OrganizationAccessCasePolicy!L"&amp;$I26)="",FALSE,NOT(ISNA(MATCH(INDIRECT("OrganizationAccessCasePolicy!L"&amp;$I26)&amp;"|"&amp;$AG26,CaseTypeColSetMember!$H:$H,0))))))</f>
        <v>1</v>
      </c>
      <c r="AL26" s="6" t="b" cm="1">
        <f t="array" aca="1" ref="AL26" ca="1">IF($AG26="",TRUE,IF($M26="",FALSE,IF(INDIRECT("UserAccessCasePolicy!I"&amp;$M26)="",FALSE,NOT(ISNA(MATCH(INDIRECT("UserAccessCasePolicy!I"&amp;$M26)&amp;"|"&amp;$AG26,CaseTypeColSetMember!$H:$H,0))))))</f>
        <v>1</v>
      </c>
      <c r="AM26" s="6" t="b" cm="1">
        <f t="array" aca="1" ref="AM26" ca="1">IF($AG26="",TRUE,IF($M26="",FALSE,IF(INDIRECT("UserAccessCasePolicy!K"&amp;$M26)="",FALSE,NOT(ISNA(MATCH(INDIRECT("UserAccessCasePolicy!K"&amp;$M26)&amp;"|"&amp;$AG26,CaseTypeColSetMember!$H:$H,0))))))</f>
        <v>1</v>
      </c>
      <c r="AP26" s="6" t="str">
        <f>IF($AN26="","",INDEX(CaseTypeCol!$G:$G,MATCH($AN26,CaseTypeCol!$A:$A,0)))</f>
        <v/>
      </c>
      <c r="AQ26" s="6" t="b" cm="1">
        <f t="array" aca="1" ref="AQ26" ca="1">IF($AN26="",TRUE,IF($I26="",FALSE,IF(INDIRECT("OrganizationAccessCasePolicy!J"&amp;$I26)="",FALSE,NOT(ISNA(MATCH(INDIRECT("OrganizationAccessCasePolicy!J"&amp;$I26)&amp;"|"&amp;$AN26,CaseTypeColSetMember!$H:$H,0))))))</f>
        <v>1</v>
      </c>
      <c r="AR26" s="6" t="b" cm="1">
        <f t="array" aca="1" ref="AR26" ca="1">IF($AN26="",TRUE,IF($I26="",FALSE,IF(INDIRECT("OrganizationAccessCasePolicy!L"&amp;$I26)="",FALSE,NOT(ISNA(MATCH(INDIRECT("OrganizationAccessCasePolicy!L"&amp;$I26)&amp;"|"&amp;$AN26,CaseTypeColSetMember!$H:$H,0))))))</f>
        <v>1</v>
      </c>
      <c r="AS26" s="6" t="b" cm="1">
        <f t="array" aca="1" ref="AS26" ca="1">IF($AN26="",TRUE,IF($M26="",FALSE,IF(INDIRECT("UserAccessCasePolicy!I"&amp;$M26)="",FALSE,NOT(ISNA(MATCH(INDIRECT("UserAccessCasePolicy!I"&amp;$M26)&amp;"|"&amp;$AN26,CaseTypeColSetMember!$H:$H,0))))))</f>
        <v>1</v>
      </c>
      <c r="AT26" s="6" t="b" cm="1">
        <f t="array" aca="1" ref="AT26" ca="1">IF($AN26="",TRUE,IF($M26="",FALSE,IF(INDIRECT("UserAccessCasePolicy!K"&amp;$M26)="",FALSE,NOT(ISNA(MATCH(INDIRECT("UserAccessCasePolicy!K"&amp;$M26)&amp;"|"&amp;$AN26,CaseTypeColSetMember!$H:$H,0))))))</f>
        <v>1</v>
      </c>
    </row>
    <row r="27" spans="1:46" x14ac:dyDescent="0.3">
      <c r="A27">
        <v>26</v>
      </c>
      <c r="B27" t="s">
        <v>628</v>
      </c>
      <c r="C27" t="s">
        <v>30</v>
      </c>
      <c r="D27" s="6" t="str">
        <f>INDEX(User!$C:$C,MATCH($C27,User!$A:$A,0))</f>
        <v>org_user4_2</v>
      </c>
      <c r="E27" t="s">
        <v>723</v>
      </c>
      <c r="F27" s="19" t="b">
        <f t="shared" ca="1" si="0"/>
        <v>0</v>
      </c>
      <c r="G27" s="6" t="str">
        <f>INDEX(User!$F:$F,MATCH($C27,User!$A:$A,0))</f>
        <v>0195d18c-1c92-d419-4c71-a570f428499b</v>
      </c>
      <c r="H27" s="6" t="b">
        <f>INDEX(User!$L:$L,MATCH($C27,User!$A:$A,0))</f>
        <v>0</v>
      </c>
      <c r="I27" s="6" t="str">
        <f>IF(ISNA(MATCH($G27&amp;"|"&amp;$V27,OrganizationAccessCasePolicy!$V:$V,0)),"",MATCH($G27&amp;"|"&amp;$V27,OrganizationAccessCasePolicy!$V:$V,0))</f>
        <v/>
      </c>
      <c r="J27" s="6" t="b" cm="1">
        <f t="array" aca="1" ref="J27" ca="1">IF($I27="",FALSE,NOT(ISNA(MATCH(INDIRECT("OrganizationAccessCasePolicy!D"&amp;$I27)&amp;"|"&amp;$R27,CaseTypeSetMember!$H:$H,0))))</f>
        <v>0</v>
      </c>
      <c r="K27" s="6" t="b" cm="1">
        <f t="array" aca="1" ref="K27" ca="1">IF($I27="",FALSE,AND(INDIRECT("OrganizationAccessCasePolicy!H"&amp;$I27),NOT(ISNA(MATCH(INDIRECT("OrganizationAccessCasePolicy!D"&amp;$I27)&amp;"|"&amp;$R27,CaseTypeSetMember!$H:$H,0)))))</f>
        <v>0</v>
      </c>
      <c r="L27" s="6" t="b" cm="1">
        <f t="array" aca="1" ref="L27" ca="1">IF($I27="",FALSE,AND(INDIRECT("OrganizationAccessCasePolicy!I"&amp;$I27),NOT(ISNA(MATCH(INDIRECT("OrganizationAccessCasePolicy!D"&amp;$I27)&amp;"|"&amp;$R27,CaseTypeSetMember!$H:$H,0)))))</f>
        <v>0</v>
      </c>
      <c r="M27" s="6" t="str">
        <f>IF(ISNA(MATCH($C27&amp;"|"&amp;$V27,UserAccessCasePolicy!$W:$W,0)),"",MATCH($C27&amp;"|"&amp;$V27,UserAccessCasePolicy!$W:$W,0))</f>
        <v/>
      </c>
      <c r="N27" s="6" t="b" cm="1">
        <f t="array" aca="1" ref="N27" ca="1">IF($M27="",FALSE,NOT(ISNA(MATCH(INDIRECT("UserAccessCasePolicy!D"&amp;$M27)&amp;"|"&amp;$R27,CaseTypeSetMember!$H:$H,0))))</f>
        <v>0</v>
      </c>
      <c r="O27" s="6" t="b" cm="1">
        <f t="array" aca="1" ref="O27" ca="1">IF($M27="",FALSE,AND(INDIRECT("UserAccessCasePolicy!G"&amp;$M27),NOT(ISNA(MATCH(INDIRECT("UserAccessCasePolicy!D"&amp;$M27)&amp;"|"&amp;$R27,CaseTypeSetMember!$H:$H,0)))))</f>
        <v>0</v>
      </c>
      <c r="P27" s="6" t="b" cm="1">
        <f t="array" aca="1" ref="P27" ca="1">IF($M27="",FALSE,AND(INDIRECT("UserAccessCasePolicy!H"&amp;$M27),NOT(ISNA(MATCH(INDIRECT("UserAccessCasePolicy!D"&amp;$M27)&amp;"|"&amp;$R27,CaseTypeSetMember!$H:$H,0)))))</f>
        <v>0</v>
      </c>
      <c r="Q27" t="s">
        <v>654</v>
      </c>
      <c r="R27" t="s">
        <v>119</v>
      </c>
      <c r="S27" s="6" t="str">
        <f>INDEX(CaseType!$B:$B,MATCH($R27,CaseType!$A:$A,0))</f>
        <v>case_type1</v>
      </c>
      <c r="T27" s="6" t="b">
        <f>AND(IF($Z27="",TRUE,$R27=INDEX(CaseTypeCol!$B:$B,MATCH($Z27,CaseTypeCol!$A:$A,0))),IF($AG27="",TRUE,$R27=INDEX(CaseTypeCol!$B:$B,MATCH($AG27,CaseTypeCol!$A:$A,0))),IF($AN27="",TRUE,$R27=INDEX(CaseTypeCol!$B:$B,MATCH($AN27,CaseTypeCol!$A:$A,0))))</f>
        <v>1</v>
      </c>
      <c r="V27" t="s">
        <v>11</v>
      </c>
      <c r="W27" s="6" t="str">
        <f>INDEX(DataCollection!$B:$B,MATCH($V27,DataCollection!$A:$A,0))</f>
        <v>data_collection1</v>
      </c>
      <c r="Y27" s="14">
        <v>36526</v>
      </c>
      <c r="Z27" t="s">
        <v>142</v>
      </c>
      <c r="AA27" t="s">
        <v>665</v>
      </c>
      <c r="AB27" s="6" t="str">
        <f>IF($Z27="","",INDEX(CaseTypeCol!$G:$G,MATCH($Z27,CaseTypeCol!$A:$A,0)))</f>
        <v>case_type1_dim1_1_text</v>
      </c>
      <c r="AC27" s="6" t="b" cm="1">
        <f t="array" aca="1" ref="AC27" ca="1">IF($Z27="",TRUE,IF($I27="",FALSE,IF(INDIRECT("OrganizationAccessCasePolicy!J"&amp;$I27)="",FALSE,NOT(ISNA(MATCH(INDIRECT("OrganizationAccessCasePolicy!J"&amp;$I27)&amp;"|"&amp;$Z27,CaseTypeColSetMember!$H:$H,0))))))</f>
        <v>0</v>
      </c>
      <c r="AD27" s="6" t="b" cm="1">
        <f t="array" aca="1" ref="AD27" ca="1">IF($Z27="",TRUE,IF($I27="",FALSE,IF(INDIRECT("OrganizationAccessCasePolicy!L"&amp;$I27)="",FALSE,NOT(ISNA(MATCH(INDIRECT("OrganizationAccessCasePolicy!L"&amp;$I27)&amp;"|"&amp;$Z27,CaseTypeColSetMember!$H:$H,0))))))</f>
        <v>0</v>
      </c>
      <c r="AE27" s="6" t="b" cm="1">
        <f t="array" aca="1" ref="AE27" ca="1">IF($Z27="",TRUE,IF($M27="",FALSE,IF(INDIRECT("UserAccessCasePolicy!I"&amp;$M27)="",FALSE,NOT(ISNA(MATCH(INDIRECT("UserAccessCasePolicy!I"&amp;$M27)&amp;"|"&amp;$Z27,CaseTypeColSetMember!$H:$H,0))))))</f>
        <v>0</v>
      </c>
      <c r="AF27" s="6" t="b" cm="1">
        <f t="array" aca="1" ref="AF27" ca="1">IF($Z27="",TRUE,IF($M27="",FALSE,IF(INDIRECT("UserAccessCasePolicy!K"&amp;$M27)="",FALSE,NOT(ISNA(MATCH(INDIRECT("UserAccessCasePolicy!K"&amp;$M27)&amp;"|"&amp;$Z27,CaseTypeColSetMember!$H:$H,0))))))</f>
        <v>0</v>
      </c>
      <c r="AI27" s="6" t="str">
        <f>IF($AG27="","",INDEX(CaseTypeCol!$G:$G,MATCH($AG27,CaseTypeCol!$A:$A,0)))</f>
        <v/>
      </c>
      <c r="AJ27" s="6" t="b" cm="1">
        <f t="array" aca="1" ref="AJ27" ca="1">IF($AG27="",TRUE,IF($I27="",FALSE,IF(INDIRECT("OrganizationAccessCasePolicy!J"&amp;$I27)="",FALSE,NOT(ISNA(MATCH(INDIRECT("OrganizationAccessCasePolicy!J"&amp;$I27)&amp;"|"&amp;$AG27,CaseTypeColSetMember!$H:$H,0))))))</f>
        <v>1</v>
      </c>
      <c r="AK27" s="6" t="b" cm="1">
        <f t="array" aca="1" ref="AK27" ca="1">IF($AG27="",TRUE,IF($I27="",FALSE,IF(INDIRECT("OrganizationAccessCasePolicy!L"&amp;$I27)="",FALSE,NOT(ISNA(MATCH(INDIRECT("OrganizationAccessCasePolicy!L"&amp;$I27)&amp;"|"&amp;$AG27,CaseTypeColSetMember!$H:$H,0))))))</f>
        <v>1</v>
      </c>
      <c r="AL27" s="6" t="b" cm="1">
        <f t="array" aca="1" ref="AL27" ca="1">IF($AG27="",TRUE,IF($M27="",FALSE,IF(INDIRECT("UserAccessCasePolicy!I"&amp;$M27)="",FALSE,NOT(ISNA(MATCH(INDIRECT("UserAccessCasePolicy!I"&amp;$M27)&amp;"|"&amp;$AG27,CaseTypeColSetMember!$H:$H,0))))))</f>
        <v>1</v>
      </c>
      <c r="AM27" s="6" t="b" cm="1">
        <f t="array" aca="1" ref="AM27" ca="1">IF($AG27="",TRUE,IF($M27="",FALSE,IF(INDIRECT("UserAccessCasePolicy!K"&amp;$M27)="",FALSE,NOT(ISNA(MATCH(INDIRECT("UserAccessCasePolicy!K"&amp;$M27)&amp;"|"&amp;$AG27,CaseTypeColSetMember!$H:$H,0))))))</f>
        <v>1</v>
      </c>
      <c r="AP27" s="6" t="str">
        <f>IF($AN27="","",INDEX(CaseTypeCol!$G:$G,MATCH($AN27,CaseTypeCol!$A:$A,0)))</f>
        <v/>
      </c>
      <c r="AQ27" s="6" t="b" cm="1">
        <f t="array" aca="1" ref="AQ27" ca="1">IF($AN27="",TRUE,IF($I27="",FALSE,IF(INDIRECT("OrganizationAccessCasePolicy!J"&amp;$I27)="",FALSE,NOT(ISNA(MATCH(INDIRECT("OrganizationAccessCasePolicy!J"&amp;$I27)&amp;"|"&amp;$AN27,CaseTypeColSetMember!$H:$H,0))))))</f>
        <v>1</v>
      </c>
      <c r="AR27" s="6" t="b" cm="1">
        <f t="array" aca="1" ref="AR27" ca="1">IF($AN27="",TRUE,IF($I27="",FALSE,IF(INDIRECT("OrganizationAccessCasePolicy!L"&amp;$I27)="",FALSE,NOT(ISNA(MATCH(INDIRECT("OrganizationAccessCasePolicy!L"&amp;$I27)&amp;"|"&amp;$AN27,CaseTypeColSetMember!$H:$H,0))))))</f>
        <v>1</v>
      </c>
      <c r="AS27" s="6" t="b" cm="1">
        <f t="array" aca="1" ref="AS27" ca="1">IF($AN27="",TRUE,IF($M27="",FALSE,IF(INDIRECT("UserAccessCasePolicy!I"&amp;$M27)="",FALSE,NOT(ISNA(MATCH(INDIRECT("UserAccessCasePolicy!I"&amp;$M27)&amp;"|"&amp;$AN27,CaseTypeColSetMember!$H:$H,0))))))</f>
        <v>1</v>
      </c>
      <c r="AT27" s="6" t="b" cm="1">
        <f t="array" aca="1" ref="AT27" ca="1">IF($AN27="",TRUE,IF($M27="",FALSE,IF(INDIRECT("UserAccessCasePolicy!K"&amp;$M27)="",FALSE,NOT(ISNA(MATCH(INDIRECT("UserAccessCasePolicy!K"&amp;$M27)&amp;"|"&amp;$AN27,CaseTypeColSetMember!$H:$H,0))))))</f>
        <v>1</v>
      </c>
    </row>
    <row r="28" spans="1:46" x14ac:dyDescent="0.3">
      <c r="A28">
        <v>27</v>
      </c>
      <c r="B28" t="s">
        <v>629</v>
      </c>
      <c r="C28" t="s">
        <v>31</v>
      </c>
      <c r="D28" s="6" t="str">
        <f>INDEX(User!$C:$C,MATCH($C28,User!$A:$A,0))</f>
        <v>org_user4_3</v>
      </c>
      <c r="E28" t="s">
        <v>723</v>
      </c>
      <c r="F28" s="19" t="b">
        <f t="shared" ca="1" si="0"/>
        <v>0</v>
      </c>
      <c r="G28" s="6" t="str">
        <f>INDEX(User!$F:$F,MATCH($C28,User!$A:$A,0))</f>
        <v>0195d18c-1c92-d419-4c71-a570f428499b</v>
      </c>
      <c r="H28" s="6" t="b">
        <f>INDEX(User!$L:$L,MATCH($C28,User!$A:$A,0))</f>
        <v>0</v>
      </c>
      <c r="I28" s="6" t="str">
        <f>IF(ISNA(MATCH($G28&amp;"|"&amp;$V28,OrganizationAccessCasePolicy!$V:$V,0)),"",MATCH($G28&amp;"|"&amp;$V28,OrganizationAccessCasePolicy!$V:$V,0))</f>
        <v/>
      </c>
      <c r="J28" s="6" t="b" cm="1">
        <f t="array" aca="1" ref="J28" ca="1">IF($I28="",FALSE,NOT(ISNA(MATCH(INDIRECT("OrganizationAccessCasePolicy!D"&amp;$I28)&amp;"|"&amp;$R28,CaseTypeSetMember!$H:$H,0))))</f>
        <v>0</v>
      </c>
      <c r="K28" s="6" t="b" cm="1">
        <f t="array" aca="1" ref="K28" ca="1">IF($I28="",FALSE,AND(INDIRECT("OrganizationAccessCasePolicy!H"&amp;$I28),NOT(ISNA(MATCH(INDIRECT("OrganizationAccessCasePolicy!D"&amp;$I28)&amp;"|"&amp;$R28,CaseTypeSetMember!$H:$H,0)))))</f>
        <v>0</v>
      </c>
      <c r="L28" s="6" t="b" cm="1">
        <f t="array" aca="1" ref="L28" ca="1">IF($I28="",FALSE,AND(INDIRECT("OrganizationAccessCasePolicy!I"&amp;$I28),NOT(ISNA(MATCH(INDIRECT("OrganizationAccessCasePolicy!D"&amp;$I28)&amp;"|"&amp;$R28,CaseTypeSetMember!$H:$H,0)))))</f>
        <v>0</v>
      </c>
      <c r="M28" s="6" t="str">
        <f>IF(ISNA(MATCH($C28&amp;"|"&amp;$V28,UserAccessCasePolicy!$W:$W,0)),"",MATCH($C28&amp;"|"&amp;$V28,UserAccessCasePolicy!$W:$W,0))</f>
        <v/>
      </c>
      <c r="N28" s="6" t="b" cm="1">
        <f t="array" aca="1" ref="N28" ca="1">IF($M28="",FALSE,NOT(ISNA(MATCH(INDIRECT("UserAccessCasePolicy!D"&amp;$M28)&amp;"|"&amp;$R28,CaseTypeSetMember!$H:$H,0))))</f>
        <v>0</v>
      </c>
      <c r="O28" s="6" t="b" cm="1">
        <f t="array" aca="1" ref="O28" ca="1">IF($M28="",FALSE,AND(INDIRECT("UserAccessCasePolicy!G"&amp;$M28),NOT(ISNA(MATCH(INDIRECT("UserAccessCasePolicy!D"&amp;$M28)&amp;"|"&amp;$R28,CaseTypeSetMember!$H:$H,0)))))</f>
        <v>0</v>
      </c>
      <c r="P28" s="6" t="b" cm="1">
        <f t="array" aca="1" ref="P28" ca="1">IF($M28="",FALSE,AND(INDIRECT("UserAccessCasePolicy!H"&amp;$M28),NOT(ISNA(MATCH(INDIRECT("UserAccessCasePolicy!D"&amp;$M28)&amp;"|"&amp;$R28,CaseTypeSetMember!$H:$H,0)))))</f>
        <v>0</v>
      </c>
      <c r="Q28" t="s">
        <v>655</v>
      </c>
      <c r="R28" t="s">
        <v>119</v>
      </c>
      <c r="S28" s="6" t="str">
        <f>INDEX(CaseType!$B:$B,MATCH($R28,CaseType!$A:$A,0))</f>
        <v>case_type1</v>
      </c>
      <c r="T28" s="6" t="b">
        <f>AND(IF($Z28="",TRUE,$R28=INDEX(CaseTypeCol!$B:$B,MATCH($Z28,CaseTypeCol!$A:$A,0))),IF($AG28="",TRUE,$R28=INDEX(CaseTypeCol!$B:$B,MATCH($AG28,CaseTypeCol!$A:$A,0))),IF($AN28="",TRUE,$R28=INDEX(CaseTypeCol!$B:$B,MATCH($AN28,CaseTypeCol!$A:$A,0))))</f>
        <v>1</v>
      </c>
      <c r="V28" t="s">
        <v>11</v>
      </c>
      <c r="W28" s="6" t="str">
        <f>INDEX(DataCollection!$B:$B,MATCH($V28,DataCollection!$A:$A,0))</f>
        <v>data_collection1</v>
      </c>
      <c r="Y28" s="14">
        <v>36526</v>
      </c>
      <c r="Z28" t="s">
        <v>142</v>
      </c>
      <c r="AA28" t="s">
        <v>665</v>
      </c>
      <c r="AB28" s="6" t="str">
        <f>IF($Z28="","",INDEX(CaseTypeCol!$G:$G,MATCH($Z28,CaseTypeCol!$A:$A,0)))</f>
        <v>case_type1_dim1_1_text</v>
      </c>
      <c r="AC28" s="6" t="b" cm="1">
        <f t="array" aca="1" ref="AC28" ca="1">IF($Z28="",TRUE,IF($I28="",FALSE,IF(INDIRECT("OrganizationAccessCasePolicy!J"&amp;$I28)="",FALSE,NOT(ISNA(MATCH(INDIRECT("OrganizationAccessCasePolicy!J"&amp;$I28)&amp;"|"&amp;$Z28,CaseTypeColSetMember!$H:$H,0))))))</f>
        <v>0</v>
      </c>
      <c r="AD28" s="6" t="b" cm="1">
        <f t="array" aca="1" ref="AD28" ca="1">IF($Z28="",TRUE,IF($I28="",FALSE,IF(INDIRECT("OrganizationAccessCasePolicy!L"&amp;$I28)="",FALSE,NOT(ISNA(MATCH(INDIRECT("OrganizationAccessCasePolicy!L"&amp;$I28)&amp;"|"&amp;$Z28,CaseTypeColSetMember!$H:$H,0))))))</f>
        <v>0</v>
      </c>
      <c r="AE28" s="6" t="b" cm="1">
        <f t="array" aca="1" ref="AE28" ca="1">IF($Z28="",TRUE,IF($M28="",FALSE,IF(INDIRECT("UserAccessCasePolicy!I"&amp;$M28)="",FALSE,NOT(ISNA(MATCH(INDIRECT("UserAccessCasePolicy!I"&amp;$M28)&amp;"|"&amp;$Z28,CaseTypeColSetMember!$H:$H,0))))))</f>
        <v>0</v>
      </c>
      <c r="AF28" s="6" t="b" cm="1">
        <f t="array" aca="1" ref="AF28" ca="1">IF($Z28="",TRUE,IF($M28="",FALSE,IF(INDIRECT("UserAccessCasePolicy!K"&amp;$M28)="",FALSE,NOT(ISNA(MATCH(INDIRECT("UserAccessCasePolicy!K"&amp;$M28)&amp;"|"&amp;$Z28,CaseTypeColSetMember!$H:$H,0))))))</f>
        <v>0</v>
      </c>
      <c r="AI28" s="6" t="str">
        <f>IF($AG28="","",INDEX(CaseTypeCol!$G:$G,MATCH($AG28,CaseTypeCol!$A:$A,0)))</f>
        <v/>
      </c>
      <c r="AJ28" s="6" t="b" cm="1">
        <f t="array" aca="1" ref="AJ28" ca="1">IF($AG28="",TRUE,IF($I28="",FALSE,IF(INDIRECT("OrganizationAccessCasePolicy!J"&amp;$I28)="",FALSE,NOT(ISNA(MATCH(INDIRECT("OrganizationAccessCasePolicy!J"&amp;$I28)&amp;"|"&amp;$AG28,CaseTypeColSetMember!$H:$H,0))))))</f>
        <v>1</v>
      </c>
      <c r="AK28" s="6" t="b" cm="1">
        <f t="array" aca="1" ref="AK28" ca="1">IF($AG28="",TRUE,IF($I28="",FALSE,IF(INDIRECT("OrganizationAccessCasePolicy!L"&amp;$I28)="",FALSE,NOT(ISNA(MATCH(INDIRECT("OrganizationAccessCasePolicy!L"&amp;$I28)&amp;"|"&amp;$AG28,CaseTypeColSetMember!$H:$H,0))))))</f>
        <v>1</v>
      </c>
      <c r="AL28" s="6" t="b" cm="1">
        <f t="array" aca="1" ref="AL28" ca="1">IF($AG28="",TRUE,IF($M28="",FALSE,IF(INDIRECT("UserAccessCasePolicy!I"&amp;$M28)="",FALSE,NOT(ISNA(MATCH(INDIRECT("UserAccessCasePolicy!I"&amp;$M28)&amp;"|"&amp;$AG28,CaseTypeColSetMember!$H:$H,0))))))</f>
        <v>1</v>
      </c>
      <c r="AM28" s="6" t="b" cm="1">
        <f t="array" aca="1" ref="AM28" ca="1">IF($AG28="",TRUE,IF($M28="",FALSE,IF(INDIRECT("UserAccessCasePolicy!K"&amp;$M28)="",FALSE,NOT(ISNA(MATCH(INDIRECT("UserAccessCasePolicy!K"&amp;$M28)&amp;"|"&amp;$AG28,CaseTypeColSetMember!$H:$H,0))))))</f>
        <v>1</v>
      </c>
      <c r="AP28" s="6" t="str">
        <f>IF($AN28="","",INDEX(CaseTypeCol!$G:$G,MATCH($AN28,CaseTypeCol!$A:$A,0)))</f>
        <v/>
      </c>
      <c r="AQ28" s="6" t="b" cm="1">
        <f t="array" aca="1" ref="AQ28" ca="1">IF($AN28="",TRUE,IF($I28="",FALSE,IF(INDIRECT("OrganizationAccessCasePolicy!J"&amp;$I28)="",FALSE,NOT(ISNA(MATCH(INDIRECT("OrganizationAccessCasePolicy!J"&amp;$I28)&amp;"|"&amp;$AN28,CaseTypeColSetMember!$H:$H,0))))))</f>
        <v>1</v>
      </c>
      <c r="AR28" s="6" t="b" cm="1">
        <f t="array" aca="1" ref="AR28" ca="1">IF($AN28="",TRUE,IF($I28="",FALSE,IF(INDIRECT("OrganizationAccessCasePolicy!L"&amp;$I28)="",FALSE,NOT(ISNA(MATCH(INDIRECT("OrganizationAccessCasePolicy!L"&amp;$I28)&amp;"|"&amp;$AN28,CaseTypeColSetMember!$H:$H,0))))))</f>
        <v>1</v>
      </c>
      <c r="AS28" s="6" t="b" cm="1">
        <f t="array" aca="1" ref="AS28" ca="1">IF($AN28="",TRUE,IF($M28="",FALSE,IF(INDIRECT("UserAccessCasePolicy!I"&amp;$M28)="",FALSE,NOT(ISNA(MATCH(INDIRECT("UserAccessCasePolicy!I"&amp;$M28)&amp;"|"&amp;$AN28,CaseTypeColSetMember!$H:$H,0))))))</f>
        <v>1</v>
      </c>
      <c r="AT28" s="6" t="b" cm="1">
        <f t="array" aca="1" ref="AT28" ca="1">IF($AN28="",TRUE,IF($M28="",FALSE,IF(INDIRECT("UserAccessCasePolicy!K"&amp;$M28)="",FALSE,NOT(ISNA(MATCH(INDIRECT("UserAccessCasePolicy!K"&amp;$M28)&amp;"|"&amp;$AN28,CaseTypeColSetMember!$H:$H,0))))))</f>
        <v>1</v>
      </c>
    </row>
    <row r="29" spans="1:46" x14ac:dyDescent="0.3">
      <c r="A29">
        <v>28</v>
      </c>
      <c r="B29" t="s">
        <v>630</v>
      </c>
      <c r="C29" t="s">
        <v>32</v>
      </c>
      <c r="D29" s="6" t="str">
        <f>INDEX(User!$C:$C,MATCH($C29,User!$A:$A,0))</f>
        <v>org_user4_4</v>
      </c>
      <c r="E29" t="s">
        <v>723</v>
      </c>
      <c r="F29" s="19" t="b">
        <f t="shared" ca="1" si="0"/>
        <v>0</v>
      </c>
      <c r="G29" s="6" t="str">
        <f>INDEX(User!$F:$F,MATCH($C29,User!$A:$A,0))</f>
        <v>0195d18c-1c92-d419-4c71-a570f428499b</v>
      </c>
      <c r="H29" s="6" t="b">
        <f>INDEX(User!$L:$L,MATCH($C29,User!$A:$A,0))</f>
        <v>0</v>
      </c>
      <c r="I29" s="6" t="str">
        <f>IF(ISNA(MATCH($G29&amp;"|"&amp;$V29,OrganizationAccessCasePolicy!$V:$V,0)),"",MATCH($G29&amp;"|"&amp;$V29,OrganizationAccessCasePolicy!$V:$V,0))</f>
        <v/>
      </c>
      <c r="J29" s="6" t="b" cm="1">
        <f t="array" aca="1" ref="J29" ca="1">IF($I29="",FALSE,NOT(ISNA(MATCH(INDIRECT("OrganizationAccessCasePolicy!D"&amp;$I29)&amp;"|"&amp;$R29,CaseTypeSetMember!$H:$H,0))))</f>
        <v>0</v>
      </c>
      <c r="K29" s="6" t="b" cm="1">
        <f t="array" aca="1" ref="K29" ca="1">IF($I29="",FALSE,AND(INDIRECT("OrganizationAccessCasePolicy!H"&amp;$I29),NOT(ISNA(MATCH(INDIRECT("OrganizationAccessCasePolicy!D"&amp;$I29)&amp;"|"&amp;$R29,CaseTypeSetMember!$H:$H,0)))))</f>
        <v>0</v>
      </c>
      <c r="L29" s="6" t="b" cm="1">
        <f t="array" aca="1" ref="L29" ca="1">IF($I29="",FALSE,AND(INDIRECT("OrganizationAccessCasePolicy!I"&amp;$I29),NOT(ISNA(MATCH(INDIRECT("OrganizationAccessCasePolicy!D"&amp;$I29)&amp;"|"&amp;$R29,CaseTypeSetMember!$H:$H,0)))))</f>
        <v>0</v>
      </c>
      <c r="M29" s="6" t="str">
        <f>IF(ISNA(MATCH($C29&amp;"|"&amp;$V29,UserAccessCasePolicy!$W:$W,0)),"",MATCH($C29&amp;"|"&amp;$V29,UserAccessCasePolicy!$W:$W,0))</f>
        <v/>
      </c>
      <c r="N29" s="6" t="b" cm="1">
        <f t="array" aca="1" ref="N29" ca="1">IF($M29="",FALSE,NOT(ISNA(MATCH(INDIRECT("UserAccessCasePolicy!D"&amp;$M29)&amp;"|"&amp;$R29,CaseTypeSetMember!$H:$H,0))))</f>
        <v>0</v>
      </c>
      <c r="O29" s="6" t="b" cm="1">
        <f t="array" aca="1" ref="O29" ca="1">IF($M29="",FALSE,AND(INDIRECT("UserAccessCasePolicy!G"&amp;$M29),NOT(ISNA(MATCH(INDIRECT("UserAccessCasePolicy!D"&amp;$M29)&amp;"|"&amp;$R29,CaseTypeSetMember!$H:$H,0)))))</f>
        <v>0</v>
      </c>
      <c r="P29" s="6" t="b" cm="1">
        <f t="array" aca="1" ref="P29" ca="1">IF($M29="",FALSE,AND(INDIRECT("UserAccessCasePolicy!H"&amp;$M29),NOT(ISNA(MATCH(INDIRECT("UserAccessCasePolicy!D"&amp;$M29)&amp;"|"&amp;$R29,CaseTypeSetMember!$H:$H,0)))))</f>
        <v>0</v>
      </c>
      <c r="Q29" t="s">
        <v>656</v>
      </c>
      <c r="R29" t="s">
        <v>119</v>
      </c>
      <c r="S29" s="6" t="str">
        <f>INDEX(CaseType!$B:$B,MATCH($R29,CaseType!$A:$A,0))</f>
        <v>case_type1</v>
      </c>
      <c r="T29" s="6" t="b">
        <f>AND(IF($Z29="",TRUE,$R29=INDEX(CaseTypeCol!$B:$B,MATCH($Z29,CaseTypeCol!$A:$A,0))),IF($AG29="",TRUE,$R29=INDEX(CaseTypeCol!$B:$B,MATCH($AG29,CaseTypeCol!$A:$A,0))),IF($AN29="",TRUE,$R29=INDEX(CaseTypeCol!$B:$B,MATCH($AN29,CaseTypeCol!$A:$A,0))))</f>
        <v>1</v>
      </c>
      <c r="V29" t="s">
        <v>11</v>
      </c>
      <c r="W29" s="6" t="str">
        <f>INDEX(DataCollection!$B:$B,MATCH($V29,DataCollection!$A:$A,0))</f>
        <v>data_collection1</v>
      </c>
      <c r="Y29" s="14">
        <v>36526</v>
      </c>
      <c r="Z29" t="s">
        <v>142</v>
      </c>
      <c r="AA29" t="s">
        <v>665</v>
      </c>
      <c r="AB29" s="6" t="str">
        <f>IF($Z29="","",INDEX(CaseTypeCol!$G:$G,MATCH($Z29,CaseTypeCol!$A:$A,0)))</f>
        <v>case_type1_dim1_1_text</v>
      </c>
      <c r="AC29" s="6" t="b" cm="1">
        <f t="array" aca="1" ref="AC29" ca="1">IF($Z29="",TRUE,IF($I29="",FALSE,IF(INDIRECT("OrganizationAccessCasePolicy!J"&amp;$I29)="",FALSE,NOT(ISNA(MATCH(INDIRECT("OrganizationAccessCasePolicy!J"&amp;$I29)&amp;"|"&amp;$Z29,CaseTypeColSetMember!$H:$H,0))))))</f>
        <v>0</v>
      </c>
      <c r="AD29" s="6" t="b" cm="1">
        <f t="array" aca="1" ref="AD29" ca="1">IF($Z29="",TRUE,IF($I29="",FALSE,IF(INDIRECT("OrganizationAccessCasePolicy!L"&amp;$I29)="",FALSE,NOT(ISNA(MATCH(INDIRECT("OrganizationAccessCasePolicy!L"&amp;$I29)&amp;"|"&amp;$Z29,CaseTypeColSetMember!$H:$H,0))))))</f>
        <v>0</v>
      </c>
      <c r="AE29" s="6" t="b" cm="1">
        <f t="array" aca="1" ref="AE29" ca="1">IF($Z29="",TRUE,IF($M29="",FALSE,IF(INDIRECT("UserAccessCasePolicy!I"&amp;$M29)="",FALSE,NOT(ISNA(MATCH(INDIRECT("UserAccessCasePolicy!I"&amp;$M29)&amp;"|"&amp;$Z29,CaseTypeColSetMember!$H:$H,0))))))</f>
        <v>0</v>
      </c>
      <c r="AF29" s="6" t="b" cm="1">
        <f t="array" aca="1" ref="AF29" ca="1">IF($Z29="",TRUE,IF($M29="",FALSE,IF(INDIRECT("UserAccessCasePolicy!K"&amp;$M29)="",FALSE,NOT(ISNA(MATCH(INDIRECT("UserAccessCasePolicy!K"&amp;$M29)&amp;"|"&amp;$Z29,CaseTypeColSetMember!$H:$H,0))))))</f>
        <v>0</v>
      </c>
      <c r="AI29" s="6" t="str">
        <f>IF($AG29="","",INDEX(CaseTypeCol!$G:$G,MATCH($AG29,CaseTypeCol!$A:$A,0)))</f>
        <v/>
      </c>
      <c r="AJ29" s="6" t="b" cm="1">
        <f t="array" aca="1" ref="AJ29" ca="1">IF($AG29="",TRUE,IF($I29="",FALSE,IF(INDIRECT("OrganizationAccessCasePolicy!J"&amp;$I29)="",FALSE,NOT(ISNA(MATCH(INDIRECT("OrganizationAccessCasePolicy!J"&amp;$I29)&amp;"|"&amp;$AG29,CaseTypeColSetMember!$H:$H,0))))))</f>
        <v>1</v>
      </c>
      <c r="AK29" s="6" t="b" cm="1">
        <f t="array" aca="1" ref="AK29" ca="1">IF($AG29="",TRUE,IF($I29="",FALSE,IF(INDIRECT("OrganizationAccessCasePolicy!L"&amp;$I29)="",FALSE,NOT(ISNA(MATCH(INDIRECT("OrganizationAccessCasePolicy!L"&amp;$I29)&amp;"|"&amp;$AG29,CaseTypeColSetMember!$H:$H,0))))))</f>
        <v>1</v>
      </c>
      <c r="AL29" s="6" t="b" cm="1">
        <f t="array" aca="1" ref="AL29" ca="1">IF($AG29="",TRUE,IF($M29="",FALSE,IF(INDIRECT("UserAccessCasePolicy!I"&amp;$M29)="",FALSE,NOT(ISNA(MATCH(INDIRECT("UserAccessCasePolicy!I"&amp;$M29)&amp;"|"&amp;$AG29,CaseTypeColSetMember!$H:$H,0))))))</f>
        <v>1</v>
      </c>
      <c r="AM29" s="6" t="b" cm="1">
        <f t="array" aca="1" ref="AM29" ca="1">IF($AG29="",TRUE,IF($M29="",FALSE,IF(INDIRECT("UserAccessCasePolicy!K"&amp;$M29)="",FALSE,NOT(ISNA(MATCH(INDIRECT("UserAccessCasePolicy!K"&amp;$M29)&amp;"|"&amp;$AG29,CaseTypeColSetMember!$H:$H,0))))))</f>
        <v>1</v>
      </c>
      <c r="AP29" s="6" t="str">
        <f>IF($AN29="","",INDEX(CaseTypeCol!$G:$G,MATCH($AN29,CaseTypeCol!$A:$A,0)))</f>
        <v/>
      </c>
      <c r="AQ29" s="6" t="b" cm="1">
        <f t="array" aca="1" ref="AQ29" ca="1">IF($AN29="",TRUE,IF($I29="",FALSE,IF(INDIRECT("OrganizationAccessCasePolicy!J"&amp;$I29)="",FALSE,NOT(ISNA(MATCH(INDIRECT("OrganizationAccessCasePolicy!J"&amp;$I29)&amp;"|"&amp;$AN29,CaseTypeColSetMember!$H:$H,0))))))</f>
        <v>1</v>
      </c>
      <c r="AR29" s="6" t="b" cm="1">
        <f t="array" aca="1" ref="AR29" ca="1">IF($AN29="",TRUE,IF($I29="",FALSE,IF(INDIRECT("OrganizationAccessCasePolicy!L"&amp;$I29)="",FALSE,NOT(ISNA(MATCH(INDIRECT("OrganizationAccessCasePolicy!L"&amp;$I29)&amp;"|"&amp;$AN29,CaseTypeColSetMember!$H:$H,0))))))</f>
        <v>1</v>
      </c>
      <c r="AS29" s="6" t="b" cm="1">
        <f t="array" aca="1" ref="AS29" ca="1">IF($AN29="",TRUE,IF($M29="",FALSE,IF(INDIRECT("UserAccessCasePolicy!I"&amp;$M29)="",FALSE,NOT(ISNA(MATCH(INDIRECT("UserAccessCasePolicy!I"&amp;$M29)&amp;"|"&amp;$AN29,CaseTypeColSetMember!$H:$H,0))))))</f>
        <v>1</v>
      </c>
      <c r="AT29" s="6" t="b" cm="1">
        <f t="array" aca="1" ref="AT29" ca="1">IF($AN29="",TRUE,IF($M29="",FALSE,IF(INDIRECT("UserAccessCasePolicy!K"&amp;$M29)="",FALSE,NOT(ISNA(MATCH(INDIRECT("UserAccessCasePolicy!K"&amp;$M29)&amp;"|"&amp;$AN29,CaseTypeColSetMember!$H:$H,0))))))</f>
        <v>1</v>
      </c>
    </row>
    <row r="30" spans="1:46" x14ac:dyDescent="0.3">
      <c r="A30">
        <v>29</v>
      </c>
      <c r="B30" t="s">
        <v>631</v>
      </c>
      <c r="C30" t="s">
        <v>34</v>
      </c>
      <c r="D30" s="6" t="str">
        <f>INDEX(User!$C:$C,MATCH($C30,User!$A:$A,0))</f>
        <v>org_user5_1</v>
      </c>
      <c r="E30" t="s">
        <v>723</v>
      </c>
      <c r="F30" s="19" t="b">
        <f t="shared" ca="1" si="0"/>
        <v>0</v>
      </c>
      <c r="G30" s="6" t="str">
        <f>INDEX(User!$F:$F,MATCH($C30,User!$A:$A,0))</f>
        <v>0195d18c-1c93-02a2-6920-7e4dbfb73ce0</v>
      </c>
      <c r="H30" s="6" t="b">
        <f>INDEX(User!$L:$L,MATCH($C30,User!$A:$A,0))</f>
        <v>0</v>
      </c>
      <c r="I30" s="6" t="str">
        <f>IF(ISNA(MATCH($G30&amp;"|"&amp;$V30,OrganizationAccessCasePolicy!$V:$V,0)),"",MATCH($G30&amp;"|"&amp;$V30,OrganizationAccessCasePolicy!$V:$V,0))</f>
        <v/>
      </c>
      <c r="J30" s="6" t="b" cm="1">
        <f t="array" aca="1" ref="J30" ca="1">IF($I30="",FALSE,NOT(ISNA(MATCH(INDIRECT("OrganizationAccessCasePolicy!D"&amp;$I30)&amp;"|"&amp;$R30,CaseTypeSetMember!$H:$H,0))))</f>
        <v>0</v>
      </c>
      <c r="K30" s="6" t="b" cm="1">
        <f t="array" aca="1" ref="K30" ca="1">IF($I30="",FALSE,AND(INDIRECT("OrganizationAccessCasePolicy!H"&amp;$I30),NOT(ISNA(MATCH(INDIRECT("OrganizationAccessCasePolicy!D"&amp;$I30)&amp;"|"&amp;$R30,CaseTypeSetMember!$H:$H,0)))))</f>
        <v>0</v>
      </c>
      <c r="L30" s="6" t="b" cm="1">
        <f t="array" aca="1" ref="L30" ca="1">IF($I30="",FALSE,AND(INDIRECT("OrganizationAccessCasePolicy!I"&amp;$I30),NOT(ISNA(MATCH(INDIRECT("OrganizationAccessCasePolicy!D"&amp;$I30)&amp;"|"&amp;$R30,CaseTypeSetMember!$H:$H,0)))))</f>
        <v>0</v>
      </c>
      <c r="M30" s="6" t="str">
        <f>IF(ISNA(MATCH($C30&amp;"|"&amp;$V30,UserAccessCasePolicy!$W:$W,0)),"",MATCH($C30&amp;"|"&amp;$V30,UserAccessCasePolicy!$W:$W,0))</f>
        <v/>
      </c>
      <c r="N30" s="6" t="b" cm="1">
        <f t="array" aca="1" ref="N30" ca="1">IF($M30="",FALSE,NOT(ISNA(MATCH(INDIRECT("UserAccessCasePolicy!D"&amp;$M30)&amp;"|"&amp;$R30,CaseTypeSetMember!$H:$H,0))))</f>
        <v>0</v>
      </c>
      <c r="O30" s="6" t="b" cm="1">
        <f t="array" aca="1" ref="O30" ca="1">IF($M30="",FALSE,AND(INDIRECT("UserAccessCasePolicy!G"&amp;$M30),NOT(ISNA(MATCH(INDIRECT("UserAccessCasePolicy!D"&amp;$M30)&amp;"|"&amp;$R30,CaseTypeSetMember!$H:$H,0)))))</f>
        <v>0</v>
      </c>
      <c r="P30" s="6" t="b" cm="1">
        <f t="array" aca="1" ref="P30" ca="1">IF($M30="",FALSE,AND(INDIRECT("UserAccessCasePolicy!H"&amp;$M30),NOT(ISNA(MATCH(INDIRECT("UserAccessCasePolicy!D"&amp;$M30)&amp;"|"&amp;$R30,CaseTypeSetMember!$H:$H,0)))))</f>
        <v>0</v>
      </c>
      <c r="Q30" t="s">
        <v>657</v>
      </c>
      <c r="R30" t="s">
        <v>119</v>
      </c>
      <c r="S30" s="6" t="str">
        <f>INDEX(CaseType!$B:$B,MATCH($R30,CaseType!$A:$A,0))</f>
        <v>case_type1</v>
      </c>
      <c r="T30" s="6" t="b">
        <f>AND(IF($Z30="",TRUE,$R30=INDEX(CaseTypeCol!$B:$B,MATCH($Z30,CaseTypeCol!$A:$A,0))),IF($AG30="",TRUE,$R30=INDEX(CaseTypeCol!$B:$B,MATCH($AG30,CaseTypeCol!$A:$A,0))),IF($AN30="",TRUE,$R30=INDEX(CaseTypeCol!$B:$B,MATCH($AN30,CaseTypeCol!$A:$A,0))))</f>
        <v>1</v>
      </c>
      <c r="V30" t="s">
        <v>11</v>
      </c>
      <c r="W30" s="6" t="str">
        <f>INDEX(DataCollection!$B:$B,MATCH($V30,DataCollection!$A:$A,0))</f>
        <v>data_collection1</v>
      </c>
      <c r="Y30" s="14">
        <v>36526</v>
      </c>
      <c r="Z30" t="s">
        <v>142</v>
      </c>
      <c r="AA30" t="s">
        <v>665</v>
      </c>
      <c r="AB30" s="6" t="str">
        <f>IF($Z30="","",INDEX(CaseTypeCol!$G:$G,MATCH($Z30,CaseTypeCol!$A:$A,0)))</f>
        <v>case_type1_dim1_1_text</v>
      </c>
      <c r="AC30" s="6" t="b" cm="1">
        <f t="array" aca="1" ref="AC30" ca="1">IF($Z30="",TRUE,IF($I30="",FALSE,IF(INDIRECT("OrganizationAccessCasePolicy!J"&amp;$I30)="",FALSE,NOT(ISNA(MATCH(INDIRECT("OrganizationAccessCasePolicy!J"&amp;$I30)&amp;"|"&amp;$Z30,CaseTypeColSetMember!$H:$H,0))))))</f>
        <v>0</v>
      </c>
      <c r="AD30" s="6" t="b" cm="1">
        <f t="array" aca="1" ref="AD30" ca="1">IF($Z30="",TRUE,IF($I30="",FALSE,IF(INDIRECT("OrganizationAccessCasePolicy!L"&amp;$I30)="",FALSE,NOT(ISNA(MATCH(INDIRECT("OrganizationAccessCasePolicy!L"&amp;$I30)&amp;"|"&amp;$Z30,CaseTypeColSetMember!$H:$H,0))))))</f>
        <v>0</v>
      </c>
      <c r="AE30" s="6" t="b" cm="1">
        <f t="array" aca="1" ref="AE30" ca="1">IF($Z30="",TRUE,IF($M30="",FALSE,IF(INDIRECT("UserAccessCasePolicy!I"&amp;$M30)="",FALSE,NOT(ISNA(MATCH(INDIRECT("UserAccessCasePolicy!I"&amp;$M30)&amp;"|"&amp;$Z30,CaseTypeColSetMember!$H:$H,0))))))</f>
        <v>0</v>
      </c>
      <c r="AF30" s="6" t="b" cm="1">
        <f t="array" aca="1" ref="AF30" ca="1">IF($Z30="",TRUE,IF($M30="",FALSE,IF(INDIRECT("UserAccessCasePolicy!K"&amp;$M30)="",FALSE,NOT(ISNA(MATCH(INDIRECT("UserAccessCasePolicy!K"&amp;$M30)&amp;"|"&amp;$Z30,CaseTypeColSetMember!$H:$H,0))))))</f>
        <v>0</v>
      </c>
      <c r="AI30" s="6" t="str">
        <f>IF($AG30="","",INDEX(CaseTypeCol!$G:$G,MATCH($AG30,CaseTypeCol!$A:$A,0)))</f>
        <v/>
      </c>
      <c r="AJ30" s="6" t="b" cm="1">
        <f t="array" aca="1" ref="AJ30" ca="1">IF($AG30="",TRUE,IF($I30="",FALSE,IF(INDIRECT("OrganizationAccessCasePolicy!J"&amp;$I30)="",FALSE,NOT(ISNA(MATCH(INDIRECT("OrganizationAccessCasePolicy!J"&amp;$I30)&amp;"|"&amp;$AG30,CaseTypeColSetMember!$H:$H,0))))))</f>
        <v>1</v>
      </c>
      <c r="AK30" s="6" t="b" cm="1">
        <f t="array" aca="1" ref="AK30" ca="1">IF($AG30="",TRUE,IF($I30="",FALSE,IF(INDIRECT("OrganizationAccessCasePolicy!L"&amp;$I30)="",FALSE,NOT(ISNA(MATCH(INDIRECT("OrganizationAccessCasePolicy!L"&amp;$I30)&amp;"|"&amp;$AG30,CaseTypeColSetMember!$H:$H,0))))))</f>
        <v>1</v>
      </c>
      <c r="AL30" s="6" t="b" cm="1">
        <f t="array" aca="1" ref="AL30" ca="1">IF($AG30="",TRUE,IF($M30="",FALSE,IF(INDIRECT("UserAccessCasePolicy!I"&amp;$M30)="",FALSE,NOT(ISNA(MATCH(INDIRECT("UserAccessCasePolicy!I"&amp;$M30)&amp;"|"&amp;$AG30,CaseTypeColSetMember!$H:$H,0))))))</f>
        <v>1</v>
      </c>
      <c r="AM30" s="6" t="b" cm="1">
        <f t="array" aca="1" ref="AM30" ca="1">IF($AG30="",TRUE,IF($M30="",FALSE,IF(INDIRECT("UserAccessCasePolicy!K"&amp;$M30)="",FALSE,NOT(ISNA(MATCH(INDIRECT("UserAccessCasePolicy!K"&amp;$M30)&amp;"|"&amp;$AG30,CaseTypeColSetMember!$H:$H,0))))))</f>
        <v>1</v>
      </c>
      <c r="AP30" s="6" t="str">
        <f>IF($AN30="","",INDEX(CaseTypeCol!$G:$G,MATCH($AN30,CaseTypeCol!$A:$A,0)))</f>
        <v/>
      </c>
      <c r="AQ30" s="6" t="b" cm="1">
        <f t="array" aca="1" ref="AQ30" ca="1">IF($AN30="",TRUE,IF($I30="",FALSE,IF(INDIRECT("OrganizationAccessCasePolicy!J"&amp;$I30)="",FALSE,NOT(ISNA(MATCH(INDIRECT("OrganizationAccessCasePolicy!J"&amp;$I30)&amp;"|"&amp;$AN30,CaseTypeColSetMember!$H:$H,0))))))</f>
        <v>1</v>
      </c>
      <c r="AR30" s="6" t="b" cm="1">
        <f t="array" aca="1" ref="AR30" ca="1">IF($AN30="",TRUE,IF($I30="",FALSE,IF(INDIRECT("OrganizationAccessCasePolicy!L"&amp;$I30)="",FALSE,NOT(ISNA(MATCH(INDIRECT("OrganizationAccessCasePolicy!L"&amp;$I30)&amp;"|"&amp;$AN30,CaseTypeColSetMember!$H:$H,0))))))</f>
        <v>1</v>
      </c>
      <c r="AS30" s="6" t="b" cm="1">
        <f t="array" aca="1" ref="AS30" ca="1">IF($AN30="",TRUE,IF($M30="",FALSE,IF(INDIRECT("UserAccessCasePolicy!I"&amp;$M30)="",FALSE,NOT(ISNA(MATCH(INDIRECT("UserAccessCasePolicy!I"&amp;$M30)&amp;"|"&amp;$AN30,CaseTypeColSetMember!$H:$H,0))))))</f>
        <v>1</v>
      </c>
      <c r="AT30" s="6" t="b" cm="1">
        <f t="array" aca="1" ref="AT30" ca="1">IF($AN30="",TRUE,IF($M30="",FALSE,IF(INDIRECT("UserAccessCasePolicy!K"&amp;$M30)="",FALSE,NOT(ISNA(MATCH(INDIRECT("UserAccessCasePolicy!K"&amp;$M30)&amp;"|"&amp;$AN30,CaseTypeColSetMember!$H:$H,0))))))</f>
        <v>1</v>
      </c>
    </row>
    <row r="31" spans="1:46" x14ac:dyDescent="0.3">
      <c r="A31">
        <v>30</v>
      </c>
      <c r="B31" t="s">
        <v>632</v>
      </c>
      <c r="C31" t="s">
        <v>36</v>
      </c>
      <c r="D31" s="6" t="str">
        <f>INDEX(User!$C:$C,MATCH($C31,User!$A:$A,0))</f>
        <v>org_user5_2</v>
      </c>
      <c r="E31" t="s">
        <v>723</v>
      </c>
      <c r="F31" s="19" t="b">
        <f t="shared" ca="1" si="0"/>
        <v>0</v>
      </c>
      <c r="G31" s="6" t="str">
        <f>INDEX(User!$F:$F,MATCH($C31,User!$A:$A,0))</f>
        <v>0195d18c-1c93-02a2-6920-7e4dbfb73ce0</v>
      </c>
      <c r="H31" s="6" t="b">
        <f>INDEX(User!$L:$L,MATCH($C31,User!$A:$A,0))</f>
        <v>0</v>
      </c>
      <c r="I31" s="6" t="str">
        <f>IF(ISNA(MATCH($G31&amp;"|"&amp;$V31,OrganizationAccessCasePolicy!$V:$V,0)),"",MATCH($G31&amp;"|"&amp;$V31,OrganizationAccessCasePolicy!$V:$V,0))</f>
        <v/>
      </c>
      <c r="J31" s="6" t="b" cm="1">
        <f t="array" aca="1" ref="J31" ca="1">IF($I31="",FALSE,NOT(ISNA(MATCH(INDIRECT("OrganizationAccessCasePolicy!D"&amp;$I31)&amp;"|"&amp;$R31,CaseTypeSetMember!$H:$H,0))))</f>
        <v>0</v>
      </c>
      <c r="K31" s="6" t="b" cm="1">
        <f t="array" aca="1" ref="K31" ca="1">IF($I31="",FALSE,AND(INDIRECT("OrganizationAccessCasePolicy!H"&amp;$I31),NOT(ISNA(MATCH(INDIRECT("OrganizationAccessCasePolicy!D"&amp;$I31)&amp;"|"&amp;$R31,CaseTypeSetMember!$H:$H,0)))))</f>
        <v>0</v>
      </c>
      <c r="L31" s="6" t="b" cm="1">
        <f t="array" aca="1" ref="L31" ca="1">IF($I31="",FALSE,AND(INDIRECT("OrganizationAccessCasePolicy!I"&amp;$I31),NOT(ISNA(MATCH(INDIRECT("OrganizationAccessCasePolicy!D"&amp;$I31)&amp;"|"&amp;$R31,CaseTypeSetMember!$H:$H,0)))))</f>
        <v>0</v>
      </c>
      <c r="M31" s="6" t="str">
        <f>IF(ISNA(MATCH($C31&amp;"|"&amp;$V31,UserAccessCasePolicy!$W:$W,0)),"",MATCH($C31&amp;"|"&amp;$V31,UserAccessCasePolicy!$W:$W,0))</f>
        <v/>
      </c>
      <c r="N31" s="6" t="b" cm="1">
        <f t="array" aca="1" ref="N31" ca="1">IF($M31="",FALSE,NOT(ISNA(MATCH(INDIRECT("UserAccessCasePolicy!D"&amp;$M31)&amp;"|"&amp;$R31,CaseTypeSetMember!$H:$H,0))))</f>
        <v>0</v>
      </c>
      <c r="O31" s="6" t="b" cm="1">
        <f t="array" aca="1" ref="O31" ca="1">IF($M31="",FALSE,AND(INDIRECT("UserAccessCasePolicy!G"&amp;$M31),NOT(ISNA(MATCH(INDIRECT("UserAccessCasePolicy!D"&amp;$M31)&amp;"|"&amp;$R31,CaseTypeSetMember!$H:$H,0)))))</f>
        <v>0</v>
      </c>
      <c r="P31" s="6" t="b" cm="1">
        <f t="array" aca="1" ref="P31" ca="1">IF($M31="",FALSE,AND(INDIRECT("UserAccessCasePolicy!H"&amp;$M31),NOT(ISNA(MATCH(INDIRECT("UserAccessCasePolicy!D"&amp;$M31)&amp;"|"&amp;$R31,CaseTypeSetMember!$H:$H,0)))))</f>
        <v>0</v>
      </c>
      <c r="Q31" t="s">
        <v>658</v>
      </c>
      <c r="R31" t="s">
        <v>119</v>
      </c>
      <c r="S31" s="6" t="str">
        <f>INDEX(CaseType!$B:$B,MATCH($R31,CaseType!$A:$A,0))</f>
        <v>case_type1</v>
      </c>
      <c r="T31" s="6" t="b">
        <f>AND(IF($Z31="",TRUE,$R31=INDEX(CaseTypeCol!$B:$B,MATCH($Z31,CaseTypeCol!$A:$A,0))),IF($AG31="",TRUE,$R31=INDEX(CaseTypeCol!$B:$B,MATCH($AG31,CaseTypeCol!$A:$A,0))),IF($AN31="",TRUE,$R31=INDEX(CaseTypeCol!$B:$B,MATCH($AN31,CaseTypeCol!$A:$A,0))))</f>
        <v>1</v>
      </c>
      <c r="V31" t="s">
        <v>11</v>
      </c>
      <c r="W31" s="6" t="str">
        <f>INDEX(DataCollection!$B:$B,MATCH($V31,DataCollection!$A:$A,0))</f>
        <v>data_collection1</v>
      </c>
      <c r="Y31" s="14">
        <v>36526</v>
      </c>
      <c r="Z31" t="s">
        <v>142</v>
      </c>
      <c r="AA31" t="s">
        <v>665</v>
      </c>
      <c r="AB31" s="6" t="str">
        <f>IF($Z31="","",INDEX(CaseTypeCol!$G:$G,MATCH($Z31,CaseTypeCol!$A:$A,0)))</f>
        <v>case_type1_dim1_1_text</v>
      </c>
      <c r="AC31" s="6" t="b" cm="1">
        <f t="array" aca="1" ref="AC31" ca="1">IF($Z31="",TRUE,IF($I31="",FALSE,IF(INDIRECT("OrganizationAccessCasePolicy!J"&amp;$I31)="",FALSE,NOT(ISNA(MATCH(INDIRECT("OrganizationAccessCasePolicy!J"&amp;$I31)&amp;"|"&amp;$Z31,CaseTypeColSetMember!$H:$H,0))))))</f>
        <v>0</v>
      </c>
      <c r="AD31" s="6" t="b" cm="1">
        <f t="array" aca="1" ref="AD31" ca="1">IF($Z31="",TRUE,IF($I31="",FALSE,IF(INDIRECT("OrganizationAccessCasePolicy!L"&amp;$I31)="",FALSE,NOT(ISNA(MATCH(INDIRECT("OrganizationAccessCasePolicy!L"&amp;$I31)&amp;"|"&amp;$Z31,CaseTypeColSetMember!$H:$H,0))))))</f>
        <v>0</v>
      </c>
      <c r="AE31" s="6" t="b" cm="1">
        <f t="array" aca="1" ref="AE31" ca="1">IF($Z31="",TRUE,IF($M31="",FALSE,IF(INDIRECT("UserAccessCasePolicy!I"&amp;$M31)="",FALSE,NOT(ISNA(MATCH(INDIRECT("UserAccessCasePolicy!I"&amp;$M31)&amp;"|"&amp;$Z31,CaseTypeColSetMember!$H:$H,0))))))</f>
        <v>0</v>
      </c>
      <c r="AF31" s="6" t="b" cm="1">
        <f t="array" aca="1" ref="AF31" ca="1">IF($Z31="",TRUE,IF($M31="",FALSE,IF(INDIRECT("UserAccessCasePolicy!K"&amp;$M31)="",FALSE,NOT(ISNA(MATCH(INDIRECT("UserAccessCasePolicy!K"&amp;$M31)&amp;"|"&amp;$Z31,CaseTypeColSetMember!$H:$H,0))))))</f>
        <v>0</v>
      </c>
      <c r="AI31" s="6" t="str">
        <f>IF($AG31="","",INDEX(CaseTypeCol!$G:$G,MATCH($AG31,CaseTypeCol!$A:$A,0)))</f>
        <v/>
      </c>
      <c r="AJ31" s="6" t="b" cm="1">
        <f t="array" aca="1" ref="AJ31" ca="1">IF($AG31="",TRUE,IF($I31="",FALSE,IF(INDIRECT("OrganizationAccessCasePolicy!J"&amp;$I31)="",FALSE,NOT(ISNA(MATCH(INDIRECT("OrganizationAccessCasePolicy!J"&amp;$I31)&amp;"|"&amp;$AG31,CaseTypeColSetMember!$H:$H,0))))))</f>
        <v>1</v>
      </c>
      <c r="AK31" s="6" t="b" cm="1">
        <f t="array" aca="1" ref="AK31" ca="1">IF($AG31="",TRUE,IF($I31="",FALSE,IF(INDIRECT("OrganizationAccessCasePolicy!L"&amp;$I31)="",FALSE,NOT(ISNA(MATCH(INDIRECT("OrganizationAccessCasePolicy!L"&amp;$I31)&amp;"|"&amp;$AG31,CaseTypeColSetMember!$H:$H,0))))))</f>
        <v>1</v>
      </c>
      <c r="AL31" s="6" t="b" cm="1">
        <f t="array" aca="1" ref="AL31" ca="1">IF($AG31="",TRUE,IF($M31="",FALSE,IF(INDIRECT("UserAccessCasePolicy!I"&amp;$M31)="",FALSE,NOT(ISNA(MATCH(INDIRECT("UserAccessCasePolicy!I"&amp;$M31)&amp;"|"&amp;$AG31,CaseTypeColSetMember!$H:$H,0))))))</f>
        <v>1</v>
      </c>
      <c r="AM31" s="6" t="b" cm="1">
        <f t="array" aca="1" ref="AM31" ca="1">IF($AG31="",TRUE,IF($M31="",FALSE,IF(INDIRECT("UserAccessCasePolicy!K"&amp;$M31)="",FALSE,NOT(ISNA(MATCH(INDIRECT("UserAccessCasePolicy!K"&amp;$M31)&amp;"|"&amp;$AG31,CaseTypeColSetMember!$H:$H,0))))))</f>
        <v>1</v>
      </c>
      <c r="AP31" s="6" t="str">
        <f>IF($AN31="","",INDEX(CaseTypeCol!$G:$G,MATCH($AN31,CaseTypeCol!$A:$A,0)))</f>
        <v/>
      </c>
      <c r="AQ31" s="6" t="b" cm="1">
        <f t="array" aca="1" ref="AQ31" ca="1">IF($AN31="",TRUE,IF($I31="",FALSE,IF(INDIRECT("OrganizationAccessCasePolicy!J"&amp;$I31)="",FALSE,NOT(ISNA(MATCH(INDIRECT("OrganizationAccessCasePolicy!J"&amp;$I31)&amp;"|"&amp;$AN31,CaseTypeColSetMember!$H:$H,0))))))</f>
        <v>1</v>
      </c>
      <c r="AR31" s="6" t="b" cm="1">
        <f t="array" aca="1" ref="AR31" ca="1">IF($AN31="",TRUE,IF($I31="",FALSE,IF(INDIRECT("OrganizationAccessCasePolicy!L"&amp;$I31)="",FALSE,NOT(ISNA(MATCH(INDIRECT("OrganizationAccessCasePolicy!L"&amp;$I31)&amp;"|"&amp;$AN31,CaseTypeColSetMember!$H:$H,0))))))</f>
        <v>1</v>
      </c>
      <c r="AS31" s="6" t="b" cm="1">
        <f t="array" aca="1" ref="AS31" ca="1">IF($AN31="",TRUE,IF($M31="",FALSE,IF(INDIRECT("UserAccessCasePolicy!I"&amp;$M31)="",FALSE,NOT(ISNA(MATCH(INDIRECT("UserAccessCasePolicy!I"&amp;$M31)&amp;"|"&amp;$AN31,CaseTypeColSetMember!$H:$H,0))))))</f>
        <v>1</v>
      </c>
      <c r="AT31" s="6" t="b" cm="1">
        <f t="array" aca="1" ref="AT31" ca="1">IF($AN31="",TRUE,IF($M31="",FALSE,IF(INDIRECT("UserAccessCasePolicy!K"&amp;$M31)="",FALSE,NOT(ISNA(MATCH(INDIRECT("UserAccessCasePolicy!K"&amp;$M31)&amp;"|"&amp;$AN31,CaseTypeColSetMember!$H:$H,0))))))</f>
        <v>1</v>
      </c>
    </row>
    <row r="32" spans="1:46" x14ac:dyDescent="0.3">
      <c r="A32">
        <v>31</v>
      </c>
      <c r="B32" t="s">
        <v>633</v>
      </c>
      <c r="C32" t="s">
        <v>37</v>
      </c>
      <c r="D32" s="6" t="str">
        <f>INDEX(User!$C:$C,MATCH($C32,User!$A:$A,0))</f>
        <v>org_user5_3</v>
      </c>
      <c r="E32" t="s">
        <v>723</v>
      </c>
      <c r="F32" s="19" t="b">
        <f t="shared" ca="1" si="0"/>
        <v>0</v>
      </c>
      <c r="G32" s="6" t="str">
        <f>INDEX(User!$F:$F,MATCH($C32,User!$A:$A,0))</f>
        <v>0195d18c-1c93-02a2-6920-7e4dbfb73ce0</v>
      </c>
      <c r="H32" s="6" t="b">
        <f>INDEX(User!$L:$L,MATCH($C32,User!$A:$A,0))</f>
        <v>0</v>
      </c>
      <c r="I32" s="6" t="str">
        <f>IF(ISNA(MATCH($G32&amp;"|"&amp;$V32,OrganizationAccessCasePolicy!$V:$V,0)),"",MATCH($G32&amp;"|"&amp;$V32,OrganizationAccessCasePolicy!$V:$V,0))</f>
        <v/>
      </c>
      <c r="J32" s="6" t="b" cm="1">
        <f t="array" aca="1" ref="J32" ca="1">IF($I32="",FALSE,NOT(ISNA(MATCH(INDIRECT("OrganizationAccessCasePolicy!D"&amp;$I32)&amp;"|"&amp;$R32,CaseTypeSetMember!$H:$H,0))))</f>
        <v>0</v>
      </c>
      <c r="K32" s="6" t="b" cm="1">
        <f t="array" aca="1" ref="K32" ca="1">IF($I32="",FALSE,AND(INDIRECT("OrganizationAccessCasePolicy!H"&amp;$I32),NOT(ISNA(MATCH(INDIRECT("OrganizationAccessCasePolicy!D"&amp;$I32)&amp;"|"&amp;$R32,CaseTypeSetMember!$H:$H,0)))))</f>
        <v>0</v>
      </c>
      <c r="L32" s="6" t="b" cm="1">
        <f t="array" aca="1" ref="L32" ca="1">IF($I32="",FALSE,AND(INDIRECT("OrganizationAccessCasePolicy!I"&amp;$I32),NOT(ISNA(MATCH(INDIRECT("OrganizationAccessCasePolicy!D"&amp;$I32)&amp;"|"&amp;$R32,CaseTypeSetMember!$H:$H,0)))))</f>
        <v>0</v>
      </c>
      <c r="M32" s="6" t="str">
        <f>IF(ISNA(MATCH($C32&amp;"|"&amp;$V32,UserAccessCasePolicy!$W:$W,0)),"",MATCH($C32&amp;"|"&amp;$V32,UserAccessCasePolicy!$W:$W,0))</f>
        <v/>
      </c>
      <c r="N32" s="6" t="b" cm="1">
        <f t="array" aca="1" ref="N32" ca="1">IF($M32="",FALSE,NOT(ISNA(MATCH(INDIRECT("UserAccessCasePolicy!D"&amp;$M32)&amp;"|"&amp;$R32,CaseTypeSetMember!$H:$H,0))))</f>
        <v>0</v>
      </c>
      <c r="O32" s="6" t="b" cm="1">
        <f t="array" aca="1" ref="O32" ca="1">IF($M32="",FALSE,AND(INDIRECT("UserAccessCasePolicy!G"&amp;$M32),NOT(ISNA(MATCH(INDIRECT("UserAccessCasePolicy!D"&amp;$M32)&amp;"|"&amp;$R32,CaseTypeSetMember!$H:$H,0)))))</f>
        <v>0</v>
      </c>
      <c r="P32" s="6" t="b" cm="1">
        <f t="array" aca="1" ref="P32" ca="1">IF($M32="",FALSE,AND(INDIRECT("UserAccessCasePolicy!H"&amp;$M32),NOT(ISNA(MATCH(INDIRECT("UserAccessCasePolicy!D"&amp;$M32)&amp;"|"&amp;$R32,CaseTypeSetMember!$H:$H,0)))))</f>
        <v>0</v>
      </c>
      <c r="Q32" t="s">
        <v>659</v>
      </c>
      <c r="R32" t="s">
        <v>119</v>
      </c>
      <c r="S32" s="6" t="str">
        <f>INDEX(CaseType!$B:$B,MATCH($R32,CaseType!$A:$A,0))</f>
        <v>case_type1</v>
      </c>
      <c r="T32" s="6" t="b">
        <f>AND(IF($Z32="",TRUE,$R32=INDEX(CaseTypeCol!$B:$B,MATCH($Z32,CaseTypeCol!$A:$A,0))),IF($AG32="",TRUE,$R32=INDEX(CaseTypeCol!$B:$B,MATCH($AG32,CaseTypeCol!$A:$A,0))),IF($AN32="",TRUE,$R32=INDEX(CaseTypeCol!$B:$B,MATCH($AN32,CaseTypeCol!$A:$A,0))))</f>
        <v>1</v>
      </c>
      <c r="V32" t="s">
        <v>11</v>
      </c>
      <c r="W32" s="6" t="str">
        <f>INDEX(DataCollection!$B:$B,MATCH($V32,DataCollection!$A:$A,0))</f>
        <v>data_collection1</v>
      </c>
      <c r="Y32" s="14">
        <v>36526</v>
      </c>
      <c r="Z32" t="s">
        <v>142</v>
      </c>
      <c r="AA32" t="s">
        <v>665</v>
      </c>
      <c r="AB32" s="6" t="str">
        <f>IF($Z32="","",INDEX(CaseTypeCol!$G:$G,MATCH($Z32,CaseTypeCol!$A:$A,0)))</f>
        <v>case_type1_dim1_1_text</v>
      </c>
      <c r="AC32" s="6" t="b" cm="1">
        <f t="array" aca="1" ref="AC32" ca="1">IF($Z32="",TRUE,IF($I32="",FALSE,IF(INDIRECT("OrganizationAccessCasePolicy!J"&amp;$I32)="",FALSE,NOT(ISNA(MATCH(INDIRECT("OrganizationAccessCasePolicy!J"&amp;$I32)&amp;"|"&amp;$Z32,CaseTypeColSetMember!$H:$H,0))))))</f>
        <v>0</v>
      </c>
      <c r="AD32" s="6" t="b" cm="1">
        <f t="array" aca="1" ref="AD32" ca="1">IF($Z32="",TRUE,IF($I32="",FALSE,IF(INDIRECT("OrganizationAccessCasePolicy!L"&amp;$I32)="",FALSE,NOT(ISNA(MATCH(INDIRECT("OrganizationAccessCasePolicy!L"&amp;$I32)&amp;"|"&amp;$Z32,CaseTypeColSetMember!$H:$H,0))))))</f>
        <v>0</v>
      </c>
      <c r="AE32" s="6" t="b" cm="1">
        <f t="array" aca="1" ref="AE32" ca="1">IF($Z32="",TRUE,IF($M32="",FALSE,IF(INDIRECT("UserAccessCasePolicy!I"&amp;$M32)="",FALSE,NOT(ISNA(MATCH(INDIRECT("UserAccessCasePolicy!I"&amp;$M32)&amp;"|"&amp;$Z32,CaseTypeColSetMember!$H:$H,0))))))</f>
        <v>0</v>
      </c>
      <c r="AF32" s="6" t="b" cm="1">
        <f t="array" aca="1" ref="AF32" ca="1">IF($Z32="",TRUE,IF($M32="",FALSE,IF(INDIRECT("UserAccessCasePolicy!K"&amp;$M32)="",FALSE,NOT(ISNA(MATCH(INDIRECT("UserAccessCasePolicy!K"&amp;$M32)&amp;"|"&amp;$Z32,CaseTypeColSetMember!$H:$H,0))))))</f>
        <v>0</v>
      </c>
      <c r="AI32" s="6" t="str">
        <f>IF($AG32="","",INDEX(CaseTypeCol!$G:$G,MATCH($AG32,CaseTypeCol!$A:$A,0)))</f>
        <v/>
      </c>
      <c r="AJ32" s="6" t="b" cm="1">
        <f t="array" aca="1" ref="AJ32" ca="1">IF($AG32="",TRUE,IF($I32="",FALSE,IF(INDIRECT("OrganizationAccessCasePolicy!J"&amp;$I32)="",FALSE,NOT(ISNA(MATCH(INDIRECT("OrganizationAccessCasePolicy!J"&amp;$I32)&amp;"|"&amp;$AG32,CaseTypeColSetMember!$H:$H,0))))))</f>
        <v>1</v>
      </c>
      <c r="AK32" s="6" t="b" cm="1">
        <f t="array" aca="1" ref="AK32" ca="1">IF($AG32="",TRUE,IF($I32="",FALSE,IF(INDIRECT("OrganizationAccessCasePolicy!L"&amp;$I32)="",FALSE,NOT(ISNA(MATCH(INDIRECT("OrganizationAccessCasePolicy!L"&amp;$I32)&amp;"|"&amp;$AG32,CaseTypeColSetMember!$H:$H,0))))))</f>
        <v>1</v>
      </c>
      <c r="AL32" s="6" t="b" cm="1">
        <f t="array" aca="1" ref="AL32" ca="1">IF($AG32="",TRUE,IF($M32="",FALSE,IF(INDIRECT("UserAccessCasePolicy!I"&amp;$M32)="",FALSE,NOT(ISNA(MATCH(INDIRECT("UserAccessCasePolicy!I"&amp;$M32)&amp;"|"&amp;$AG32,CaseTypeColSetMember!$H:$H,0))))))</f>
        <v>1</v>
      </c>
      <c r="AM32" s="6" t="b" cm="1">
        <f t="array" aca="1" ref="AM32" ca="1">IF($AG32="",TRUE,IF($M32="",FALSE,IF(INDIRECT("UserAccessCasePolicy!K"&amp;$M32)="",FALSE,NOT(ISNA(MATCH(INDIRECT("UserAccessCasePolicy!K"&amp;$M32)&amp;"|"&amp;$AG32,CaseTypeColSetMember!$H:$H,0))))))</f>
        <v>1</v>
      </c>
      <c r="AP32" s="6" t="str">
        <f>IF($AN32="","",INDEX(CaseTypeCol!$G:$G,MATCH($AN32,CaseTypeCol!$A:$A,0)))</f>
        <v/>
      </c>
      <c r="AQ32" s="6" t="b" cm="1">
        <f t="array" aca="1" ref="AQ32" ca="1">IF($AN32="",TRUE,IF($I32="",FALSE,IF(INDIRECT("OrganizationAccessCasePolicy!J"&amp;$I32)="",FALSE,NOT(ISNA(MATCH(INDIRECT("OrganizationAccessCasePolicy!J"&amp;$I32)&amp;"|"&amp;$AN32,CaseTypeColSetMember!$H:$H,0))))))</f>
        <v>1</v>
      </c>
      <c r="AR32" s="6" t="b" cm="1">
        <f t="array" aca="1" ref="AR32" ca="1">IF($AN32="",TRUE,IF($I32="",FALSE,IF(INDIRECT("OrganizationAccessCasePolicy!L"&amp;$I32)="",FALSE,NOT(ISNA(MATCH(INDIRECT("OrganizationAccessCasePolicy!L"&amp;$I32)&amp;"|"&amp;$AN32,CaseTypeColSetMember!$H:$H,0))))))</f>
        <v>1</v>
      </c>
      <c r="AS32" s="6" t="b" cm="1">
        <f t="array" aca="1" ref="AS32" ca="1">IF($AN32="",TRUE,IF($M32="",FALSE,IF(INDIRECT("UserAccessCasePolicy!I"&amp;$M32)="",FALSE,NOT(ISNA(MATCH(INDIRECT("UserAccessCasePolicy!I"&amp;$M32)&amp;"|"&amp;$AN32,CaseTypeColSetMember!$H:$H,0))))))</f>
        <v>1</v>
      </c>
      <c r="AT32" s="6" t="b" cm="1">
        <f t="array" aca="1" ref="AT32" ca="1">IF($AN32="",TRUE,IF($M32="",FALSE,IF(INDIRECT("UserAccessCasePolicy!K"&amp;$M32)="",FALSE,NOT(ISNA(MATCH(INDIRECT("UserAccessCasePolicy!K"&amp;$M32)&amp;"|"&amp;$AN32,CaseTypeColSetMember!$H:$H,0))))))</f>
        <v>1</v>
      </c>
    </row>
    <row r="33" spans="1:46" x14ac:dyDescent="0.3">
      <c r="A33">
        <v>32</v>
      </c>
      <c r="B33" t="s">
        <v>634</v>
      </c>
      <c r="C33" t="s">
        <v>38</v>
      </c>
      <c r="D33" s="6" t="str">
        <f>INDEX(User!$C:$C,MATCH($C33,User!$A:$A,0))</f>
        <v>org_user5_4</v>
      </c>
      <c r="E33" t="s">
        <v>723</v>
      </c>
      <c r="F33" s="19" t="b">
        <f t="shared" ca="1" si="0"/>
        <v>0</v>
      </c>
      <c r="G33" s="6" t="str">
        <f>INDEX(User!$F:$F,MATCH($C33,User!$A:$A,0))</f>
        <v>0195d18c-1c93-02a2-6920-7e4dbfb73ce0</v>
      </c>
      <c r="H33" s="6" t="b">
        <f>INDEX(User!$L:$L,MATCH($C33,User!$A:$A,0))</f>
        <v>0</v>
      </c>
      <c r="I33" s="6" t="str">
        <f>IF(ISNA(MATCH($G33&amp;"|"&amp;$V33,OrganizationAccessCasePolicy!$V:$V,0)),"",MATCH($G33&amp;"|"&amp;$V33,OrganizationAccessCasePolicy!$V:$V,0))</f>
        <v/>
      </c>
      <c r="J33" s="6" t="b" cm="1">
        <f t="array" aca="1" ref="J33" ca="1">IF($I33="",FALSE,NOT(ISNA(MATCH(INDIRECT("OrganizationAccessCasePolicy!D"&amp;$I33)&amp;"|"&amp;$R33,CaseTypeSetMember!$H:$H,0))))</f>
        <v>0</v>
      </c>
      <c r="K33" s="6" t="b" cm="1">
        <f t="array" aca="1" ref="K33" ca="1">IF($I33="",FALSE,AND(INDIRECT("OrganizationAccessCasePolicy!H"&amp;$I33),NOT(ISNA(MATCH(INDIRECT("OrganizationAccessCasePolicy!D"&amp;$I33)&amp;"|"&amp;$R33,CaseTypeSetMember!$H:$H,0)))))</f>
        <v>0</v>
      </c>
      <c r="L33" s="6" t="b" cm="1">
        <f t="array" aca="1" ref="L33" ca="1">IF($I33="",FALSE,AND(INDIRECT("OrganizationAccessCasePolicy!I"&amp;$I33),NOT(ISNA(MATCH(INDIRECT("OrganizationAccessCasePolicy!D"&amp;$I33)&amp;"|"&amp;$R33,CaseTypeSetMember!$H:$H,0)))))</f>
        <v>0</v>
      </c>
      <c r="M33" s="6" t="str">
        <f>IF(ISNA(MATCH($C33&amp;"|"&amp;$V33,UserAccessCasePolicy!$W:$W,0)),"",MATCH($C33&amp;"|"&amp;$V33,UserAccessCasePolicy!$W:$W,0))</f>
        <v/>
      </c>
      <c r="N33" s="6" t="b" cm="1">
        <f t="array" aca="1" ref="N33" ca="1">IF($M33="",FALSE,NOT(ISNA(MATCH(INDIRECT("UserAccessCasePolicy!D"&amp;$M33)&amp;"|"&amp;$R33,CaseTypeSetMember!$H:$H,0))))</f>
        <v>0</v>
      </c>
      <c r="O33" s="6" t="b" cm="1">
        <f t="array" aca="1" ref="O33" ca="1">IF($M33="",FALSE,AND(INDIRECT("UserAccessCasePolicy!G"&amp;$M33),NOT(ISNA(MATCH(INDIRECT("UserAccessCasePolicy!D"&amp;$M33)&amp;"|"&amp;$R33,CaseTypeSetMember!$H:$H,0)))))</f>
        <v>0</v>
      </c>
      <c r="P33" s="6" t="b" cm="1">
        <f t="array" aca="1" ref="P33" ca="1">IF($M33="",FALSE,AND(INDIRECT("UserAccessCasePolicy!H"&amp;$M33),NOT(ISNA(MATCH(INDIRECT("UserAccessCasePolicy!D"&amp;$M33)&amp;"|"&amp;$R33,CaseTypeSetMember!$H:$H,0)))))</f>
        <v>0</v>
      </c>
      <c r="Q33" t="s">
        <v>660</v>
      </c>
      <c r="R33" t="s">
        <v>119</v>
      </c>
      <c r="S33" s="6" t="str">
        <f>INDEX(CaseType!$B:$B,MATCH($R33,CaseType!$A:$A,0))</f>
        <v>case_type1</v>
      </c>
      <c r="T33" s="6" t="b">
        <f>AND(IF($Z33="",TRUE,$R33=INDEX(CaseTypeCol!$B:$B,MATCH($Z33,CaseTypeCol!$A:$A,0))),IF($AG33="",TRUE,$R33=INDEX(CaseTypeCol!$B:$B,MATCH($AG33,CaseTypeCol!$A:$A,0))),IF($AN33="",TRUE,$R33=INDEX(CaseTypeCol!$B:$B,MATCH($AN33,CaseTypeCol!$A:$A,0))))</f>
        <v>1</v>
      </c>
      <c r="V33" t="s">
        <v>11</v>
      </c>
      <c r="W33" s="6" t="str">
        <f>INDEX(DataCollection!$B:$B,MATCH($V33,DataCollection!$A:$A,0))</f>
        <v>data_collection1</v>
      </c>
      <c r="Y33" s="14">
        <v>36526</v>
      </c>
      <c r="Z33" t="s">
        <v>142</v>
      </c>
      <c r="AA33" t="s">
        <v>665</v>
      </c>
      <c r="AB33" s="6" t="str">
        <f>IF($Z33="","",INDEX(CaseTypeCol!$G:$G,MATCH($Z33,CaseTypeCol!$A:$A,0)))</f>
        <v>case_type1_dim1_1_text</v>
      </c>
      <c r="AC33" s="6" t="b" cm="1">
        <f t="array" aca="1" ref="AC33" ca="1">IF($Z33="",TRUE,IF($I33="",FALSE,IF(INDIRECT("OrganizationAccessCasePolicy!J"&amp;$I33)="",FALSE,NOT(ISNA(MATCH(INDIRECT("OrganizationAccessCasePolicy!J"&amp;$I33)&amp;"|"&amp;$Z33,CaseTypeColSetMember!$H:$H,0))))))</f>
        <v>0</v>
      </c>
      <c r="AD33" s="6" t="b" cm="1">
        <f t="array" aca="1" ref="AD33" ca="1">IF($Z33="",TRUE,IF($I33="",FALSE,IF(INDIRECT("OrganizationAccessCasePolicy!L"&amp;$I33)="",FALSE,NOT(ISNA(MATCH(INDIRECT("OrganizationAccessCasePolicy!L"&amp;$I33)&amp;"|"&amp;$Z33,CaseTypeColSetMember!$H:$H,0))))))</f>
        <v>0</v>
      </c>
      <c r="AE33" s="6" t="b" cm="1">
        <f t="array" aca="1" ref="AE33" ca="1">IF($Z33="",TRUE,IF($M33="",FALSE,IF(INDIRECT("UserAccessCasePolicy!I"&amp;$M33)="",FALSE,NOT(ISNA(MATCH(INDIRECT("UserAccessCasePolicy!I"&amp;$M33)&amp;"|"&amp;$Z33,CaseTypeColSetMember!$H:$H,0))))))</f>
        <v>0</v>
      </c>
      <c r="AF33" s="6" t="b" cm="1">
        <f t="array" aca="1" ref="AF33" ca="1">IF($Z33="",TRUE,IF($M33="",FALSE,IF(INDIRECT("UserAccessCasePolicy!K"&amp;$M33)="",FALSE,NOT(ISNA(MATCH(INDIRECT("UserAccessCasePolicy!K"&amp;$M33)&amp;"|"&amp;$Z33,CaseTypeColSetMember!$H:$H,0))))))</f>
        <v>0</v>
      </c>
      <c r="AI33" s="6" t="str">
        <f>IF($AG33="","",INDEX(CaseTypeCol!$G:$G,MATCH($AG33,CaseTypeCol!$A:$A,0)))</f>
        <v/>
      </c>
      <c r="AJ33" s="6" t="b" cm="1">
        <f t="array" aca="1" ref="AJ33" ca="1">IF($AG33="",TRUE,IF($I33="",FALSE,IF(INDIRECT("OrganizationAccessCasePolicy!J"&amp;$I33)="",FALSE,NOT(ISNA(MATCH(INDIRECT("OrganizationAccessCasePolicy!J"&amp;$I33)&amp;"|"&amp;$AG33,CaseTypeColSetMember!$H:$H,0))))))</f>
        <v>1</v>
      </c>
      <c r="AK33" s="6" t="b" cm="1">
        <f t="array" aca="1" ref="AK33" ca="1">IF($AG33="",TRUE,IF($I33="",FALSE,IF(INDIRECT("OrganizationAccessCasePolicy!L"&amp;$I33)="",FALSE,NOT(ISNA(MATCH(INDIRECT("OrganizationAccessCasePolicy!L"&amp;$I33)&amp;"|"&amp;$AG33,CaseTypeColSetMember!$H:$H,0))))))</f>
        <v>1</v>
      </c>
      <c r="AL33" s="6" t="b" cm="1">
        <f t="array" aca="1" ref="AL33" ca="1">IF($AG33="",TRUE,IF($M33="",FALSE,IF(INDIRECT("UserAccessCasePolicy!I"&amp;$M33)="",FALSE,NOT(ISNA(MATCH(INDIRECT("UserAccessCasePolicy!I"&amp;$M33)&amp;"|"&amp;$AG33,CaseTypeColSetMember!$H:$H,0))))))</f>
        <v>1</v>
      </c>
      <c r="AM33" s="6" t="b" cm="1">
        <f t="array" aca="1" ref="AM33" ca="1">IF($AG33="",TRUE,IF($M33="",FALSE,IF(INDIRECT("UserAccessCasePolicy!K"&amp;$M33)="",FALSE,NOT(ISNA(MATCH(INDIRECT("UserAccessCasePolicy!K"&amp;$M33)&amp;"|"&amp;$AG33,CaseTypeColSetMember!$H:$H,0))))))</f>
        <v>1</v>
      </c>
      <c r="AP33" s="6" t="str">
        <f>IF($AN33="","",INDEX(CaseTypeCol!$G:$G,MATCH($AN33,CaseTypeCol!$A:$A,0)))</f>
        <v/>
      </c>
      <c r="AQ33" s="6" t="b" cm="1">
        <f t="array" aca="1" ref="AQ33" ca="1">IF($AN33="",TRUE,IF($I33="",FALSE,IF(INDIRECT("OrganizationAccessCasePolicy!J"&amp;$I33)="",FALSE,NOT(ISNA(MATCH(INDIRECT("OrganizationAccessCasePolicy!J"&amp;$I33)&amp;"|"&amp;$AN33,CaseTypeColSetMember!$H:$H,0))))))</f>
        <v>1</v>
      </c>
      <c r="AR33" s="6" t="b" cm="1">
        <f t="array" aca="1" ref="AR33" ca="1">IF($AN33="",TRUE,IF($I33="",FALSE,IF(INDIRECT("OrganizationAccessCasePolicy!L"&amp;$I33)="",FALSE,NOT(ISNA(MATCH(INDIRECT("OrganizationAccessCasePolicy!L"&amp;$I33)&amp;"|"&amp;$AN33,CaseTypeColSetMember!$H:$H,0))))))</f>
        <v>1</v>
      </c>
      <c r="AS33" s="6" t="b" cm="1">
        <f t="array" aca="1" ref="AS33" ca="1">IF($AN33="",TRUE,IF($M33="",FALSE,IF(INDIRECT("UserAccessCasePolicy!I"&amp;$M33)="",FALSE,NOT(ISNA(MATCH(INDIRECT("UserAccessCasePolicy!I"&amp;$M33)&amp;"|"&amp;$AN33,CaseTypeColSetMember!$H:$H,0))))))</f>
        <v>1</v>
      </c>
      <c r="AT33" s="6" t="b" cm="1">
        <f t="array" aca="1" ref="AT33" ca="1">IF($AN33="",TRUE,IF($M33="",FALSE,IF(INDIRECT("UserAccessCasePolicy!K"&amp;$M33)="",FALSE,NOT(ISNA(MATCH(INDIRECT("UserAccessCasePolicy!K"&amp;$M33)&amp;"|"&amp;$AN33,CaseTypeColSetMember!$H:$H,0))))))</f>
        <v>1</v>
      </c>
    </row>
  </sheetData>
  <autoFilter ref="A1:AU33" xr:uid="{8E0C7C33-6768-4AAE-A57E-F80585DED472}"/>
  <phoneticPr fontId="4" type="noConversion"/>
  <conditionalFormatting sqref="T2:T33">
    <cfRule type="expression" dxfId="0" priority="1">
      <formula>T2=FALSE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557</v>
      </c>
      <c r="D1" s="7" t="s">
        <v>58</v>
      </c>
      <c r="E1" s="4" t="s">
        <v>558</v>
      </c>
      <c r="F1" s="7" t="s">
        <v>3</v>
      </c>
      <c r="G1" s="7" t="s">
        <v>559</v>
      </c>
      <c r="H1" s="7" t="s">
        <v>4</v>
      </c>
      <c r="I1" s="7" t="s">
        <v>5</v>
      </c>
      <c r="J1" s="7" t="s">
        <v>560</v>
      </c>
      <c r="K1" s="8" t="s">
        <v>562</v>
      </c>
      <c r="L1" s="7" t="s">
        <v>561</v>
      </c>
      <c r="M1" s="8" t="s">
        <v>563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564</v>
      </c>
      <c r="T1" s="4" t="s">
        <v>565</v>
      </c>
      <c r="U1" s="8" t="s">
        <v>566</v>
      </c>
      <c r="V1" s="8" t="s">
        <v>669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zoomScaleNormal="80" workbookViewId="0">
      <pane ySplit="1" topLeftCell="A2" activePane="bottomLeft" state="frozen"/>
      <selection pane="bottomLeft" activeCell="K2" sqref="A1:W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557</v>
      </c>
      <c r="D1" s="7" t="s">
        <v>58</v>
      </c>
      <c r="E1" s="4" t="s">
        <v>558</v>
      </c>
      <c r="F1" s="7" t="s">
        <v>3</v>
      </c>
      <c r="G1" s="7" t="s">
        <v>4</v>
      </c>
      <c r="H1" s="7" t="s">
        <v>5</v>
      </c>
      <c r="I1" s="7" t="s">
        <v>560</v>
      </c>
      <c r="J1" s="8" t="s">
        <v>562</v>
      </c>
      <c r="K1" s="7" t="s">
        <v>561</v>
      </c>
      <c r="L1" s="8" t="s">
        <v>563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570</v>
      </c>
      <c r="R1" s="8" t="s">
        <v>571</v>
      </c>
      <c r="S1" s="4" t="s">
        <v>565</v>
      </c>
      <c r="T1" s="8" t="s">
        <v>566</v>
      </c>
      <c r="U1" s="7" t="s">
        <v>1</v>
      </c>
      <c r="V1" s="8" t="s">
        <v>567</v>
      </c>
      <c r="W1" s="15" t="s">
        <v>669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557</v>
      </c>
      <c r="D1" t="s">
        <v>58</v>
      </c>
      <c r="E1" s="3" t="s">
        <v>558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492</v>
      </c>
      <c r="L1" s="3" t="s">
        <v>568</v>
      </c>
      <c r="M1" s="6" t="s">
        <v>570</v>
      </c>
      <c r="N1" s="3" t="s">
        <v>571</v>
      </c>
      <c r="O1" s="7" t="s">
        <v>1</v>
      </c>
      <c r="P1" s="8" t="s">
        <v>567</v>
      </c>
    </row>
    <row r="2" spans="1:16" x14ac:dyDescent="0.3">
      <c r="A2" t="s">
        <v>569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557</v>
      </c>
      <c r="D1" t="s">
        <v>58</v>
      </c>
      <c r="E1" s="3" t="s">
        <v>558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492</v>
      </c>
      <c r="L1" s="3" t="s">
        <v>568</v>
      </c>
      <c r="M1" t="s">
        <v>41</v>
      </c>
      <c r="N1" s="3" t="s">
        <v>564</v>
      </c>
    </row>
    <row r="2" spans="1:14" x14ac:dyDescent="0.3">
      <c r="A2" t="s">
        <v>569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2025-09-06T14:39:07Z</dcterms:modified>
</cp:coreProperties>
</file>