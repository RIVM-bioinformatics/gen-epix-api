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BEB63340-ABA8-4F02-AA39-53A97332F0B5}" xr6:coauthVersionLast="47" xr6:coauthVersionMax="47" xr10:uidLastSave="{00000000-0000-0000-0000-000000000000}"/>
  <bookViews>
    <workbookView xWindow="-120" yWindow="-120" windowWidth="51840" windowHeight="21120" tabRatio="913" firstSheet="2" activeTab="16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CaseCrudCommand!$A$1:$AU$33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8" i="24" l="1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33" i="24" a="1"/>
  <c r="AU33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33" i="24" a="1"/>
  <c r="AN33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K33" i="24" a="1"/>
  <c r="AK33" i="24" s="1"/>
  <c r="AL33" i="24" a="1"/>
  <c r="AL33" i="24" s="1"/>
  <c r="AT33" i="24" a="1"/>
  <c r="AT33" i="24" s="1"/>
  <c r="AM33" i="24" a="1"/>
  <c r="AM33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L3" i="15" s="1"/>
  <c r="H4" i="15"/>
  <c r="H5" i="15"/>
  <c r="L5" i="15" s="1"/>
  <c r="H6" i="15"/>
  <c r="L6" i="15" s="1"/>
  <c r="I10" i="24" s="1"/>
  <c r="H7" i="15"/>
  <c r="L7" i="15" s="1"/>
  <c r="I11" i="24" s="1"/>
  <c r="H8" i="15"/>
  <c r="L8" i="15" s="1"/>
  <c r="I12" i="24" s="1"/>
  <c r="H9" i="15"/>
  <c r="L9" i="15" s="1"/>
  <c r="I13" i="24" s="1"/>
  <c r="H10" i="15"/>
  <c r="L10" i="15" s="1"/>
  <c r="H11" i="15"/>
  <c r="L11" i="15" s="1"/>
  <c r="I15" i="24" s="1"/>
  <c r="H12" i="15"/>
  <c r="L12" i="15" s="1"/>
  <c r="I16" i="24" s="1"/>
  <c r="H13" i="15"/>
  <c r="L13" i="15" s="1"/>
  <c r="I17" i="24" s="1"/>
  <c r="H14" i="15"/>
  <c r="L14" i="15" s="1"/>
  <c r="I18" i="24" s="1"/>
  <c r="H15" i="15"/>
  <c r="L15" i="15" s="1"/>
  <c r="I19" i="24" s="1"/>
  <c r="H16" i="15"/>
  <c r="L16" i="15" s="1"/>
  <c r="I20" i="24" s="1"/>
  <c r="H17" i="15"/>
  <c r="L17" i="15" s="1"/>
  <c r="I21" i="24" s="1"/>
  <c r="H18" i="15"/>
  <c r="L18" i="15" s="1"/>
  <c r="I22" i="24" s="1"/>
  <c r="H19" i="15"/>
  <c r="L19" i="15" s="1"/>
  <c r="I23" i="24" s="1"/>
  <c r="H20" i="15"/>
  <c r="L20" i="15" s="1"/>
  <c r="I24" i="24" s="1"/>
  <c r="H21" i="15"/>
  <c r="L21" i="15" s="1"/>
  <c r="I25" i="24" s="1"/>
  <c r="H22" i="15"/>
  <c r="L22" i="15" s="1"/>
  <c r="I26" i="24" s="1"/>
  <c r="H23" i="15"/>
  <c r="L23" i="15" s="1"/>
  <c r="I27" i="24" s="1"/>
  <c r="H24" i="15"/>
  <c r="L24" i="15" s="1"/>
  <c r="I28" i="24" s="1"/>
  <c r="H25" i="15"/>
  <c r="L25" i="15" s="1"/>
  <c r="I29" i="24" s="1"/>
  <c r="H26" i="15"/>
  <c r="L26" i="15" s="1"/>
  <c r="I30" i="24" s="1"/>
  <c r="H27" i="15"/>
  <c r="L27" i="15" s="1"/>
  <c r="I31" i="24" s="1"/>
  <c r="H28" i="15"/>
  <c r="L28" i="15" s="1"/>
  <c r="I32" i="24" s="1"/>
  <c r="H29" i="15"/>
  <c r="L29" i="15" s="1"/>
  <c r="I33" i="24" s="1"/>
  <c r="H2" i="15"/>
  <c r="L2" i="15" s="1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33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33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33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33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33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I7" i="24" l="1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L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7" i="24" a="1"/>
  <c r="Q7" i="24" s="1"/>
  <c r="Q8" i="24" a="1"/>
  <c r="Q8" i="24" s="1"/>
  <c r="AF7" i="24" a="1"/>
  <c r="AF7" i="24" s="1"/>
  <c r="AF8" i="24" a="1"/>
  <c r="AF8" i="24" s="1"/>
  <c r="O7" i="24" a="1"/>
  <c r="O7" i="24" s="1"/>
  <c r="AG7" i="24" a="1"/>
  <c r="AG7" i="24" s="1"/>
  <c r="O8" i="24" a="1"/>
  <c r="O8" i="24" s="1"/>
  <c r="AG8" i="24" a="1"/>
  <c r="AG8" i="24" s="1"/>
  <c r="Q5" i="24" a="1"/>
  <c r="Q5" i="24" s="1"/>
  <c r="AF5" i="24" a="1"/>
  <c r="AF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P4" i="24" a="1"/>
  <c r="P4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33" i="24"/>
  <c r="P33" i="24" s="1" a="1"/>
  <c r="P33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O4" i="24" a="1"/>
  <c r="O4" i="24" s="1"/>
  <c r="Q4" i="24" a="1"/>
  <c r="Q4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J33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AD5" i="24" a="1"/>
  <c r="L2" i="24" a="1"/>
  <c r="M5" i="24" a="1"/>
  <c r="L14" i="24" a="1"/>
  <c r="M15" i="24" a="1"/>
  <c r="L15" i="24" a="1"/>
  <c r="AE5" i="24" a="1"/>
  <c r="K15" i="24" a="1"/>
  <c r="AF14" i="24" a="1"/>
  <c r="AD15" i="24" a="1"/>
  <c r="AE14" i="24" a="1"/>
  <c r="AE17" i="24" a="1"/>
  <c r="AD14" i="24" a="1"/>
  <c r="M9" i="24" a="1"/>
  <c r="K4" i="24" a="1"/>
  <c r="M2" i="24" a="1"/>
  <c r="AE8" i="24" a="1"/>
  <c r="L9" i="24" a="1"/>
  <c r="AE3" i="24" a="1"/>
  <c r="L6" i="24" a="1"/>
  <c r="L17" i="24" a="1"/>
  <c r="K14" i="24" a="1"/>
  <c r="M6" i="24" a="1"/>
  <c r="K6" i="24" a="1"/>
  <c r="Q14" i="24" a="1"/>
  <c r="K9" i="24" a="1"/>
  <c r="AD6" i="24" a="1"/>
  <c r="L5" i="24" a="1"/>
  <c r="AE6" i="24" a="1"/>
  <c r="AD17" i="24" a="1"/>
  <c r="M8" i="24" a="1"/>
  <c r="K5" i="24" a="1"/>
  <c r="AG14" i="24" a="1"/>
  <c r="AD8" i="24" a="1"/>
  <c r="AD9" i="24" a="1"/>
  <c r="O14" i="24" a="1"/>
  <c r="K2" i="24" a="1"/>
  <c r="M14" i="24" a="1"/>
  <c r="AD2" i="24" a="1"/>
  <c r="AE2" i="24" a="1"/>
  <c r="L8" i="24" a="1"/>
  <c r="P14" i="24" a="1"/>
  <c r="AE15" i="24" a="1"/>
  <c r="K17" i="24" a="1"/>
  <c r="M7" i="24" a="1"/>
  <c r="M17" i="24" a="1"/>
  <c r="K8" i="24" a="1"/>
  <c r="AE16" i="24" a="1"/>
  <c r="O5" i="24" l="1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O33" i="24" a="1"/>
  <c r="O33" i="24" s="1"/>
  <c r="AG33" i="24" a="1"/>
  <c r="AG33" i="24" s="1"/>
  <c r="AF33" i="24" a="1"/>
  <c r="AF33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33" i="24" a="1"/>
  <c r="Q33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S33" i="24" a="1"/>
  <c r="AS33" i="24" s="1"/>
  <c r="AR33" i="24" a="1"/>
  <c r="AR33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2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33" i="24" a="1"/>
  <c r="K33" i="24" s="1"/>
  <c r="AD33" i="24" a="1"/>
  <c r="AD33" i="24" s="1"/>
  <c r="AE33" i="24" a="1"/>
  <c r="AE33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AD2" i="24"/>
  <c r="K14" i="24"/>
  <c r="K4" i="24"/>
  <c r="K9" i="24"/>
  <c r="K17" i="24"/>
  <c r="K2" i="24"/>
  <c r="M14" i="24"/>
  <c r="L14" i="24"/>
  <c r="M2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33" i="24" a="1"/>
  <c r="M33" i="24" s="1"/>
  <c r="L33" i="24" a="1"/>
  <c r="L33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C3" i="15"/>
  <c r="E8" i="24" s="1"/>
  <c r="C4" i="15"/>
  <c r="E4" i="24" s="1"/>
  <c r="C5" i="15"/>
  <c r="E2" i="2" s="1"/>
  <c r="C6" i="15"/>
  <c r="C7" i="15"/>
  <c r="C8" i="15"/>
  <c r="C9" i="15"/>
  <c r="C10" i="15"/>
  <c r="C11" i="15"/>
  <c r="C12" i="15"/>
  <c r="E16" i="24" s="1"/>
  <c r="C13" i="15"/>
  <c r="E17" i="24" s="1"/>
  <c r="C14" i="15"/>
  <c r="C15" i="15"/>
  <c r="C16" i="15"/>
  <c r="C17" i="15"/>
  <c r="C18" i="15"/>
  <c r="C19" i="15"/>
  <c r="C20" i="15"/>
  <c r="C21" i="15"/>
  <c r="C22" i="15"/>
  <c r="C23" i="15"/>
  <c r="E27" i="24" s="1"/>
  <c r="C24" i="15"/>
  <c r="C25" i="15"/>
  <c r="C26" i="15"/>
  <c r="C27" i="15"/>
  <c r="C28" i="15"/>
  <c r="C29" i="15"/>
  <c r="C2" i="15"/>
  <c r="E7" i="24" s="1"/>
  <c r="C3" i="2"/>
  <c r="C4" i="2"/>
  <c r="C5" i="2"/>
  <c r="C6" i="2"/>
  <c r="C2" i="2"/>
  <c r="AE9" i="24" a="1"/>
  <c r="P6" i="24" a="1"/>
  <c r="AD16" i="24" a="1"/>
  <c r="AD7" i="24" a="1"/>
  <c r="AD4" i="24" a="1"/>
  <c r="Q6" i="24" a="1"/>
  <c r="O6" i="24" a="1"/>
  <c r="L7" i="24" a="1"/>
  <c r="L4" i="24" a="1"/>
  <c r="M3" i="24" a="1"/>
  <c r="AG6" i="24" a="1"/>
  <c r="AF6" i="24" a="1"/>
  <c r="AD3" i="24" a="1"/>
  <c r="K7" i="24" a="1"/>
  <c r="K3" i="24" a="1"/>
  <c r="L3" i="24" a="1"/>
  <c r="K16" i="24" a="1"/>
  <c r="M16" i="24" a="1"/>
  <c r="AE4" i="24" a="1"/>
  <c r="M4" i="24" a="1"/>
  <c r="L16" i="24" a="1"/>
  <c r="AE7" i="24" a="1"/>
  <c r="G31" i="24" l="1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H4" i="19"/>
  <c r="H20" i="19"/>
  <c r="E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E22" i="24"/>
  <c r="V9" i="21"/>
  <c r="V4" i="21"/>
  <c r="E21" i="24"/>
  <c r="E20" i="24"/>
  <c r="E19" i="24"/>
  <c r="E4" i="2"/>
  <c r="E11" i="24"/>
  <c r="H2" i="19"/>
  <c r="E2" i="24"/>
  <c r="V8" i="21"/>
  <c r="E18" i="24"/>
  <c r="V3" i="21"/>
  <c r="E33" i="24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<sst xmlns="http://schemas.openxmlformats.org/spreadsheetml/2006/main" count="1687" uniqueCount="725">
  <si>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</si>
  <si>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</si>
  <si>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</si>
  <si>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</si>
  <si>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</si>
  <si>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</si>
  <si>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</si>
  <si>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</si>
  <si>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</si>
  <si>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</si>
  <si>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</si>
  <si>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</si>
  <si>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</si>
  <si>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</si>
  <si>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</si>
  <si>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</si>
  <si>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</si>
  <si>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</si>
  <si>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</si>
  <si>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</si>
  <si>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</si>
  <si>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</si>
  <si>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</si>
  <si>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</si>
  <si>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</si>
  <si>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</si>
  <si>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</si>
  <si>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</si>
  <si>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</si>
  <si>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</si>
  <si>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</si>
  <si>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</si>
  <si>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</si>
  <si>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</si>
  <si>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</si>
  <si>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</si>
  <si>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</si>
  <si>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</si>
  <si>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</si>
  <si>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</si>
  <si>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</si>
  <si>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</si>
  <si>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</si>
  <si>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</si>
  <si>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</si>
  <si>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</si>
  <si>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</si>
  <si>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</si>
  <si>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</si>
  <si>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</si>
  <si>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</si>
  <si>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</si>
  <si>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</si>
  <si>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</si>
  <si>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</si>
  <si>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</si>
  <si>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</si>
  <si>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</si>
  <si>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</si>
  <si>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</si>
  <si>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</si>
  <si>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</si>
  <si>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</si>
  <si>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</si>
  <si>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</si>
  <si>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</si>
  <si>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</si>
  <si>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</si>
  <si>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</si>
  <si>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</si>
  <si>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</si>
  <si>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</si>
  <si>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</si>
  <si>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</si>
  <si>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</si>
  <si>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</si>
  <si>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</si>
  <si>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</si>
  <si>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</si>
  <si>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</si>
  <si>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</si>
  <si>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</si>
  <si>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</si>
  <si>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</si>
  <si>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</si>
  <si>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</si>
  <si>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</si>
  <si>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</si>
  <si>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</si>
  <si>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</si>
  <si>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</si>
  <si>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</si>
  <si>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</si>
  <si>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</si>
  <si>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</si>
  <si>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</si>
  <si>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</si>
  <si>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</si>
  <si>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</si>
  <si>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</si>
  <si>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</si>
  <si>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</si>
  <si>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</si>
  <si>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</si>
  <si>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</si>
  <si>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</si>
  <si>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</si>
  <si>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</si>
  <si>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</si>
  <si>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</si>
  <si>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</si>
  <si>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</si>
  <si>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</si>
  <si>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</si>
  <si>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</si>
  <si>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</si>
  <si>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</si>
  <si>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</si>
  <si>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</si>
  <si>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</si>
  <si>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</si>
  <si>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</si>
  <si>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</si>
  <si>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</si>
  <si>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</si>
  <si>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</si>
  <si>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</si>
  <si>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</si>
  <si>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</si>
  <si>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</si>
  <si>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</si>
  <si>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</si>
  <si>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</si>
  <si>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</si>
  <si>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</si>
  <si>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</si>
  <si>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</si>
  <si>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</si>
  <si>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</si>
  <si>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</si>
  <si>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</si>
  <si>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</si>
  <si>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</si>
  <si>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</si>
  <si>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</si>
  <si>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</si>
  <si>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</si>
  <si>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</si>
  <si>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</si>
  <si>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</si>
  <si>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</si>
  <si>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</si>
  <si>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</si>
  <si>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</si>
  <si>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</si>
  <si>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</si>
  <si>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</si>
  <si>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</si>
  <si>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</si>
  <si>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</si>
  <si>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</si>
  <si>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</si>
  <si>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</si>
  <si>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</si>
  <si>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</si>
  <si>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</si>
  <si>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</si>
  <si>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</si>
  <si>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</si>
  <si>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</si>
  <si>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</si>
  <si>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</si>
  <si>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</si>
  <si>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</si>
  <si>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</si>
  <si>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</si>
  <si>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</si>
  <si>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</si>
  <si>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</si>
  <si>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</si>
  <si>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</si>
  <si>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</si>
  <si>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</si>
  <si>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</si>
  <si>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</si>
  <si>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</si>
  <si>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</si>
  <si>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</si>
  <si>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</si>
  <si>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</si>
  <si>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</si>
  <si>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</si>
  <si>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</si>
  <si>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</si>
  <si>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</si>
  <si>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</si>
  <si>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</si>
  <si>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</si>
  <si>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</si>
  <si>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</si>
  <si>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</si>
  <si>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</si>
  <si>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</si>
  <si>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</si>
  <si>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</si>
  <si>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</si>
  <si>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</si>
  <si>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</si>
  <si>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</si>
  <si>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</si>
  <si>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</si>
  <si>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</si>
  <si>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</si>
  <si>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</si>
  <si>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</si>
  <si>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</si>
  <si>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</si>
  <si>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</si>
  <si>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</si>
  <si>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</si>
  <si>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</si>
  <si>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</si>
  <si>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</si>
  <si>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</si>
  <si>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</si>
  <si>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</si>
  <si>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</si>
  <si>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</si>
  <si>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</si>
  <si>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</si>
  <si>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</si>
  <si>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</si>
  <si>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</si>
  <si>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</si>
  <si>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</si>
  <si>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</si>
  <si>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</si>
  <si>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</si>
  <si>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</si>
  <si>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</si>
  <si>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</si>
  <si>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</si>
  <si>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</si>
  <si>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</si>
  <si>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</si>
  <si>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</si>
  <si>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</si>
  <si>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</si>
  <si>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</si>
  <si>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</si>
  <si>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</si>
  <si>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</si>
  <si>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</si>
  <si>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</si>
  <si>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</si>
  <si>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</si>
  <si>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</si>
  <si>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</si>
  <si>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</si>
  <si>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</si>
  <si>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</si>
  <si>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</si>
  <si>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</si>
  <si>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</si>
  <si>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</si>
  <si>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</si>
  <si>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</si>
  <si>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</si>
  <si>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</si>
  <si>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</si>
  <si>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</si>
  <si>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</si>
  <si>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</si>
  <si>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</si>
  <si>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</si>
  <si>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</si>
  <si>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</si>
  <si>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</si>
  <si>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</si>
  <si>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</si>
  <si>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</si>
  <si>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</si>
  <si>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</si>
  <si>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</si>
  <si>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</si>
  <si>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</si>
  <si>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</si>
  <si>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</si>
  <si>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</si>
  <si>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</si>
  <si>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</si>
  <si>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</si>
  <si>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</si>
  <si>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</si>
  <si>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</si>
  <si>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</si>
  <si>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</si>
  <si>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</si>
  <si>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</si>
  <si>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</si>
  <si>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</si>
  <si>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</si>
  <si>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</si>
  <si>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</si>
  <si>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</si>
  <si>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</si>
  <si>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</si>
  <si>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</si>
  <si>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</si>
  <si>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</si>
  <si>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</si>
  <si>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</si>
  <si>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</si>
  <si>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</si>
  <si>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</si>
  <si>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</si>
  <si>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</si>
  <si>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</si>
  <si>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</si>
  <si>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</si>
  <si>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</si>
  <si>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</si>
  <si>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</si>
  <si>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</si>
  <si>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</si>
  <si>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</si>
  <si>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</si>
  <si>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</si>
  <si>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</si>
  <si>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</si>
  <si>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</si>
  <si>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</si>
  <si>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</si>
  <si>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</si>
  <si>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</si>
  <si>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</si>
  <si>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</si>
  <si>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</si>
  <si>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</si>
  <si>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</si>
  <si>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</si>
  <si>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</si>
  <si>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</si>
  <si>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</si>
  <si>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</si>
  <si>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</si>
  <si>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</si>
  <si>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</si>
  <si>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</si>
  <si>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</si>
  <si>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</si>
  <si>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</si>
  <si>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</si>
  <si>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</si>
  <si>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</si>
  <si>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</si>
  <si>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</si>
  <si>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</si>
  <si>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</si>
  <si>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</si>
  <si>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</si>
  <si>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</si>
  <si>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</si>
  <si>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</si>
  <si>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</si>
  <si>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</si>
  <si>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</si>
  <si>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</si>
  <si>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</si>
  <si>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</si>
  <si>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</si>
  <si>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</si>
  <si>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</si>
  <si>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</si>
  <si>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</si>
  <si>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</si>
  <si>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</si>
  <si>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</si>
  <si>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</si>
  <si>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</si>
  <si>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</si>
  <si>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</si>
  <si>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</si>
  <si>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</si>
  <si>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</si>
  <si>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</si>
  <si>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</si>
  <si>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</si>
  <si>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</si>
  <si>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</si>
  <si>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</si>
  <si>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</si>
  <si>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</si>
  <si>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</si>
  <si>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</si>
  <si>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</si>
  <si>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</si>
  <si>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</si>
  <si>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</si>
  <si>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</si>
  <si>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</si>
  <si>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</si>
  <si>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</si>
  <si>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</si>
  <si>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</si>
  <si>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</si>
  <si>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</si>
  <si>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</si>
  <si>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</si>
  <si>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</si>
  <si>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</si>
  <si>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</si>
  <si>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</si>
  <si>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</si>
  <si>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</si>
  <si>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</si>
  <si>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</si>
  <si>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</si>
  <si>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</si>
  <si>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</si>
  <si>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</si>
  <si>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</si>
  <si>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</si>
  <si>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</si>
  <si>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</si>
  <si>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</si>
  <si>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</si>
  <si>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</si>
  <si>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</si>
  <si>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</si>
  <si>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</si>
  <si>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</si>
  <si>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</si>
  <si>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</si>
  <si>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</si>
  <si>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</si>
  <si>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</si>
  <si>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</si>
  <si>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</si>
  <si>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</si>
  <si>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</si>
  <si>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</si>
  <si>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</si>
  <si>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018bcd02-eb19-fb14-c520-64cbb78d9135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</si>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</sst>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484</v>
      </c>
      <c r="D1" s="1" t="s">
        <v>485</v>
      </c>
      <c r="E1" s="1" t="s">
        <v>486</v>
      </c>
    </row>
    <row r="2" spans="1:5" x14ac:dyDescent="0.3">
      <c r="A2" t="s">
        <v>43</v>
      </c>
      <c r="B2" t="s">
        <v>487</v>
      </c>
      <c r="C2" t="s">
        <v>487</v>
      </c>
    </row>
    <row r="3" spans="1:5" x14ac:dyDescent="0.3">
      <c r="A3" t="s">
        <v>46</v>
      </c>
      <c r="B3" t="s">
        <v>488</v>
      </c>
      <c r="C3" t="s">
        <v>488</v>
      </c>
    </row>
    <row r="4" spans="1:5" x14ac:dyDescent="0.3">
      <c r="A4" t="s">
        <v>49</v>
      </c>
      <c r="B4" t="s">
        <v>489</v>
      </c>
      <c r="C4" t="s">
        <v>489</v>
      </c>
    </row>
    <row r="5" spans="1:5" x14ac:dyDescent="0.3">
      <c r="A5" t="s">
        <v>52</v>
      </c>
      <c r="B5" t="s">
        <v>490</v>
      </c>
      <c r="C5" t="s">
        <v>490</v>
      </c>
    </row>
    <row r="6" spans="1:5" x14ac:dyDescent="0.3">
      <c r="A6" t="s">
        <v>55</v>
      </c>
      <c r="B6" t="s">
        <v>491</v>
      </c>
      <c r="C6" t="s">
        <v>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473</v>
      </c>
      <c r="C2" s="6" t="str">
        <f>"dc"&amp;RIGHT($B2,LEN($B2)-15)</f>
        <v>dc1</v>
      </c>
    </row>
    <row r="3" spans="1:3" x14ac:dyDescent="0.3">
      <c r="A3" t="s">
        <v>17</v>
      </c>
      <c r="B3" t="s">
        <v>474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475</v>
      </c>
      <c r="C4" s="6" t="str">
        <f t="shared" si="0"/>
        <v>dc3</v>
      </c>
    </row>
    <row r="5" spans="1:3" x14ac:dyDescent="0.3">
      <c r="A5" t="s">
        <v>29</v>
      </c>
      <c r="B5" t="s">
        <v>476</v>
      </c>
      <c r="C5" s="6" t="str">
        <f t="shared" si="0"/>
        <v>dc4</v>
      </c>
    </row>
    <row r="6" spans="1:3" x14ac:dyDescent="0.3">
      <c r="A6" t="s">
        <v>35</v>
      </c>
      <c r="B6" t="s">
        <v>477</v>
      </c>
      <c r="C6" s="6" t="str">
        <f t="shared" si="0"/>
        <v>dc5</v>
      </c>
    </row>
    <row r="7" spans="1:3" x14ac:dyDescent="0.3">
      <c r="A7" t="s">
        <v>15</v>
      </c>
      <c r="B7" t="s">
        <v>478</v>
      </c>
      <c r="C7" s="6" t="str">
        <f t="shared" si="0"/>
        <v>dc6</v>
      </c>
    </row>
    <row r="8" spans="1:3" x14ac:dyDescent="0.3">
      <c r="A8" t="s">
        <v>21</v>
      </c>
      <c r="B8" t="s">
        <v>479</v>
      </c>
      <c r="C8" s="6" t="str">
        <f t="shared" si="0"/>
        <v>dc7</v>
      </c>
    </row>
    <row r="9" spans="1:3" x14ac:dyDescent="0.3">
      <c r="A9" t="s">
        <v>27</v>
      </c>
      <c r="B9" t="s">
        <v>480</v>
      </c>
      <c r="C9" s="6" t="str">
        <f t="shared" si="0"/>
        <v>dc8</v>
      </c>
    </row>
    <row r="10" spans="1:3" x14ac:dyDescent="0.3">
      <c r="A10" t="s">
        <v>33</v>
      </c>
      <c r="B10" t="s">
        <v>481</v>
      </c>
      <c r="C10" s="6" t="str">
        <f t="shared" si="0"/>
        <v>dc9</v>
      </c>
    </row>
    <row r="11" spans="1:3" x14ac:dyDescent="0.3">
      <c r="A11" t="s">
        <v>39</v>
      </c>
      <c r="B11" t="s">
        <v>482</v>
      </c>
      <c r="C11" s="6" t="str">
        <f t="shared" si="0"/>
        <v>dc10</v>
      </c>
    </row>
    <row r="12" spans="1:3" x14ac:dyDescent="0.3">
      <c r="A12" t="s">
        <v>40</v>
      </c>
      <c r="B12" t="s">
        <v>483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441</v>
      </c>
      <c r="C1" s="1" t="s">
        <v>57</v>
      </c>
      <c r="D1" s="1" t="s">
        <v>3</v>
      </c>
      <c r="E1" s="1" t="s">
        <v>442</v>
      </c>
      <c r="F1" s="1" t="s">
        <v>41</v>
      </c>
      <c r="G1" s="5" t="s">
        <v>564</v>
      </c>
      <c r="H1" s="5" t="s">
        <v>673</v>
      </c>
      <c r="I1" s="5" t="s">
        <v>674</v>
      </c>
      <c r="J1" s="5" t="s">
        <v>720</v>
      </c>
      <c r="K1" s="5" t="s">
        <v>675</v>
      </c>
      <c r="L1" s="17" t="s">
        <v>672</v>
      </c>
    </row>
    <row r="2" spans="1:12" x14ac:dyDescent="0.3">
      <c r="A2" t="s">
        <v>443</v>
      </c>
      <c r="B2" t="s">
        <v>444</v>
      </c>
      <c r="C2" t="str">
        <f>LEFT(B2,FIND("@",B2)-1)</f>
        <v>root1_1</v>
      </c>
      <c r="D2" t="b">
        <v>1</v>
      </c>
      <c r="E2" t="s">
        <v>553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445</v>
      </c>
      <c r="B3" t="s">
        <v>446</v>
      </c>
      <c r="C3" t="str">
        <f t="shared" ref="C3:C29" si="0">LEFT(B3,FIND("@",B3)-1)</f>
        <v>app_admin1_1</v>
      </c>
      <c r="D3" t="b">
        <v>1</v>
      </c>
      <c r="E3" t="s">
        <v>554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447</v>
      </c>
      <c r="B4" s="20" t="s">
        <v>721</v>
      </c>
      <c r="C4" t="str">
        <f t="shared" si="0"/>
        <v>refdata_admin1_1</v>
      </c>
      <c r="D4" t="b">
        <v>1</v>
      </c>
      <c r="E4" t="s">
        <v>722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448</v>
      </c>
      <c r="C5" t="str">
        <f t="shared" si="0"/>
        <v>org_admin1_1</v>
      </c>
      <c r="D5" t="b">
        <v>1</v>
      </c>
      <c r="E5" t="s">
        <v>555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449</v>
      </c>
      <c r="C6" t="str">
        <f t="shared" si="0"/>
        <v>org_admin2_1</v>
      </c>
      <c r="D6" t="b">
        <v>1</v>
      </c>
      <c r="E6" t="s">
        <v>555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450</v>
      </c>
      <c r="C7" t="str">
        <f t="shared" si="0"/>
        <v>org_admin3_1</v>
      </c>
      <c r="D7" t="b">
        <v>1</v>
      </c>
      <c r="E7" t="s">
        <v>555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451</v>
      </c>
      <c r="C8" t="str">
        <f t="shared" si="0"/>
        <v>org_admin4_1</v>
      </c>
      <c r="D8" t="b">
        <v>1</v>
      </c>
      <c r="E8" t="s">
        <v>555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452</v>
      </c>
      <c r="C9" t="str">
        <f t="shared" si="0"/>
        <v>org_admin5_1</v>
      </c>
      <c r="D9" t="b">
        <v>1</v>
      </c>
      <c r="E9" t="s">
        <v>555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453</v>
      </c>
      <c r="C10" t="str">
        <f t="shared" si="0"/>
        <v>org_user1_1</v>
      </c>
      <c r="D10" t="b">
        <v>1</v>
      </c>
      <c r="E10" t="s">
        <v>556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454</v>
      </c>
      <c r="C11" t="str">
        <f t="shared" si="0"/>
        <v>org_user1_2</v>
      </c>
      <c r="D11" t="b">
        <v>1</v>
      </c>
      <c r="E11" t="s">
        <v>556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455</v>
      </c>
      <c r="C12" t="str">
        <f t="shared" si="0"/>
        <v>org_user1_3</v>
      </c>
      <c r="D12" t="b">
        <v>1</v>
      </c>
      <c r="E12" t="s">
        <v>556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456</v>
      </c>
      <c r="C13" t="str">
        <f t="shared" si="0"/>
        <v>org_user1_4</v>
      </c>
      <c r="D13" t="b">
        <v>1</v>
      </c>
      <c r="E13" t="s">
        <v>556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457</v>
      </c>
      <c r="C14" t="str">
        <f t="shared" si="0"/>
        <v>org_user2_1</v>
      </c>
      <c r="D14" t="b">
        <v>1</v>
      </c>
      <c r="E14" t="s">
        <v>556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458</v>
      </c>
      <c r="C15" t="str">
        <f t="shared" si="0"/>
        <v>org_user2_2</v>
      </c>
      <c r="D15" t="b">
        <v>1</v>
      </c>
      <c r="E15" t="s">
        <v>556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459</v>
      </c>
      <c r="C16" t="str">
        <f t="shared" si="0"/>
        <v>org_user2_3</v>
      </c>
      <c r="D16" t="b">
        <v>1</v>
      </c>
      <c r="E16" t="s">
        <v>556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460</v>
      </c>
      <c r="C17" t="str">
        <f t="shared" si="0"/>
        <v>org_user2_4</v>
      </c>
      <c r="D17" t="b">
        <v>1</v>
      </c>
      <c r="E17" t="s">
        <v>556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461</v>
      </c>
      <c r="C18" t="str">
        <f t="shared" si="0"/>
        <v>org_user3_1</v>
      </c>
      <c r="D18" t="b">
        <v>1</v>
      </c>
      <c r="E18" t="s">
        <v>556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462</v>
      </c>
      <c r="C19" t="str">
        <f t="shared" si="0"/>
        <v>org_user3_2</v>
      </c>
      <c r="D19" t="b">
        <v>1</v>
      </c>
      <c r="E19" t="s">
        <v>556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463</v>
      </c>
      <c r="C20" t="str">
        <f t="shared" si="0"/>
        <v>org_user3_3</v>
      </c>
      <c r="D20" t="b">
        <v>1</v>
      </c>
      <c r="E20" t="s">
        <v>556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464</v>
      </c>
      <c r="C21" t="str">
        <f t="shared" si="0"/>
        <v>org_user3_4</v>
      </c>
      <c r="D21" t="b">
        <v>1</v>
      </c>
      <c r="E21" t="s">
        <v>556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465</v>
      </c>
      <c r="C22" t="str">
        <f t="shared" si="0"/>
        <v>org_user4_1</v>
      </c>
      <c r="D22" t="b">
        <v>1</v>
      </c>
      <c r="E22" t="s">
        <v>556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466</v>
      </c>
      <c r="C23" t="str">
        <f t="shared" si="0"/>
        <v>org_user4_2</v>
      </c>
      <c r="D23" t="b">
        <v>1</v>
      </c>
      <c r="E23" t="s">
        <v>556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467</v>
      </c>
      <c r="C24" t="str">
        <f t="shared" si="0"/>
        <v>org_user4_3</v>
      </c>
      <c r="D24" t="b">
        <v>1</v>
      </c>
      <c r="E24" t="s">
        <v>556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468</v>
      </c>
      <c r="C25" t="str">
        <f t="shared" si="0"/>
        <v>org_user4_4</v>
      </c>
      <c r="D25" t="b">
        <v>1</v>
      </c>
      <c r="E25" t="s">
        <v>556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469</v>
      </c>
      <c r="C26" t="str">
        <f t="shared" si="0"/>
        <v>org_user5_1</v>
      </c>
      <c r="D26" t="b">
        <v>1</v>
      </c>
      <c r="E26" t="s">
        <v>556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470</v>
      </c>
      <c r="C27" t="str">
        <f t="shared" si="0"/>
        <v>org_user5_2</v>
      </c>
      <c r="D27" t="b">
        <v>1</v>
      </c>
      <c r="E27" t="s">
        <v>556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471</v>
      </c>
      <c r="C28" t="str">
        <f t="shared" si="0"/>
        <v>org_user5_3</v>
      </c>
      <c r="D28" t="b">
        <v>1</v>
      </c>
      <c r="E28" t="s">
        <v>556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472</v>
      </c>
      <c r="C29" t="str">
        <f t="shared" si="0"/>
        <v>org_user5_4</v>
      </c>
      <c r="D29" t="b">
        <v>1</v>
      </c>
      <c r="E29" t="s">
        <v>556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xr:uid="{6720259D-8B8B-404B-BBFC-255A858BC201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441</v>
      </c>
      <c r="C1" s="10" t="s">
        <v>565</v>
      </c>
      <c r="D1" s="1" t="s">
        <v>493</v>
      </c>
      <c r="E1" s="1" t="s">
        <v>494</v>
      </c>
      <c r="F1" s="1" t="s">
        <v>442</v>
      </c>
      <c r="G1" s="1" t="s">
        <v>495</v>
      </c>
      <c r="H1" s="10" t="s">
        <v>584</v>
      </c>
      <c r="I1" s="1" t="s">
        <v>41</v>
      </c>
      <c r="J1" s="10" t="s">
        <v>552</v>
      </c>
    </row>
    <row r="2" spans="1:10" x14ac:dyDescent="0.3">
      <c r="A2" t="s">
        <v>496</v>
      </c>
      <c r="B2" t="s">
        <v>446</v>
      </c>
      <c r="C2" s="6" t="str">
        <f>LEFT($B2,LEN($B2)-9)</f>
        <v>app_admin1_1</v>
      </c>
      <c r="D2" t="s">
        <v>497</v>
      </c>
      <c r="E2" s="2">
        <v>45743.390918726589</v>
      </c>
      <c r="F2" t="s">
        <v>554</v>
      </c>
      <c r="G2" t="s">
        <v>443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498</v>
      </c>
      <c r="B3" s="20" t="s">
        <v>721</v>
      </c>
      <c r="C3" s="6" t="str">
        <f t="shared" ref="C3:C28" si="0">LEFT($B3,LEN($B3)-9)</f>
        <v>refdata_admin1_1</v>
      </c>
      <c r="D3" t="s">
        <v>499</v>
      </c>
      <c r="E3" s="2">
        <v>45743.390918741461</v>
      </c>
      <c r="F3" t="s">
        <v>722</v>
      </c>
      <c r="G3" t="s">
        <v>445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500</v>
      </c>
      <c r="B4" t="s">
        <v>448</v>
      </c>
      <c r="C4" s="6" t="str">
        <f t="shared" si="0"/>
        <v>org_admin1_1</v>
      </c>
      <c r="D4" t="s">
        <v>501</v>
      </c>
      <c r="E4" s="2">
        <v>45743.390918746562</v>
      </c>
      <c r="F4" t="s">
        <v>555</v>
      </c>
      <c r="G4" t="s">
        <v>445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502</v>
      </c>
      <c r="B5" t="s">
        <v>449</v>
      </c>
      <c r="C5" s="6" t="str">
        <f t="shared" si="0"/>
        <v>org_admin2_1</v>
      </c>
      <c r="D5" t="s">
        <v>503</v>
      </c>
      <c r="E5" s="2">
        <v>45743.390918763551</v>
      </c>
      <c r="F5" t="s">
        <v>555</v>
      </c>
      <c r="G5" t="s">
        <v>445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504</v>
      </c>
      <c r="B6" t="s">
        <v>450</v>
      </c>
      <c r="C6" s="6" t="str">
        <f t="shared" si="0"/>
        <v>org_admin3_1</v>
      </c>
      <c r="D6" t="s">
        <v>505</v>
      </c>
      <c r="E6" s="2">
        <v>45743.390918772537</v>
      </c>
      <c r="F6" t="s">
        <v>555</v>
      </c>
      <c r="G6" t="s">
        <v>445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506</v>
      </c>
      <c r="B7" t="s">
        <v>451</v>
      </c>
      <c r="C7" s="6" t="str">
        <f t="shared" si="0"/>
        <v>org_admin4_1</v>
      </c>
      <c r="D7" t="s">
        <v>507</v>
      </c>
      <c r="E7" s="2">
        <v>45743.390918781181</v>
      </c>
      <c r="F7" t="s">
        <v>555</v>
      </c>
      <c r="G7" t="s">
        <v>445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508</v>
      </c>
      <c r="B8" t="s">
        <v>452</v>
      </c>
      <c r="C8" s="6" t="str">
        <f t="shared" si="0"/>
        <v>org_admin5_1</v>
      </c>
      <c r="D8" t="s">
        <v>509</v>
      </c>
      <c r="E8" s="2">
        <v>45743.3909187889</v>
      </c>
      <c r="F8" t="s">
        <v>555</v>
      </c>
      <c r="G8" t="s">
        <v>445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510</v>
      </c>
      <c r="B9" t="s">
        <v>453</v>
      </c>
      <c r="C9" s="6" t="str">
        <f t="shared" si="0"/>
        <v>org_user1_1</v>
      </c>
      <c r="D9" t="s">
        <v>511</v>
      </c>
      <c r="E9" s="2">
        <v>45743.390918796598</v>
      </c>
      <c r="F9" t="s">
        <v>556</v>
      </c>
      <c r="G9" t="s">
        <v>445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512</v>
      </c>
      <c r="B10" t="s">
        <v>454</v>
      </c>
      <c r="C10" s="6" t="str">
        <f t="shared" si="0"/>
        <v>org_user1_2</v>
      </c>
      <c r="D10" t="s">
        <v>513</v>
      </c>
      <c r="E10" s="2">
        <v>45743.390918801953</v>
      </c>
      <c r="F10" t="s">
        <v>556</v>
      </c>
      <c r="G10" t="s">
        <v>445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514</v>
      </c>
      <c r="B11" t="s">
        <v>455</v>
      </c>
      <c r="C11" s="6" t="str">
        <f t="shared" si="0"/>
        <v>org_user1_3</v>
      </c>
      <c r="D11" t="s">
        <v>515</v>
      </c>
      <c r="E11" s="2">
        <v>45743.390918807163</v>
      </c>
      <c r="F11" t="s">
        <v>556</v>
      </c>
      <c r="G11" t="s">
        <v>445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516</v>
      </c>
      <c r="B12" t="s">
        <v>456</v>
      </c>
      <c r="C12" s="6" t="str">
        <f t="shared" si="0"/>
        <v>org_user1_4</v>
      </c>
      <c r="D12" t="s">
        <v>517</v>
      </c>
      <c r="E12" s="2">
        <v>45743.3909188123</v>
      </c>
      <c r="F12" t="s">
        <v>556</v>
      </c>
      <c r="G12" t="s">
        <v>445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518</v>
      </c>
      <c r="B13" t="s">
        <v>457</v>
      </c>
      <c r="C13" s="6" t="str">
        <f t="shared" si="0"/>
        <v>org_user2_1</v>
      </c>
      <c r="D13" t="s">
        <v>519</v>
      </c>
      <c r="E13" s="2">
        <v>45743.390918817633</v>
      </c>
      <c r="F13" t="s">
        <v>556</v>
      </c>
      <c r="G13" t="s">
        <v>445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520</v>
      </c>
      <c r="B14" t="s">
        <v>458</v>
      </c>
      <c r="C14" s="6" t="str">
        <f t="shared" si="0"/>
        <v>org_user2_2</v>
      </c>
      <c r="D14" t="s">
        <v>521</v>
      </c>
      <c r="E14" s="2">
        <v>45743.390918822908</v>
      </c>
      <c r="F14" t="s">
        <v>556</v>
      </c>
      <c r="G14" t="s">
        <v>445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522</v>
      </c>
      <c r="B15" t="s">
        <v>459</v>
      </c>
      <c r="C15" s="6" t="str">
        <f t="shared" si="0"/>
        <v>org_user2_3</v>
      </c>
      <c r="D15" t="s">
        <v>523</v>
      </c>
      <c r="E15" s="2">
        <v>45743.390918828743</v>
      </c>
      <c r="F15" t="s">
        <v>556</v>
      </c>
      <c r="G15" t="s">
        <v>445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524</v>
      </c>
      <c r="B16" t="s">
        <v>460</v>
      </c>
      <c r="C16" s="6" t="str">
        <f t="shared" si="0"/>
        <v>org_user2_4</v>
      </c>
      <c r="D16" t="s">
        <v>525</v>
      </c>
      <c r="E16" s="2">
        <v>45743.390918834302</v>
      </c>
      <c r="F16" t="s">
        <v>556</v>
      </c>
      <c r="G16" t="s">
        <v>445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526</v>
      </c>
      <c r="B17" t="s">
        <v>461</v>
      </c>
      <c r="C17" s="6" t="str">
        <f t="shared" si="0"/>
        <v>org_user3_1</v>
      </c>
      <c r="D17" t="s">
        <v>527</v>
      </c>
      <c r="E17" s="2">
        <v>45743.390918839839</v>
      </c>
      <c r="F17" t="s">
        <v>556</v>
      </c>
      <c r="G17" t="s">
        <v>445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528</v>
      </c>
      <c r="B18" t="s">
        <v>462</v>
      </c>
      <c r="C18" s="6" t="str">
        <f t="shared" si="0"/>
        <v>org_user3_2</v>
      </c>
      <c r="D18" t="s">
        <v>529</v>
      </c>
      <c r="E18" s="2">
        <v>45743.390918845187</v>
      </c>
      <c r="F18" t="s">
        <v>556</v>
      </c>
      <c r="G18" t="s">
        <v>445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530</v>
      </c>
      <c r="B19" t="s">
        <v>463</v>
      </c>
      <c r="C19" s="6" t="str">
        <f t="shared" si="0"/>
        <v>org_user3_3</v>
      </c>
      <c r="D19" t="s">
        <v>531</v>
      </c>
      <c r="E19" s="2">
        <v>45743.390918851088</v>
      </c>
      <c r="F19" t="s">
        <v>556</v>
      </c>
      <c r="G19" t="s">
        <v>445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532</v>
      </c>
      <c r="B20" t="s">
        <v>464</v>
      </c>
      <c r="C20" s="6" t="str">
        <f t="shared" si="0"/>
        <v>org_user3_4</v>
      </c>
      <c r="D20" t="s">
        <v>533</v>
      </c>
      <c r="E20" s="2">
        <v>45743.39091885696</v>
      </c>
      <c r="F20" t="s">
        <v>556</v>
      </c>
      <c r="G20" t="s">
        <v>445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534</v>
      </c>
      <c r="B21" t="s">
        <v>465</v>
      </c>
      <c r="C21" s="6" t="str">
        <f t="shared" si="0"/>
        <v>org_user4_1</v>
      </c>
      <c r="D21" t="s">
        <v>535</v>
      </c>
      <c r="E21" s="2">
        <v>45743.390918862962</v>
      </c>
      <c r="F21" t="s">
        <v>556</v>
      </c>
      <c r="G21" t="s">
        <v>445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536</v>
      </c>
      <c r="B22" t="s">
        <v>466</v>
      </c>
      <c r="C22" s="6" t="str">
        <f t="shared" si="0"/>
        <v>org_user4_2</v>
      </c>
      <c r="D22" t="s">
        <v>537</v>
      </c>
      <c r="E22" s="2">
        <v>45743.390918868739</v>
      </c>
      <c r="F22" t="s">
        <v>556</v>
      </c>
      <c r="G22" t="s">
        <v>445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538</v>
      </c>
      <c r="B23" t="s">
        <v>467</v>
      </c>
      <c r="C23" s="6" t="str">
        <f t="shared" si="0"/>
        <v>org_user4_3</v>
      </c>
      <c r="D23" t="s">
        <v>539</v>
      </c>
      <c r="E23" s="2">
        <v>45743.390918874728</v>
      </c>
      <c r="F23" t="s">
        <v>556</v>
      </c>
      <c r="G23" t="s">
        <v>445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540</v>
      </c>
      <c r="B24" t="s">
        <v>468</v>
      </c>
      <c r="C24" s="6" t="str">
        <f t="shared" si="0"/>
        <v>org_user4_4</v>
      </c>
      <c r="D24" t="s">
        <v>541</v>
      </c>
      <c r="E24" s="2">
        <v>45743.390918881109</v>
      </c>
      <c r="F24" t="s">
        <v>556</v>
      </c>
      <c r="G24" t="s">
        <v>445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542</v>
      </c>
      <c r="B25" t="s">
        <v>469</v>
      </c>
      <c r="C25" s="6" t="str">
        <f t="shared" si="0"/>
        <v>org_user5_1</v>
      </c>
      <c r="D25" t="s">
        <v>543</v>
      </c>
      <c r="E25" s="2">
        <v>45743.390918887373</v>
      </c>
      <c r="F25" t="s">
        <v>556</v>
      </c>
      <c r="G25" t="s">
        <v>445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544</v>
      </c>
      <c r="B26" t="s">
        <v>470</v>
      </c>
      <c r="C26" s="6" t="str">
        <f t="shared" si="0"/>
        <v>org_user5_2</v>
      </c>
      <c r="D26" t="s">
        <v>545</v>
      </c>
      <c r="E26" s="2">
        <v>45743.39091889358</v>
      </c>
      <c r="F26" t="s">
        <v>556</v>
      </c>
      <c r="G26" t="s">
        <v>445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546</v>
      </c>
      <c r="B27" t="s">
        <v>471</v>
      </c>
      <c r="C27" s="6" t="str">
        <f t="shared" si="0"/>
        <v>org_user5_3</v>
      </c>
      <c r="D27" t="s">
        <v>547</v>
      </c>
      <c r="E27" s="2">
        <v>45743.390918900091</v>
      </c>
      <c r="F27" t="s">
        <v>556</v>
      </c>
      <c r="G27" t="s">
        <v>445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548</v>
      </c>
      <c r="B28" t="s">
        <v>472</v>
      </c>
      <c r="C28" s="6" t="str">
        <f t="shared" si="0"/>
        <v>org_user5_4</v>
      </c>
      <c r="D28" t="s">
        <v>549</v>
      </c>
      <c r="E28" s="2">
        <v>45743.390918906553</v>
      </c>
      <c r="F28" t="s">
        <v>556</v>
      </c>
      <c r="G28" t="s">
        <v>445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xr:uid="{C6CE08DD-189A-544E-9566-622F7BE1E7EA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ColWidth="8.77734375" defaultRowHeight="14.4" x14ac:dyDescent="0.3"/>
  <cols>
    <col min="1" max="1" width="35.77734375" bestFit="1" customWidth="1"/>
    <col min="2" max="2" width="9" bestFit="1" customWidth="1"/>
    <col min="3" max="4" width="5" bestFit="1" customWidth="1"/>
    <col min="5" max="5" width="4.77734375" bestFit="1" customWidth="1"/>
    <col min="6" max="6" width="14.44140625" bestFit="1" customWidth="1"/>
    <col min="7" max="7" width="10.3320312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3">
      <c r="A2" t="s">
        <v>424</v>
      </c>
      <c r="B2" t="s">
        <v>550</v>
      </c>
      <c r="C2" s="11" t="s">
        <v>572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3">
      <c r="A3" t="s">
        <v>428</v>
      </c>
      <c r="B3" t="s">
        <v>550</v>
      </c>
      <c r="C3" s="11" t="s">
        <v>573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3">
      <c r="A4" t="s">
        <v>432</v>
      </c>
      <c r="B4" t="s">
        <v>550</v>
      </c>
      <c r="C4" s="11" t="s">
        <v>574</v>
      </c>
      <c r="D4" t="s">
        <v>440</v>
      </c>
      <c r="G4" s="6" t="str">
        <f>"dim"&amp;$C4&amp;"("&amp;$B4&amp;")"</f>
        <v>dim3(TEXT)</v>
      </c>
      <c r="H4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77734375" bestFit="1" customWidth="1"/>
    <col min="10" max="10" width="11.109375" bestFit="1" customWidth="1"/>
    <col min="11" max="11" width="12.33203125" bestFit="1" customWidth="1"/>
    <col min="12" max="12" width="9.7773437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77734375" bestFit="1" customWidth="1"/>
  </cols>
  <sheetData>
    <row r="1" spans="1:16" x14ac:dyDescent="0.3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3">
      <c r="A2" t="s">
        <v>333</v>
      </c>
      <c r="B2" t="s">
        <v>424</v>
      </c>
      <c r="E2" t="s">
        <v>575</v>
      </c>
      <c r="F2">
        <v>1</v>
      </c>
      <c r="G2" t="s">
        <v>425</v>
      </c>
      <c r="H2" t="s">
        <v>550</v>
      </c>
      <c r="O2" s="13" t="str">
        <f>"col"&amp;$E2&amp;"("&amp;$H2&amp;")"</f>
        <v>col1_1(TEXT)</v>
      </c>
      <c r="P2" t="s">
        <v>335</v>
      </c>
    </row>
    <row r="3" spans="1:16" x14ac:dyDescent="0.3">
      <c r="A3" t="s">
        <v>336</v>
      </c>
      <c r="B3" t="s">
        <v>424</v>
      </c>
      <c r="E3" t="s">
        <v>576</v>
      </c>
      <c r="F3">
        <v>2</v>
      </c>
      <c r="G3" t="s">
        <v>426</v>
      </c>
      <c r="H3" t="s">
        <v>550</v>
      </c>
      <c r="O3" s="13" t="str">
        <f t="shared" ref="O3:O10" si="0">"col"&amp;$E3&amp;"("&amp;$H3&amp;")"</f>
        <v>col1_2(TEXT)</v>
      </c>
      <c r="P3" t="s">
        <v>335</v>
      </c>
    </row>
    <row r="4" spans="1:16" x14ac:dyDescent="0.3">
      <c r="A4" t="s">
        <v>338</v>
      </c>
      <c r="B4" t="s">
        <v>424</v>
      </c>
      <c r="E4" t="s">
        <v>577</v>
      </c>
      <c r="F4">
        <v>3</v>
      </c>
      <c r="G4" t="s">
        <v>427</v>
      </c>
      <c r="H4" t="s">
        <v>550</v>
      </c>
      <c r="O4" s="13" t="str">
        <f t="shared" si="0"/>
        <v>col1_3(TEXT)</v>
      </c>
      <c r="P4" t="s">
        <v>335</v>
      </c>
    </row>
    <row r="5" spans="1:16" x14ac:dyDescent="0.3">
      <c r="A5" t="s">
        <v>340</v>
      </c>
      <c r="B5" t="s">
        <v>428</v>
      </c>
      <c r="E5" t="s">
        <v>578</v>
      </c>
      <c r="F5">
        <v>1</v>
      </c>
      <c r="G5" t="s">
        <v>429</v>
      </c>
      <c r="H5" t="s">
        <v>550</v>
      </c>
      <c r="O5" s="13" t="str">
        <f t="shared" si="0"/>
        <v>col2_1(TEXT)</v>
      </c>
      <c r="P5" t="s">
        <v>335</v>
      </c>
    </row>
    <row r="6" spans="1:16" x14ac:dyDescent="0.3">
      <c r="A6" t="s">
        <v>342</v>
      </c>
      <c r="B6" t="s">
        <v>428</v>
      </c>
      <c r="E6" t="s">
        <v>579</v>
      </c>
      <c r="F6">
        <v>2</v>
      </c>
      <c r="G6" t="s">
        <v>430</v>
      </c>
      <c r="H6" t="s">
        <v>550</v>
      </c>
      <c r="O6" s="13" t="str">
        <f t="shared" si="0"/>
        <v>col2_2(TEXT)</v>
      </c>
      <c r="P6" t="s">
        <v>335</v>
      </c>
    </row>
    <row r="7" spans="1:16" x14ac:dyDescent="0.3">
      <c r="A7" t="s">
        <v>344</v>
      </c>
      <c r="B7" t="s">
        <v>428</v>
      </c>
      <c r="E7" t="s">
        <v>580</v>
      </c>
      <c r="F7">
        <v>3</v>
      </c>
      <c r="G7" t="s">
        <v>431</v>
      </c>
      <c r="H7" t="s">
        <v>550</v>
      </c>
      <c r="O7" s="13" t="str">
        <f t="shared" si="0"/>
        <v>col2_3(TEXT)</v>
      </c>
      <c r="P7" t="s">
        <v>335</v>
      </c>
    </row>
    <row r="8" spans="1:16" x14ac:dyDescent="0.3">
      <c r="A8" t="s">
        <v>346</v>
      </c>
      <c r="B8" t="s">
        <v>432</v>
      </c>
      <c r="E8" t="s">
        <v>581</v>
      </c>
      <c r="F8">
        <v>1</v>
      </c>
      <c r="G8" t="s">
        <v>433</v>
      </c>
      <c r="H8" t="s">
        <v>550</v>
      </c>
      <c r="O8" s="13" t="str">
        <f t="shared" si="0"/>
        <v>col3_1(TEXT)</v>
      </c>
      <c r="P8" t="s">
        <v>335</v>
      </c>
    </row>
    <row r="9" spans="1:16" x14ac:dyDescent="0.3">
      <c r="A9" t="s">
        <v>348</v>
      </c>
      <c r="B9" t="s">
        <v>432</v>
      </c>
      <c r="E9" t="s">
        <v>582</v>
      </c>
      <c r="F9">
        <v>2</v>
      </c>
      <c r="G9" t="s">
        <v>434</v>
      </c>
      <c r="H9" t="s">
        <v>550</v>
      </c>
      <c r="O9" s="13" t="str">
        <f t="shared" si="0"/>
        <v>col3_2(TEXT)</v>
      </c>
      <c r="P9" t="s">
        <v>335</v>
      </c>
    </row>
    <row r="10" spans="1:16" x14ac:dyDescent="0.3">
      <c r="A10" t="s">
        <v>350</v>
      </c>
      <c r="B10" t="s">
        <v>432</v>
      </c>
      <c r="E10" t="s">
        <v>583</v>
      </c>
      <c r="F10">
        <v>3</v>
      </c>
      <c r="G10" t="s">
        <v>435</v>
      </c>
      <c r="H10" t="s">
        <v>550</v>
      </c>
      <c r="O10" s="13" t="str">
        <f t="shared" si="0"/>
        <v>col3_3(TEXT)</v>
      </c>
      <c r="P10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694</v>
      </c>
    </row>
    <row r="2" spans="1:3" x14ac:dyDescent="0.3">
      <c r="A2" t="s">
        <v>121</v>
      </c>
      <c r="B2" t="s">
        <v>695</v>
      </c>
    </row>
    <row r="3" spans="1:3" x14ac:dyDescent="0.3">
      <c r="A3" t="s">
        <v>125</v>
      </c>
      <c r="B3" t="s">
        <v>696</v>
      </c>
    </row>
    <row r="4" spans="1:3" x14ac:dyDescent="0.3">
      <c r="A4" t="s">
        <v>129</v>
      </c>
      <c r="B4" t="s">
        <v>697</v>
      </c>
    </row>
    <row r="5" spans="1:3" x14ac:dyDescent="0.3">
      <c r="A5" t="s">
        <v>133</v>
      </c>
      <c r="B5" t="s">
        <v>698</v>
      </c>
    </row>
    <row r="6" spans="1:3" x14ac:dyDescent="0.3">
      <c r="A6" t="s">
        <v>137</v>
      </c>
      <c r="B6" t="s">
        <v>699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700</v>
      </c>
    </row>
    <row r="2" spans="1:3" x14ac:dyDescent="0.3">
      <c r="A2" t="s">
        <v>122</v>
      </c>
      <c r="B2" t="s">
        <v>701</v>
      </c>
      <c r="C2" t="s">
        <v>708</v>
      </c>
    </row>
    <row r="3" spans="1:3" x14ac:dyDescent="0.3">
      <c r="A3" t="s">
        <v>126</v>
      </c>
      <c r="B3" t="s">
        <v>702</v>
      </c>
      <c r="C3" t="s">
        <v>708</v>
      </c>
    </row>
    <row r="4" spans="1:3" x14ac:dyDescent="0.3">
      <c r="A4" t="s">
        <v>130</v>
      </c>
      <c r="B4" t="s">
        <v>703</v>
      </c>
      <c r="C4" t="s">
        <v>708</v>
      </c>
    </row>
    <row r="5" spans="1:3" x14ac:dyDescent="0.3">
      <c r="A5" t="s">
        <v>134</v>
      </c>
      <c r="B5" t="s">
        <v>704</v>
      </c>
      <c r="C5" t="s">
        <v>708</v>
      </c>
    </row>
    <row r="6" spans="1:3" x14ac:dyDescent="0.3">
      <c r="A6" t="s">
        <v>138</v>
      </c>
      <c r="B6" t="s">
        <v>705</v>
      </c>
      <c r="C6" t="s">
        <v>708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706</v>
      </c>
      <c r="F1" s="1" t="s">
        <v>116</v>
      </c>
      <c r="G1" s="1" t="s">
        <v>117</v>
      </c>
      <c r="H1" s="12" t="s">
        <v>707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588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558</v>
      </c>
      <c r="D1" s="1" t="s">
        <v>59</v>
      </c>
      <c r="E1" s="1" t="s">
        <v>316</v>
      </c>
      <c r="F1" s="10" t="s">
        <v>585</v>
      </c>
      <c r="G1" s="1" t="s">
        <v>317</v>
      </c>
      <c r="H1" s="16" t="s">
        <v>669</v>
      </c>
    </row>
    <row r="2" spans="1:8" x14ac:dyDescent="0.3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11" sqref="A11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9.109375" bestFit="1" customWidth="1"/>
    <col min="4" max="4" width="35.33203125" bestFit="1" customWidth="1"/>
    <col min="5" max="5" width="3.109375" bestFit="1" customWidth="1"/>
    <col min="6" max="6" width="10" bestFit="1" customWidth="1"/>
    <col min="7" max="7" width="21.6640625" bestFit="1" customWidth="1"/>
    <col min="8" max="8" width="4.44140625" bestFit="1" customWidth="1"/>
    <col min="9" max="9" width="4.77734375" bestFit="1" customWidth="1"/>
    <col min="10" max="10" width="10" bestFit="1" customWidth="1"/>
    <col min="11" max="11" width="9.44140625" bestFit="1" customWidth="1"/>
    <col min="12" max="12" width="9.77734375" bestFit="1" customWidth="1"/>
    <col min="13" max="13" width="12.44140625" bestFit="1" customWidth="1"/>
    <col min="14" max="14" width="13" bestFit="1" customWidth="1"/>
    <col min="15" max="15" width="10.10937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3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3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3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3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3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3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3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3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3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3">
      <c r="A11" t="s">
        <v>168</v>
      </c>
      <c r="B11" t="s">
        <v>123</v>
      </c>
      <c r="D11" t="s">
        <v>333</v>
      </c>
      <c r="G11" t="s">
        <v>352</v>
      </c>
      <c r="T11" t="s">
        <v>335</v>
      </c>
    </row>
    <row r="12" spans="1:20" x14ac:dyDescent="0.3">
      <c r="A12" t="s">
        <v>171</v>
      </c>
      <c r="B12" t="s">
        <v>123</v>
      </c>
      <c r="D12" t="s">
        <v>336</v>
      </c>
      <c r="G12" t="s">
        <v>353</v>
      </c>
      <c r="T12" t="s">
        <v>335</v>
      </c>
    </row>
    <row r="13" spans="1:20" x14ac:dyDescent="0.3">
      <c r="A13" t="s">
        <v>174</v>
      </c>
      <c r="B13" t="s">
        <v>123</v>
      </c>
      <c r="D13" t="s">
        <v>338</v>
      </c>
      <c r="G13" t="s">
        <v>354</v>
      </c>
      <c r="T13" t="s">
        <v>335</v>
      </c>
    </row>
    <row r="14" spans="1:20" x14ac:dyDescent="0.3">
      <c r="A14" t="s">
        <v>177</v>
      </c>
      <c r="B14" t="s">
        <v>123</v>
      </c>
      <c r="D14" t="s">
        <v>340</v>
      </c>
      <c r="G14" t="s">
        <v>355</v>
      </c>
      <c r="T14" t="s">
        <v>335</v>
      </c>
    </row>
    <row r="15" spans="1:20" x14ac:dyDescent="0.3">
      <c r="A15" t="s">
        <v>180</v>
      </c>
      <c r="B15" t="s">
        <v>123</v>
      </c>
      <c r="D15" t="s">
        <v>342</v>
      </c>
      <c r="G15" t="s">
        <v>356</v>
      </c>
      <c r="T15" t="s">
        <v>335</v>
      </c>
    </row>
    <row r="16" spans="1:20" x14ac:dyDescent="0.3">
      <c r="A16" t="s">
        <v>183</v>
      </c>
      <c r="B16" t="s">
        <v>123</v>
      </c>
      <c r="D16" t="s">
        <v>344</v>
      </c>
      <c r="G16" t="s">
        <v>357</v>
      </c>
      <c r="T16" t="s">
        <v>335</v>
      </c>
    </row>
    <row r="17" spans="1:20" x14ac:dyDescent="0.3">
      <c r="A17" t="s">
        <v>186</v>
      </c>
      <c r="B17" t="s">
        <v>123</v>
      </c>
      <c r="D17" t="s">
        <v>346</v>
      </c>
      <c r="G17" t="s">
        <v>358</v>
      </c>
      <c r="T17" t="s">
        <v>335</v>
      </c>
    </row>
    <row r="18" spans="1:20" x14ac:dyDescent="0.3">
      <c r="A18" t="s">
        <v>189</v>
      </c>
      <c r="B18" t="s">
        <v>123</v>
      </c>
      <c r="D18" t="s">
        <v>348</v>
      </c>
      <c r="G18" t="s">
        <v>359</v>
      </c>
      <c r="T18" t="s">
        <v>335</v>
      </c>
    </row>
    <row r="19" spans="1:20" x14ac:dyDescent="0.3">
      <c r="A19" t="s">
        <v>192</v>
      </c>
      <c r="B19" t="s">
        <v>123</v>
      </c>
      <c r="D19" t="s">
        <v>350</v>
      </c>
      <c r="G19" t="s">
        <v>360</v>
      </c>
      <c r="T19" t="s">
        <v>335</v>
      </c>
    </row>
    <row r="20" spans="1:20" x14ac:dyDescent="0.3">
      <c r="A20" t="s">
        <v>194</v>
      </c>
      <c r="B20" t="s">
        <v>127</v>
      </c>
      <c r="D20" t="s">
        <v>333</v>
      </c>
      <c r="G20" t="s">
        <v>361</v>
      </c>
      <c r="T20" t="s">
        <v>335</v>
      </c>
    </row>
    <row r="21" spans="1:20" x14ac:dyDescent="0.3">
      <c r="A21" t="s">
        <v>197</v>
      </c>
      <c r="B21" t="s">
        <v>127</v>
      </c>
      <c r="D21" t="s">
        <v>336</v>
      </c>
      <c r="G21" t="s">
        <v>362</v>
      </c>
      <c r="T21" t="s">
        <v>335</v>
      </c>
    </row>
    <row r="22" spans="1:20" x14ac:dyDescent="0.3">
      <c r="A22" t="s">
        <v>200</v>
      </c>
      <c r="B22" t="s">
        <v>127</v>
      </c>
      <c r="D22" t="s">
        <v>338</v>
      </c>
      <c r="G22" t="s">
        <v>363</v>
      </c>
      <c r="T22" t="s">
        <v>335</v>
      </c>
    </row>
    <row r="23" spans="1:20" x14ac:dyDescent="0.3">
      <c r="A23" t="s">
        <v>203</v>
      </c>
      <c r="B23" t="s">
        <v>127</v>
      </c>
      <c r="D23" t="s">
        <v>340</v>
      </c>
      <c r="G23" t="s">
        <v>364</v>
      </c>
      <c r="T23" t="s">
        <v>335</v>
      </c>
    </row>
    <row r="24" spans="1:20" x14ac:dyDescent="0.3">
      <c r="A24" t="s">
        <v>206</v>
      </c>
      <c r="B24" t="s">
        <v>127</v>
      </c>
      <c r="D24" t="s">
        <v>342</v>
      </c>
      <c r="G24" t="s">
        <v>365</v>
      </c>
      <c r="T24" t="s">
        <v>335</v>
      </c>
    </row>
    <row r="25" spans="1:20" x14ac:dyDescent="0.3">
      <c r="A25" t="s">
        <v>209</v>
      </c>
      <c r="B25" t="s">
        <v>127</v>
      </c>
      <c r="D25" t="s">
        <v>344</v>
      </c>
      <c r="G25" t="s">
        <v>366</v>
      </c>
      <c r="T25" t="s">
        <v>335</v>
      </c>
    </row>
    <row r="26" spans="1:20" x14ac:dyDescent="0.3">
      <c r="A26" t="s">
        <v>212</v>
      </c>
      <c r="B26" t="s">
        <v>127</v>
      </c>
      <c r="D26" t="s">
        <v>346</v>
      </c>
      <c r="G26" t="s">
        <v>367</v>
      </c>
      <c r="T26" t="s">
        <v>335</v>
      </c>
    </row>
    <row r="27" spans="1:20" x14ac:dyDescent="0.3">
      <c r="A27" t="s">
        <v>215</v>
      </c>
      <c r="B27" t="s">
        <v>127</v>
      </c>
      <c r="D27" t="s">
        <v>348</v>
      </c>
      <c r="G27" t="s">
        <v>368</v>
      </c>
      <c r="T27" t="s">
        <v>335</v>
      </c>
    </row>
    <row r="28" spans="1:20" x14ac:dyDescent="0.3">
      <c r="A28" t="s">
        <v>218</v>
      </c>
      <c r="B28" t="s">
        <v>127</v>
      </c>
      <c r="D28" t="s">
        <v>350</v>
      </c>
      <c r="G28" t="s">
        <v>369</v>
      </c>
      <c r="T28" t="s">
        <v>335</v>
      </c>
    </row>
    <row r="29" spans="1:20" x14ac:dyDescent="0.3">
      <c r="A29" t="s">
        <v>220</v>
      </c>
      <c r="B29" t="s">
        <v>131</v>
      </c>
      <c r="D29" t="s">
        <v>333</v>
      </c>
      <c r="G29" t="s">
        <v>370</v>
      </c>
      <c r="T29" t="s">
        <v>335</v>
      </c>
    </row>
    <row r="30" spans="1:20" x14ac:dyDescent="0.3">
      <c r="A30" t="s">
        <v>223</v>
      </c>
      <c r="B30" t="s">
        <v>131</v>
      </c>
      <c r="D30" t="s">
        <v>336</v>
      </c>
      <c r="G30" t="s">
        <v>371</v>
      </c>
      <c r="T30" t="s">
        <v>335</v>
      </c>
    </row>
    <row r="31" spans="1:20" x14ac:dyDescent="0.3">
      <c r="A31" t="s">
        <v>226</v>
      </c>
      <c r="B31" t="s">
        <v>131</v>
      </c>
      <c r="D31" t="s">
        <v>338</v>
      </c>
      <c r="G31" t="s">
        <v>372</v>
      </c>
      <c r="T31" t="s">
        <v>335</v>
      </c>
    </row>
    <row r="32" spans="1:20" x14ac:dyDescent="0.3">
      <c r="A32" t="s">
        <v>229</v>
      </c>
      <c r="B32" t="s">
        <v>131</v>
      </c>
      <c r="D32" t="s">
        <v>340</v>
      </c>
      <c r="G32" t="s">
        <v>373</v>
      </c>
      <c r="T32" t="s">
        <v>335</v>
      </c>
    </row>
    <row r="33" spans="1:20" x14ac:dyDescent="0.3">
      <c r="A33" t="s">
        <v>232</v>
      </c>
      <c r="B33" t="s">
        <v>131</v>
      </c>
      <c r="D33" t="s">
        <v>342</v>
      </c>
      <c r="G33" t="s">
        <v>374</v>
      </c>
      <c r="T33" t="s">
        <v>335</v>
      </c>
    </row>
    <row r="34" spans="1:20" x14ac:dyDescent="0.3">
      <c r="A34" t="s">
        <v>235</v>
      </c>
      <c r="B34" t="s">
        <v>131</v>
      </c>
      <c r="D34" t="s">
        <v>344</v>
      </c>
      <c r="G34" t="s">
        <v>375</v>
      </c>
      <c r="T34" t="s">
        <v>335</v>
      </c>
    </row>
    <row r="35" spans="1:20" x14ac:dyDescent="0.3">
      <c r="A35" t="s">
        <v>238</v>
      </c>
      <c r="B35" t="s">
        <v>131</v>
      </c>
      <c r="D35" t="s">
        <v>346</v>
      </c>
      <c r="G35" t="s">
        <v>376</v>
      </c>
      <c r="T35" t="s">
        <v>335</v>
      </c>
    </row>
    <row r="36" spans="1:20" x14ac:dyDescent="0.3">
      <c r="A36" t="s">
        <v>241</v>
      </c>
      <c r="B36" t="s">
        <v>131</v>
      </c>
      <c r="D36" t="s">
        <v>348</v>
      </c>
      <c r="G36" t="s">
        <v>377</v>
      </c>
      <c r="T36" t="s">
        <v>335</v>
      </c>
    </row>
    <row r="37" spans="1:20" x14ac:dyDescent="0.3">
      <c r="A37" t="s">
        <v>244</v>
      </c>
      <c r="B37" t="s">
        <v>131</v>
      </c>
      <c r="D37" t="s">
        <v>350</v>
      </c>
      <c r="G37" t="s">
        <v>378</v>
      </c>
      <c r="T37" t="s">
        <v>335</v>
      </c>
    </row>
    <row r="38" spans="1:20" x14ac:dyDescent="0.3">
      <c r="A38" t="s">
        <v>246</v>
      </c>
      <c r="B38" t="s">
        <v>135</v>
      </c>
      <c r="D38" t="s">
        <v>333</v>
      </c>
      <c r="G38" t="s">
        <v>379</v>
      </c>
      <c r="T38" t="s">
        <v>335</v>
      </c>
    </row>
    <row r="39" spans="1:20" x14ac:dyDescent="0.3">
      <c r="A39" t="s">
        <v>249</v>
      </c>
      <c r="B39" t="s">
        <v>135</v>
      </c>
      <c r="D39" t="s">
        <v>336</v>
      </c>
      <c r="G39" t="s">
        <v>380</v>
      </c>
      <c r="T39" t="s">
        <v>335</v>
      </c>
    </row>
    <row r="40" spans="1:20" x14ac:dyDescent="0.3">
      <c r="A40" t="s">
        <v>252</v>
      </c>
      <c r="B40" t="s">
        <v>135</v>
      </c>
      <c r="D40" t="s">
        <v>338</v>
      </c>
      <c r="G40" t="s">
        <v>381</v>
      </c>
      <c r="T40" t="s">
        <v>335</v>
      </c>
    </row>
    <row r="41" spans="1:20" x14ac:dyDescent="0.3">
      <c r="A41" t="s">
        <v>255</v>
      </c>
      <c r="B41" t="s">
        <v>135</v>
      </c>
      <c r="D41" t="s">
        <v>340</v>
      </c>
      <c r="G41" t="s">
        <v>382</v>
      </c>
      <c r="T41" t="s">
        <v>335</v>
      </c>
    </row>
    <row r="42" spans="1:20" x14ac:dyDescent="0.3">
      <c r="A42" t="s">
        <v>258</v>
      </c>
      <c r="B42" t="s">
        <v>135</v>
      </c>
      <c r="D42" t="s">
        <v>342</v>
      </c>
      <c r="G42" t="s">
        <v>383</v>
      </c>
      <c r="T42" t="s">
        <v>335</v>
      </c>
    </row>
    <row r="43" spans="1:20" x14ac:dyDescent="0.3">
      <c r="A43" t="s">
        <v>261</v>
      </c>
      <c r="B43" t="s">
        <v>135</v>
      </c>
      <c r="D43" t="s">
        <v>344</v>
      </c>
      <c r="G43" t="s">
        <v>384</v>
      </c>
      <c r="T43" t="s">
        <v>335</v>
      </c>
    </row>
    <row r="44" spans="1:20" x14ac:dyDescent="0.3">
      <c r="A44" t="s">
        <v>264</v>
      </c>
      <c r="B44" t="s">
        <v>135</v>
      </c>
      <c r="D44" t="s">
        <v>346</v>
      </c>
      <c r="G44" t="s">
        <v>385</v>
      </c>
      <c r="T44" t="s">
        <v>335</v>
      </c>
    </row>
    <row r="45" spans="1:20" x14ac:dyDescent="0.3">
      <c r="A45" t="s">
        <v>267</v>
      </c>
      <c r="B45" t="s">
        <v>135</v>
      </c>
      <c r="D45" t="s">
        <v>348</v>
      </c>
      <c r="G45" t="s">
        <v>386</v>
      </c>
      <c r="T45" t="s">
        <v>335</v>
      </c>
    </row>
    <row r="46" spans="1:20" x14ac:dyDescent="0.3">
      <c r="A46" t="s">
        <v>270</v>
      </c>
      <c r="B46" t="s">
        <v>135</v>
      </c>
      <c r="D46" t="s">
        <v>350</v>
      </c>
      <c r="G46" t="s">
        <v>387</v>
      </c>
      <c r="T4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ColWidth="8.7773437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66</v>
      </c>
      <c r="B11" t="s">
        <v>280</v>
      </c>
      <c r="C11" t="s">
        <v>280</v>
      </c>
    </row>
    <row r="12" spans="1:3" x14ac:dyDescent="0.3">
      <c r="A12" t="s">
        <v>170</v>
      </c>
      <c r="B12" t="s">
        <v>281</v>
      </c>
      <c r="C12" t="s">
        <v>281</v>
      </c>
    </row>
    <row r="13" spans="1:3" x14ac:dyDescent="0.3">
      <c r="A13" t="s">
        <v>173</v>
      </c>
      <c r="B13" t="s">
        <v>282</v>
      </c>
      <c r="C13" t="s">
        <v>282</v>
      </c>
    </row>
    <row r="14" spans="1:3" x14ac:dyDescent="0.3">
      <c r="A14" t="s">
        <v>176</v>
      </c>
      <c r="B14" t="s">
        <v>283</v>
      </c>
      <c r="C14" t="s">
        <v>283</v>
      </c>
    </row>
    <row r="15" spans="1:3" x14ac:dyDescent="0.3">
      <c r="A15" t="s">
        <v>179</v>
      </c>
      <c r="B15" t="s">
        <v>284</v>
      </c>
      <c r="C15" t="s">
        <v>284</v>
      </c>
    </row>
    <row r="16" spans="1:3" x14ac:dyDescent="0.3">
      <c r="A16" t="s">
        <v>182</v>
      </c>
      <c r="B16" t="s">
        <v>285</v>
      </c>
      <c r="C16" t="s">
        <v>285</v>
      </c>
    </row>
    <row r="17" spans="1:3" x14ac:dyDescent="0.3">
      <c r="A17" t="s">
        <v>185</v>
      </c>
      <c r="B17" t="s">
        <v>286</v>
      </c>
      <c r="C17" t="s">
        <v>286</v>
      </c>
    </row>
    <row r="18" spans="1:3" x14ac:dyDescent="0.3">
      <c r="A18" t="s">
        <v>188</v>
      </c>
      <c r="B18" t="s">
        <v>287</v>
      </c>
      <c r="C18" t="s">
        <v>287</v>
      </c>
    </row>
    <row r="19" spans="1:3" x14ac:dyDescent="0.3">
      <c r="A19" t="s">
        <v>191</v>
      </c>
      <c r="B19" t="s">
        <v>288</v>
      </c>
      <c r="C19" t="s">
        <v>288</v>
      </c>
    </row>
    <row r="20" spans="1:3" x14ac:dyDescent="0.3">
      <c r="A20" t="s">
        <v>68</v>
      </c>
      <c r="B20" t="s">
        <v>289</v>
      </c>
      <c r="C20" t="s">
        <v>289</v>
      </c>
    </row>
    <row r="21" spans="1:3" x14ac:dyDescent="0.3">
      <c r="A21" t="s">
        <v>196</v>
      </c>
      <c r="B21" t="s">
        <v>290</v>
      </c>
      <c r="C21" t="s">
        <v>290</v>
      </c>
    </row>
    <row r="22" spans="1:3" x14ac:dyDescent="0.3">
      <c r="A22" t="s">
        <v>199</v>
      </c>
      <c r="B22" t="s">
        <v>291</v>
      </c>
      <c r="C22" t="s">
        <v>291</v>
      </c>
    </row>
    <row r="23" spans="1:3" x14ac:dyDescent="0.3">
      <c r="A23" t="s">
        <v>202</v>
      </c>
      <c r="B23" t="s">
        <v>292</v>
      </c>
      <c r="C23" t="s">
        <v>292</v>
      </c>
    </row>
    <row r="24" spans="1:3" x14ac:dyDescent="0.3">
      <c r="A24" t="s">
        <v>205</v>
      </c>
      <c r="B24" t="s">
        <v>293</v>
      </c>
      <c r="C24" t="s">
        <v>293</v>
      </c>
    </row>
    <row r="25" spans="1:3" x14ac:dyDescent="0.3">
      <c r="A25" t="s">
        <v>208</v>
      </c>
      <c r="B25" t="s">
        <v>294</v>
      </c>
      <c r="C25" t="s">
        <v>294</v>
      </c>
    </row>
    <row r="26" spans="1:3" x14ac:dyDescent="0.3">
      <c r="A26" t="s">
        <v>211</v>
      </c>
      <c r="B26" t="s">
        <v>295</v>
      </c>
      <c r="C26" t="s">
        <v>295</v>
      </c>
    </row>
    <row r="27" spans="1:3" x14ac:dyDescent="0.3">
      <c r="A27" t="s">
        <v>214</v>
      </c>
      <c r="B27" t="s">
        <v>296</v>
      </c>
      <c r="C27" t="s">
        <v>296</v>
      </c>
    </row>
    <row r="28" spans="1:3" x14ac:dyDescent="0.3">
      <c r="A28" t="s">
        <v>217</v>
      </c>
      <c r="B28" t="s">
        <v>297</v>
      </c>
      <c r="C28" t="s">
        <v>297</v>
      </c>
    </row>
    <row r="29" spans="1:3" x14ac:dyDescent="0.3">
      <c r="A29" t="s">
        <v>70</v>
      </c>
      <c r="B29" t="s">
        <v>298</v>
      </c>
      <c r="C29" t="s">
        <v>298</v>
      </c>
    </row>
    <row r="30" spans="1:3" x14ac:dyDescent="0.3">
      <c r="A30" t="s">
        <v>222</v>
      </c>
      <c r="B30" t="s">
        <v>299</v>
      </c>
      <c r="C30" t="s">
        <v>299</v>
      </c>
    </row>
    <row r="31" spans="1:3" x14ac:dyDescent="0.3">
      <c r="A31" t="s">
        <v>225</v>
      </c>
      <c r="B31" t="s">
        <v>300</v>
      </c>
      <c r="C31" t="s">
        <v>300</v>
      </c>
    </row>
    <row r="32" spans="1:3" x14ac:dyDescent="0.3">
      <c r="A32" t="s">
        <v>228</v>
      </c>
      <c r="B32" t="s">
        <v>301</v>
      </c>
      <c r="C32" t="s">
        <v>301</v>
      </c>
    </row>
    <row r="33" spans="1:3" x14ac:dyDescent="0.3">
      <c r="A33" t="s">
        <v>231</v>
      </c>
      <c r="B33" t="s">
        <v>302</v>
      </c>
      <c r="C33" t="s">
        <v>302</v>
      </c>
    </row>
    <row r="34" spans="1:3" x14ac:dyDescent="0.3">
      <c r="A34" t="s">
        <v>234</v>
      </c>
      <c r="B34" t="s">
        <v>303</v>
      </c>
      <c r="C34" t="s">
        <v>303</v>
      </c>
    </row>
    <row r="35" spans="1:3" x14ac:dyDescent="0.3">
      <c r="A35" t="s">
        <v>237</v>
      </c>
      <c r="B35" t="s">
        <v>304</v>
      </c>
      <c r="C35" t="s">
        <v>304</v>
      </c>
    </row>
    <row r="36" spans="1:3" x14ac:dyDescent="0.3">
      <c r="A36" t="s">
        <v>240</v>
      </c>
      <c r="B36" t="s">
        <v>305</v>
      </c>
      <c r="C36" t="s">
        <v>305</v>
      </c>
    </row>
    <row r="37" spans="1:3" x14ac:dyDescent="0.3">
      <c r="A37" t="s">
        <v>243</v>
      </c>
      <c r="B37" t="s">
        <v>306</v>
      </c>
      <c r="C37" t="s">
        <v>306</v>
      </c>
    </row>
    <row r="38" spans="1:3" x14ac:dyDescent="0.3">
      <c r="A38" t="s">
        <v>72</v>
      </c>
      <c r="B38" t="s">
        <v>307</v>
      </c>
      <c r="C38" t="s">
        <v>307</v>
      </c>
    </row>
    <row r="39" spans="1:3" x14ac:dyDescent="0.3">
      <c r="A39" t="s">
        <v>248</v>
      </c>
      <c r="B39" t="s">
        <v>308</v>
      </c>
      <c r="C39" t="s">
        <v>308</v>
      </c>
    </row>
    <row r="40" spans="1:3" x14ac:dyDescent="0.3">
      <c r="A40" t="s">
        <v>251</v>
      </c>
      <c r="B40" t="s">
        <v>309</v>
      </c>
      <c r="C40" t="s">
        <v>309</v>
      </c>
    </row>
    <row r="41" spans="1:3" x14ac:dyDescent="0.3">
      <c r="A41" t="s">
        <v>254</v>
      </c>
      <c r="B41" t="s">
        <v>310</v>
      </c>
      <c r="C41" t="s">
        <v>310</v>
      </c>
    </row>
    <row r="42" spans="1:3" x14ac:dyDescent="0.3">
      <c r="A42" t="s">
        <v>257</v>
      </c>
      <c r="B42" t="s">
        <v>311</v>
      </c>
      <c r="C42" t="s">
        <v>311</v>
      </c>
    </row>
    <row r="43" spans="1:3" x14ac:dyDescent="0.3">
      <c r="A43" t="s">
        <v>260</v>
      </c>
      <c r="B43" t="s">
        <v>312</v>
      </c>
      <c r="C43" t="s">
        <v>312</v>
      </c>
    </row>
    <row r="44" spans="1:3" x14ac:dyDescent="0.3">
      <c r="A44" t="s">
        <v>263</v>
      </c>
      <c r="B44" t="s">
        <v>313</v>
      </c>
      <c r="C44" t="s">
        <v>313</v>
      </c>
    </row>
    <row r="45" spans="1:3" x14ac:dyDescent="0.3">
      <c r="A45" t="s">
        <v>266</v>
      </c>
      <c r="B45" t="s">
        <v>314</v>
      </c>
      <c r="C45" t="s">
        <v>314</v>
      </c>
    </row>
    <row r="46" spans="1:3" x14ac:dyDescent="0.3">
      <c r="A46" t="s">
        <v>269</v>
      </c>
      <c r="B46" t="s">
        <v>315</v>
      </c>
      <c r="C46" t="s">
        <v>315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B3" sqref="B3"/>
    </sheetView>
  </sheetViews>
  <sheetFormatPr defaultColWidth="8.77734375" defaultRowHeight="14.4" x14ac:dyDescent="0.3"/>
  <cols>
    <col min="1" max="1" width="35.77734375" bestFit="1" customWidth="1"/>
    <col min="2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586</v>
      </c>
      <c r="D1" s="1" t="s">
        <v>61</v>
      </c>
      <c r="E1" s="1" t="s">
        <v>139</v>
      </c>
      <c r="F1" s="10" t="s">
        <v>587</v>
      </c>
      <c r="G1" s="1" t="s">
        <v>140</v>
      </c>
      <c r="H1" s="16" t="s">
        <v>669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167</v>
      </c>
      <c r="B11" t="s">
        <v>66</v>
      </c>
      <c r="C11" s="6" t="str">
        <f>INDEX(CaseTypeColSet!$B:$B,MATCH($B11,CaseTypeColSet!$A:$A,0))</f>
        <v>case_type_col_set2_1_1</v>
      </c>
      <c r="E11" t="s">
        <v>168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3">
      <c r="A12" t="s">
        <v>169</v>
      </c>
      <c r="B12" t="s">
        <v>170</v>
      </c>
      <c r="C12" s="6" t="str">
        <f>INDEX(CaseTypeColSet!$B:$B,MATCH($B12,CaseTypeColSet!$A:$A,0))</f>
        <v>case_type_col_set2_1_2</v>
      </c>
      <c r="E12" t="s">
        <v>171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3">
      <c r="A13" t="s">
        <v>172</v>
      </c>
      <c r="B13" t="s">
        <v>173</v>
      </c>
      <c r="C13" s="6" t="str">
        <f>INDEX(CaseTypeColSet!$B:$B,MATCH($B13,CaseTypeColSet!$A:$A,0))</f>
        <v>case_type_col_set2_1_3</v>
      </c>
      <c r="E13" t="s">
        <v>174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3">
      <c r="A14" t="s">
        <v>175</v>
      </c>
      <c r="B14" t="s">
        <v>176</v>
      </c>
      <c r="C14" s="6" t="str">
        <f>INDEX(CaseTypeColSet!$B:$B,MATCH($B14,CaseTypeColSet!$A:$A,0))</f>
        <v>case_type_col_set2_2_1</v>
      </c>
      <c r="E14" t="s">
        <v>177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3">
      <c r="A15" t="s">
        <v>178</v>
      </c>
      <c r="B15" t="s">
        <v>179</v>
      </c>
      <c r="C15" s="6" t="str">
        <f>INDEX(CaseTypeColSet!$B:$B,MATCH($B15,CaseTypeColSet!$A:$A,0))</f>
        <v>case_type_col_set2_2_2</v>
      </c>
      <c r="E15" t="s">
        <v>180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3">
      <c r="A16" t="s">
        <v>181</v>
      </c>
      <c r="B16" t="s">
        <v>182</v>
      </c>
      <c r="C16" s="6" t="str">
        <f>INDEX(CaseTypeColSet!$B:$B,MATCH($B16,CaseTypeColSet!$A:$A,0))</f>
        <v>case_type_col_set2_2_3</v>
      </c>
      <c r="E16" t="s">
        <v>183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3">
      <c r="A17" t="s">
        <v>184</v>
      </c>
      <c r="B17" t="s">
        <v>185</v>
      </c>
      <c r="C17" s="6" t="str">
        <f>INDEX(CaseTypeColSet!$B:$B,MATCH($B17,CaseTypeColSet!$A:$A,0))</f>
        <v>case_type_col_set2_3_1</v>
      </c>
      <c r="E17" t="s">
        <v>186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3">
      <c r="A18" t="s">
        <v>187</v>
      </c>
      <c r="B18" t="s">
        <v>188</v>
      </c>
      <c r="C18" s="6" t="str">
        <f>INDEX(CaseTypeColSet!$B:$B,MATCH($B18,CaseTypeColSet!$A:$A,0))</f>
        <v>case_type_col_set2_3_2</v>
      </c>
      <c r="E18" t="s">
        <v>189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3">
      <c r="A19" t="s">
        <v>190</v>
      </c>
      <c r="B19" t="s">
        <v>191</v>
      </c>
      <c r="C19" s="6" t="str">
        <f>INDEX(CaseTypeColSet!$B:$B,MATCH($B19,CaseTypeColSet!$A:$A,0))</f>
        <v>case_type_col_set2_3_3</v>
      </c>
      <c r="E19" t="s">
        <v>192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3">
      <c r="A20" t="s">
        <v>193</v>
      </c>
      <c r="B20" t="s">
        <v>68</v>
      </c>
      <c r="C20" s="6" t="str">
        <f>INDEX(CaseTypeColSet!$B:$B,MATCH($B20,CaseTypeColSet!$A:$A,0))</f>
        <v>case_type_col_set3_1_1</v>
      </c>
      <c r="E20" t="s">
        <v>194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3">
      <c r="A21" t="s">
        <v>195</v>
      </c>
      <c r="B21" t="s">
        <v>196</v>
      </c>
      <c r="C21" s="6" t="str">
        <f>INDEX(CaseTypeColSet!$B:$B,MATCH($B21,CaseTypeColSet!$A:$A,0))</f>
        <v>case_type_col_set3_1_2</v>
      </c>
      <c r="E21" t="s">
        <v>197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3">
      <c r="A22" t="s">
        <v>198</v>
      </c>
      <c r="B22" t="s">
        <v>199</v>
      </c>
      <c r="C22" s="6" t="str">
        <f>INDEX(CaseTypeColSet!$B:$B,MATCH($B22,CaseTypeColSet!$A:$A,0))</f>
        <v>case_type_col_set3_1_3</v>
      </c>
      <c r="E22" t="s">
        <v>200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3">
      <c r="A23" t="s">
        <v>201</v>
      </c>
      <c r="B23" t="s">
        <v>202</v>
      </c>
      <c r="C23" s="6" t="str">
        <f>INDEX(CaseTypeColSet!$B:$B,MATCH($B23,CaseTypeColSet!$A:$A,0))</f>
        <v>case_type_col_set3_2_1</v>
      </c>
      <c r="E23" t="s">
        <v>203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3">
      <c r="A24" t="s">
        <v>204</v>
      </c>
      <c r="B24" t="s">
        <v>205</v>
      </c>
      <c r="C24" s="6" t="str">
        <f>INDEX(CaseTypeColSet!$B:$B,MATCH($B24,CaseTypeColSet!$A:$A,0))</f>
        <v>case_type_col_set3_2_2</v>
      </c>
      <c r="E24" t="s">
        <v>206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3">
      <c r="A25" t="s">
        <v>207</v>
      </c>
      <c r="B25" t="s">
        <v>208</v>
      </c>
      <c r="C25" s="6" t="str">
        <f>INDEX(CaseTypeColSet!$B:$B,MATCH($B25,CaseTypeColSet!$A:$A,0))</f>
        <v>case_type_col_set3_2_3</v>
      </c>
      <c r="E25" t="s">
        <v>209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3">
      <c r="A26" t="s">
        <v>210</v>
      </c>
      <c r="B26" t="s">
        <v>211</v>
      </c>
      <c r="C26" s="6" t="str">
        <f>INDEX(CaseTypeColSet!$B:$B,MATCH($B26,CaseTypeColSet!$A:$A,0))</f>
        <v>case_type_col_set3_3_1</v>
      </c>
      <c r="E26" t="s">
        <v>212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3">
      <c r="A27" t="s">
        <v>213</v>
      </c>
      <c r="B27" t="s">
        <v>214</v>
      </c>
      <c r="C27" s="6" t="str">
        <f>INDEX(CaseTypeColSet!$B:$B,MATCH($B27,CaseTypeColSet!$A:$A,0))</f>
        <v>case_type_col_set3_3_2</v>
      </c>
      <c r="E27" t="s">
        <v>215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3">
      <c r="A28" t="s">
        <v>216</v>
      </c>
      <c r="B28" t="s">
        <v>217</v>
      </c>
      <c r="C28" s="6" t="str">
        <f>INDEX(CaseTypeColSet!$B:$B,MATCH($B28,CaseTypeColSet!$A:$A,0))</f>
        <v>case_type_col_set3_3_3</v>
      </c>
      <c r="E28" t="s">
        <v>218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3">
      <c r="A29" t="s">
        <v>219</v>
      </c>
      <c r="B29" t="s">
        <v>70</v>
      </c>
      <c r="C29" s="6" t="str">
        <f>INDEX(CaseTypeColSet!$B:$B,MATCH($B29,CaseTypeColSet!$A:$A,0))</f>
        <v>case_type_col_set4_1_1</v>
      </c>
      <c r="E29" t="s">
        <v>220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3">
      <c r="A30" t="s">
        <v>221</v>
      </c>
      <c r="B30" t="s">
        <v>222</v>
      </c>
      <c r="C30" s="6" t="str">
        <f>INDEX(CaseTypeColSet!$B:$B,MATCH($B30,CaseTypeColSet!$A:$A,0))</f>
        <v>case_type_col_set4_1_2</v>
      </c>
      <c r="E30" t="s">
        <v>223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3">
      <c r="A31" t="s">
        <v>224</v>
      </c>
      <c r="B31" t="s">
        <v>225</v>
      </c>
      <c r="C31" s="6" t="str">
        <f>INDEX(CaseTypeColSet!$B:$B,MATCH($B31,CaseTypeColSet!$A:$A,0))</f>
        <v>case_type_col_set4_1_3</v>
      </c>
      <c r="E31" t="s">
        <v>226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3">
      <c r="A32" t="s">
        <v>227</v>
      </c>
      <c r="B32" t="s">
        <v>228</v>
      </c>
      <c r="C32" s="6" t="str">
        <f>INDEX(CaseTypeColSet!$B:$B,MATCH($B32,CaseTypeColSet!$A:$A,0))</f>
        <v>case_type_col_set4_2_1</v>
      </c>
      <c r="E32" t="s">
        <v>229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3">
      <c r="A33" t="s">
        <v>230</v>
      </c>
      <c r="B33" t="s">
        <v>231</v>
      </c>
      <c r="C33" s="6" t="str">
        <f>INDEX(CaseTypeColSet!$B:$B,MATCH($B33,CaseTypeColSet!$A:$A,0))</f>
        <v>case_type_col_set4_2_2</v>
      </c>
      <c r="E33" t="s">
        <v>232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3">
      <c r="A34" t="s">
        <v>233</v>
      </c>
      <c r="B34" t="s">
        <v>234</v>
      </c>
      <c r="C34" s="6" t="str">
        <f>INDEX(CaseTypeColSet!$B:$B,MATCH($B34,CaseTypeColSet!$A:$A,0))</f>
        <v>case_type_col_set4_2_3</v>
      </c>
      <c r="E34" t="s">
        <v>235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3">
      <c r="A35" t="s">
        <v>236</v>
      </c>
      <c r="B35" t="s">
        <v>237</v>
      </c>
      <c r="C35" s="6" t="str">
        <f>INDEX(CaseTypeColSet!$B:$B,MATCH($B35,CaseTypeColSet!$A:$A,0))</f>
        <v>case_type_col_set4_3_1</v>
      </c>
      <c r="E35" t="s">
        <v>238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3">
      <c r="A36" t="s">
        <v>239</v>
      </c>
      <c r="B36" t="s">
        <v>240</v>
      </c>
      <c r="C36" s="6" t="str">
        <f>INDEX(CaseTypeColSet!$B:$B,MATCH($B36,CaseTypeColSet!$A:$A,0))</f>
        <v>case_type_col_set4_3_2</v>
      </c>
      <c r="E36" t="s">
        <v>241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3">
      <c r="A37" t="s">
        <v>242</v>
      </c>
      <c r="B37" t="s">
        <v>243</v>
      </c>
      <c r="C37" s="6" t="str">
        <f>INDEX(CaseTypeColSet!$B:$B,MATCH($B37,CaseTypeColSet!$A:$A,0))</f>
        <v>case_type_col_set4_3_3</v>
      </c>
      <c r="E37" t="s">
        <v>244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3">
      <c r="A38" t="s">
        <v>245</v>
      </c>
      <c r="B38" t="s">
        <v>72</v>
      </c>
      <c r="C38" s="6" t="str">
        <f>INDEX(CaseTypeColSet!$B:$B,MATCH($B38,CaseTypeColSet!$A:$A,0))</f>
        <v>case_type_col_set5_1_1</v>
      </c>
      <c r="E38" t="s">
        <v>246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3">
      <c r="A39" t="s">
        <v>247</v>
      </c>
      <c r="B39" t="s">
        <v>248</v>
      </c>
      <c r="C39" s="6" t="str">
        <f>INDEX(CaseTypeColSet!$B:$B,MATCH($B39,CaseTypeColSet!$A:$A,0))</f>
        <v>case_type_col_set5_1_2</v>
      </c>
      <c r="E39" t="s">
        <v>249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3">
      <c r="A40" t="s">
        <v>250</v>
      </c>
      <c r="B40" t="s">
        <v>251</v>
      </c>
      <c r="C40" s="6" t="str">
        <f>INDEX(CaseTypeColSet!$B:$B,MATCH($B40,CaseTypeColSet!$A:$A,0))</f>
        <v>case_type_col_set5_1_3</v>
      </c>
      <c r="E40" t="s">
        <v>252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3">
      <c r="A41" t="s">
        <v>253</v>
      </c>
      <c r="B41" t="s">
        <v>254</v>
      </c>
      <c r="C41" s="6" t="str">
        <f>INDEX(CaseTypeColSet!$B:$B,MATCH($B41,CaseTypeColSet!$A:$A,0))</f>
        <v>case_type_col_set5_2_1</v>
      </c>
      <c r="E41" t="s">
        <v>255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3">
      <c r="A42" t="s">
        <v>256</v>
      </c>
      <c r="B42" t="s">
        <v>257</v>
      </c>
      <c r="C42" s="6" t="str">
        <f>INDEX(CaseTypeColSet!$B:$B,MATCH($B42,CaseTypeColSet!$A:$A,0))</f>
        <v>case_type_col_set5_2_2</v>
      </c>
      <c r="E42" t="s">
        <v>258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3">
      <c r="A43" t="s">
        <v>259</v>
      </c>
      <c r="B43" t="s">
        <v>260</v>
      </c>
      <c r="C43" s="6" t="str">
        <f>INDEX(CaseTypeColSet!$B:$B,MATCH($B43,CaseTypeColSet!$A:$A,0))</f>
        <v>case_type_col_set5_2_3</v>
      </c>
      <c r="E43" t="s">
        <v>261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3">
      <c r="A44" t="s">
        <v>262</v>
      </c>
      <c r="B44" t="s">
        <v>263</v>
      </c>
      <c r="C44" s="6" t="str">
        <f>INDEX(CaseTypeColSet!$B:$B,MATCH($B44,CaseTypeColSet!$A:$A,0))</f>
        <v>case_type_col_set5_3_1</v>
      </c>
      <c r="E44" t="s">
        <v>264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3">
      <c r="A45" t="s">
        <v>265</v>
      </c>
      <c r="B45" t="s">
        <v>266</v>
      </c>
      <c r="C45" s="6" t="str">
        <f>INDEX(CaseTypeColSet!$B:$B,MATCH($B45,CaseTypeColSet!$A:$A,0))</f>
        <v>case_type_col_set5_3_2</v>
      </c>
      <c r="E45" t="s">
        <v>267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3">
      <c r="A46" t="s">
        <v>268</v>
      </c>
      <c r="B46" t="s">
        <v>269</v>
      </c>
      <c r="C46" s="6" t="str">
        <f>INDEX(CaseTypeColSet!$B:$B,MATCH($B46,CaseTypeColSet!$A:$A,0))</f>
        <v>case_type_col_set5_3_3</v>
      </c>
      <c r="E46" t="s">
        <v>270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552</v>
      </c>
      <c r="D1" s="7" t="s">
        <v>1</v>
      </c>
      <c r="E1" s="7" t="s">
        <v>551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33"/>
  <sheetViews>
    <sheetView tabSelected="1" zoomScale="110" zoomScaleNormal="110" workbookViewId="0">
      <pane ySplit="1" topLeftCell="A2" activePane="bottomLeft" state="frozen"/>
      <selection pane="bottomLeft" activeCell="B2" sqref="B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7773437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7773437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7773437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7773437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7773437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7773437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7773437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589</v>
      </c>
      <c r="B1" t="s">
        <v>724</v>
      </c>
      <c r="C1" t="s">
        <v>0</v>
      </c>
      <c r="D1" t="s">
        <v>592</v>
      </c>
      <c r="E1" s="6" t="s">
        <v>719</v>
      </c>
      <c r="F1" t="s">
        <v>590</v>
      </c>
      <c r="G1" s="19" t="s">
        <v>600</v>
      </c>
      <c r="H1" s="6" t="s">
        <v>667</v>
      </c>
      <c r="I1" s="6" t="s">
        <v>671</v>
      </c>
      <c r="J1" s="6" t="s">
        <v>668</v>
      </c>
      <c r="K1" s="6" t="s">
        <v>676</v>
      </c>
      <c r="L1" s="6" t="s">
        <v>601</v>
      </c>
      <c r="M1" s="6" t="s">
        <v>602</v>
      </c>
      <c r="N1" s="6" t="s">
        <v>670</v>
      </c>
      <c r="O1" s="6" t="s">
        <v>677</v>
      </c>
      <c r="P1" s="6" t="s">
        <v>603</v>
      </c>
      <c r="Q1" s="6" t="s">
        <v>604</v>
      </c>
      <c r="R1" t="s">
        <v>591</v>
      </c>
      <c r="S1" t="s">
        <v>593</v>
      </c>
      <c r="T1" s="6" t="s">
        <v>661</v>
      </c>
      <c r="U1" s="6" t="s">
        <v>666</v>
      </c>
      <c r="V1" t="s">
        <v>594</v>
      </c>
      <c r="W1" t="s">
        <v>595</v>
      </c>
      <c r="X1" s="6" t="s">
        <v>679</v>
      </c>
      <c r="Y1" t="s">
        <v>596</v>
      </c>
      <c r="Z1" t="s">
        <v>597</v>
      </c>
      <c r="AA1" t="s">
        <v>598</v>
      </c>
      <c r="AB1" t="s">
        <v>599</v>
      </c>
      <c r="AC1" s="6" t="s">
        <v>678</v>
      </c>
      <c r="AD1" s="6" t="s">
        <v>682</v>
      </c>
      <c r="AE1" s="6" t="s">
        <v>683</v>
      </c>
      <c r="AF1" s="6" t="s">
        <v>688</v>
      </c>
      <c r="AG1" s="6" t="s">
        <v>689</v>
      </c>
      <c r="AH1" t="s">
        <v>663</v>
      </c>
      <c r="AI1" t="s">
        <v>709</v>
      </c>
      <c r="AJ1" s="6" t="s">
        <v>680</v>
      </c>
      <c r="AK1" s="6" t="s">
        <v>684</v>
      </c>
      <c r="AL1" s="6" t="s">
        <v>685</v>
      </c>
      <c r="AM1" s="6" t="s">
        <v>690</v>
      </c>
      <c r="AN1" s="6" t="s">
        <v>691</v>
      </c>
      <c r="AO1" t="s">
        <v>664</v>
      </c>
      <c r="AP1" t="s">
        <v>710</v>
      </c>
      <c r="AQ1" s="6" t="s">
        <v>681</v>
      </c>
      <c r="AR1" s="6" t="s">
        <v>686</v>
      </c>
      <c r="AS1" s="6" t="s">
        <v>687</v>
      </c>
      <c r="AT1" s="6" t="s">
        <v>692</v>
      </c>
      <c r="AU1" s="6" t="s">
        <v>693</v>
      </c>
    </row>
    <row r="2" spans="1:47" x14ac:dyDescent="0.3">
      <c r="A2">
        <v>1</v>
      </c>
      <c r="B2" t="b">
        <v>1</v>
      </c>
      <c r="C2" t="s">
        <v>608</v>
      </c>
      <c r="D2" t="s">
        <v>443</v>
      </c>
      <c r="E2" s="6" t="str">
        <f>INDEX(User!$C:$C,MATCH($D2,User!$A:$A,0))</f>
        <v>root1_1</v>
      </c>
      <c r="F2" t="s">
        <v>662</v>
      </c>
      <c r="G2" s="19" t="b">
        <f t="shared" ref="G2:G33" si="0">IF($F2="CREATE",$I2,IF($F2="CREATE_CASES",OR($I2,AND($K2,$L2,$O2,$P2,$AE2,AG2,$AL2,$AN2,$AS2,$AU2)),"TBD"))</f>
        <v>1</v>
      </c>
      <c r="H2" s="6" t="str">
        <f>INDEX(User!$F:$F,MATCH($D2,User!$A:$A,0))</f>
        <v>018d074d-ea0c-e942-07db-a3cc0ba1d653</v>
      </c>
      <c r="I2" s="6" t="b">
        <f>INDEX(User!$L:$L,MATCH($D2,User!$A:$A,0))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607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665</v>
      </c>
      <c r="AC2" s="6" t="str">
        <f>IF($AA2="","",INDEX(CaseTypeCol!$G:$G,MATCH($AA2,CaseTypeCol!$A:$A,0)))</f>
        <v>case_type1_dim1_1_text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IF($AH2="","",INDEX(CaseTypeCol!$G:$G,MATCH($AH2,CaseTypeCol!$A:$A,0)))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IF($AO2="","",INDEX(CaseTypeCol!$G:$G,MATCH($AO2,CaseTypeCol!$A:$A,0)))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606</v>
      </c>
      <c r="D3" t="s">
        <v>445</v>
      </c>
      <c r="E3" s="6" t="str">
        <f>INDEX(User!$C:$C,MATCH($D3,User!$A:$A,0))</f>
        <v>app_admin1_1</v>
      </c>
      <c r="F3" t="s">
        <v>662</v>
      </c>
      <c r="G3" s="19" t="b">
        <f t="shared" si="0"/>
        <v>1</v>
      </c>
      <c r="H3" s="6" t="str">
        <f>INDEX(User!$F:$F,MATCH($D3,User!$A:$A,0))</f>
        <v>018d074d-ea0c-e942-07db-a3cc0ba1d653</v>
      </c>
      <c r="I3" s="6" t="b">
        <f>INDEX(User!$L:$L,MATCH($D3,User!$A:$A,0))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605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665</v>
      </c>
      <c r="AC3" s="6" t="str">
        <f>IF($AA3="","",INDEX(CaseTypeCol!$G:$G,MATCH($AA3,CaseTypeCol!$A:$A,0)))</f>
        <v>case_type1_dim1_1_text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IF($AH3="","",INDEX(CaseTypeCol!$G:$G,MATCH($AH3,CaseTypeCol!$A:$A,0)))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IF($AO3="","",INDEX(CaseTypeCol!$G:$G,MATCH($AO3,CaseTypeCol!$A:$A,0)))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609</v>
      </c>
      <c r="D4" t="s">
        <v>447</v>
      </c>
      <c r="E4" s="6" t="str">
        <f>INDEX(User!$C:$C,MATCH($D4,User!$A:$A,0))</f>
        <v>refdata_admin1_1</v>
      </c>
      <c r="F4" t="s">
        <v>662</v>
      </c>
      <c r="G4" s="19" t="b">
        <f t="shared" si="0"/>
        <v>0</v>
      </c>
      <c r="H4" s="6" t="str">
        <f>INDEX(User!$F:$F,MATCH($D4,User!$A:$A,0))</f>
        <v>018d074d-ea0c-e942-07db-a3cc0ba1d653</v>
      </c>
      <c r="I4" s="6" t="b">
        <f>INDEX(User!$L:$L,MATCH($D4,User!$A:$A,0))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635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665</v>
      </c>
      <c r="AC4" s="6" t="str">
        <f>IF($AA4="","",INDEX(CaseTypeCol!$G:$G,MATCH($AA4,CaseTypeCol!$A:$A,0)))</f>
        <v>case_type1_dim1_1_text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IF($AH4="","",INDEX(CaseTypeCol!$G:$G,MATCH($AH4,CaseTypeCol!$A:$A,0)))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IF($AO4="","",INDEX(CaseTypeCol!$G:$G,MATCH($AO4,CaseTypeCol!$A:$A,0)))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711</v>
      </c>
      <c r="D5" t="s">
        <v>44</v>
      </c>
      <c r="E5" s="6" t="str">
        <f>INDEX(User!$C:$C,MATCH($D5,User!$A:$A,0))</f>
        <v>org_admin1_1</v>
      </c>
      <c r="F5" t="s">
        <v>662</v>
      </c>
      <c r="G5" s="19" t="b">
        <f t="shared" si="0"/>
        <v>0</v>
      </c>
      <c r="H5" s="6" t="str">
        <f>INDEX(User!$F:$F,MATCH($D5,User!$A:$A,0))</f>
        <v>018d074d-ea0c-e942-07db-a3cc0ba1d653</v>
      </c>
      <c r="I5" s="6" t="b">
        <f>INDEX(User!$L:$L,MATCH($D5,User!$A:$A,0))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715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665</v>
      </c>
      <c r="AC5" s="6" t="str">
        <f>IF($AA5="","",INDEX(CaseTypeCol!$G:$G,MATCH($AA5,CaseTypeCol!$A:$A,0)))</f>
        <v>case_type1_dim1_1_text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IF($AH5="","",INDEX(CaseTypeCol!$G:$G,MATCH($AH5,CaseTypeCol!$A:$A,0)))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IF($AO5="","",INDEX(CaseTypeCol!$G:$G,MATCH($AO5,CaseTypeCol!$A:$A,0)))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712</v>
      </c>
      <c r="D6" t="s">
        <v>10</v>
      </c>
      <c r="E6" s="6" t="str">
        <f>INDEX(User!$C:$C,MATCH($D6,User!$A:$A,0))</f>
        <v>org_user1_1</v>
      </c>
      <c r="F6" t="s">
        <v>662</v>
      </c>
      <c r="G6" s="19" t="b">
        <f t="shared" si="0"/>
        <v>0</v>
      </c>
      <c r="H6" s="6" t="str">
        <f>INDEX(User!$F:$F,MATCH($D6,User!$A:$A,0))</f>
        <v>018d074d-ea0c-e942-07db-a3cc0ba1d653</v>
      </c>
      <c r="I6" s="6" t="b">
        <f>INDEX(User!$L:$L,MATCH($D6,User!$A:$A,0))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716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665</v>
      </c>
      <c r="AC6" s="6" t="str">
        <f>IF($AA6="","",INDEX(CaseTypeCol!$G:$G,MATCH($AA6,CaseTypeCol!$A:$A,0)))</f>
        <v>case_type1_dim1_1_text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IF($AH6="","",INDEX(CaseTypeCol!$G:$G,MATCH($AH6,CaseTypeCol!$A:$A,0)))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IF($AO6="","",INDEX(CaseTypeCol!$G:$G,MATCH($AO6,CaseTypeCol!$A:$A,0)))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713</v>
      </c>
      <c r="D7" t="s">
        <v>443</v>
      </c>
      <c r="E7" s="6" t="str">
        <f>INDEX(User!$C:$C,MATCH($D7,User!$A:$A,0))</f>
        <v>root1_1</v>
      </c>
      <c r="F7" t="s">
        <v>723</v>
      </c>
      <c r="G7" s="19" t="b">
        <f t="shared" ca="1" si="0"/>
        <v>1</v>
      </c>
      <c r="H7" s="6" t="str">
        <f>INDEX(User!$F:$F,MATCH($D7,User!$A:$A,0))</f>
        <v>018d074d-ea0c-e942-07db-a3cc0ba1d653</v>
      </c>
      <c r="I7" s="6" t="b">
        <f>INDEX(User!$L:$L,MATCH($D7,User!$A:$A,0))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717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665</v>
      </c>
      <c r="AC7" s="6" t="str">
        <f>IF($AA7="","",INDEX(CaseTypeCol!$G:$G,MATCH($AA7,CaseTypeCol!$A:$A,0)))</f>
        <v>case_type1_dim1_1_text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IF($AH7="","",INDEX(CaseTypeCol!$G:$G,MATCH($AH7,CaseTypeCol!$A:$A,0)))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IF($AO7="","",INDEX(CaseTypeCol!$G:$G,MATCH($AO7,CaseTypeCol!$A:$A,0)))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714</v>
      </c>
      <c r="D8" t="s">
        <v>445</v>
      </c>
      <c r="E8" s="6" t="str">
        <f>INDEX(User!$C:$C,MATCH($D8,User!$A:$A,0))</f>
        <v>app_admin1_1</v>
      </c>
      <c r="F8" t="s">
        <v>723</v>
      </c>
      <c r="G8" s="19" t="b">
        <f t="shared" ca="1" si="0"/>
        <v>1</v>
      </c>
      <c r="H8" s="6" t="str">
        <f>INDEX(User!$F:$F,MATCH($D8,User!$A:$A,0))</f>
        <v>018d074d-ea0c-e942-07db-a3cc0ba1d653</v>
      </c>
      <c r="I8" s="6" t="b">
        <f>INDEX(User!$L:$L,MATCH($D8,User!$A:$A,0))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718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665</v>
      </c>
      <c r="AC8" s="6" t="str">
        <f>IF($AA8="","",INDEX(CaseTypeCol!$G:$G,MATCH($AA8,CaseTypeCol!$A:$A,0)))</f>
        <v>case_type1_dim1_1_text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IF($AH8="","",INDEX(CaseTypeCol!$G:$G,MATCH($AH8,CaseTypeCol!$A:$A,0)))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IF($AO8="","",INDEX(CaseTypeCol!$G:$G,MATCH($AO8,CaseTypeCol!$A:$A,0)))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610</v>
      </c>
      <c r="D9" t="s">
        <v>44</v>
      </c>
      <c r="E9" s="6" t="str">
        <f>INDEX(User!$C:$C,MATCH($D9,User!$A:$A,0))</f>
        <v>org_admin1_1</v>
      </c>
      <c r="F9" t="s">
        <v>723</v>
      </c>
      <c r="G9" s="19" t="b">
        <f t="shared" ca="1" si="0"/>
        <v>0</v>
      </c>
      <c r="H9" s="6" t="str">
        <f>INDEX(User!$F:$F,MATCH($D9,User!$A:$A,0))</f>
        <v>018d074d-ea0c-e942-07db-a3cc0ba1d653</v>
      </c>
      <c r="I9" s="6" t="b">
        <f>INDEX(User!$L:$L,MATCH($D9,User!$A:$A,0))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636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665</v>
      </c>
      <c r="AC9" s="6" t="str">
        <f>IF($AA9="","",INDEX(CaseTypeCol!$G:$G,MATCH($AA9,CaseTypeCol!$A:$A,0)))</f>
        <v>case_type1_dim1_1_text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IF($AH9="","",INDEX(CaseTypeCol!$G:$G,MATCH($AH9,CaseTypeCol!$A:$A,0)))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IF($AO9="","",INDEX(CaseTypeCol!$G:$G,MATCH($AO9,CaseTypeCol!$A:$A,0)))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611</v>
      </c>
      <c r="D10" t="s">
        <v>47</v>
      </c>
      <c r="E10" s="6" t="str">
        <f>INDEX(User!$C:$C,MATCH($D10,User!$A:$A,0))</f>
        <v>org_admin2_1</v>
      </c>
      <c r="F10" t="s">
        <v>723</v>
      </c>
      <c r="G10" s="19" t="b">
        <f t="shared" ca="1" si="0"/>
        <v>0</v>
      </c>
      <c r="H10" s="6" t="str">
        <f>INDEX(User!$F:$F,MATCH($D10,User!$A:$A,0))</f>
        <v>0195d18c-1c92-0ed4-2e94-b4f66d82baf3</v>
      </c>
      <c r="I10" s="6" t="b">
        <f>INDEX(User!$L:$L,MATCH($D10,User!$A:$A,0))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637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665</v>
      </c>
      <c r="AC10" s="6" t="str">
        <f>IF($AA10="","",INDEX(CaseTypeCol!$G:$G,MATCH($AA10,CaseTypeCol!$A:$A,0)))</f>
        <v>case_type1_dim1_1_text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IF($AH10="","",INDEX(CaseTypeCol!$G:$G,MATCH($AH10,CaseTypeCol!$A:$A,0)))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IF($AO10="","",INDEX(CaseTypeCol!$G:$G,MATCH($AO10,CaseTypeCol!$A:$A,0)))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612</v>
      </c>
      <c r="D11" t="s">
        <v>50</v>
      </c>
      <c r="E11" s="6" t="str">
        <f>INDEX(User!$C:$C,MATCH($D11,User!$A:$A,0))</f>
        <v>org_admin3_1</v>
      </c>
      <c r="F11" t="s">
        <v>723</v>
      </c>
      <c r="G11" s="19" t="b">
        <f t="shared" ca="1" si="0"/>
        <v>0</v>
      </c>
      <c r="H11" s="6" t="str">
        <f>INDEX(User!$F:$F,MATCH($D11,User!$A:$A,0))</f>
        <v>0195d18c-1c92-52b3-93e0-43dc1f2aa037</v>
      </c>
      <c r="I11" s="6" t="b">
        <f>INDEX(User!$L:$L,MATCH($D11,User!$A:$A,0))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638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665</v>
      </c>
      <c r="AC11" s="6" t="str">
        <f>IF($AA11="","",INDEX(CaseTypeCol!$G:$G,MATCH($AA11,CaseTypeCol!$A:$A,0)))</f>
        <v>case_type1_dim1_1_text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IF($AH11="","",INDEX(CaseTypeCol!$G:$G,MATCH($AH11,CaseTypeCol!$A:$A,0)))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IF($AO11="","",INDEX(CaseTypeCol!$G:$G,MATCH($AO11,CaseTypeCol!$A:$A,0)))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613</v>
      </c>
      <c r="D12" t="s">
        <v>53</v>
      </c>
      <c r="E12" s="6" t="str">
        <f>INDEX(User!$C:$C,MATCH($D12,User!$A:$A,0))</f>
        <v>org_admin4_1</v>
      </c>
      <c r="F12" t="s">
        <v>723</v>
      </c>
      <c r="G12" s="19" t="b">
        <f t="shared" ca="1" si="0"/>
        <v>0</v>
      </c>
      <c r="H12" s="6" t="str">
        <f>INDEX(User!$F:$F,MATCH($D12,User!$A:$A,0))</f>
        <v>0195d18c-1c92-d419-4c71-a570f428499b</v>
      </c>
      <c r="I12" s="6" t="b">
        <f>INDEX(User!$L:$L,MATCH($D12,User!$A:$A,0))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639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665</v>
      </c>
      <c r="AC12" s="6" t="str">
        <f>IF($AA12="","",INDEX(CaseTypeCol!$G:$G,MATCH($AA12,CaseTypeCol!$A:$A,0)))</f>
        <v>case_type1_dim1_1_text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IF($AH12="","",INDEX(CaseTypeCol!$G:$G,MATCH($AH12,CaseTypeCol!$A:$A,0)))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IF($AO12="","",INDEX(CaseTypeCol!$G:$G,MATCH($AO12,CaseTypeCol!$A:$A,0)))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614</v>
      </c>
      <c r="D13" t="s">
        <v>56</v>
      </c>
      <c r="E13" s="6" t="str">
        <f>INDEX(User!$C:$C,MATCH($D13,User!$A:$A,0))</f>
        <v>org_admin5_1</v>
      </c>
      <c r="F13" t="s">
        <v>723</v>
      </c>
      <c r="G13" s="19" t="b">
        <f t="shared" ca="1" si="0"/>
        <v>0</v>
      </c>
      <c r="H13" s="6" t="str">
        <f>INDEX(User!$F:$F,MATCH($D13,User!$A:$A,0))</f>
        <v>0195d18c-1c93-02a2-6920-7e4dbfb73ce0</v>
      </c>
      <c r="I13" s="6" t="b">
        <f>INDEX(User!$L:$L,MATCH($D13,User!$A:$A,0))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640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665</v>
      </c>
      <c r="AC13" s="6" t="str">
        <f>IF($AA13="","",INDEX(CaseTypeCol!$G:$G,MATCH($AA13,CaseTypeCol!$A:$A,0)))</f>
        <v>case_type1_dim1_1_text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IF($AH13="","",INDEX(CaseTypeCol!$G:$G,MATCH($AH13,CaseTypeCol!$A:$A,0)))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IF($AO13="","",INDEX(CaseTypeCol!$G:$G,MATCH($AO13,CaseTypeCol!$A:$A,0)))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615</v>
      </c>
      <c r="D14" t="s">
        <v>10</v>
      </c>
      <c r="E14" s="6" t="str">
        <f>INDEX(User!$C:$C,MATCH($D14,User!$A:$A,0))</f>
        <v>org_user1_1</v>
      </c>
      <c r="F14" t="s">
        <v>723</v>
      </c>
      <c r="G14" s="19" t="b">
        <f t="shared" ca="1" si="0"/>
        <v>1</v>
      </c>
      <c r="H14" s="6" t="str">
        <f>INDEX(User!$F:$F,MATCH($D14,User!$A:$A,0))</f>
        <v>018d074d-ea0c-e942-07db-a3cc0ba1d653</v>
      </c>
      <c r="I14" s="6" t="b">
        <f>INDEX(User!$L:$L,MATCH($D14,User!$A:$A,0))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641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665</v>
      </c>
      <c r="AC14" s="6" t="str">
        <f>IF($AA14="","",INDEX(CaseTypeCol!$G:$G,MATCH($AA14,CaseTypeCol!$A:$A,0)))</f>
        <v>case_type1_dim1_1_text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IF($AH14="","",INDEX(CaseTypeCol!$G:$G,MATCH($AH14,CaseTypeCol!$A:$A,0)))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IF($AO14="","",INDEX(CaseTypeCol!$G:$G,MATCH($AO14,CaseTypeCol!$A:$A,0)))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616</v>
      </c>
      <c r="D15" t="s">
        <v>12</v>
      </c>
      <c r="E15" s="6" t="str">
        <f>INDEX(User!$C:$C,MATCH($D15,User!$A:$A,0))</f>
        <v>org_user1_2</v>
      </c>
      <c r="F15" t="s">
        <v>723</v>
      </c>
      <c r="G15" s="19" t="b">
        <f t="shared" ca="1" si="0"/>
        <v>0</v>
      </c>
      <c r="H15" s="6" t="str">
        <f>INDEX(User!$F:$F,MATCH($D15,User!$A:$A,0))</f>
        <v>018d074d-ea0c-e942-07db-a3cc0ba1d653</v>
      </c>
      <c r="I15" s="6" t="b">
        <f>INDEX(User!$L:$L,MATCH($D15,User!$A:$A,0))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642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665</v>
      </c>
      <c r="AC15" s="6" t="str">
        <f>IF($AA15="","",INDEX(CaseTypeCol!$G:$G,MATCH($AA15,CaseTypeCol!$A:$A,0)))</f>
        <v>case_type1_dim1_1_text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IF($AH15="","",INDEX(CaseTypeCol!$G:$G,MATCH($AH15,CaseTypeCol!$A:$A,0)))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IF($AO15="","",INDEX(CaseTypeCol!$G:$G,MATCH($AO15,CaseTypeCol!$A:$A,0)))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617</v>
      </c>
      <c r="D16" t="s">
        <v>13</v>
      </c>
      <c r="E16" s="6" t="str">
        <f>INDEX(User!$C:$C,MATCH($D16,User!$A:$A,0))</f>
        <v>org_user1_3</v>
      </c>
      <c r="F16" t="s">
        <v>723</v>
      </c>
      <c r="G16" s="19" t="b">
        <f t="shared" ca="1" si="0"/>
        <v>0</v>
      </c>
      <c r="H16" s="6" t="str">
        <f>INDEX(User!$F:$F,MATCH($D16,User!$A:$A,0))</f>
        <v>018d074d-ea0c-e942-07db-a3cc0ba1d653</v>
      </c>
      <c r="I16" s="6" t="b">
        <f>INDEX(User!$L:$L,MATCH($D16,User!$A:$A,0))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643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665</v>
      </c>
      <c r="AC16" s="6" t="str">
        <f>IF($AA16="","",INDEX(CaseTypeCol!$G:$G,MATCH($AA16,CaseTypeCol!$A:$A,0)))</f>
        <v>case_type1_dim1_1_text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IF($AH16="","",INDEX(CaseTypeCol!$G:$G,MATCH($AH16,CaseTypeCol!$A:$A,0)))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IF($AO16="","",INDEX(CaseTypeCol!$G:$G,MATCH($AO16,CaseTypeCol!$A:$A,0)))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618</v>
      </c>
      <c r="D17" t="s">
        <v>14</v>
      </c>
      <c r="E17" s="6" t="str">
        <f>INDEX(User!$C:$C,MATCH($D17,User!$A:$A,0))</f>
        <v>org_user1_4</v>
      </c>
      <c r="F17" t="s">
        <v>723</v>
      </c>
      <c r="G17" s="19" t="b">
        <f t="shared" ca="1" si="0"/>
        <v>0</v>
      </c>
      <c r="H17" s="6" t="str">
        <f>INDEX(User!$F:$F,MATCH($D17,User!$A:$A,0))</f>
        <v>018d074d-ea0c-e942-07db-a3cc0ba1d653</v>
      </c>
      <c r="I17" s="6" t="b">
        <f>INDEX(User!$L:$L,MATCH($D17,User!$A:$A,0))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644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665</v>
      </c>
      <c r="AC17" s="6" t="str">
        <f>IF($AA17="","",INDEX(CaseTypeCol!$G:$G,MATCH($AA17,CaseTypeCol!$A:$A,0)))</f>
        <v>case_type1_dim1_1_text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IF($AH17="","",INDEX(CaseTypeCol!$G:$G,MATCH($AH17,CaseTypeCol!$A:$A,0)))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IF($AO17="","",INDEX(CaseTypeCol!$G:$G,MATCH($AO17,CaseTypeCol!$A:$A,0)))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619</v>
      </c>
      <c r="D18" t="s">
        <v>16</v>
      </c>
      <c r="E18" s="6" t="str">
        <f>INDEX(User!$C:$C,MATCH($D18,User!$A:$A,0))</f>
        <v>org_user2_1</v>
      </c>
      <c r="F18" t="s">
        <v>723</v>
      </c>
      <c r="G18" s="19" t="b">
        <f t="shared" ca="1" si="0"/>
        <v>0</v>
      </c>
      <c r="H18" s="6" t="str">
        <f>INDEX(User!$F:$F,MATCH($D18,User!$A:$A,0))</f>
        <v>0195d18c-1c92-0ed4-2e94-b4f66d82baf3</v>
      </c>
      <c r="I18" s="6" t="b">
        <f>INDEX(User!$L:$L,MATCH($D18,User!$A:$A,0))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645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665</v>
      </c>
      <c r="AC18" s="6" t="str">
        <f>IF($AA18="","",INDEX(CaseTypeCol!$G:$G,MATCH($AA18,CaseTypeCol!$A:$A,0)))</f>
        <v>case_type1_dim1_1_text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IF($AH18="","",INDEX(CaseTypeCol!$G:$G,MATCH($AH18,CaseTypeCol!$A:$A,0)))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IF($AO18="","",INDEX(CaseTypeCol!$G:$G,MATCH($AO18,CaseTypeCol!$A:$A,0)))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620</v>
      </c>
      <c r="D19" t="s">
        <v>18</v>
      </c>
      <c r="E19" s="6" t="str">
        <f>INDEX(User!$C:$C,MATCH($D19,User!$A:$A,0))</f>
        <v>org_user2_2</v>
      </c>
      <c r="F19" t="s">
        <v>723</v>
      </c>
      <c r="G19" s="19" t="b">
        <f t="shared" ca="1" si="0"/>
        <v>0</v>
      </c>
      <c r="H19" s="6" t="str">
        <f>INDEX(User!$F:$F,MATCH($D19,User!$A:$A,0))</f>
        <v>0195d18c-1c92-0ed4-2e94-b4f66d82baf3</v>
      </c>
      <c r="I19" s="6" t="b">
        <f>INDEX(User!$L:$L,MATCH($D19,User!$A:$A,0))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646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665</v>
      </c>
      <c r="AC19" s="6" t="str">
        <f>IF($AA19="","",INDEX(CaseTypeCol!$G:$G,MATCH($AA19,CaseTypeCol!$A:$A,0)))</f>
        <v>case_type1_dim1_1_text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IF($AH19="","",INDEX(CaseTypeCol!$G:$G,MATCH($AH19,CaseTypeCol!$A:$A,0)))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IF($AO19="","",INDEX(CaseTypeCol!$G:$G,MATCH($AO19,CaseTypeCol!$A:$A,0)))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621</v>
      </c>
      <c r="D20" t="s">
        <v>19</v>
      </c>
      <c r="E20" s="6" t="str">
        <f>INDEX(User!$C:$C,MATCH($D20,User!$A:$A,0))</f>
        <v>org_user2_3</v>
      </c>
      <c r="F20" t="s">
        <v>723</v>
      </c>
      <c r="G20" s="19" t="b">
        <f t="shared" ca="1" si="0"/>
        <v>0</v>
      </c>
      <c r="H20" s="6" t="str">
        <f>INDEX(User!$F:$F,MATCH($D20,User!$A:$A,0))</f>
        <v>0195d18c-1c92-0ed4-2e94-b4f66d82baf3</v>
      </c>
      <c r="I20" s="6" t="b">
        <f>INDEX(User!$L:$L,MATCH($D20,User!$A:$A,0))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647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665</v>
      </c>
      <c r="AC20" s="6" t="str">
        <f>IF($AA20="","",INDEX(CaseTypeCol!$G:$G,MATCH($AA20,CaseTypeCol!$A:$A,0)))</f>
        <v>case_type1_dim1_1_text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IF($AH20="","",INDEX(CaseTypeCol!$G:$G,MATCH($AH20,CaseTypeCol!$A:$A,0)))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IF($AO20="","",INDEX(CaseTypeCol!$G:$G,MATCH($AO20,CaseTypeCol!$A:$A,0)))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622</v>
      </c>
      <c r="D21" t="s">
        <v>20</v>
      </c>
      <c r="E21" s="6" t="str">
        <f>INDEX(User!$C:$C,MATCH($D21,User!$A:$A,0))</f>
        <v>org_user2_4</v>
      </c>
      <c r="F21" t="s">
        <v>723</v>
      </c>
      <c r="G21" s="19" t="b">
        <f t="shared" ca="1" si="0"/>
        <v>0</v>
      </c>
      <c r="H21" s="6" t="str">
        <f>INDEX(User!$F:$F,MATCH($D21,User!$A:$A,0))</f>
        <v>0195d18c-1c92-0ed4-2e94-b4f66d82baf3</v>
      </c>
      <c r="I21" s="6" t="b">
        <f>INDEX(User!$L:$L,MATCH($D21,User!$A:$A,0))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648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665</v>
      </c>
      <c r="AC21" s="6" t="str">
        <f>IF($AA21="","",INDEX(CaseTypeCol!$G:$G,MATCH($AA21,CaseTypeCol!$A:$A,0)))</f>
        <v>case_type1_dim1_1_text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IF($AH21="","",INDEX(CaseTypeCol!$G:$G,MATCH($AH21,CaseTypeCol!$A:$A,0)))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IF($AO21="","",INDEX(CaseTypeCol!$G:$G,MATCH($AO21,CaseTypeCol!$A:$A,0)))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623</v>
      </c>
      <c r="D22" t="s">
        <v>22</v>
      </c>
      <c r="E22" s="6" t="str">
        <f>INDEX(User!$C:$C,MATCH($D22,User!$A:$A,0))</f>
        <v>org_user3_1</v>
      </c>
      <c r="F22" t="s">
        <v>723</v>
      </c>
      <c r="G22" s="19" t="b">
        <f t="shared" ca="1" si="0"/>
        <v>0</v>
      </c>
      <c r="H22" s="6" t="str">
        <f>INDEX(User!$F:$F,MATCH($D22,User!$A:$A,0))</f>
        <v>0195d18c-1c92-52b3-93e0-43dc1f2aa037</v>
      </c>
      <c r="I22" s="6" t="b">
        <f>INDEX(User!$L:$L,MATCH($D22,User!$A:$A,0))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649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665</v>
      </c>
      <c r="AC22" s="6" t="str">
        <f>IF($AA22="","",INDEX(CaseTypeCol!$G:$G,MATCH($AA22,CaseTypeCol!$A:$A,0)))</f>
        <v>case_type1_dim1_1_text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IF($AH22="","",INDEX(CaseTypeCol!$G:$G,MATCH($AH22,CaseTypeCol!$A:$A,0)))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IF($AO22="","",INDEX(CaseTypeCol!$G:$G,MATCH($AO22,CaseTypeCol!$A:$A,0)))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624</v>
      </c>
      <c r="D23" t="s">
        <v>24</v>
      </c>
      <c r="E23" s="6" t="str">
        <f>INDEX(User!$C:$C,MATCH($D23,User!$A:$A,0))</f>
        <v>org_user3_2</v>
      </c>
      <c r="F23" t="s">
        <v>723</v>
      </c>
      <c r="G23" s="19" t="b">
        <f t="shared" ca="1" si="0"/>
        <v>0</v>
      </c>
      <c r="H23" s="6" t="str">
        <f>INDEX(User!$F:$F,MATCH($D23,User!$A:$A,0))</f>
        <v>0195d18c-1c92-52b3-93e0-43dc1f2aa037</v>
      </c>
      <c r="I23" s="6" t="b">
        <f>INDEX(User!$L:$L,MATCH($D23,User!$A:$A,0))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650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665</v>
      </c>
      <c r="AC23" s="6" t="str">
        <f>IF($AA23="","",INDEX(CaseTypeCol!$G:$G,MATCH($AA23,CaseTypeCol!$A:$A,0)))</f>
        <v>case_type1_dim1_1_text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IF($AH23="","",INDEX(CaseTypeCol!$G:$G,MATCH($AH23,CaseTypeCol!$A:$A,0)))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IF($AO23="","",INDEX(CaseTypeCol!$G:$G,MATCH($AO23,CaseTypeCol!$A:$A,0)))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625</v>
      </c>
      <c r="D24" t="s">
        <v>25</v>
      </c>
      <c r="E24" s="6" t="str">
        <f>INDEX(User!$C:$C,MATCH($D24,User!$A:$A,0))</f>
        <v>org_user3_3</v>
      </c>
      <c r="F24" t="s">
        <v>723</v>
      </c>
      <c r="G24" s="19" t="b">
        <f t="shared" ca="1" si="0"/>
        <v>0</v>
      </c>
      <c r="H24" s="6" t="str">
        <f>INDEX(User!$F:$F,MATCH($D24,User!$A:$A,0))</f>
        <v>0195d18c-1c92-52b3-93e0-43dc1f2aa037</v>
      </c>
      <c r="I24" s="6" t="b">
        <f>INDEX(User!$L:$L,MATCH($D24,User!$A:$A,0))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651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665</v>
      </c>
      <c r="AC24" s="6" t="str">
        <f>IF($AA24="","",INDEX(CaseTypeCol!$G:$G,MATCH($AA24,CaseTypeCol!$A:$A,0)))</f>
        <v>case_type1_dim1_1_text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IF($AH24="","",INDEX(CaseTypeCol!$G:$G,MATCH($AH24,CaseTypeCol!$A:$A,0)))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IF($AO24="","",INDEX(CaseTypeCol!$G:$G,MATCH($AO24,CaseTypeCol!$A:$A,0)))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626</v>
      </c>
      <c r="D25" t="s">
        <v>26</v>
      </c>
      <c r="E25" s="6" t="str">
        <f>INDEX(User!$C:$C,MATCH($D25,User!$A:$A,0))</f>
        <v>org_user3_4</v>
      </c>
      <c r="F25" t="s">
        <v>723</v>
      </c>
      <c r="G25" s="19" t="b">
        <f t="shared" ca="1" si="0"/>
        <v>0</v>
      </c>
      <c r="H25" s="6" t="str">
        <f>INDEX(User!$F:$F,MATCH($D25,User!$A:$A,0))</f>
        <v>0195d18c-1c92-52b3-93e0-43dc1f2aa037</v>
      </c>
      <c r="I25" s="6" t="b">
        <f>INDEX(User!$L:$L,MATCH($D25,User!$A:$A,0))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652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665</v>
      </c>
      <c r="AC25" s="6" t="str">
        <f>IF($AA25="","",INDEX(CaseTypeCol!$G:$G,MATCH($AA25,CaseTypeCol!$A:$A,0)))</f>
        <v>case_type1_dim1_1_text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IF($AH25="","",INDEX(CaseTypeCol!$G:$G,MATCH($AH25,CaseTypeCol!$A:$A,0)))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IF($AO25="","",INDEX(CaseTypeCol!$G:$G,MATCH($AO25,CaseTypeCol!$A:$A,0)))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627</v>
      </c>
      <c r="D26" t="s">
        <v>28</v>
      </c>
      <c r="E26" s="6" t="str">
        <f>INDEX(User!$C:$C,MATCH($D26,User!$A:$A,0))</f>
        <v>org_user4_1</v>
      </c>
      <c r="F26" t="s">
        <v>723</v>
      </c>
      <c r="G26" s="19" t="b">
        <f t="shared" ca="1" si="0"/>
        <v>0</v>
      </c>
      <c r="H26" s="6" t="str">
        <f>INDEX(User!$F:$F,MATCH($D26,User!$A:$A,0))</f>
        <v>0195d18c-1c92-d419-4c71-a570f428499b</v>
      </c>
      <c r="I26" s="6" t="b">
        <f>INDEX(User!$L:$L,MATCH($D26,User!$A:$A,0))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653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665</v>
      </c>
      <c r="AC26" s="6" t="str">
        <f>IF($AA26="","",INDEX(CaseTypeCol!$G:$G,MATCH($AA26,CaseTypeCol!$A:$A,0)))</f>
        <v>case_type1_dim1_1_text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IF($AH26="","",INDEX(CaseTypeCol!$G:$G,MATCH($AH26,CaseTypeCol!$A:$A,0)))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IF($AO26="","",INDEX(CaseTypeCol!$G:$G,MATCH($AO26,CaseTypeCol!$A:$A,0)))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628</v>
      </c>
      <c r="D27" t="s">
        <v>30</v>
      </c>
      <c r="E27" s="6" t="str">
        <f>INDEX(User!$C:$C,MATCH($D27,User!$A:$A,0))</f>
        <v>org_user4_2</v>
      </c>
      <c r="F27" t="s">
        <v>723</v>
      </c>
      <c r="G27" s="19" t="b">
        <f t="shared" ca="1" si="0"/>
        <v>0</v>
      </c>
      <c r="H27" s="6" t="str">
        <f>INDEX(User!$F:$F,MATCH($D27,User!$A:$A,0))</f>
        <v>0195d18c-1c92-d419-4c71-a570f428499b</v>
      </c>
      <c r="I27" s="6" t="b">
        <f>INDEX(User!$L:$L,MATCH($D27,User!$A:$A,0))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654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665</v>
      </c>
      <c r="AC27" s="6" t="str">
        <f>IF($AA27="","",INDEX(CaseTypeCol!$G:$G,MATCH($AA27,CaseTypeCol!$A:$A,0)))</f>
        <v>case_type1_dim1_1_text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IF($AH27="","",INDEX(CaseTypeCol!$G:$G,MATCH($AH27,CaseTypeCol!$A:$A,0)))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IF($AO27="","",INDEX(CaseTypeCol!$G:$G,MATCH($AO27,CaseTypeCol!$A:$A,0)))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629</v>
      </c>
      <c r="D28" t="s">
        <v>31</v>
      </c>
      <c r="E28" s="6" t="str">
        <f>INDEX(User!$C:$C,MATCH($D28,User!$A:$A,0))</f>
        <v>org_user4_3</v>
      </c>
      <c r="F28" t="s">
        <v>723</v>
      </c>
      <c r="G28" s="19" t="b">
        <f t="shared" ca="1" si="0"/>
        <v>0</v>
      </c>
      <c r="H28" s="6" t="str">
        <f>INDEX(User!$F:$F,MATCH($D28,User!$A:$A,0))</f>
        <v>0195d18c-1c92-d419-4c71-a570f428499b</v>
      </c>
      <c r="I28" s="6" t="b">
        <f>INDEX(User!$L:$L,MATCH($D28,User!$A:$A,0))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655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665</v>
      </c>
      <c r="AC28" s="6" t="str">
        <f>IF($AA28="","",INDEX(CaseTypeCol!$G:$G,MATCH($AA28,CaseTypeCol!$A:$A,0)))</f>
        <v>case_type1_dim1_1_text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IF($AH28="","",INDEX(CaseTypeCol!$G:$G,MATCH($AH28,CaseTypeCol!$A:$A,0)))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IF($AO28="","",INDEX(CaseTypeCol!$G:$G,MATCH($AO28,CaseTypeCol!$A:$A,0)))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630</v>
      </c>
      <c r="D29" t="s">
        <v>32</v>
      </c>
      <c r="E29" s="6" t="str">
        <f>INDEX(User!$C:$C,MATCH($D29,User!$A:$A,0))</f>
        <v>org_user4_4</v>
      </c>
      <c r="F29" t="s">
        <v>723</v>
      </c>
      <c r="G29" s="19" t="b">
        <f t="shared" ca="1" si="0"/>
        <v>0</v>
      </c>
      <c r="H29" s="6" t="str">
        <f>INDEX(User!$F:$F,MATCH($D29,User!$A:$A,0))</f>
        <v>0195d18c-1c92-d419-4c71-a570f428499b</v>
      </c>
      <c r="I29" s="6" t="b">
        <f>INDEX(User!$L:$L,MATCH($D29,User!$A:$A,0))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656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665</v>
      </c>
      <c r="AC29" s="6" t="str">
        <f>IF($AA29="","",INDEX(CaseTypeCol!$G:$G,MATCH($AA29,CaseTypeCol!$A:$A,0)))</f>
        <v>case_type1_dim1_1_text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IF($AH29="","",INDEX(CaseTypeCol!$G:$G,MATCH($AH29,CaseTypeCol!$A:$A,0)))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IF($AO29="","",INDEX(CaseTypeCol!$G:$G,MATCH($AO29,CaseTypeCol!$A:$A,0)))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631</v>
      </c>
      <c r="D30" t="s">
        <v>34</v>
      </c>
      <c r="E30" s="6" t="str">
        <f>INDEX(User!$C:$C,MATCH($D30,User!$A:$A,0))</f>
        <v>org_user5_1</v>
      </c>
      <c r="F30" t="s">
        <v>723</v>
      </c>
      <c r="G30" s="19" t="b">
        <f t="shared" ca="1" si="0"/>
        <v>0</v>
      </c>
      <c r="H30" s="6" t="str">
        <f>INDEX(User!$F:$F,MATCH($D30,User!$A:$A,0))</f>
        <v>0195d18c-1c93-02a2-6920-7e4dbfb73ce0</v>
      </c>
      <c r="I30" s="6" t="b">
        <f>INDEX(User!$L:$L,MATCH($D30,User!$A:$A,0))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657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665</v>
      </c>
      <c r="AC30" s="6" t="str">
        <f>IF($AA30="","",INDEX(CaseTypeCol!$G:$G,MATCH($AA30,CaseTypeCol!$A:$A,0)))</f>
        <v>case_type1_dim1_1_text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IF($AH30="","",INDEX(CaseTypeCol!$G:$G,MATCH($AH30,CaseTypeCol!$A:$A,0)))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IF($AO30="","",INDEX(CaseTypeCol!$G:$G,MATCH($AO30,CaseTypeCol!$A:$A,0)))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632</v>
      </c>
      <c r="D31" t="s">
        <v>36</v>
      </c>
      <c r="E31" s="6" t="str">
        <f>INDEX(User!$C:$C,MATCH($D31,User!$A:$A,0))</f>
        <v>org_user5_2</v>
      </c>
      <c r="F31" t="s">
        <v>723</v>
      </c>
      <c r="G31" s="19" t="b">
        <f t="shared" ca="1" si="0"/>
        <v>0</v>
      </c>
      <c r="H31" s="6" t="str">
        <f>INDEX(User!$F:$F,MATCH($D31,User!$A:$A,0))</f>
        <v>0195d18c-1c93-02a2-6920-7e4dbfb73ce0</v>
      </c>
      <c r="I31" s="6" t="b">
        <f>INDEX(User!$L:$L,MATCH($D31,User!$A:$A,0))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658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665</v>
      </c>
      <c r="AC31" s="6" t="str">
        <f>IF($AA31="","",INDEX(CaseTypeCol!$G:$G,MATCH($AA31,CaseTypeCol!$A:$A,0)))</f>
        <v>case_type1_dim1_1_text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IF($AH31="","",INDEX(CaseTypeCol!$G:$G,MATCH($AH31,CaseTypeCol!$A:$A,0)))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IF($AO31="","",INDEX(CaseTypeCol!$G:$G,MATCH($AO31,CaseTypeCol!$A:$A,0)))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633</v>
      </c>
      <c r="D32" t="s">
        <v>37</v>
      </c>
      <c r="E32" s="6" t="str">
        <f>INDEX(User!$C:$C,MATCH($D32,User!$A:$A,0))</f>
        <v>org_user5_3</v>
      </c>
      <c r="F32" t="s">
        <v>723</v>
      </c>
      <c r="G32" s="19" t="b">
        <f t="shared" ca="1" si="0"/>
        <v>0</v>
      </c>
      <c r="H32" s="6" t="str">
        <f>INDEX(User!$F:$F,MATCH($D32,User!$A:$A,0))</f>
        <v>0195d18c-1c93-02a2-6920-7e4dbfb73ce0</v>
      </c>
      <c r="I32" s="6" t="b">
        <f>INDEX(User!$L:$L,MATCH($D32,User!$A:$A,0))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659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665</v>
      </c>
      <c r="AC32" s="6" t="str">
        <f>IF($AA32="","",INDEX(CaseTypeCol!$G:$G,MATCH($AA32,CaseTypeCol!$A:$A,0)))</f>
        <v>case_type1_dim1_1_text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IF($AH32="","",INDEX(CaseTypeCol!$G:$G,MATCH($AH32,CaseTypeCol!$A:$A,0)))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IF($AO32="","",INDEX(CaseTypeCol!$G:$G,MATCH($AO32,CaseTypeCol!$A:$A,0)))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634</v>
      </c>
      <c r="D33" t="s">
        <v>38</v>
      </c>
      <c r="E33" s="6" t="str">
        <f>INDEX(User!$C:$C,MATCH($D33,User!$A:$A,0))</f>
        <v>org_user5_4</v>
      </c>
      <c r="F33" t="s">
        <v>723</v>
      </c>
      <c r="G33" s="19" t="b">
        <f t="shared" ca="1" si="0"/>
        <v>0</v>
      </c>
      <c r="H33" s="6" t="str">
        <f>INDEX(User!$F:$F,MATCH($D33,User!$A:$A,0))</f>
        <v>0195d18c-1c93-02a2-6920-7e4dbfb73ce0</v>
      </c>
      <c r="I33" s="6" t="b">
        <f>INDEX(User!$L:$L,MATCH($D33,User!$A:$A,0))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660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665</v>
      </c>
      <c r="AC33" s="6" t="str">
        <f>IF($AA33="","",INDEX(CaseTypeCol!$G:$G,MATCH($AA33,CaseTypeCol!$A:$A,0)))</f>
        <v>case_type1_dim1_1_text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IF($AH33="","",INDEX(CaseTypeCol!$G:$G,MATCH($AH33,CaseTypeCol!$A:$A,0)))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IF($AO33="","",INDEX(CaseTypeCol!$G:$G,MATCH($AO33,CaseTypeCol!$A:$A,0)))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</sheetData>
  <autoFilter ref="A1:AV33" xr:uid="{8E0C7C33-6768-4AAE-A57E-F80585DED472}"/>
  <phoneticPr fontId="4" type="noConversion"/>
  <conditionalFormatting sqref="U2:U33">
    <cfRule type="expression" dxfId="0" priority="1">
      <formula>U2=FALSE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557</v>
      </c>
      <c r="D1" s="7" t="s">
        <v>58</v>
      </c>
      <c r="E1" s="4" t="s">
        <v>558</v>
      </c>
      <c r="F1" s="7" t="s">
        <v>3</v>
      </c>
      <c r="G1" s="7" t="s">
        <v>559</v>
      </c>
      <c r="H1" s="7" t="s">
        <v>4</v>
      </c>
      <c r="I1" s="7" t="s">
        <v>5</v>
      </c>
      <c r="J1" s="7" t="s">
        <v>560</v>
      </c>
      <c r="K1" s="8" t="s">
        <v>562</v>
      </c>
      <c r="L1" s="7" t="s">
        <v>561</v>
      </c>
      <c r="M1" s="8" t="s">
        <v>563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564</v>
      </c>
      <c r="T1" s="4" t="s">
        <v>565</v>
      </c>
      <c r="U1" s="8" t="s">
        <v>566</v>
      </c>
      <c r="V1" s="8" t="s">
        <v>669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zoomScaleNormal="80" workbookViewId="0">
      <pane ySplit="1" topLeftCell="A2" activePane="bottomLeft" state="frozen"/>
      <selection pane="bottomLeft" activeCell="K2" sqref="A1:W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557</v>
      </c>
      <c r="D1" s="7" t="s">
        <v>58</v>
      </c>
      <c r="E1" s="4" t="s">
        <v>558</v>
      </c>
      <c r="F1" s="7" t="s">
        <v>3</v>
      </c>
      <c r="G1" s="7" t="s">
        <v>4</v>
      </c>
      <c r="H1" s="7" t="s">
        <v>5</v>
      </c>
      <c r="I1" s="7" t="s">
        <v>560</v>
      </c>
      <c r="J1" s="8" t="s">
        <v>562</v>
      </c>
      <c r="K1" s="7" t="s">
        <v>561</v>
      </c>
      <c r="L1" s="8" t="s">
        <v>563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570</v>
      </c>
      <c r="R1" s="8" t="s">
        <v>571</v>
      </c>
      <c r="S1" s="4" t="s">
        <v>565</v>
      </c>
      <c r="T1" s="8" t="s">
        <v>566</v>
      </c>
      <c r="U1" s="7" t="s">
        <v>1</v>
      </c>
      <c r="V1" s="8" t="s">
        <v>567</v>
      </c>
      <c r="W1" s="15" t="s">
        <v>669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557</v>
      </c>
      <c r="D1" t="s">
        <v>58</v>
      </c>
      <c r="E1" s="3" t="s">
        <v>558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492</v>
      </c>
      <c r="L1" s="3" t="s">
        <v>568</v>
      </c>
      <c r="M1" s="6" t="s">
        <v>570</v>
      </c>
      <c r="N1" s="3" t="s">
        <v>571</v>
      </c>
      <c r="O1" s="7" t="s">
        <v>1</v>
      </c>
      <c r="P1" s="8" t="s">
        <v>567</v>
      </c>
    </row>
    <row r="2" spans="1:16" x14ac:dyDescent="0.3">
      <c r="A2" t="s">
        <v>569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E2" sqref="E2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557</v>
      </c>
      <c r="D1" t="s">
        <v>58</v>
      </c>
      <c r="E1" s="3" t="s">
        <v>558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492</v>
      </c>
      <c r="L1" s="3" t="s">
        <v>568</v>
      </c>
      <c r="M1" t="s">
        <v>41</v>
      </c>
      <c r="N1" s="3" t="s">
        <v>564</v>
      </c>
    </row>
    <row r="2" spans="1:14" x14ac:dyDescent="0.3">
      <c r="A2" t="s">
        <v>569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2025-09-14T07:24:31Z</dcterms:modified>
</cp:coreProperties>
</file>