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33EC3ED3-C5F0-4BE3-8336-D12B9F076B28}" xr6:coauthVersionLast="47" xr6:coauthVersionMax="47" xr10:uidLastSave="{00000000-0000-0000-0000-000000000000}"/>
  <bookViews>
    <workbookView xWindow="-108" yWindow="-108" windowWidth="41496" windowHeight="16776" tabRatio="913" activeTab="4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Dim" sheetId="27" r:id="rId13"/>
    <sheet name="CaseTypeCol" sheetId="11" r:id="rId14"/>
    <sheet name="CaseCrudCommand" sheetId="24" r:id="rId15"/>
    <sheet name="CaseTypeColSet" sheetId="10" r:id="rId16"/>
    <sheet name="CaseType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4" l="1"/>
  <c r="F4" i="14"/>
  <c r="F5" i="14"/>
  <c r="F2" i="14"/>
  <c r="H3" i="11" l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AF50" i="24" a="1"/>
  <c r="AG46" i="24" a="1"/>
  <c r="AF38" i="24" a="1"/>
  <c r="AG60" i="24" a="1"/>
  <c r="O55" i="24" a="1"/>
  <c r="Q34" i="24" a="1"/>
  <c r="AN55" i="24" a="1"/>
  <c r="AG55" i="24" a="1"/>
  <c r="AU34" i="24" a="1"/>
  <c r="P64" i="24" a="1"/>
  <c r="O34" i="24" a="1"/>
  <c r="Q46" i="24" a="1"/>
  <c r="AL55" i="24" a="1"/>
  <c r="O38" i="24" a="1"/>
  <c r="AE55" i="24" a="1"/>
  <c r="O42" i="24" a="1"/>
  <c r="AG34" i="24" a="1"/>
  <c r="AT55" i="24" a="1"/>
  <c r="AF72" i="24" a="1"/>
  <c r="Q55" i="24" a="1"/>
  <c r="O72" i="24" a="1"/>
  <c r="AN34" i="24" a="1"/>
  <c r="AD55" i="24" a="1"/>
  <c r="AS55" i="24" a="1"/>
  <c r="AD35" i="24" a="1"/>
  <c r="AG42" i="24" a="1"/>
  <c r="Q42" i="24" a="1"/>
  <c r="AM55" i="24" a="1"/>
  <c r="AG38" i="24" a="1"/>
  <c r="AU55" i="24" a="1"/>
  <c r="AG50" i="24" a="1"/>
  <c r="AN54" i="24" a="1"/>
  <c r="K35" i="24" a="1"/>
  <c r="AU54" i="24" a="1"/>
  <c r="AR55" i="24" a="1"/>
  <c r="AF64" i="24" a="1"/>
  <c r="AK55" i="24" a="1"/>
  <c r="P60" i="24" a="1"/>
  <c r="AM54" i="24" a="1"/>
  <c r="AT34" i="24" a="1"/>
  <c r="AG68" i="24" a="1"/>
  <c r="AF46" i="24" a="1"/>
  <c r="Q60" i="24" a="1"/>
  <c r="AF34" i="24" a="1"/>
  <c r="M35" i="24" a="1"/>
  <c r="AF60" i="24" a="1"/>
  <c r="AG64" i="24" a="1"/>
  <c r="AT54" i="24" a="1"/>
  <c r="AE35" i="24" a="1"/>
  <c r="P68" i="24" a="1"/>
  <c r="AF42" i="24" a="1"/>
  <c r="P50" i="24" a="1"/>
  <c r="AG72" i="24" a="1"/>
  <c r="L35" i="24" a="1"/>
  <c r="Q38" i="24" a="1"/>
  <c r="AF54" i="24" a="1"/>
  <c r="P42" i="24" a="1"/>
  <c r="AG54" i="24" a="1"/>
  <c r="P46" i="24" a="1"/>
  <c r="AM34" i="24" a="1"/>
  <c r="Q54" i="24" a="1"/>
  <c r="AF55" i="24" a="1"/>
  <c r="P38" i="24" a="1"/>
  <c r="P34" i="24" a="1"/>
  <c r="O60" i="24" a="1"/>
  <c r="Q50" i="24" a="1"/>
  <c r="AF68" i="24" a="1"/>
  <c r="M55" i="24" a="1"/>
  <c r="P55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L67" i="24" a="1"/>
  <c r="M15" i="24" a="1"/>
  <c r="L6" i="24" a="1"/>
  <c r="M65" i="24" a="1"/>
  <c r="L51" i="24" a="1"/>
  <c r="AF14" i="24" a="1"/>
  <c r="M37" i="24" a="1"/>
  <c r="M44" i="24" a="1"/>
  <c r="M72" i="24" a="1"/>
  <c r="AE44" i="24" a="1"/>
  <c r="M36" i="24" a="1"/>
  <c r="AD34" i="24" a="1"/>
  <c r="AD39" i="24" a="1"/>
  <c r="AE46" i="24" a="1"/>
  <c r="L55" i="24" a="1"/>
  <c r="L59" i="24" a="1"/>
  <c r="AD70" i="24" a="1"/>
  <c r="L60" i="24" a="1"/>
  <c r="M39" i="24" a="1"/>
  <c r="O68" i="24" a="1"/>
  <c r="M67" i="24" a="1"/>
  <c r="AE51" i="24" a="1"/>
  <c r="AL34" i="24" a="1"/>
  <c r="K49" i="24" a="1"/>
  <c r="K73" i="24" a="1"/>
  <c r="K53" i="24" a="1"/>
  <c r="AE52" i="24" a="1"/>
  <c r="AE3" i="24" a="1"/>
  <c r="AR57" i="24" a="1"/>
  <c r="AD66" i="24" a="1"/>
  <c r="K70" i="24" a="1"/>
  <c r="L42" i="24" a="1"/>
  <c r="M42" i="24" a="1"/>
  <c r="K34" i="24" a="1"/>
  <c r="AR34" i="24" a="1"/>
  <c r="AD36" i="24" a="1"/>
  <c r="AD38" i="24" a="1"/>
  <c r="AD53" i="24" a="1"/>
  <c r="K66" i="24" a="1"/>
  <c r="AE6" i="24" a="1"/>
  <c r="L54" i="24" a="1"/>
  <c r="M51" i="24" a="1"/>
  <c r="AE45" i="24" a="1"/>
  <c r="AD44" i="24" a="1"/>
  <c r="AE8" i="24" a="1"/>
  <c r="AE54" i="24" a="1"/>
  <c r="M8" i="24" a="1"/>
  <c r="K72" i="24" a="1"/>
  <c r="M62" i="24" a="1"/>
  <c r="M43" i="24" a="1"/>
  <c r="Q14" i="24" a="1"/>
  <c r="M60" i="24" a="1"/>
  <c r="M47" i="24" a="1"/>
  <c r="AD60" i="24" a="1"/>
  <c r="AK34" i="24" a="1"/>
  <c r="AD15" i="24" a="1"/>
  <c r="AE68" i="24" a="1"/>
  <c r="K62" i="24" a="1"/>
  <c r="M63" i="24" a="1"/>
  <c r="AR59" i="24" a="1"/>
  <c r="AD65" i="24" a="1"/>
  <c r="AE62" i="24" a="1"/>
  <c r="AD50" i="24" a="1"/>
  <c r="K68" i="24" a="1"/>
  <c r="AE38" i="24" a="1"/>
  <c r="K9" i="24" a="1"/>
  <c r="M57" i="24" a="1"/>
  <c r="AD67" i="24" a="1"/>
  <c r="AD43" i="24" a="1"/>
  <c r="K44" i="24" a="1"/>
  <c r="AD6" i="24" a="1"/>
  <c r="AE5" i="24" a="1"/>
  <c r="M9" i="24" a="1"/>
  <c r="AD47" i="24" a="1"/>
  <c r="AE70" i="24" a="1"/>
  <c r="K47" i="24" a="1"/>
  <c r="K60" i="24" a="1"/>
  <c r="AE16" i="24" a="1"/>
  <c r="AE47" i="24" a="1"/>
  <c r="M5" i="24" a="1"/>
  <c r="L62" i="24" a="1"/>
  <c r="K4" i="24" a="1"/>
  <c r="K54" i="24" a="1"/>
  <c r="L49" i="24" a="1"/>
  <c r="K67" i="24" a="1"/>
  <c r="L39" i="24" a="1"/>
  <c r="AD45" i="24" a="1"/>
  <c r="M14" i="24" a="1"/>
  <c r="AE14" i="24" a="1"/>
  <c r="AE57" i="24" a="1"/>
  <c r="L61" i="24" a="1"/>
  <c r="AD57" i="24" a="1"/>
  <c r="M70" i="24" a="1"/>
  <c r="K36" i="24" a="1"/>
  <c r="AD17" i="24" a="1"/>
  <c r="AD14" i="24" a="1"/>
  <c r="L70" i="24" a="1"/>
  <c r="AE63" i="24" a="1"/>
  <c r="M66" i="24" a="1"/>
  <c r="AD41" i="24" a="1"/>
  <c r="K6" i="24" a="1"/>
  <c r="AD9" i="24" a="1"/>
  <c r="AE66" i="24" a="1"/>
  <c r="O50" i="24" a="1"/>
  <c r="L2" i="24" a="1"/>
  <c r="K39" i="24" a="1"/>
  <c r="L72" i="24" a="1"/>
  <c r="AE17" i="24" a="1"/>
  <c r="K61" i="24" a="1"/>
  <c r="AE48" i="24" a="1"/>
  <c r="AE61" i="24" a="1"/>
  <c r="O64" i="24" a="1"/>
  <c r="P72" i="24" a="1"/>
  <c r="M73" i="24" a="1"/>
  <c r="K46" i="24" a="1"/>
  <c r="L64" i="24" a="1"/>
  <c r="L68" i="24" a="1"/>
  <c r="P54" i="24" a="1"/>
  <c r="M64" i="24" a="1"/>
  <c r="L63" i="24" a="1"/>
  <c r="K65" i="24" a="1"/>
  <c r="Q68" i="24" a="1"/>
  <c r="L66" i="24" a="1"/>
  <c r="K17" i="24" a="1"/>
  <c r="L52" i="24" a="1"/>
  <c r="L38" i="24" a="1"/>
  <c r="AD37" i="24" a="1"/>
  <c r="M46" i="24" a="1"/>
  <c r="L46" i="24" a="1"/>
  <c r="AE34" i="24" a="1"/>
  <c r="AE53" i="24" a="1"/>
  <c r="M40" i="24" a="1"/>
  <c r="K48" i="24" a="1"/>
  <c r="AE64" i="24" a="1"/>
  <c r="L48" i="24" a="1"/>
  <c r="O46" i="24" a="1"/>
  <c r="K57" i="24" a="1"/>
  <c r="O54" i="24" a="1"/>
  <c r="AS54" i="24" a="1"/>
  <c r="M7" i="24" a="1"/>
  <c r="L65" i="24" a="1"/>
  <c r="AG14" i="24" a="1"/>
  <c r="K41" i="24" a="1"/>
  <c r="L9" i="24" a="1"/>
  <c r="AE59" i="24" a="1"/>
  <c r="M6" i="24" a="1"/>
  <c r="L44" i="24" a="1"/>
  <c r="AD68" i="24" a="1"/>
  <c r="M48" i="24" a="1"/>
  <c r="L14" i="24" a="1"/>
  <c r="M50" i="24" a="1"/>
  <c r="AD62" i="24" a="1"/>
  <c r="AD64" i="24" a="1"/>
  <c r="K2" i="24" a="1"/>
  <c r="AD61" i="24" a="1"/>
  <c r="AS57" i="24" a="1"/>
  <c r="L47" i="24" a="1"/>
  <c r="O14" i="24" a="1"/>
  <c r="AD63" i="24" a="1"/>
  <c r="M45" i="24" a="1"/>
  <c r="AR54" i="24" a="1"/>
  <c r="M38" i="24" a="1"/>
  <c r="AE50" i="24" a="1"/>
  <c r="AE72" i="24" a="1"/>
  <c r="M54" i="24" a="1"/>
  <c r="M59" i="24" a="1"/>
  <c r="AD54" i="24" a="1"/>
  <c r="K14" i="24" a="1"/>
  <c r="K64" i="24" a="1"/>
  <c r="M68" i="24" a="1"/>
  <c r="AD46" i="24" a="1"/>
  <c r="AD51" i="24" a="1"/>
  <c r="K45" i="24" a="1"/>
  <c r="M53" i="24" a="1"/>
  <c r="AD52" i="24" a="1"/>
  <c r="AE43" i="24" a="1"/>
  <c r="K52" i="24" a="1"/>
  <c r="K5" i="24" a="1"/>
  <c r="AE40" i="24" a="1"/>
  <c r="M41" i="24" a="1"/>
  <c r="AS59" i="24" a="1"/>
  <c r="AD5" i="24" a="1"/>
  <c r="AE39" i="24" a="1"/>
  <c r="M17" i="24" a="1"/>
  <c r="Q64" i="24" a="1"/>
  <c r="K50" i="24" a="1"/>
  <c r="K37" i="24" a="1"/>
  <c r="AE36" i="24" a="1"/>
  <c r="AK54" i="24" a="1"/>
  <c r="L5" i="24" a="1"/>
  <c r="AD8" i="24" a="1"/>
  <c r="M61" i="24" a="1"/>
  <c r="AE15" i="24" a="1"/>
  <c r="K15" i="24" a="1"/>
  <c r="L73" i="24" a="1"/>
  <c r="AE67" i="24" a="1"/>
  <c r="Q72" i="24" a="1"/>
  <c r="M52" i="24" a="1"/>
  <c r="AD48" i="24" a="1"/>
  <c r="M34" i="24" a="1"/>
  <c r="L43" i="24" a="1"/>
  <c r="L57" i="24" a="1"/>
  <c r="L40" i="24" a="1"/>
  <c r="L45" i="24" a="1"/>
  <c r="AD49" i="24" a="1"/>
  <c r="K59" i="24" a="1"/>
  <c r="AE41" i="24" a="1"/>
  <c r="L36" i="24" a="1"/>
  <c r="K42" i="24" a="1"/>
  <c r="L8" i="24" a="1"/>
  <c r="AE49" i="24" a="1"/>
  <c r="K55" i="24" a="1"/>
  <c r="AS34" i="24" a="1"/>
  <c r="L50" i="24" a="1"/>
  <c r="L37" i="24" a="1"/>
  <c r="AE42" i="24" a="1"/>
  <c r="AE37" i="24" a="1"/>
  <c r="AE73" i="24" a="1"/>
  <c r="AD40" i="24" a="1"/>
  <c r="K51" i="24" a="1"/>
  <c r="M49" i="24" a="1"/>
  <c r="K63" i="24" a="1"/>
  <c r="P14" i="24" a="1"/>
  <c r="AE65" i="24" a="1"/>
  <c r="L34" i="24" a="1"/>
  <c r="K38" i="24" a="1"/>
  <c r="L17" i="24" a="1"/>
  <c r="AD42" i="24" a="1"/>
  <c r="L41" i="24" a="1"/>
  <c r="K43" i="24" a="1"/>
  <c r="AD73" i="24" a="1"/>
  <c r="K40" i="24" a="1"/>
  <c r="AD59" i="24" a="1"/>
  <c r="L53" i="24" a="1"/>
  <c r="AL54" i="24" a="1"/>
  <c r="L15" i="24" a="1"/>
  <c r="AE60" i="24" a="1"/>
  <c r="K8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AE4" i="24" a="1"/>
  <c r="AE7" i="24" a="1"/>
  <c r="L4" i="24" a="1"/>
  <c r="O6" i="24" a="1"/>
  <c r="K7" i="24" a="1"/>
  <c r="AD2" i="24" a="1"/>
  <c r="AD3" i="24" a="1"/>
  <c r="M2" i="24" a="1"/>
  <c r="P6" i="24" a="1"/>
  <c r="AG6" i="24" a="1"/>
  <c r="Q6" i="24" a="1"/>
  <c r="L3" i="24" a="1"/>
  <c r="K3" i="24" a="1"/>
  <c r="L16" i="24" a="1"/>
  <c r="AD4" i="24" a="1"/>
  <c r="AD7" i="24" a="1"/>
  <c r="M4" i="24" a="1"/>
  <c r="M16" i="24" a="1"/>
  <c r="AE2" i="24" a="1"/>
  <c r="M3" i="24" a="1"/>
  <c r="AD16" i="24" a="1"/>
  <c r="AE9" i="24" a="1"/>
  <c r="K16" i="24" a="1"/>
  <c r="AF6" i="24" a="1"/>
  <c r="L7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<sst xmlns="http://schemas.openxmlformats.org/spreadsheetml/2006/main" count="2501" uniqueCount="911">
  <si>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</si>
  <si>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</si>
  <si>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</si>
  <si>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</si>
  <si>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</si>
  <si>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</si>
  <si>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</si>
  <si>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</si>
  <si>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</si>
  <si>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</si>
  <si>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</si>
  <si>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</si>
  <si>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</si>
  <si>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</si>
  <si>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</si>
  <si>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</si>
  <si>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</si>
  <si>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</si>
  <si>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</si>
  <si>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</si>
  <si>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</si>
  <si>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</si>
  <si>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</si>
  <si>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</si>
  <si>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</si>
  <si>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</si>
  <si>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</si>
  <si>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</si>
  <si>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</si>
  <si>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</si>
  <si>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</si>
  <si>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</si>
  <si>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</si>
  <si>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</si>
  <si>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</si>
  <si>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</si>
  <si>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</si>
  <si>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</si>
  <si>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</si>
  <si>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</si>
  <si>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</si>
  <si>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</si>
  <si>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</si>
  <si>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</si>
  <si>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</si>
  <si>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</si>
  <si>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</si>
  <si>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</si>
  <si>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</si>
  <si>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</si>
  <si>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</si>
  <si>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</si>
  <si>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</si>
  <si>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</si>
  <si>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</si>
  <si>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</si>
  <si>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</si>
  <si>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</si>
  <si>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</si>
  <si>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</si>
  <si>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</si>
  <si>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</si>
  <si>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</si>
  <si>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</si>
  <si>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</si>
  <si>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</si>
  <si>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</si>
  <si>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</si>
  <si>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</si>
  <si>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</si>
  <si>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</si>
  <si>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</si>
  <si>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</si>
  <si>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</si>
  <si>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</si>
  <si>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</si>
  <si>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</si>
  <si>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</si>
  <si>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</si>
  <si>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</si>
  <si>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</si>
  <si>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</si>
  <si>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</si>
  <si>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</si>
  <si>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</si>
  <si>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</si>
  <si>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</si>
  <si>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</si>
  <si>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</si>
  <si>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</si>
  <si>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</si>
  <si>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</si>
  <si>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</si>
  <si>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</si>
  <si>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</si>
  <si>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</si>
  <si>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</si>
  <si>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</si>
  <si>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</si>
  <si>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</si>
  <si>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</si>
  <si>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</si>
  <si>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</si>
  <si>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</si>
  <si>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</si>
  <si>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</si>
  <si>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</si>
  <si>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</si>
  <si>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</si>
  <si>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</si>
  <si>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</si>
  <si>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</si>
  <si>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</si>
  <si>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</si>
  <si>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</si>
  <si>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</si>
  <si>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</si>
  <si>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</si>
  <si>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</si>
  <si>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</si>
  <si>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</si>
  <si>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</si>
  <si>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</si>
  <si>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</si>
  <si>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</si>
  <si>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</si>
  <si>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</si>
  <si>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</si>
  <si>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</si>
  <si>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</si>
  <si>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</si>
  <si>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</si>
  <si>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</si>
  <si>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</si>
  <si>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</si>
  <si>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</si>
  <si>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</si>
  <si>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</si>
  <si>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</si>
  <si>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</si>
  <si>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</si>
  <si>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</si>
  <si>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</si>
  <si>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</si>
  <si>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</si>
  <si>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</si>
  <si>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</si>
  <si>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</si>
  <si>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</si>
  <si>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</si>
  <si>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</si>
  <si>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</si>
  <si>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</si>
  <si>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</si>
  <si>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</si>
  <si>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</si>
  <si>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</si>
  <si>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</si>
  <si>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</si>
  <si>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</si>
  <si>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</si>
  <si>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</si>
  <si>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</si>
  <si>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</si>
  <si>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</si>
  <si>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</si>
  <si>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</si>
  <si>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</si>
  <si>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</si>
  <si>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</si>
  <si>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</si>
  <si>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</si>
  <si>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</si>
  <si>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</si>
  <si>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</si>
  <si>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</si>
  <si>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</si>
  <si>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</si>
  <si>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</si>
  <si>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</si>
  <si>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</si>
  <si>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</si>
  <si>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</si>
  <si>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</si>
  <si>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</si>
  <si>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</si>
  <si>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</si>
  <si>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</si>
  <si>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</si>
  <si>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</si>
  <si>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</si>
  <si>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</si>
  <si>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</si>
  <si>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</si>
  <si>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</si>
  <si>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</si>
  <si>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</si>
  <si>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</si>
  <si>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</si>
  <si>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</si>
  <si>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</si>
  <si>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</si>
  <si>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</si>
  <si>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</si>
  <si>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</si>
  <si>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</si>
  <si>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</si>
  <si>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</si>
  <si>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</si>
  <si>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</si>
  <si>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</si>
  <si>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</si>
  <si>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</si>
  <si>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</si>
  <si>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</si>
  <si>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</si>
  <si>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</si>
  <si>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</si>
  <si>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</si>
  <si>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</si>
  <si>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</si>
  <si>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</si>
  <si>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</si>
  <si>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</si>
  <si>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</si>
  <si>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</si>
  <si>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</si>
  <si>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</si>
  <si>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</si>
  <si>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</si>
  <si>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</si>
  <si>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</si>
  <si>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</si>
  <si>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</si>
  <si>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</si>
  <si>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</si>
  <si>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</si>
  <si>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</si>
  <si>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</si>
  <si>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</si>
  <si>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</si>
  <si>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</si>
  <si>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</si>
  <si>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</si>
  <si>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</si>
  <si>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</si>
  <si>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</si>
  <si>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</si>
  <si>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</si>
  <si>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</si>
  <si>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</si>
  <si>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</si>
  <si>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</si>
  <si>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</si>
  <si>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</si>
  <si>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</si>
  <si>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</si>
  <si>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</si>
  <si>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</si>
  <si>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</si>
  <si>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</si>
  <si>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</si>
  <si>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</si>
  <si>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</si>
  <si>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</si>
  <si>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</si>
  <si>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</si>
  <si>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</si>
  <si>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</si>
  <si>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</si>
  <si>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</si>
  <si>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</si>
  <si>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</si>
  <si>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</si>
  <si>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</si>
  <si>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</si>
  <si>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</si>
  <si>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</si>
  <si>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</si>
  <si>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</si>
  <si>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</si>
  <si>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</si>
  <si>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</si>
  <si>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</si>
  <si>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</si>
  <si>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</si>
  <si>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</si>
  <si>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</si>
  <si>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</si>
  <si>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</si>
  <si>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</si>
  <si>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</si>
  <si>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</si>
  <si>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</si>
  <si>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</si>
  <si>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</si>
  <si>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</si>
  <si>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</si>
  <si>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</si>
  <si>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</si>
  <si>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</si>
  <si>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</si>
  <si>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</si>
  <si>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</si>
  <si>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</si>
  <si>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</si>
  <si>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</si>
  <si>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</si>
  <si>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</si>
  <si>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</si>
  <si>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</si>
  <si>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</si>
  <si>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</si>
  <si>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</si>
  <si>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</si>
  <si>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</si>
  <si>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</si>
  <si>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</si>
  <si>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</si>
  <si>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</si>
  <si>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</si>
  <si>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</si>
  <si>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</si>
  <si>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</si>
  <si>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</si>
  <si>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</si>
  <si>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</si>
  <si>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</si>
  <si>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</si>
  <si>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</si>
  <si>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</si>
  <si>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</si>
  <si>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</si>
  <si>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</si>
  <si>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</si>
  <si>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</si>
  <si>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</si>
  <si>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</si>
  <si>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</si>
  <si>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</si>
  <si>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</si>
  <si>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</si>
  <si>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</si>
  <si>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</si>
  <si>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</si>
  <si>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</si>
  <si>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</si>
  <si>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</si>
  <si>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</si>
  <si>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</si>
  <si>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</si>
  <si>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</si>
  <si>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</si>
  <si>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</si>
  <si>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</si>
  <si>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</si>
  <si>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</si>
  <si>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</si>
  <si>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</si>
  <si>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</si>
  <si>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</si>
  <si>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</si>
  <si>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</si>
  <si>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</si>
  <si>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</si>
  <si>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</si>
  <si>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</si>
  <si>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</si>
  <si>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</si>
  <si>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</si>
  <si>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</si>
  <si>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</si>
  <si>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</si>
  <si>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</si>
  <si>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</si>
  <si>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</si>
  <si>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</si>
  <si>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</si>
  <si>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</si>
  <si>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</si>
  <si>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</si>
  <si>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</si>
  <si>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</si>
  <si>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</si>
  <si>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</si>
  <si>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</si>
  <si>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</si>
  <si>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</si>
  <si>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</si>
  <si>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</si>
  <si>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</si>
  <si>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</si>
  <si>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</si>
  <si>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</si>
  <si>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</si>
  <si>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</si>
  <si>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</si>
  <si>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</si>
  <si>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</si>
  <si>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</si>
  <si>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</si>
  <si>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</si>
  <si>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</si>
  <si>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</si>
  <si>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</si>
  <si>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</si>
  <si>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</si>
  <si>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</si>
  <si>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</si>
  <si>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</si>
  <si>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</si>
  <si>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</si>
  <si>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</si>
  <si>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</si>
  <si>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</si>
  <si>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</si>
  <si>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</si>
  <si>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</si>
  <si>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</si>
  <si>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</si>
  <si>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</si>
  <si>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</si>
  <si>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</si>
  <si>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</si>
  <si>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</si>
  <si>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</si>
  <si>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</si>
  <si>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</si>
  <si>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</si>
  <si>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</si>
  <si>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</si>
  <si>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</si>
  <si>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</si>
  <si>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</si>
  <si>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</si>
  <si>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</si>
  <si>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</si>
  <si>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</si>
  <si>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</si>
  <si>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</si>
  <si>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</si>
  <si>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</si>
  <si>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</si>
  <si>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</si>
  <si>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</si>
  <si>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</si>
  <si>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</si>
  <si>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</si>
  <si>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</si>
  <si>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</si>
  <si>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</si>
  <si>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</si>
  <si>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</si>
  <si>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</si>
  <si>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</si>
  <si>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</si>
  <si>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</si>
  <si>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</si>
  <si>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</si>
  <si>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</si>
  <si>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</si>
  <si>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</si>
  <si>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</si>
  <si>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</si>
  <si>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</si>
  <si>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</si>
  <si>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</si>
  <si>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</si>
  <si>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</si>
  <si>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</si>
  <si>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</si>
  <si>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</si>
  <si>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</si>
  <si>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</si>
  <si>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</si>
  <si>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</si>
  <si>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</si>
  <si>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</si>
  <si>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</si>
  <si>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</si>
  <si>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</si>
  <si>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</si>
  <si>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</si>
  <si>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</si>
  <si>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</si>
  <si>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</si>
  <si>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</si>
  <si>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</si>
  <si>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</si>
  <si>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</si>
  <si>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</si>
  <si>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</si>
  <si>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</si>
  <si>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</si>
  <si>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</si>
  <si>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</si>
  <si>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</si>
  <si>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</si>
  <si>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</si>
  <si>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</si>
  <si>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</si>
  <si>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</si>
  <si>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</si>
  <si>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</si>
  <si>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</si>
  <si>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</si>
  <si>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</si>
  <si>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</si>
  <si>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</si>
  <si>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</si>
  <si>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</si>
  <si>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</si>
  <si>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</si>
  <si>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</si>
  <si>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</si>
  <si>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</si>
  <si>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</si>
  <si>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</si>
  <si>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</si>
  <si>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</si>
  <si>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</si>
  <si>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</si>
  <si>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</si>
  <si>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</si>
  <si>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</si>
  <si>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</si>
  <si>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</si>
  <si>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</si>
  <si>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</si>
  <si>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</si>
  <si>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</si>
  <si>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</si>
  <si>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</si>
  <si>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</si>
  <si>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</si>
  <si>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</si>
  <si>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</si>
  <si>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</si>
  <si>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</si>
  <si>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</si>
  <si>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</si>
  <si>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</si>
  <si>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</si>
  <si>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</si>
  <si>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</si>
  <si>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</si>
  <si>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</si>
  <si>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</si>
  <si>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</si>
  <si>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</si>
  <si>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</si>
  <si>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</si>
  <si>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</si>
  <si>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</si>
  <si>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</si>
  <si>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</si>
  <si>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</si>
  <si>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</si>
  <si>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</si>
  <si>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</si>
  <si>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</si>
  <si>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</si>
  <si>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</si>
  <si>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</si>
  <si>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</si>
  <si>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</si>
  <si>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</si>
  <si>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</si>
  <si>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</si>
  <si>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</si>
  <si>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</si>
  <si>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</si>
  <si>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</si>
  <si>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</si>
  <si>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</si>
  <si>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</si>
  <si>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</si>
  <si>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</si>
  <si>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</si>
  <si>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</si>
  <si>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</si>
  <si>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</si>
  <si>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</si>
  <si>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</si>
  <si>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</si>
  <si>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</si>
  <si>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</si>
  <si>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</si>
  <si>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</si>
  <si>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</si>
  <si>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</si>
  <si>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</si>
  <si>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</si>
  <si>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</si>
  <si>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</si>
  <si>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</si>
  <si>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</si>
  <si>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</si>
  <si>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</si>
  <si>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</si>
  <si>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</si>
  <si>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</si>
  <si>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</si>
  <si>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</si>
  <si>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</si>
  <si>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</si>
  <si>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</si>
  <si>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</si>
  <si>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</si>
  <si>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</si>
  <si>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</si>
  <si>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</si>
  <si>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</si>
  <si>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</si>
  <si>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</si>
  <si>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</si>
  <si>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</si>
  <si>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</si>
  <si>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</si>
  <si>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</si>
  <si>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</si>
  <si>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</si>
  <si>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</si>
  <si>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</si>
  <si>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</si>
  <si>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</si>
  <si>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</si>
  <si>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</si>
  <si>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</si>
  <si>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</si>
  <si>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</si>
  <si>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</si>
  <si>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</si>
  <si>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</si>
  <si>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</si>
  <si>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</si>
  <si>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</si>
  <si>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</si>
  <si>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</si>
  <si>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</si>
  <si>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</si>
  <si>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</si>
  <si>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</si>
  <si>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</si>
  <si>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</si>
  <si>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</si>
  <si>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</si>
  <si>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</si>
  <si>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</si>
  <si>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</si>
  <si>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</si>
  <si>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</si>
  <si>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</si>
  <si>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</si>
  <si>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</si>
  <si>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</si>
  <si>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</si>
  <si>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</si>
  <si>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</si>
  <si>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</si>
  <si>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</si>
  <si>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</si>
  <si>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</si>
  <si>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</si>
  <si>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</si>
  <si>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</si>
  <si>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</si>
  <si>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</si>
  <si>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</si>
  <si>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</si>
  <si>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</si>
  <si>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</si>
  <si>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</si>
  <si>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</si>
  <si>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</si>
  <si>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</si>
  <si>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</si>
  <si>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</si>
  <si>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</si>
  <si>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</si>
  <si>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</si>
  <si>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</si>
  <si>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</si>
  <si>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</si>
  <si>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</si>
  <si>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</si>
  <si>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</si>
  <si>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</si>
  <si>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</si>
  <si>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</si>
  <si>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</si>
  <si>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</si>
  <si>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</si>
  <si>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</si>
  <si>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</si>
  <si>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</si>
  <si>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</si>
  <si>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</si>
  <si>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</si>
  <si>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</si>
  <si>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</si>
  <si>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</si>
  <si>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</si>
  <si>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</si>
  <si>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</si>
  <si>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</si>
  <si>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</si>
  <si>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</si>
  <si>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</si>
  <si>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</si>
  <si>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</si>
  <si>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</si>
  <si>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</si>
  <si>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</si>
  <si>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</si>
  <si>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</si>
  <si>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</si>
  <si>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</si>
  <si>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</si>
  <si>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</si>
  <si>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</si>
  <si>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</si>
  <si>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</si>
  <si>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</si>
  <si>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</si>
  <si>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</si>
  <si>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</si>
  <si>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</si>
  <si>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</si>
  <si>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</si>
  <si>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</si>
  <si>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</si>
  <si>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</si>
  <si>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</si>
  <si>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</si>
  <si>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</si>
  <si>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</si>
  <si>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</si>
  <si>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</si>
  <si>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</si>
  <si>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</si>
  <si>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</si>
  <si>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</si>
  <si>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</si>
  <si>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</si>
  <si>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</si>
  <si>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</si>
  <si>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</si>
  <si>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</si>
  <si>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</si>
  <si>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</si>
  <si>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</si>
  <si>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</si>
  <si>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</si>
  <si>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case_type_col_set1_4_1</t>
  </si>
  <si>
    <t>case_type_col_set1_4_2</t>
  </si>
  <si>
    <t>case_type_col_set2_4_1</t>
  </si>
  <si>
    <t>case_type_col_set2_4_2</t>
  </si>
  <si>
    <t>case_type_col_set3_4_1</t>
  </si>
  <si>
    <t>case_type_col_set3_4_2</t>
  </si>
  <si>
    <t>case_type_col_set4_4_1</t>
  </si>
  <si>
    <t>case_type_col_set4_4_2</t>
  </si>
  <si>
    <t>case_type_col_set5_4_1</t>
  </si>
  <si>
    <t>case_type_col_set5_4_2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</si>
  <si>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</si>
  <si>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</si>
  <si>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</si>
  <si>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</si>
  <si>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</si>
  <si>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</si>
  <si>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</si>
  <si>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</si>
  <si>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</si>
  <si>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</si>
  <si>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</si>
  <si>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</si>
  <si>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</si>
  <si>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</si>
  <si>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</si>
  <si>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</si>
  <si>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</si>
  <si>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</si>
  <si>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</si>
  <si>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</si>
  <si>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</si>
  <si>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</si>
  <si>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</si>
  <si>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</si>
  <si>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</si>
  <si>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</si>
  <si>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</si>
  <si>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</si>
  <si>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</si>
  <si>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</si>
  <si>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</si>
  <si>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</si>
  <si>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</si>
  <si>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</si>
  <si>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</si>
  <si>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</si>
  <si>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</si>
  <si>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</si>
  <si>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</si>
  <si>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</si>
  <si>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</si>
  <si>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</si>
  <si>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</si>
  <si>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</si>
  <si>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</si>
  <si>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</si>
  <si>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</si>
  <si>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</si>
  <si>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</si>
  <si>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</si>
  <si>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</si>
  <si>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</si>
  <si>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</si>
  <si>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</si>
  <si>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</si>
  <si>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</si>
  <si>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</si>
  <si>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</si>
  <si>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</si>
  <si>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</si>
  <si>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</si>
  <si>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</si>
  <si>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</si>
  <si>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</si>
  <si>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</si>
  <si>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</si>
  <si>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</si>
  <si>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</si>
  <si>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</si>
  <si>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</si>
  <si>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</si>
  <si>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</si>
  <si>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</si>
  <si>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</si>
  <si>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</si>
  <si>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</si>
  <si>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</si>
  <si>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</si>
  <si>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</si>
  <si>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</si>
  <si>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</si>
  <si>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</si>
  <si>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</si>
  <si>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</si>
  <si>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</si>
  <si>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</si>
  <si>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</si>
  <si>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</si>
  <si>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</si>
  <si>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</si>
  <si>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</si>
  <si>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</si>
  <si>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</si>
  <si>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</si>
  <si>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</si>
  <si>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</si>
  <si>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</si>
  <si>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</si>
  <si>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</si>
  <si>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</si>
  <si>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</si>
  <si>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</si>
  <si>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</si>
  <si>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</si>
  <si>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</si>
  <si>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</si>
  <si>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</si>
  <si>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</si>
  <si>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</si>
  <si>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</si>
  <si>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</si>
  <si>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</si>
  <si>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</si>
  <si>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</si>
  <si>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</si>
  <si>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</si>
  <si>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</si>
  <si>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</si>
  <si>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</si>
  <si>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</si>
  <si>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</si>
  <si>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</si>
  <si>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</si>
  <si>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</si>
  <si>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</si>
  <si>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</si>
  <si>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</si>
  <si>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</si>
  <si>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</si>
  <si>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</si>
  <si>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</si>
  <si>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</si>
  <si>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</si>
  <si>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</si>
  <si>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</si>
  <si>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</si>
  <si>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</si>
  <si>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</si>
  <si>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</si>
  <si>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</si>
  <si>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</si>
  <si>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</si>
  <si>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</si>
  <si>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case_type_dim_id</t>
  </si>
  <si>
    <t>dm.case_type_dim.dim.dim_type</t>
  </si>
  <si>
    <t>dm.case_type_dim.code</t>
  </si>
  <si>
    <t>dm.col.col_type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</si>
</sst>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428</v>
      </c>
      <c r="D1" s="1" t="s">
        <v>429</v>
      </c>
      <c r="E1" s="1" t="s">
        <v>430</v>
      </c>
    </row>
    <row r="2" spans="1:5" x14ac:dyDescent="0.3">
      <c r="A2" t="s">
        <v>43</v>
      </c>
      <c r="B2" t="s">
        <v>431</v>
      </c>
      <c r="C2" t="s">
        <v>431</v>
      </c>
    </row>
    <row r="3" spans="1:5" x14ac:dyDescent="0.3">
      <c r="A3" t="s">
        <v>46</v>
      </c>
      <c r="B3" t="s">
        <v>432</v>
      </c>
      <c r="C3" t="s">
        <v>432</v>
      </c>
    </row>
    <row r="4" spans="1:5" x14ac:dyDescent="0.3">
      <c r="A4" t="s">
        <v>49</v>
      </c>
      <c r="B4" t="s">
        <v>433</v>
      </c>
      <c r="C4" t="s">
        <v>433</v>
      </c>
    </row>
    <row r="5" spans="1:5" x14ac:dyDescent="0.3">
      <c r="A5" t="s">
        <v>52</v>
      </c>
      <c r="B5" t="s">
        <v>434</v>
      </c>
      <c r="C5" t="s">
        <v>434</v>
      </c>
    </row>
    <row r="6" spans="1:5" x14ac:dyDescent="0.3">
      <c r="A6" t="s">
        <v>55</v>
      </c>
      <c r="B6" t="s">
        <v>435</v>
      </c>
      <c r="C6" t="s">
        <v>435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417</v>
      </c>
      <c r="C2" s="6" t="str">
        <f>"dc"&amp;RIGHT($B2,LEN($B2)-15)</f>
        <v>dc1</v>
      </c>
    </row>
    <row r="3" spans="1:3" x14ac:dyDescent="0.3">
      <c r="A3" t="s">
        <v>17</v>
      </c>
      <c r="B3" t="s">
        <v>418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419</v>
      </c>
      <c r="C4" s="6" t="str">
        <f t="shared" si="0"/>
        <v>dc3</v>
      </c>
    </row>
    <row r="5" spans="1:3" x14ac:dyDescent="0.3">
      <c r="A5" t="s">
        <v>29</v>
      </c>
      <c r="B5" t="s">
        <v>420</v>
      </c>
      <c r="C5" s="6" t="str">
        <f t="shared" si="0"/>
        <v>dc4</v>
      </c>
    </row>
    <row r="6" spans="1:3" x14ac:dyDescent="0.3">
      <c r="A6" t="s">
        <v>35</v>
      </c>
      <c r="B6" t="s">
        <v>421</v>
      </c>
      <c r="C6" s="6" t="str">
        <f t="shared" si="0"/>
        <v>dc5</v>
      </c>
    </row>
    <row r="7" spans="1:3" x14ac:dyDescent="0.3">
      <c r="A7" t="s">
        <v>15</v>
      </c>
      <c r="B7" t="s">
        <v>422</v>
      </c>
      <c r="C7" s="6" t="str">
        <f t="shared" si="0"/>
        <v>dc6</v>
      </c>
    </row>
    <row r="8" spans="1:3" x14ac:dyDescent="0.3">
      <c r="A8" t="s">
        <v>21</v>
      </c>
      <c r="B8" t="s">
        <v>423</v>
      </c>
      <c r="C8" s="6" t="str">
        <f t="shared" si="0"/>
        <v>dc7</v>
      </c>
    </row>
    <row r="9" spans="1:3" x14ac:dyDescent="0.3">
      <c r="A9" t="s">
        <v>27</v>
      </c>
      <c r="B9" t="s">
        <v>424</v>
      </c>
      <c r="C9" s="6" t="str">
        <f t="shared" si="0"/>
        <v>dc8</v>
      </c>
    </row>
    <row r="10" spans="1:3" x14ac:dyDescent="0.3">
      <c r="A10" t="s">
        <v>33</v>
      </c>
      <c r="B10" t="s">
        <v>425</v>
      </c>
      <c r="C10" s="6" t="str">
        <f t="shared" si="0"/>
        <v>dc9</v>
      </c>
    </row>
    <row r="11" spans="1:3" x14ac:dyDescent="0.3">
      <c r="A11" t="s">
        <v>39</v>
      </c>
      <c r="B11" t="s">
        <v>426</v>
      </c>
      <c r="C11" s="6" t="str">
        <f t="shared" si="0"/>
        <v>dc10</v>
      </c>
    </row>
    <row r="12" spans="1:3" x14ac:dyDescent="0.3">
      <c r="A12" t="s">
        <v>40</v>
      </c>
      <c r="B12" t="s">
        <v>427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729</v>
      </c>
      <c r="C1" s="1" t="s">
        <v>386</v>
      </c>
      <c r="D1" s="1" t="s">
        <v>57</v>
      </c>
      <c r="E1" s="1" t="s">
        <v>3</v>
      </c>
      <c r="F1" s="1" t="s">
        <v>387</v>
      </c>
      <c r="G1" s="1" t="s">
        <v>41</v>
      </c>
      <c r="H1" s="5" t="s">
        <v>507</v>
      </c>
      <c r="I1" s="5" t="s">
        <v>616</v>
      </c>
      <c r="J1" s="5" t="s">
        <v>617</v>
      </c>
      <c r="K1" s="5" t="s">
        <v>663</v>
      </c>
      <c r="L1" s="5" t="s">
        <v>618</v>
      </c>
      <c r="M1" s="17" t="s">
        <v>615</v>
      </c>
    </row>
    <row r="2" spans="1:13" x14ac:dyDescent="0.3">
      <c r="A2" t="s">
        <v>668</v>
      </c>
      <c r="B2" t="s">
        <v>388</v>
      </c>
      <c r="C2" t="s">
        <v>388</v>
      </c>
      <c r="D2" t="str">
        <f>LEFT(C2,FIND("@",C2)-1)</f>
        <v>root1_1</v>
      </c>
      <c r="E2" t="b">
        <v>1</v>
      </c>
      <c r="F2" t="s">
        <v>730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389</v>
      </c>
      <c r="B3" t="s">
        <v>390</v>
      </c>
      <c r="C3" t="s">
        <v>390</v>
      </c>
      <c r="D3" t="str">
        <f t="shared" ref="D3:D29" si="0">LEFT(C3,FIND("@",C3)-1)</f>
        <v>app_admin1_1</v>
      </c>
      <c r="E3" t="b">
        <v>1</v>
      </c>
      <c r="F3" t="s">
        <v>731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391</v>
      </c>
      <c r="B4" s="20" t="s">
        <v>664</v>
      </c>
      <c r="C4" s="20" t="s">
        <v>664</v>
      </c>
      <c r="D4" t="str">
        <f t="shared" si="0"/>
        <v>refdata_admin1_1</v>
      </c>
      <c r="E4" t="b">
        <v>1</v>
      </c>
      <c r="F4" t="s">
        <v>732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392</v>
      </c>
      <c r="C5" t="s">
        <v>392</v>
      </c>
      <c r="D5" t="str">
        <f t="shared" si="0"/>
        <v>org_admin1_1</v>
      </c>
      <c r="E5" t="b">
        <v>1</v>
      </c>
      <c r="F5" t="s">
        <v>733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393</v>
      </c>
      <c r="C6" t="s">
        <v>393</v>
      </c>
      <c r="D6" t="str">
        <f t="shared" si="0"/>
        <v>org_admin2_1</v>
      </c>
      <c r="E6" t="b">
        <v>1</v>
      </c>
      <c r="F6" t="s">
        <v>733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394</v>
      </c>
      <c r="C7" t="s">
        <v>394</v>
      </c>
      <c r="D7" t="str">
        <f t="shared" si="0"/>
        <v>org_admin3_1</v>
      </c>
      <c r="E7" t="b">
        <v>1</v>
      </c>
      <c r="F7" t="s">
        <v>733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395</v>
      </c>
      <c r="C8" t="s">
        <v>395</v>
      </c>
      <c r="D8" t="str">
        <f t="shared" si="0"/>
        <v>org_admin4_1</v>
      </c>
      <c r="E8" t="b">
        <v>1</v>
      </c>
      <c r="F8" t="s">
        <v>733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396</v>
      </c>
      <c r="C9" t="s">
        <v>396</v>
      </c>
      <c r="D9" t="str">
        <f t="shared" si="0"/>
        <v>org_admin5_1</v>
      </c>
      <c r="E9" t="b">
        <v>1</v>
      </c>
      <c r="F9" t="s">
        <v>733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397</v>
      </c>
      <c r="C10" t="s">
        <v>397</v>
      </c>
      <c r="D10" t="str">
        <f t="shared" si="0"/>
        <v>org_user1_1</v>
      </c>
      <c r="E10" t="b">
        <v>1</v>
      </c>
      <c r="F10" t="s">
        <v>734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398</v>
      </c>
      <c r="C11" t="s">
        <v>398</v>
      </c>
      <c r="D11" t="str">
        <f t="shared" si="0"/>
        <v>org_user1_2</v>
      </c>
      <c r="E11" t="b">
        <v>1</v>
      </c>
      <c r="F11" t="s">
        <v>734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399</v>
      </c>
      <c r="C12" t="s">
        <v>399</v>
      </c>
      <c r="D12" t="str">
        <f t="shared" si="0"/>
        <v>org_user1_3</v>
      </c>
      <c r="E12" t="b">
        <v>1</v>
      </c>
      <c r="F12" t="s">
        <v>734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400</v>
      </c>
      <c r="C13" t="s">
        <v>400</v>
      </c>
      <c r="D13" t="str">
        <f t="shared" si="0"/>
        <v>org_user1_4</v>
      </c>
      <c r="E13" t="b">
        <v>1</v>
      </c>
      <c r="F13" t="s">
        <v>734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401</v>
      </c>
      <c r="C14" t="s">
        <v>401</v>
      </c>
      <c r="D14" t="str">
        <f t="shared" si="0"/>
        <v>org_user2_1</v>
      </c>
      <c r="E14" t="b">
        <v>1</v>
      </c>
      <c r="F14" t="s">
        <v>734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402</v>
      </c>
      <c r="C15" t="s">
        <v>402</v>
      </c>
      <c r="D15" t="str">
        <f t="shared" si="0"/>
        <v>org_user2_2</v>
      </c>
      <c r="E15" t="b">
        <v>1</v>
      </c>
      <c r="F15" t="s">
        <v>734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403</v>
      </c>
      <c r="C16" t="s">
        <v>403</v>
      </c>
      <c r="D16" t="str">
        <f t="shared" si="0"/>
        <v>org_user2_3</v>
      </c>
      <c r="E16" t="b">
        <v>1</v>
      </c>
      <c r="F16" t="s">
        <v>734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404</v>
      </c>
      <c r="C17" t="s">
        <v>404</v>
      </c>
      <c r="D17" t="str">
        <f t="shared" si="0"/>
        <v>org_user2_4</v>
      </c>
      <c r="E17" t="b">
        <v>1</v>
      </c>
      <c r="F17" t="s">
        <v>734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405</v>
      </c>
      <c r="C18" t="s">
        <v>405</v>
      </c>
      <c r="D18" t="str">
        <f t="shared" si="0"/>
        <v>org_user3_1</v>
      </c>
      <c r="E18" t="b">
        <v>1</v>
      </c>
      <c r="F18" t="s">
        <v>734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406</v>
      </c>
      <c r="C19" t="s">
        <v>406</v>
      </c>
      <c r="D19" t="str">
        <f t="shared" si="0"/>
        <v>org_user3_2</v>
      </c>
      <c r="E19" t="b">
        <v>1</v>
      </c>
      <c r="F19" t="s">
        <v>734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407</v>
      </c>
      <c r="C20" t="s">
        <v>407</v>
      </c>
      <c r="D20" t="str">
        <f t="shared" si="0"/>
        <v>org_user3_3</v>
      </c>
      <c r="E20" t="b">
        <v>1</v>
      </c>
      <c r="F20" t="s">
        <v>734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408</v>
      </c>
      <c r="C21" t="s">
        <v>408</v>
      </c>
      <c r="D21" t="str">
        <f t="shared" si="0"/>
        <v>org_user3_4</v>
      </c>
      <c r="E21" t="b">
        <v>1</v>
      </c>
      <c r="F21" t="s">
        <v>734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409</v>
      </c>
      <c r="C22" t="s">
        <v>409</v>
      </c>
      <c r="D22" t="str">
        <f t="shared" si="0"/>
        <v>org_user4_1</v>
      </c>
      <c r="E22" t="b">
        <v>1</v>
      </c>
      <c r="F22" t="s">
        <v>734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410</v>
      </c>
      <c r="C23" t="s">
        <v>410</v>
      </c>
      <c r="D23" t="str">
        <f t="shared" si="0"/>
        <v>org_user4_2</v>
      </c>
      <c r="E23" t="b">
        <v>1</v>
      </c>
      <c r="F23" t="s">
        <v>734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411</v>
      </c>
      <c r="C24" t="s">
        <v>411</v>
      </c>
      <c r="D24" t="str">
        <f t="shared" si="0"/>
        <v>org_user4_3</v>
      </c>
      <c r="E24" t="b">
        <v>1</v>
      </c>
      <c r="F24" t="s">
        <v>734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412</v>
      </c>
      <c r="C25" t="s">
        <v>412</v>
      </c>
      <c r="D25" t="str">
        <f t="shared" si="0"/>
        <v>org_user4_4</v>
      </c>
      <c r="E25" t="b">
        <v>1</v>
      </c>
      <c r="F25" t="s">
        <v>734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413</v>
      </c>
      <c r="C26" t="s">
        <v>413</v>
      </c>
      <c r="D26" t="str">
        <f t="shared" si="0"/>
        <v>org_user5_1</v>
      </c>
      <c r="E26" t="b">
        <v>1</v>
      </c>
      <c r="F26" t="s">
        <v>734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414</v>
      </c>
      <c r="C27" t="s">
        <v>414</v>
      </c>
      <c r="D27" t="str">
        <f t="shared" si="0"/>
        <v>org_user5_2</v>
      </c>
      <c r="E27" t="b">
        <v>1</v>
      </c>
      <c r="F27" t="s">
        <v>734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415</v>
      </c>
      <c r="C28" t="s">
        <v>415</v>
      </c>
      <c r="D28" t="str">
        <f t="shared" si="0"/>
        <v>org_user5_3</v>
      </c>
      <c r="E28" t="b">
        <v>1</v>
      </c>
      <c r="F28" t="s">
        <v>734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416</v>
      </c>
      <c r="C29" t="s">
        <v>416</v>
      </c>
      <c r="D29" t="str">
        <f t="shared" si="0"/>
        <v>org_user5_4</v>
      </c>
      <c r="E29" t="b">
        <v>1</v>
      </c>
      <c r="F29" t="s">
        <v>734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729</v>
      </c>
      <c r="C1" s="1" t="s">
        <v>386</v>
      </c>
      <c r="D1" s="10" t="s">
        <v>508</v>
      </c>
      <c r="E1" s="1" t="s">
        <v>437</v>
      </c>
      <c r="F1" s="1" t="s">
        <v>438</v>
      </c>
      <c r="G1" s="1" t="s">
        <v>387</v>
      </c>
      <c r="H1" s="1" t="s">
        <v>439</v>
      </c>
      <c r="I1" s="10" t="s">
        <v>527</v>
      </c>
      <c r="J1" s="1" t="s">
        <v>41</v>
      </c>
      <c r="K1" s="10" t="s">
        <v>496</v>
      </c>
    </row>
    <row r="2" spans="1:11" x14ac:dyDescent="0.3">
      <c r="A2" t="s">
        <v>440</v>
      </c>
      <c r="B2" t="s">
        <v>390</v>
      </c>
      <c r="C2" t="s">
        <v>390</v>
      </c>
      <c r="D2" s="6" t="str">
        <f>LEFT($C2,LEN($C2)-9)</f>
        <v>app_admin1_1</v>
      </c>
      <c r="E2" t="s">
        <v>441</v>
      </c>
      <c r="F2" s="2">
        <v>45743.390918726589</v>
      </c>
      <c r="G2" t="s">
        <v>497</v>
      </c>
      <c r="H2" t="s">
        <v>668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442</v>
      </c>
      <c r="B3" s="20" t="s">
        <v>664</v>
      </c>
      <c r="C3" s="20" t="s">
        <v>664</v>
      </c>
      <c r="D3" s="6" t="str">
        <f t="shared" ref="D3:D28" si="0">LEFT($C3,LEN($C3)-9)</f>
        <v>refdata_admin1_1</v>
      </c>
      <c r="E3" t="s">
        <v>443</v>
      </c>
      <c r="F3" s="2">
        <v>45743.390918741461</v>
      </c>
      <c r="G3" t="s">
        <v>665</v>
      </c>
      <c r="H3" t="s">
        <v>389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444</v>
      </c>
      <c r="B4" t="s">
        <v>392</v>
      </c>
      <c r="C4" t="s">
        <v>392</v>
      </c>
      <c r="D4" s="6" t="str">
        <f t="shared" si="0"/>
        <v>org_admin1_1</v>
      </c>
      <c r="E4" t="s">
        <v>445</v>
      </c>
      <c r="F4" s="2">
        <v>45743.390918746562</v>
      </c>
      <c r="G4" t="s">
        <v>498</v>
      </c>
      <c r="H4" t="s">
        <v>389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446</v>
      </c>
      <c r="B5" t="s">
        <v>393</v>
      </c>
      <c r="C5" t="s">
        <v>393</v>
      </c>
      <c r="D5" s="6" t="str">
        <f t="shared" si="0"/>
        <v>org_admin2_1</v>
      </c>
      <c r="E5" t="s">
        <v>447</v>
      </c>
      <c r="F5" s="2">
        <v>45743.390918763551</v>
      </c>
      <c r="G5" t="s">
        <v>498</v>
      </c>
      <c r="H5" t="s">
        <v>389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448</v>
      </c>
      <c r="B6" t="s">
        <v>394</v>
      </c>
      <c r="C6" t="s">
        <v>394</v>
      </c>
      <c r="D6" s="6" t="str">
        <f t="shared" si="0"/>
        <v>org_admin3_1</v>
      </c>
      <c r="E6" t="s">
        <v>449</v>
      </c>
      <c r="F6" s="2">
        <v>45743.390918772537</v>
      </c>
      <c r="G6" t="s">
        <v>498</v>
      </c>
      <c r="H6" t="s">
        <v>389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450</v>
      </c>
      <c r="B7" t="s">
        <v>395</v>
      </c>
      <c r="C7" t="s">
        <v>395</v>
      </c>
      <c r="D7" s="6" t="str">
        <f t="shared" si="0"/>
        <v>org_admin4_1</v>
      </c>
      <c r="E7" t="s">
        <v>451</v>
      </c>
      <c r="F7" s="2">
        <v>45743.390918781181</v>
      </c>
      <c r="G7" t="s">
        <v>498</v>
      </c>
      <c r="H7" t="s">
        <v>389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452</v>
      </c>
      <c r="B8" t="s">
        <v>396</v>
      </c>
      <c r="C8" t="s">
        <v>396</v>
      </c>
      <c r="D8" s="6" t="str">
        <f t="shared" si="0"/>
        <v>org_admin5_1</v>
      </c>
      <c r="E8" t="s">
        <v>453</v>
      </c>
      <c r="F8" s="2">
        <v>45743.3909187889</v>
      </c>
      <c r="G8" t="s">
        <v>498</v>
      </c>
      <c r="H8" t="s">
        <v>389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454</v>
      </c>
      <c r="B9" t="s">
        <v>397</v>
      </c>
      <c r="C9" t="s">
        <v>397</v>
      </c>
      <c r="D9" s="6" t="str">
        <f t="shared" si="0"/>
        <v>org_user1_1</v>
      </c>
      <c r="E9" t="s">
        <v>455</v>
      </c>
      <c r="F9" s="2">
        <v>45743.390918796598</v>
      </c>
      <c r="G9" t="s">
        <v>499</v>
      </c>
      <c r="H9" t="s">
        <v>389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456</v>
      </c>
      <c r="B10" t="s">
        <v>398</v>
      </c>
      <c r="C10" t="s">
        <v>398</v>
      </c>
      <c r="D10" s="6" t="str">
        <f t="shared" si="0"/>
        <v>org_user1_2</v>
      </c>
      <c r="E10" t="s">
        <v>457</v>
      </c>
      <c r="F10" s="2">
        <v>45743.390918801953</v>
      </c>
      <c r="G10" t="s">
        <v>499</v>
      </c>
      <c r="H10" t="s">
        <v>389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458</v>
      </c>
      <c r="B11" t="s">
        <v>399</v>
      </c>
      <c r="C11" t="s">
        <v>399</v>
      </c>
      <c r="D11" s="6" t="str">
        <f t="shared" si="0"/>
        <v>org_user1_3</v>
      </c>
      <c r="E11" t="s">
        <v>459</v>
      </c>
      <c r="F11" s="2">
        <v>45743.390918807163</v>
      </c>
      <c r="G11" t="s">
        <v>499</v>
      </c>
      <c r="H11" t="s">
        <v>389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460</v>
      </c>
      <c r="B12" t="s">
        <v>400</v>
      </c>
      <c r="C12" t="s">
        <v>400</v>
      </c>
      <c r="D12" s="6" t="str">
        <f t="shared" si="0"/>
        <v>org_user1_4</v>
      </c>
      <c r="E12" t="s">
        <v>461</v>
      </c>
      <c r="F12" s="2">
        <v>45743.3909188123</v>
      </c>
      <c r="G12" t="s">
        <v>499</v>
      </c>
      <c r="H12" t="s">
        <v>389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462</v>
      </c>
      <c r="B13" t="s">
        <v>401</v>
      </c>
      <c r="C13" t="s">
        <v>401</v>
      </c>
      <c r="D13" s="6" t="str">
        <f t="shared" si="0"/>
        <v>org_user2_1</v>
      </c>
      <c r="E13" t="s">
        <v>463</v>
      </c>
      <c r="F13" s="2">
        <v>45743.390918817633</v>
      </c>
      <c r="G13" t="s">
        <v>499</v>
      </c>
      <c r="H13" t="s">
        <v>389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464</v>
      </c>
      <c r="B14" t="s">
        <v>402</v>
      </c>
      <c r="C14" t="s">
        <v>402</v>
      </c>
      <c r="D14" s="6" t="str">
        <f t="shared" si="0"/>
        <v>org_user2_2</v>
      </c>
      <c r="E14" t="s">
        <v>465</v>
      </c>
      <c r="F14" s="2">
        <v>45743.390918822908</v>
      </c>
      <c r="G14" t="s">
        <v>499</v>
      </c>
      <c r="H14" t="s">
        <v>389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466</v>
      </c>
      <c r="B15" t="s">
        <v>403</v>
      </c>
      <c r="C15" t="s">
        <v>403</v>
      </c>
      <c r="D15" s="6" t="str">
        <f t="shared" si="0"/>
        <v>org_user2_3</v>
      </c>
      <c r="E15" t="s">
        <v>467</v>
      </c>
      <c r="F15" s="2">
        <v>45743.390918828743</v>
      </c>
      <c r="G15" t="s">
        <v>499</v>
      </c>
      <c r="H15" t="s">
        <v>389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468</v>
      </c>
      <c r="B16" t="s">
        <v>404</v>
      </c>
      <c r="C16" t="s">
        <v>404</v>
      </c>
      <c r="D16" s="6" t="str">
        <f t="shared" si="0"/>
        <v>org_user2_4</v>
      </c>
      <c r="E16" t="s">
        <v>469</v>
      </c>
      <c r="F16" s="2">
        <v>45743.390918834302</v>
      </c>
      <c r="G16" t="s">
        <v>499</v>
      </c>
      <c r="H16" t="s">
        <v>389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470</v>
      </c>
      <c r="B17" t="s">
        <v>405</v>
      </c>
      <c r="C17" t="s">
        <v>405</v>
      </c>
      <c r="D17" s="6" t="str">
        <f t="shared" si="0"/>
        <v>org_user3_1</v>
      </c>
      <c r="E17" t="s">
        <v>471</v>
      </c>
      <c r="F17" s="2">
        <v>45743.390918839839</v>
      </c>
      <c r="G17" t="s">
        <v>499</v>
      </c>
      <c r="H17" t="s">
        <v>389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472</v>
      </c>
      <c r="B18" t="s">
        <v>406</v>
      </c>
      <c r="C18" t="s">
        <v>406</v>
      </c>
      <c r="D18" s="6" t="str">
        <f t="shared" si="0"/>
        <v>org_user3_2</v>
      </c>
      <c r="E18" t="s">
        <v>473</v>
      </c>
      <c r="F18" s="2">
        <v>45743.390918845187</v>
      </c>
      <c r="G18" t="s">
        <v>499</v>
      </c>
      <c r="H18" t="s">
        <v>389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474</v>
      </c>
      <c r="B19" t="s">
        <v>407</v>
      </c>
      <c r="C19" t="s">
        <v>407</v>
      </c>
      <c r="D19" s="6" t="str">
        <f t="shared" si="0"/>
        <v>org_user3_3</v>
      </c>
      <c r="E19" t="s">
        <v>475</v>
      </c>
      <c r="F19" s="2">
        <v>45743.390918851088</v>
      </c>
      <c r="G19" t="s">
        <v>499</v>
      </c>
      <c r="H19" t="s">
        <v>389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476</v>
      </c>
      <c r="B20" t="s">
        <v>408</v>
      </c>
      <c r="C20" t="s">
        <v>408</v>
      </c>
      <c r="D20" s="6" t="str">
        <f t="shared" si="0"/>
        <v>org_user3_4</v>
      </c>
      <c r="E20" t="s">
        <v>477</v>
      </c>
      <c r="F20" s="2">
        <v>45743.39091885696</v>
      </c>
      <c r="G20" t="s">
        <v>499</v>
      </c>
      <c r="H20" t="s">
        <v>389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478</v>
      </c>
      <c r="B21" t="s">
        <v>409</v>
      </c>
      <c r="C21" t="s">
        <v>409</v>
      </c>
      <c r="D21" s="6" t="str">
        <f t="shared" si="0"/>
        <v>org_user4_1</v>
      </c>
      <c r="E21" t="s">
        <v>479</v>
      </c>
      <c r="F21" s="2">
        <v>45743.390918862962</v>
      </c>
      <c r="G21" t="s">
        <v>499</v>
      </c>
      <c r="H21" t="s">
        <v>389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480</v>
      </c>
      <c r="B22" t="s">
        <v>410</v>
      </c>
      <c r="C22" t="s">
        <v>410</v>
      </c>
      <c r="D22" s="6" t="str">
        <f t="shared" si="0"/>
        <v>org_user4_2</v>
      </c>
      <c r="E22" t="s">
        <v>481</v>
      </c>
      <c r="F22" s="2">
        <v>45743.390918868739</v>
      </c>
      <c r="G22" t="s">
        <v>499</v>
      </c>
      <c r="H22" t="s">
        <v>389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482</v>
      </c>
      <c r="B23" t="s">
        <v>411</v>
      </c>
      <c r="C23" t="s">
        <v>411</v>
      </c>
      <c r="D23" s="6" t="str">
        <f t="shared" si="0"/>
        <v>org_user4_3</v>
      </c>
      <c r="E23" t="s">
        <v>483</v>
      </c>
      <c r="F23" s="2">
        <v>45743.390918874728</v>
      </c>
      <c r="G23" t="s">
        <v>499</v>
      </c>
      <c r="H23" t="s">
        <v>389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484</v>
      </c>
      <c r="B24" t="s">
        <v>412</v>
      </c>
      <c r="C24" t="s">
        <v>412</v>
      </c>
      <c r="D24" s="6" t="str">
        <f t="shared" si="0"/>
        <v>org_user4_4</v>
      </c>
      <c r="E24" t="s">
        <v>485</v>
      </c>
      <c r="F24" s="2">
        <v>45743.390918881109</v>
      </c>
      <c r="G24" t="s">
        <v>499</v>
      </c>
      <c r="H24" t="s">
        <v>389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486</v>
      </c>
      <c r="B25" t="s">
        <v>413</v>
      </c>
      <c r="C25" t="s">
        <v>413</v>
      </c>
      <c r="D25" s="6" t="str">
        <f t="shared" si="0"/>
        <v>org_user5_1</v>
      </c>
      <c r="E25" t="s">
        <v>487</v>
      </c>
      <c r="F25" s="2">
        <v>45743.390918887373</v>
      </c>
      <c r="G25" t="s">
        <v>499</v>
      </c>
      <c r="H25" t="s">
        <v>389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488</v>
      </c>
      <c r="B26" t="s">
        <v>414</v>
      </c>
      <c r="C26" t="s">
        <v>414</v>
      </c>
      <c r="D26" s="6" t="str">
        <f t="shared" si="0"/>
        <v>org_user5_2</v>
      </c>
      <c r="E26" t="s">
        <v>489</v>
      </c>
      <c r="F26" s="2">
        <v>45743.39091889358</v>
      </c>
      <c r="G26" t="s">
        <v>499</v>
      </c>
      <c r="H26" t="s">
        <v>389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490</v>
      </c>
      <c r="B27" t="s">
        <v>415</v>
      </c>
      <c r="C27" t="s">
        <v>415</v>
      </c>
      <c r="D27" s="6" t="str">
        <f t="shared" si="0"/>
        <v>org_user5_3</v>
      </c>
      <c r="E27" t="s">
        <v>491</v>
      </c>
      <c r="F27" s="2">
        <v>45743.390918900091</v>
      </c>
      <c r="G27" t="s">
        <v>499</v>
      </c>
      <c r="H27" t="s">
        <v>389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492</v>
      </c>
      <c r="B28" t="s">
        <v>416</v>
      </c>
      <c r="C28" t="s">
        <v>416</v>
      </c>
      <c r="D28" s="6" t="str">
        <f t="shared" si="0"/>
        <v>org_user5_4</v>
      </c>
      <c r="E28" t="s">
        <v>493</v>
      </c>
      <c r="F28" s="2">
        <v>45743.390918906553</v>
      </c>
      <c r="G28" t="s">
        <v>499</v>
      </c>
      <c r="H28" t="s">
        <v>389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tabSelected="1"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style="6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381</v>
      </c>
      <c r="C1" s="1" t="s">
        <v>320</v>
      </c>
      <c r="D1" s="1" t="s">
        <v>321</v>
      </c>
      <c r="E1" s="1" t="s">
        <v>85</v>
      </c>
      <c r="F1" s="10" t="s">
        <v>382</v>
      </c>
      <c r="G1" s="10" t="s">
        <v>82</v>
      </c>
      <c r="H1" s="1" t="s">
        <v>331</v>
      </c>
    </row>
    <row r="2" spans="1:8" x14ac:dyDescent="0.3">
      <c r="A2" t="s">
        <v>378</v>
      </c>
      <c r="B2" t="s">
        <v>494</v>
      </c>
      <c r="C2" s="11" t="s">
        <v>515</v>
      </c>
      <c r="D2" t="s">
        <v>383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333</v>
      </c>
    </row>
    <row r="3" spans="1:8" x14ac:dyDescent="0.3">
      <c r="A3" t="s">
        <v>379</v>
      </c>
      <c r="B3" t="s">
        <v>494</v>
      </c>
      <c r="C3" s="11" t="s">
        <v>516</v>
      </c>
      <c r="D3" t="s">
        <v>384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333</v>
      </c>
    </row>
    <row r="4" spans="1:8" x14ac:dyDescent="0.3">
      <c r="A4" t="s">
        <v>380</v>
      </c>
      <c r="B4" t="s">
        <v>494</v>
      </c>
      <c r="C4" s="11" t="s">
        <v>517</v>
      </c>
      <c r="D4" t="s">
        <v>385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333</v>
      </c>
    </row>
    <row r="5" spans="1:8" x14ac:dyDescent="0.3">
      <c r="A5" t="s">
        <v>737</v>
      </c>
      <c r="B5" t="s">
        <v>494</v>
      </c>
      <c r="C5" s="11" t="s">
        <v>738</v>
      </c>
      <c r="D5" t="s">
        <v>739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G2" sqref="G2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367</v>
      </c>
      <c r="C1" s="1" t="s">
        <v>368</v>
      </c>
      <c r="D1" s="1" t="s">
        <v>369</v>
      </c>
      <c r="E1" s="1" t="s">
        <v>320</v>
      </c>
      <c r="F1" s="1" t="s">
        <v>370</v>
      </c>
      <c r="G1" s="1" t="s">
        <v>321</v>
      </c>
      <c r="H1" s="1" t="s">
        <v>371</v>
      </c>
      <c r="I1" s="1" t="s">
        <v>372</v>
      </c>
      <c r="J1" s="1" t="s">
        <v>373</v>
      </c>
      <c r="K1" s="1" t="s">
        <v>374</v>
      </c>
      <c r="L1" s="1" t="s">
        <v>375</v>
      </c>
      <c r="M1" s="1" t="s">
        <v>376</v>
      </c>
      <c r="N1" s="1" t="s">
        <v>377</v>
      </c>
      <c r="O1" s="12" t="s">
        <v>82</v>
      </c>
      <c r="P1" s="1" t="s">
        <v>331</v>
      </c>
    </row>
    <row r="2" spans="1:16" x14ac:dyDescent="0.3">
      <c r="A2" t="s">
        <v>332</v>
      </c>
      <c r="B2" t="s">
        <v>378</v>
      </c>
      <c r="E2" t="s">
        <v>518</v>
      </c>
      <c r="F2">
        <v>1</v>
      </c>
      <c r="G2" t="s">
        <v>786</v>
      </c>
      <c r="H2" t="s">
        <v>494</v>
      </c>
      <c r="O2" s="13" t="str">
        <f>"col"&amp;$E2&amp;"("&amp;$H2&amp;")"</f>
        <v>col1_1(TEXT)</v>
      </c>
      <c r="P2" t="s">
        <v>333</v>
      </c>
    </row>
    <row r="3" spans="1:16" x14ac:dyDescent="0.3">
      <c r="A3" t="s">
        <v>334</v>
      </c>
      <c r="B3" t="s">
        <v>378</v>
      </c>
      <c r="E3" t="s">
        <v>519</v>
      </c>
      <c r="F3">
        <v>2</v>
      </c>
      <c r="G3" t="s">
        <v>787</v>
      </c>
      <c r="H3" t="s">
        <v>494</v>
      </c>
      <c r="O3" s="13" t="str">
        <f t="shared" ref="O3:O12" si="0">"col"&amp;$E3&amp;"("&amp;$H3&amp;")"</f>
        <v>col1_2(TEXT)</v>
      </c>
      <c r="P3" t="s">
        <v>333</v>
      </c>
    </row>
    <row r="4" spans="1:16" x14ac:dyDescent="0.3">
      <c r="A4" t="s">
        <v>335</v>
      </c>
      <c r="B4" t="s">
        <v>378</v>
      </c>
      <c r="E4" t="s">
        <v>520</v>
      </c>
      <c r="F4">
        <v>3</v>
      </c>
      <c r="G4" t="s">
        <v>788</v>
      </c>
      <c r="H4" t="s">
        <v>494</v>
      </c>
      <c r="O4" s="13" t="str">
        <f t="shared" si="0"/>
        <v>col1_3(TEXT)</v>
      </c>
      <c r="P4" t="s">
        <v>333</v>
      </c>
    </row>
    <row r="5" spans="1:16" x14ac:dyDescent="0.3">
      <c r="A5" t="s">
        <v>336</v>
      </c>
      <c r="B5" t="s">
        <v>379</v>
      </c>
      <c r="E5" t="s">
        <v>521</v>
      </c>
      <c r="F5">
        <v>1</v>
      </c>
      <c r="G5" t="s">
        <v>789</v>
      </c>
      <c r="H5" t="s">
        <v>494</v>
      </c>
      <c r="O5" s="13" t="str">
        <f t="shared" si="0"/>
        <v>col2_1(TEXT)</v>
      </c>
      <c r="P5" t="s">
        <v>333</v>
      </c>
    </row>
    <row r="6" spans="1:16" x14ac:dyDescent="0.3">
      <c r="A6" t="s">
        <v>337</v>
      </c>
      <c r="B6" t="s">
        <v>379</v>
      </c>
      <c r="E6" t="s">
        <v>522</v>
      </c>
      <c r="F6">
        <v>2</v>
      </c>
      <c r="G6" t="s">
        <v>790</v>
      </c>
      <c r="H6" t="s">
        <v>494</v>
      </c>
      <c r="O6" s="13" t="str">
        <f t="shared" si="0"/>
        <v>col2_2(TEXT)</v>
      </c>
      <c r="P6" t="s">
        <v>333</v>
      </c>
    </row>
    <row r="7" spans="1:16" x14ac:dyDescent="0.3">
      <c r="A7" t="s">
        <v>338</v>
      </c>
      <c r="B7" t="s">
        <v>379</v>
      </c>
      <c r="E7" t="s">
        <v>523</v>
      </c>
      <c r="F7">
        <v>3</v>
      </c>
      <c r="G7" t="s">
        <v>791</v>
      </c>
      <c r="H7" t="s">
        <v>494</v>
      </c>
      <c r="O7" s="13" t="str">
        <f t="shared" si="0"/>
        <v>col2_3(TEXT)</v>
      </c>
      <c r="P7" t="s">
        <v>333</v>
      </c>
    </row>
    <row r="8" spans="1:16" x14ac:dyDescent="0.3">
      <c r="A8" t="s">
        <v>339</v>
      </c>
      <c r="B8" t="s">
        <v>380</v>
      </c>
      <c r="E8" t="s">
        <v>524</v>
      </c>
      <c r="F8">
        <v>1</v>
      </c>
      <c r="G8" t="s">
        <v>792</v>
      </c>
      <c r="H8" t="s">
        <v>494</v>
      </c>
      <c r="O8" s="13" t="str">
        <f t="shared" si="0"/>
        <v>col3_1(TEXT)</v>
      </c>
      <c r="P8" t="s">
        <v>333</v>
      </c>
    </row>
    <row r="9" spans="1:16" x14ac:dyDescent="0.3">
      <c r="A9" t="s">
        <v>340</v>
      </c>
      <c r="B9" t="s">
        <v>380</v>
      </c>
      <c r="E9" t="s">
        <v>525</v>
      </c>
      <c r="F9">
        <v>2</v>
      </c>
      <c r="G9" t="s">
        <v>793</v>
      </c>
      <c r="H9" t="s">
        <v>494</v>
      </c>
      <c r="O9" s="13" t="str">
        <f t="shared" si="0"/>
        <v>col3_2(TEXT)</v>
      </c>
      <c r="P9" t="s">
        <v>333</v>
      </c>
    </row>
    <row r="10" spans="1:16" x14ac:dyDescent="0.3">
      <c r="A10" t="s">
        <v>341</v>
      </c>
      <c r="B10" t="s">
        <v>380</v>
      </c>
      <c r="E10" t="s">
        <v>526</v>
      </c>
      <c r="F10">
        <v>3</v>
      </c>
      <c r="G10" t="s">
        <v>794</v>
      </c>
      <c r="H10" t="s">
        <v>494</v>
      </c>
      <c r="O10" s="13" t="str">
        <f t="shared" si="0"/>
        <v>col3_3(TEXT)</v>
      </c>
      <c r="P10" t="s">
        <v>333</v>
      </c>
    </row>
    <row r="11" spans="1:16" x14ac:dyDescent="0.3">
      <c r="A11" t="s">
        <v>736</v>
      </c>
      <c r="B11" t="s">
        <v>737</v>
      </c>
      <c r="E11" t="s">
        <v>742</v>
      </c>
      <c r="F11">
        <v>1</v>
      </c>
      <c r="G11" t="s">
        <v>795</v>
      </c>
      <c r="H11" t="s">
        <v>740</v>
      </c>
      <c r="O11" s="13" t="str">
        <f>"col"&amp;$E11&amp;"("&amp;$H11&amp;")"</f>
        <v>col4_1(GENETIC_READS)</v>
      </c>
      <c r="P11" t="s">
        <v>333</v>
      </c>
    </row>
    <row r="12" spans="1:16" x14ac:dyDescent="0.3">
      <c r="A12" t="s">
        <v>735</v>
      </c>
      <c r="B12" t="s">
        <v>737</v>
      </c>
      <c r="E12" t="s">
        <v>743</v>
      </c>
      <c r="F12">
        <v>2</v>
      </c>
      <c r="G12" t="s">
        <v>796</v>
      </c>
      <c r="H12" t="s">
        <v>741</v>
      </c>
      <c r="O12" s="13" t="str">
        <f t="shared" si="0"/>
        <v>col4_2(GENETIC_SEQUENCE)</v>
      </c>
      <c r="P12" t="s">
        <v>333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637</v>
      </c>
    </row>
    <row r="2" spans="1:3" x14ac:dyDescent="0.3">
      <c r="A2" t="s">
        <v>121</v>
      </c>
      <c r="B2" t="s">
        <v>638</v>
      </c>
    </row>
    <row r="3" spans="1:3" x14ac:dyDescent="0.3">
      <c r="A3" t="s">
        <v>125</v>
      </c>
      <c r="B3" t="s">
        <v>639</v>
      </c>
    </row>
    <row r="4" spans="1:3" x14ac:dyDescent="0.3">
      <c r="A4" t="s">
        <v>129</v>
      </c>
      <c r="B4" t="s">
        <v>640</v>
      </c>
    </row>
    <row r="5" spans="1:3" x14ac:dyDescent="0.3">
      <c r="A5" t="s">
        <v>133</v>
      </c>
      <c r="B5" t="s">
        <v>641</v>
      </c>
    </row>
    <row r="6" spans="1:3" x14ac:dyDescent="0.3">
      <c r="A6" t="s">
        <v>137</v>
      </c>
      <c r="B6" t="s">
        <v>642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643</v>
      </c>
    </row>
    <row r="2" spans="1:3" x14ac:dyDescent="0.3">
      <c r="A2" t="s">
        <v>122</v>
      </c>
      <c r="B2" t="s">
        <v>644</v>
      </c>
      <c r="C2" t="s">
        <v>651</v>
      </c>
    </row>
    <row r="3" spans="1:3" x14ac:dyDescent="0.3">
      <c r="A3" t="s">
        <v>126</v>
      </c>
      <c r="B3" t="s">
        <v>645</v>
      </c>
      <c r="C3" t="s">
        <v>651</v>
      </c>
    </row>
    <row r="4" spans="1:3" x14ac:dyDescent="0.3">
      <c r="A4" t="s">
        <v>130</v>
      </c>
      <c r="B4" t="s">
        <v>646</v>
      </c>
      <c r="C4" t="s">
        <v>651</v>
      </c>
    </row>
    <row r="5" spans="1:3" x14ac:dyDescent="0.3">
      <c r="A5" t="s">
        <v>134</v>
      </c>
      <c r="B5" t="s">
        <v>647</v>
      </c>
      <c r="C5" t="s">
        <v>651</v>
      </c>
    </row>
    <row r="6" spans="1:3" x14ac:dyDescent="0.3">
      <c r="A6" t="s">
        <v>138</v>
      </c>
      <c r="B6" t="s">
        <v>648</v>
      </c>
      <c r="C6" t="s">
        <v>651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649</v>
      </c>
      <c r="F1" s="1" t="s">
        <v>116</v>
      </c>
      <c r="G1" s="1" t="s">
        <v>117</v>
      </c>
      <c r="H1" s="12" t="s">
        <v>650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531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501</v>
      </c>
      <c r="D1" s="1" t="s">
        <v>59</v>
      </c>
      <c r="E1" s="1" t="s">
        <v>316</v>
      </c>
      <c r="F1" s="10" t="s">
        <v>528</v>
      </c>
      <c r="G1" s="1" t="s">
        <v>317</v>
      </c>
      <c r="H1" s="16" t="s">
        <v>612</v>
      </c>
    </row>
    <row r="2" spans="1:8" x14ac:dyDescent="0.3">
      <c r="A2" t="s">
        <v>342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343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344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345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346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347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348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349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350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351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352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353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354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355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356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357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358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359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360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361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362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363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364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365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366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workbookViewId="0">
      <pane ySplit="1" topLeftCell="A2" activePane="bottomLeft" state="frozen"/>
      <selection pane="bottomLeft" sqref="A1:XFD1048576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0.109375" bestFit="1" customWidth="1"/>
    <col min="4" max="4" width="36.21875" bestFit="1" customWidth="1"/>
    <col min="5" max="5" width="15.6640625" bestFit="1" customWidth="1"/>
    <col min="6" max="6" width="15.33203125" style="6" bestFit="1" customWidth="1"/>
    <col min="7" max="7" width="6" bestFit="1" customWidth="1"/>
    <col min="8" max="8" width="7" bestFit="1" customWidth="1"/>
    <col min="9" max="9" width="36.77734375" style="6" bestFit="1" customWidth="1"/>
    <col min="10" max="10" width="49.6640625" bestFit="1" customWidth="1"/>
  </cols>
  <sheetData>
    <row r="1" spans="1:10" x14ac:dyDescent="0.3">
      <c r="A1" t="s">
        <v>0</v>
      </c>
      <c r="B1" t="s">
        <v>316</v>
      </c>
      <c r="C1" t="s">
        <v>319</v>
      </c>
      <c r="D1" t="s">
        <v>367</v>
      </c>
      <c r="E1" t="s">
        <v>784</v>
      </c>
      <c r="F1" s="6" t="s">
        <v>785</v>
      </c>
      <c r="G1" t="s">
        <v>320</v>
      </c>
      <c r="H1" t="s">
        <v>85</v>
      </c>
      <c r="I1" s="6" t="s">
        <v>321</v>
      </c>
      <c r="J1" t="s">
        <v>82</v>
      </c>
    </row>
    <row r="2" spans="1:10" x14ac:dyDescent="0.3">
      <c r="A2" t="s">
        <v>906</v>
      </c>
      <c r="B2" t="s">
        <v>119</v>
      </c>
      <c r="C2">
        <v>0</v>
      </c>
      <c r="D2" t="s">
        <v>378</v>
      </c>
      <c r="E2" t="b">
        <v>0</v>
      </c>
      <c r="F2" s="6" t="str">
        <f>INDEX(Dim!$B:$B,MATCH($D2,Dim!$A:$A,0))</f>
        <v>TEXT</v>
      </c>
      <c r="G2" t="s">
        <v>797</v>
      </c>
      <c r="H2">
        <v>1</v>
      </c>
      <c r="I2" s="6" t="str">
        <f>"case_type_dim"&amp;$G2</f>
        <v>case_type_dim1_1_1</v>
      </c>
    </row>
    <row r="3" spans="1:10" x14ac:dyDescent="0.3">
      <c r="A3" t="s">
        <v>905</v>
      </c>
      <c r="B3" t="s">
        <v>119</v>
      </c>
      <c r="C3">
        <v>0</v>
      </c>
      <c r="D3" t="s">
        <v>378</v>
      </c>
      <c r="E3" t="b">
        <v>0</v>
      </c>
      <c r="F3" s="6" t="str">
        <f>INDEX(Dim!$B:$B,MATCH($D3,Dim!$A:$A,0))</f>
        <v>TEXT</v>
      </c>
      <c r="G3" t="s">
        <v>798</v>
      </c>
      <c r="H3">
        <v>2</v>
      </c>
      <c r="I3" s="6" t="str">
        <f t="shared" ref="I3:I56" si="0">"case_type_dim"&amp;$G3</f>
        <v>case_type_dim1_1_2</v>
      </c>
    </row>
    <row r="4" spans="1:10" x14ac:dyDescent="0.3">
      <c r="A4" t="s">
        <v>904</v>
      </c>
      <c r="B4" t="s">
        <v>119</v>
      </c>
      <c r="C4">
        <v>0</v>
      </c>
      <c r="D4" t="s">
        <v>378</v>
      </c>
      <c r="E4" t="b">
        <v>0</v>
      </c>
      <c r="F4" s="6" t="str">
        <f>INDEX(Dim!$B:$B,MATCH($D4,Dim!$A:$A,0))</f>
        <v>TEXT</v>
      </c>
      <c r="G4" t="s">
        <v>799</v>
      </c>
      <c r="H4">
        <v>3</v>
      </c>
      <c r="I4" s="6" t="str">
        <f t="shared" si="0"/>
        <v>case_type_dim1_1_3</v>
      </c>
    </row>
    <row r="5" spans="1:10" x14ac:dyDescent="0.3">
      <c r="A5" t="s">
        <v>903</v>
      </c>
      <c r="B5" t="s">
        <v>119</v>
      </c>
      <c r="C5">
        <v>0</v>
      </c>
      <c r="D5" t="s">
        <v>379</v>
      </c>
      <c r="E5" t="b">
        <v>0</v>
      </c>
      <c r="F5" s="6" t="str">
        <f>INDEX(Dim!$B:$B,MATCH($D5,Dim!$A:$A,0))</f>
        <v>TEXT</v>
      </c>
      <c r="G5" t="s">
        <v>800</v>
      </c>
      <c r="H5">
        <v>4</v>
      </c>
      <c r="I5" s="6" t="str">
        <f t="shared" si="0"/>
        <v>case_type_dim1_2_1</v>
      </c>
    </row>
    <row r="6" spans="1:10" x14ac:dyDescent="0.3">
      <c r="A6" t="s">
        <v>902</v>
      </c>
      <c r="B6" t="s">
        <v>119</v>
      </c>
      <c r="C6">
        <v>0</v>
      </c>
      <c r="D6" t="s">
        <v>379</v>
      </c>
      <c r="E6" t="b">
        <v>0</v>
      </c>
      <c r="F6" s="6" t="str">
        <f>INDEX(Dim!$B:$B,MATCH($D6,Dim!$A:$A,0))</f>
        <v>TEXT</v>
      </c>
      <c r="G6" t="s">
        <v>801</v>
      </c>
      <c r="H6">
        <v>5</v>
      </c>
      <c r="I6" s="6" t="str">
        <f t="shared" si="0"/>
        <v>case_type_dim1_2_2</v>
      </c>
    </row>
    <row r="7" spans="1:10" x14ac:dyDescent="0.3">
      <c r="A7" t="s">
        <v>901</v>
      </c>
      <c r="B7" t="s">
        <v>119</v>
      </c>
      <c r="C7">
        <v>0</v>
      </c>
      <c r="D7" t="s">
        <v>379</v>
      </c>
      <c r="E7" t="b">
        <v>0</v>
      </c>
      <c r="F7" s="6" t="str">
        <f>INDEX(Dim!$B:$B,MATCH($D7,Dim!$A:$A,0))</f>
        <v>TEXT</v>
      </c>
      <c r="G7" t="s">
        <v>802</v>
      </c>
      <c r="H7">
        <v>6</v>
      </c>
      <c r="I7" s="6" t="str">
        <f t="shared" si="0"/>
        <v>case_type_dim1_2_3</v>
      </c>
    </row>
    <row r="8" spans="1:10" x14ac:dyDescent="0.3">
      <c r="A8" t="s">
        <v>900</v>
      </c>
      <c r="B8" t="s">
        <v>119</v>
      </c>
      <c r="C8">
        <v>0</v>
      </c>
      <c r="D8" t="s">
        <v>380</v>
      </c>
      <c r="E8" t="b">
        <v>0</v>
      </c>
      <c r="F8" s="6" t="str">
        <f>INDEX(Dim!$B:$B,MATCH($D8,Dim!$A:$A,0))</f>
        <v>TEXT</v>
      </c>
      <c r="G8" t="s">
        <v>803</v>
      </c>
      <c r="H8">
        <v>7</v>
      </c>
      <c r="I8" s="6" t="str">
        <f t="shared" si="0"/>
        <v>case_type_dim1_3_1</v>
      </c>
    </row>
    <row r="9" spans="1:10" x14ac:dyDescent="0.3">
      <c r="A9" t="s">
        <v>899</v>
      </c>
      <c r="B9" t="s">
        <v>119</v>
      </c>
      <c r="C9">
        <v>0</v>
      </c>
      <c r="D9" t="s">
        <v>380</v>
      </c>
      <c r="E9" t="b">
        <v>0</v>
      </c>
      <c r="F9" s="6" t="str">
        <f>INDEX(Dim!$B:$B,MATCH($D9,Dim!$A:$A,0))</f>
        <v>TEXT</v>
      </c>
      <c r="G9" t="s">
        <v>804</v>
      </c>
      <c r="H9">
        <v>8</v>
      </c>
      <c r="I9" s="6" t="str">
        <f t="shared" si="0"/>
        <v>case_type_dim1_3_2</v>
      </c>
    </row>
    <row r="10" spans="1:10" x14ac:dyDescent="0.3">
      <c r="A10" t="s">
        <v>898</v>
      </c>
      <c r="B10" t="s">
        <v>119</v>
      </c>
      <c r="C10">
        <v>0</v>
      </c>
      <c r="D10" t="s">
        <v>380</v>
      </c>
      <c r="E10" t="b">
        <v>0</v>
      </c>
      <c r="F10" s="6" t="str">
        <f>INDEX(Dim!$B:$B,MATCH($D10,Dim!$A:$A,0))</f>
        <v>TEXT</v>
      </c>
      <c r="G10" t="s">
        <v>805</v>
      </c>
      <c r="H10">
        <v>9</v>
      </c>
      <c r="I10" s="6" t="str">
        <f t="shared" si="0"/>
        <v>case_type_dim1_3_3</v>
      </c>
    </row>
    <row r="11" spans="1:10" x14ac:dyDescent="0.3">
      <c r="A11" t="s">
        <v>897</v>
      </c>
      <c r="B11" t="s">
        <v>119</v>
      </c>
      <c r="C11">
        <v>0</v>
      </c>
      <c r="D11" t="s">
        <v>737</v>
      </c>
      <c r="E11" t="b">
        <v>0</v>
      </c>
      <c r="F11" s="6" t="str">
        <f>INDEX(Dim!$B:$B,MATCH($D11,Dim!$A:$A,0))</f>
        <v>TEXT</v>
      </c>
      <c r="G11" t="s">
        <v>815</v>
      </c>
      <c r="H11">
        <v>10</v>
      </c>
      <c r="I11" s="6" t="str">
        <f t="shared" si="0"/>
        <v>case_type_dim1_4_1</v>
      </c>
    </row>
    <row r="12" spans="1:10" x14ac:dyDescent="0.3">
      <c r="A12" t="s">
        <v>896</v>
      </c>
      <c r="B12" t="s">
        <v>119</v>
      </c>
      <c r="C12">
        <v>0</v>
      </c>
      <c r="D12" t="s">
        <v>737</v>
      </c>
      <c r="E12" t="b">
        <v>0</v>
      </c>
      <c r="F12" s="6" t="str">
        <f>INDEX(Dim!$B:$B,MATCH($D12,Dim!$A:$A,0))</f>
        <v>TEXT</v>
      </c>
      <c r="G12" t="s">
        <v>816</v>
      </c>
      <c r="H12">
        <v>11</v>
      </c>
      <c r="I12" s="6" t="str">
        <f t="shared" si="0"/>
        <v>case_type_dim1_4_2</v>
      </c>
    </row>
    <row r="13" spans="1:10" x14ac:dyDescent="0.3">
      <c r="A13" t="s">
        <v>895</v>
      </c>
      <c r="B13" t="s">
        <v>123</v>
      </c>
      <c r="C13">
        <v>0</v>
      </c>
      <c r="D13" t="s">
        <v>378</v>
      </c>
      <c r="E13" t="b">
        <v>0</v>
      </c>
      <c r="F13" s="6" t="str">
        <f>INDEX(Dim!$B:$B,MATCH($D13,Dim!$A:$A,0))</f>
        <v>TEXT</v>
      </c>
      <c r="G13" t="s">
        <v>806</v>
      </c>
      <c r="H13">
        <v>1</v>
      </c>
      <c r="I13" s="6" t="str">
        <f t="shared" si="0"/>
        <v>case_type_dim2_1_1</v>
      </c>
    </row>
    <row r="14" spans="1:10" x14ac:dyDescent="0.3">
      <c r="A14" t="s">
        <v>894</v>
      </c>
      <c r="B14" t="s">
        <v>123</v>
      </c>
      <c r="C14">
        <v>0</v>
      </c>
      <c r="D14" t="s">
        <v>378</v>
      </c>
      <c r="E14" t="b">
        <v>0</v>
      </c>
      <c r="F14" s="6" t="str">
        <f>INDEX(Dim!$B:$B,MATCH($D14,Dim!$A:$A,0))</f>
        <v>TEXT</v>
      </c>
      <c r="G14" t="s">
        <v>807</v>
      </c>
      <c r="H14">
        <v>2</v>
      </c>
      <c r="I14" s="6" t="str">
        <f t="shared" si="0"/>
        <v>case_type_dim2_1_2</v>
      </c>
    </row>
    <row r="15" spans="1:10" x14ac:dyDescent="0.3">
      <c r="A15" t="s">
        <v>893</v>
      </c>
      <c r="B15" t="s">
        <v>123</v>
      </c>
      <c r="C15">
        <v>0</v>
      </c>
      <c r="D15" t="s">
        <v>378</v>
      </c>
      <c r="E15" t="b">
        <v>0</v>
      </c>
      <c r="F15" s="6" t="str">
        <f>INDEX(Dim!$B:$B,MATCH($D15,Dim!$A:$A,0))</f>
        <v>TEXT</v>
      </c>
      <c r="G15" t="s">
        <v>808</v>
      </c>
      <c r="H15">
        <v>3</v>
      </c>
      <c r="I15" s="6" t="str">
        <f t="shared" si="0"/>
        <v>case_type_dim2_1_3</v>
      </c>
    </row>
    <row r="16" spans="1:10" x14ac:dyDescent="0.3">
      <c r="A16" t="s">
        <v>892</v>
      </c>
      <c r="B16" t="s">
        <v>123</v>
      </c>
      <c r="C16">
        <v>0</v>
      </c>
      <c r="D16" t="s">
        <v>379</v>
      </c>
      <c r="E16" t="b">
        <v>0</v>
      </c>
      <c r="F16" s="6" t="str">
        <f>INDEX(Dim!$B:$B,MATCH($D16,Dim!$A:$A,0))</f>
        <v>TEXT</v>
      </c>
      <c r="G16" t="s">
        <v>809</v>
      </c>
      <c r="H16">
        <v>4</v>
      </c>
      <c r="I16" s="6" t="str">
        <f t="shared" si="0"/>
        <v>case_type_dim2_2_1</v>
      </c>
    </row>
    <row r="17" spans="1:9" x14ac:dyDescent="0.3">
      <c r="A17" t="s">
        <v>891</v>
      </c>
      <c r="B17" t="s">
        <v>123</v>
      </c>
      <c r="C17">
        <v>0</v>
      </c>
      <c r="D17" t="s">
        <v>379</v>
      </c>
      <c r="E17" t="b">
        <v>0</v>
      </c>
      <c r="F17" s="6" t="str">
        <f>INDEX(Dim!$B:$B,MATCH($D17,Dim!$A:$A,0))</f>
        <v>TEXT</v>
      </c>
      <c r="G17" t="s">
        <v>810</v>
      </c>
      <c r="H17">
        <v>5</v>
      </c>
      <c r="I17" s="6" t="str">
        <f t="shared" si="0"/>
        <v>case_type_dim2_2_2</v>
      </c>
    </row>
    <row r="18" spans="1:9" x14ac:dyDescent="0.3">
      <c r="A18" t="s">
        <v>890</v>
      </c>
      <c r="B18" t="s">
        <v>123</v>
      </c>
      <c r="C18">
        <v>0</v>
      </c>
      <c r="D18" t="s">
        <v>379</v>
      </c>
      <c r="E18" t="b">
        <v>0</v>
      </c>
      <c r="F18" s="6" t="str">
        <f>INDEX(Dim!$B:$B,MATCH($D18,Dim!$A:$A,0))</f>
        <v>TEXT</v>
      </c>
      <c r="G18" t="s">
        <v>811</v>
      </c>
      <c r="H18">
        <v>6</v>
      </c>
      <c r="I18" s="6" t="str">
        <f t="shared" si="0"/>
        <v>case_type_dim2_2_3</v>
      </c>
    </row>
    <row r="19" spans="1:9" x14ac:dyDescent="0.3">
      <c r="A19" t="s">
        <v>889</v>
      </c>
      <c r="B19" t="s">
        <v>123</v>
      </c>
      <c r="C19">
        <v>0</v>
      </c>
      <c r="D19" t="s">
        <v>380</v>
      </c>
      <c r="E19" t="b">
        <v>0</v>
      </c>
      <c r="F19" s="6" t="str">
        <f>INDEX(Dim!$B:$B,MATCH($D19,Dim!$A:$A,0))</f>
        <v>TEXT</v>
      </c>
      <c r="G19" t="s">
        <v>812</v>
      </c>
      <c r="H19">
        <v>7</v>
      </c>
      <c r="I19" s="6" t="str">
        <f t="shared" si="0"/>
        <v>case_type_dim2_3_1</v>
      </c>
    </row>
    <row r="20" spans="1:9" x14ac:dyDescent="0.3">
      <c r="A20" t="s">
        <v>888</v>
      </c>
      <c r="B20" t="s">
        <v>123</v>
      </c>
      <c r="C20">
        <v>0</v>
      </c>
      <c r="D20" t="s">
        <v>380</v>
      </c>
      <c r="E20" t="b">
        <v>0</v>
      </c>
      <c r="F20" s="6" t="str">
        <f>INDEX(Dim!$B:$B,MATCH($D20,Dim!$A:$A,0))</f>
        <v>TEXT</v>
      </c>
      <c r="G20" t="s">
        <v>813</v>
      </c>
      <c r="H20">
        <v>8</v>
      </c>
      <c r="I20" s="6" t="str">
        <f t="shared" si="0"/>
        <v>case_type_dim2_3_2</v>
      </c>
    </row>
    <row r="21" spans="1:9" x14ac:dyDescent="0.3">
      <c r="A21" t="s">
        <v>887</v>
      </c>
      <c r="B21" t="s">
        <v>123</v>
      </c>
      <c r="C21">
        <v>0</v>
      </c>
      <c r="D21" t="s">
        <v>380</v>
      </c>
      <c r="E21" t="b">
        <v>0</v>
      </c>
      <c r="F21" s="6" t="str">
        <f>INDEX(Dim!$B:$B,MATCH($D21,Dim!$A:$A,0))</f>
        <v>TEXT</v>
      </c>
      <c r="G21" t="s">
        <v>814</v>
      </c>
      <c r="H21">
        <v>9</v>
      </c>
      <c r="I21" s="6" t="str">
        <f t="shared" si="0"/>
        <v>case_type_dim2_3_3</v>
      </c>
    </row>
    <row r="22" spans="1:9" x14ac:dyDescent="0.3">
      <c r="A22" t="s">
        <v>886</v>
      </c>
      <c r="B22" t="s">
        <v>123</v>
      </c>
      <c r="C22">
        <v>0</v>
      </c>
      <c r="D22" t="s">
        <v>737</v>
      </c>
      <c r="E22" t="b">
        <v>0</v>
      </c>
      <c r="F22" s="6" t="str">
        <f>INDEX(Dim!$B:$B,MATCH($D22,Dim!$A:$A,0))</f>
        <v>TEXT</v>
      </c>
      <c r="G22" t="s">
        <v>817</v>
      </c>
      <c r="H22">
        <v>10</v>
      </c>
      <c r="I22" s="6" t="str">
        <f t="shared" si="0"/>
        <v>case_type_dim2_4_1</v>
      </c>
    </row>
    <row r="23" spans="1:9" x14ac:dyDescent="0.3">
      <c r="A23" t="s">
        <v>885</v>
      </c>
      <c r="B23" t="s">
        <v>123</v>
      </c>
      <c r="C23">
        <v>0</v>
      </c>
      <c r="D23" t="s">
        <v>737</v>
      </c>
      <c r="E23" t="b">
        <v>0</v>
      </c>
      <c r="F23" s="6" t="str">
        <f>INDEX(Dim!$B:$B,MATCH($D23,Dim!$A:$A,0))</f>
        <v>TEXT</v>
      </c>
      <c r="G23" t="s">
        <v>818</v>
      </c>
      <c r="H23">
        <v>11</v>
      </c>
      <c r="I23" s="6" t="str">
        <f t="shared" si="0"/>
        <v>case_type_dim2_4_2</v>
      </c>
    </row>
    <row r="24" spans="1:9" x14ac:dyDescent="0.3">
      <c r="A24" t="s">
        <v>884</v>
      </c>
      <c r="B24" t="s">
        <v>127</v>
      </c>
      <c r="C24">
        <v>0</v>
      </c>
      <c r="D24" t="s">
        <v>378</v>
      </c>
      <c r="E24" t="b">
        <v>0</v>
      </c>
      <c r="F24" s="6" t="str">
        <f>INDEX(Dim!$B:$B,MATCH($D24,Dim!$A:$A,0))</f>
        <v>TEXT</v>
      </c>
      <c r="G24" t="s">
        <v>819</v>
      </c>
      <c r="H24">
        <v>1</v>
      </c>
      <c r="I24" s="6" t="str">
        <f t="shared" si="0"/>
        <v>case_type_dim3_1_1</v>
      </c>
    </row>
    <row r="25" spans="1:9" x14ac:dyDescent="0.3">
      <c r="A25" t="s">
        <v>883</v>
      </c>
      <c r="B25" t="s">
        <v>127</v>
      </c>
      <c r="C25">
        <v>0</v>
      </c>
      <c r="D25" t="s">
        <v>378</v>
      </c>
      <c r="E25" t="b">
        <v>0</v>
      </c>
      <c r="F25" s="6" t="str">
        <f>INDEX(Dim!$B:$B,MATCH($D25,Dim!$A:$A,0))</f>
        <v>TEXT</v>
      </c>
      <c r="G25" t="s">
        <v>820</v>
      </c>
      <c r="H25">
        <v>2</v>
      </c>
      <c r="I25" s="6" t="str">
        <f t="shared" si="0"/>
        <v>case_type_dim3_1_2</v>
      </c>
    </row>
    <row r="26" spans="1:9" x14ac:dyDescent="0.3">
      <c r="A26" t="s">
        <v>882</v>
      </c>
      <c r="B26" t="s">
        <v>127</v>
      </c>
      <c r="C26">
        <v>0</v>
      </c>
      <c r="D26" t="s">
        <v>378</v>
      </c>
      <c r="E26" t="b">
        <v>0</v>
      </c>
      <c r="F26" s="6" t="str">
        <f>INDEX(Dim!$B:$B,MATCH($D26,Dim!$A:$A,0))</f>
        <v>TEXT</v>
      </c>
      <c r="G26" t="s">
        <v>821</v>
      </c>
      <c r="H26">
        <v>3</v>
      </c>
      <c r="I26" s="6" t="str">
        <f t="shared" si="0"/>
        <v>case_type_dim3_1_3</v>
      </c>
    </row>
    <row r="27" spans="1:9" x14ac:dyDescent="0.3">
      <c r="A27" t="s">
        <v>881</v>
      </c>
      <c r="B27" t="s">
        <v>127</v>
      </c>
      <c r="C27">
        <v>0</v>
      </c>
      <c r="D27" t="s">
        <v>379</v>
      </c>
      <c r="E27" t="b">
        <v>0</v>
      </c>
      <c r="F27" s="6" t="str">
        <f>INDEX(Dim!$B:$B,MATCH($D27,Dim!$A:$A,0))</f>
        <v>TEXT</v>
      </c>
      <c r="G27" t="s">
        <v>822</v>
      </c>
      <c r="H27">
        <v>4</v>
      </c>
      <c r="I27" s="6" t="str">
        <f t="shared" si="0"/>
        <v>case_type_dim3_2_1</v>
      </c>
    </row>
    <row r="28" spans="1:9" x14ac:dyDescent="0.3">
      <c r="A28" t="s">
        <v>880</v>
      </c>
      <c r="B28" t="s">
        <v>127</v>
      </c>
      <c r="C28">
        <v>0</v>
      </c>
      <c r="D28" t="s">
        <v>379</v>
      </c>
      <c r="E28" t="b">
        <v>0</v>
      </c>
      <c r="F28" s="6" t="str">
        <f>INDEX(Dim!$B:$B,MATCH($D28,Dim!$A:$A,0))</f>
        <v>TEXT</v>
      </c>
      <c r="G28" t="s">
        <v>823</v>
      </c>
      <c r="H28">
        <v>5</v>
      </c>
      <c r="I28" s="6" t="str">
        <f t="shared" si="0"/>
        <v>case_type_dim3_2_2</v>
      </c>
    </row>
    <row r="29" spans="1:9" x14ac:dyDescent="0.3">
      <c r="A29" t="s">
        <v>879</v>
      </c>
      <c r="B29" t="s">
        <v>127</v>
      </c>
      <c r="C29">
        <v>0</v>
      </c>
      <c r="D29" t="s">
        <v>379</v>
      </c>
      <c r="E29" t="b">
        <v>0</v>
      </c>
      <c r="F29" s="6" t="str">
        <f>INDEX(Dim!$B:$B,MATCH($D29,Dim!$A:$A,0))</f>
        <v>TEXT</v>
      </c>
      <c r="G29" t="s">
        <v>824</v>
      </c>
      <c r="H29">
        <v>6</v>
      </c>
      <c r="I29" s="6" t="str">
        <f t="shared" si="0"/>
        <v>case_type_dim3_2_3</v>
      </c>
    </row>
    <row r="30" spans="1:9" x14ac:dyDescent="0.3">
      <c r="A30" t="s">
        <v>878</v>
      </c>
      <c r="B30" t="s">
        <v>127</v>
      </c>
      <c r="C30">
        <v>0</v>
      </c>
      <c r="D30" t="s">
        <v>380</v>
      </c>
      <c r="E30" t="b">
        <v>0</v>
      </c>
      <c r="F30" s="6" t="str">
        <f>INDEX(Dim!$B:$B,MATCH($D30,Dim!$A:$A,0))</f>
        <v>TEXT</v>
      </c>
      <c r="G30" t="s">
        <v>825</v>
      </c>
      <c r="H30">
        <v>7</v>
      </c>
      <c r="I30" s="6" t="str">
        <f t="shared" si="0"/>
        <v>case_type_dim3_3_1</v>
      </c>
    </row>
    <row r="31" spans="1:9" x14ac:dyDescent="0.3">
      <c r="A31" t="s">
        <v>877</v>
      </c>
      <c r="B31" t="s">
        <v>127</v>
      </c>
      <c r="C31">
        <v>0</v>
      </c>
      <c r="D31" t="s">
        <v>380</v>
      </c>
      <c r="E31" t="b">
        <v>0</v>
      </c>
      <c r="F31" s="6" t="str">
        <f>INDEX(Dim!$B:$B,MATCH($D31,Dim!$A:$A,0))</f>
        <v>TEXT</v>
      </c>
      <c r="G31" t="s">
        <v>826</v>
      </c>
      <c r="H31">
        <v>8</v>
      </c>
      <c r="I31" s="6" t="str">
        <f t="shared" si="0"/>
        <v>case_type_dim3_3_2</v>
      </c>
    </row>
    <row r="32" spans="1:9" x14ac:dyDescent="0.3">
      <c r="A32" t="s">
        <v>876</v>
      </c>
      <c r="B32" t="s">
        <v>127</v>
      </c>
      <c r="C32">
        <v>0</v>
      </c>
      <c r="D32" t="s">
        <v>380</v>
      </c>
      <c r="E32" t="b">
        <v>0</v>
      </c>
      <c r="F32" s="6" t="str">
        <f>INDEX(Dim!$B:$B,MATCH($D32,Dim!$A:$A,0))</f>
        <v>TEXT</v>
      </c>
      <c r="G32" t="s">
        <v>827</v>
      </c>
      <c r="H32">
        <v>9</v>
      </c>
      <c r="I32" s="6" t="str">
        <f t="shared" si="0"/>
        <v>case_type_dim3_3_3</v>
      </c>
    </row>
    <row r="33" spans="1:9" x14ac:dyDescent="0.3">
      <c r="A33" t="s">
        <v>875</v>
      </c>
      <c r="B33" t="s">
        <v>127</v>
      </c>
      <c r="C33">
        <v>0</v>
      </c>
      <c r="D33" t="s">
        <v>737</v>
      </c>
      <c r="E33" t="b">
        <v>0</v>
      </c>
      <c r="F33" s="6" t="str">
        <f>INDEX(Dim!$B:$B,MATCH($D33,Dim!$A:$A,0))</f>
        <v>TEXT</v>
      </c>
      <c r="G33" t="s">
        <v>828</v>
      </c>
      <c r="H33">
        <v>10</v>
      </c>
      <c r="I33" s="6" t="str">
        <f t="shared" si="0"/>
        <v>case_type_dim3_4_1</v>
      </c>
    </row>
    <row r="34" spans="1:9" x14ac:dyDescent="0.3">
      <c r="A34" t="s">
        <v>874</v>
      </c>
      <c r="B34" t="s">
        <v>127</v>
      </c>
      <c r="C34">
        <v>0</v>
      </c>
      <c r="D34" t="s">
        <v>737</v>
      </c>
      <c r="E34" t="b">
        <v>0</v>
      </c>
      <c r="F34" s="6" t="str">
        <f>INDEX(Dim!$B:$B,MATCH($D34,Dim!$A:$A,0))</f>
        <v>TEXT</v>
      </c>
      <c r="G34" t="s">
        <v>829</v>
      </c>
      <c r="H34">
        <v>11</v>
      </c>
      <c r="I34" s="6" t="str">
        <f t="shared" si="0"/>
        <v>case_type_dim3_4_2</v>
      </c>
    </row>
    <row r="35" spans="1:9" x14ac:dyDescent="0.3">
      <c r="A35" t="s">
        <v>873</v>
      </c>
      <c r="B35" t="s">
        <v>131</v>
      </c>
      <c r="C35">
        <v>0</v>
      </c>
      <c r="D35" t="s">
        <v>378</v>
      </c>
      <c r="E35" t="b">
        <v>0</v>
      </c>
      <c r="F35" s="6" t="str">
        <f>INDEX(Dim!$B:$B,MATCH($D35,Dim!$A:$A,0))</f>
        <v>TEXT</v>
      </c>
      <c r="G35" t="s">
        <v>830</v>
      </c>
      <c r="H35">
        <v>1</v>
      </c>
      <c r="I35" s="6" t="str">
        <f t="shared" si="0"/>
        <v>case_type_dim4_1_1</v>
      </c>
    </row>
    <row r="36" spans="1:9" x14ac:dyDescent="0.3">
      <c r="A36" t="s">
        <v>872</v>
      </c>
      <c r="B36" t="s">
        <v>131</v>
      </c>
      <c r="C36">
        <v>0</v>
      </c>
      <c r="D36" t="s">
        <v>378</v>
      </c>
      <c r="E36" t="b">
        <v>0</v>
      </c>
      <c r="F36" s="6" t="str">
        <f>INDEX(Dim!$B:$B,MATCH($D36,Dim!$A:$A,0))</f>
        <v>TEXT</v>
      </c>
      <c r="G36" t="s">
        <v>831</v>
      </c>
      <c r="H36">
        <v>2</v>
      </c>
      <c r="I36" s="6" t="str">
        <f t="shared" si="0"/>
        <v>case_type_dim4_1_2</v>
      </c>
    </row>
    <row r="37" spans="1:9" x14ac:dyDescent="0.3">
      <c r="A37" t="s">
        <v>871</v>
      </c>
      <c r="B37" t="s">
        <v>131</v>
      </c>
      <c r="C37">
        <v>0</v>
      </c>
      <c r="D37" t="s">
        <v>378</v>
      </c>
      <c r="E37" t="b">
        <v>0</v>
      </c>
      <c r="F37" s="6" t="str">
        <f>INDEX(Dim!$B:$B,MATCH($D37,Dim!$A:$A,0))</f>
        <v>TEXT</v>
      </c>
      <c r="G37" t="s">
        <v>832</v>
      </c>
      <c r="H37">
        <v>3</v>
      </c>
      <c r="I37" s="6" t="str">
        <f t="shared" si="0"/>
        <v>case_type_dim4_1_3</v>
      </c>
    </row>
    <row r="38" spans="1:9" x14ac:dyDescent="0.3">
      <c r="A38" t="s">
        <v>870</v>
      </c>
      <c r="B38" t="s">
        <v>131</v>
      </c>
      <c r="C38">
        <v>0</v>
      </c>
      <c r="D38" t="s">
        <v>379</v>
      </c>
      <c r="E38" t="b">
        <v>0</v>
      </c>
      <c r="F38" s="6" t="str">
        <f>INDEX(Dim!$B:$B,MATCH($D38,Dim!$A:$A,0))</f>
        <v>TEXT</v>
      </c>
      <c r="G38" t="s">
        <v>833</v>
      </c>
      <c r="H38">
        <v>4</v>
      </c>
      <c r="I38" s="6" t="str">
        <f t="shared" si="0"/>
        <v>case_type_dim4_2_1</v>
      </c>
    </row>
    <row r="39" spans="1:9" x14ac:dyDescent="0.3">
      <c r="A39" t="s">
        <v>869</v>
      </c>
      <c r="B39" t="s">
        <v>131</v>
      </c>
      <c r="C39">
        <v>0</v>
      </c>
      <c r="D39" t="s">
        <v>379</v>
      </c>
      <c r="E39" t="b">
        <v>0</v>
      </c>
      <c r="F39" s="6" t="str">
        <f>INDEX(Dim!$B:$B,MATCH($D39,Dim!$A:$A,0))</f>
        <v>TEXT</v>
      </c>
      <c r="G39" t="s">
        <v>834</v>
      </c>
      <c r="H39">
        <v>5</v>
      </c>
      <c r="I39" s="6" t="str">
        <f t="shared" si="0"/>
        <v>case_type_dim4_2_2</v>
      </c>
    </row>
    <row r="40" spans="1:9" x14ac:dyDescent="0.3">
      <c r="A40" t="s">
        <v>868</v>
      </c>
      <c r="B40" t="s">
        <v>131</v>
      </c>
      <c r="C40">
        <v>0</v>
      </c>
      <c r="D40" t="s">
        <v>379</v>
      </c>
      <c r="E40" t="b">
        <v>0</v>
      </c>
      <c r="F40" s="6" t="str">
        <f>INDEX(Dim!$B:$B,MATCH($D40,Dim!$A:$A,0))</f>
        <v>TEXT</v>
      </c>
      <c r="G40" t="s">
        <v>835</v>
      </c>
      <c r="H40">
        <v>6</v>
      </c>
      <c r="I40" s="6" t="str">
        <f t="shared" si="0"/>
        <v>case_type_dim4_2_3</v>
      </c>
    </row>
    <row r="41" spans="1:9" x14ac:dyDescent="0.3">
      <c r="A41" t="s">
        <v>867</v>
      </c>
      <c r="B41" t="s">
        <v>131</v>
      </c>
      <c r="C41">
        <v>0</v>
      </c>
      <c r="D41" t="s">
        <v>380</v>
      </c>
      <c r="E41" t="b">
        <v>0</v>
      </c>
      <c r="F41" s="6" t="str">
        <f>INDEX(Dim!$B:$B,MATCH($D41,Dim!$A:$A,0))</f>
        <v>TEXT</v>
      </c>
      <c r="G41" t="s">
        <v>836</v>
      </c>
      <c r="H41">
        <v>7</v>
      </c>
      <c r="I41" s="6" t="str">
        <f t="shared" si="0"/>
        <v>case_type_dim4_3_1</v>
      </c>
    </row>
    <row r="42" spans="1:9" x14ac:dyDescent="0.3">
      <c r="A42" t="s">
        <v>866</v>
      </c>
      <c r="B42" t="s">
        <v>131</v>
      </c>
      <c r="C42">
        <v>0</v>
      </c>
      <c r="D42" t="s">
        <v>380</v>
      </c>
      <c r="E42" t="b">
        <v>0</v>
      </c>
      <c r="F42" s="6" t="str">
        <f>INDEX(Dim!$B:$B,MATCH($D42,Dim!$A:$A,0))</f>
        <v>TEXT</v>
      </c>
      <c r="G42" t="s">
        <v>837</v>
      </c>
      <c r="H42">
        <v>8</v>
      </c>
      <c r="I42" s="6" t="str">
        <f t="shared" si="0"/>
        <v>case_type_dim4_3_2</v>
      </c>
    </row>
    <row r="43" spans="1:9" x14ac:dyDescent="0.3">
      <c r="A43" t="s">
        <v>865</v>
      </c>
      <c r="B43" t="s">
        <v>131</v>
      </c>
      <c r="C43">
        <v>0</v>
      </c>
      <c r="D43" t="s">
        <v>380</v>
      </c>
      <c r="E43" t="b">
        <v>0</v>
      </c>
      <c r="F43" s="6" t="str">
        <f>INDEX(Dim!$B:$B,MATCH($D43,Dim!$A:$A,0))</f>
        <v>TEXT</v>
      </c>
      <c r="G43" t="s">
        <v>838</v>
      </c>
      <c r="H43">
        <v>9</v>
      </c>
      <c r="I43" s="6" t="str">
        <f t="shared" si="0"/>
        <v>case_type_dim4_3_3</v>
      </c>
    </row>
    <row r="44" spans="1:9" x14ac:dyDescent="0.3">
      <c r="A44" t="s">
        <v>864</v>
      </c>
      <c r="B44" t="s">
        <v>131</v>
      </c>
      <c r="C44">
        <v>0</v>
      </c>
      <c r="D44" t="s">
        <v>737</v>
      </c>
      <c r="E44" t="b">
        <v>0</v>
      </c>
      <c r="F44" s="6" t="str">
        <f>INDEX(Dim!$B:$B,MATCH($D44,Dim!$A:$A,0))</f>
        <v>TEXT</v>
      </c>
      <c r="G44" t="s">
        <v>839</v>
      </c>
      <c r="H44">
        <v>10</v>
      </c>
      <c r="I44" s="6" t="str">
        <f t="shared" si="0"/>
        <v>case_type_dim4_4_1</v>
      </c>
    </row>
    <row r="45" spans="1:9" x14ac:dyDescent="0.3">
      <c r="A45" t="s">
        <v>863</v>
      </c>
      <c r="B45" t="s">
        <v>131</v>
      </c>
      <c r="C45">
        <v>0</v>
      </c>
      <c r="D45" t="s">
        <v>737</v>
      </c>
      <c r="E45" t="b">
        <v>0</v>
      </c>
      <c r="F45" s="6" t="str">
        <f>INDEX(Dim!$B:$B,MATCH($D45,Dim!$A:$A,0))</f>
        <v>TEXT</v>
      </c>
      <c r="G45" t="s">
        <v>840</v>
      </c>
      <c r="H45">
        <v>11</v>
      </c>
      <c r="I45" s="6" t="str">
        <f t="shared" si="0"/>
        <v>case_type_dim4_4_2</v>
      </c>
    </row>
    <row r="46" spans="1:9" x14ac:dyDescent="0.3">
      <c r="A46" t="s">
        <v>862</v>
      </c>
      <c r="B46" t="s">
        <v>135</v>
      </c>
      <c r="C46">
        <v>0</v>
      </c>
      <c r="D46" t="s">
        <v>378</v>
      </c>
      <c r="E46" t="b">
        <v>0</v>
      </c>
      <c r="F46" s="6" t="str">
        <f>INDEX(Dim!$B:$B,MATCH($D46,Dim!$A:$A,0))</f>
        <v>TEXT</v>
      </c>
      <c r="G46" t="s">
        <v>841</v>
      </c>
      <c r="H46">
        <v>1</v>
      </c>
      <c r="I46" s="6" t="str">
        <f t="shared" si="0"/>
        <v>case_type_dim5_1_1</v>
      </c>
    </row>
    <row r="47" spans="1:9" x14ac:dyDescent="0.3">
      <c r="A47" t="s">
        <v>861</v>
      </c>
      <c r="B47" t="s">
        <v>135</v>
      </c>
      <c r="C47">
        <v>0</v>
      </c>
      <c r="D47" t="s">
        <v>378</v>
      </c>
      <c r="E47" t="b">
        <v>0</v>
      </c>
      <c r="F47" s="6" t="str">
        <f>INDEX(Dim!$B:$B,MATCH($D47,Dim!$A:$A,0))</f>
        <v>TEXT</v>
      </c>
      <c r="G47" t="s">
        <v>842</v>
      </c>
      <c r="H47">
        <v>2</v>
      </c>
      <c r="I47" s="6" t="str">
        <f t="shared" si="0"/>
        <v>case_type_dim5_1_2</v>
      </c>
    </row>
    <row r="48" spans="1:9" x14ac:dyDescent="0.3">
      <c r="A48" t="s">
        <v>860</v>
      </c>
      <c r="B48" t="s">
        <v>135</v>
      </c>
      <c r="C48">
        <v>0</v>
      </c>
      <c r="D48" t="s">
        <v>378</v>
      </c>
      <c r="E48" t="b">
        <v>0</v>
      </c>
      <c r="F48" s="6" t="str">
        <f>INDEX(Dim!$B:$B,MATCH($D48,Dim!$A:$A,0))</f>
        <v>TEXT</v>
      </c>
      <c r="G48" t="s">
        <v>843</v>
      </c>
      <c r="H48">
        <v>3</v>
      </c>
      <c r="I48" s="6" t="str">
        <f t="shared" si="0"/>
        <v>case_type_dim5_1_3</v>
      </c>
    </row>
    <row r="49" spans="1:9" x14ac:dyDescent="0.3">
      <c r="A49" t="s">
        <v>859</v>
      </c>
      <c r="B49" t="s">
        <v>135</v>
      </c>
      <c r="C49">
        <v>0</v>
      </c>
      <c r="D49" t="s">
        <v>379</v>
      </c>
      <c r="E49" t="b">
        <v>0</v>
      </c>
      <c r="F49" s="6" t="str">
        <f>INDEX(Dim!$B:$B,MATCH($D49,Dim!$A:$A,0))</f>
        <v>TEXT</v>
      </c>
      <c r="G49" t="s">
        <v>844</v>
      </c>
      <c r="H49">
        <v>4</v>
      </c>
      <c r="I49" s="6" t="str">
        <f t="shared" si="0"/>
        <v>case_type_dim5_2_1</v>
      </c>
    </row>
    <row r="50" spans="1:9" x14ac:dyDescent="0.3">
      <c r="A50" t="s">
        <v>858</v>
      </c>
      <c r="B50" t="s">
        <v>135</v>
      </c>
      <c r="C50">
        <v>0</v>
      </c>
      <c r="D50" t="s">
        <v>379</v>
      </c>
      <c r="E50" t="b">
        <v>0</v>
      </c>
      <c r="F50" s="6" t="str">
        <f>INDEX(Dim!$B:$B,MATCH($D50,Dim!$A:$A,0))</f>
        <v>TEXT</v>
      </c>
      <c r="G50" t="s">
        <v>845</v>
      </c>
      <c r="H50">
        <v>5</v>
      </c>
      <c r="I50" s="6" t="str">
        <f t="shared" si="0"/>
        <v>case_type_dim5_2_2</v>
      </c>
    </row>
    <row r="51" spans="1:9" x14ac:dyDescent="0.3">
      <c r="A51" t="s">
        <v>857</v>
      </c>
      <c r="B51" t="s">
        <v>135</v>
      </c>
      <c r="C51">
        <v>0</v>
      </c>
      <c r="D51" t="s">
        <v>379</v>
      </c>
      <c r="E51" t="b">
        <v>0</v>
      </c>
      <c r="F51" s="6" t="str">
        <f>INDEX(Dim!$B:$B,MATCH($D51,Dim!$A:$A,0))</f>
        <v>TEXT</v>
      </c>
      <c r="G51" t="s">
        <v>846</v>
      </c>
      <c r="H51">
        <v>6</v>
      </c>
      <c r="I51" s="6" t="str">
        <f t="shared" si="0"/>
        <v>case_type_dim5_2_3</v>
      </c>
    </row>
    <row r="52" spans="1:9" x14ac:dyDescent="0.3">
      <c r="A52" t="s">
        <v>856</v>
      </c>
      <c r="B52" t="s">
        <v>135</v>
      </c>
      <c r="C52">
        <v>0</v>
      </c>
      <c r="D52" t="s">
        <v>380</v>
      </c>
      <c r="E52" t="b">
        <v>0</v>
      </c>
      <c r="F52" s="6" t="str">
        <f>INDEX(Dim!$B:$B,MATCH($D52,Dim!$A:$A,0))</f>
        <v>TEXT</v>
      </c>
      <c r="G52" t="s">
        <v>847</v>
      </c>
      <c r="H52">
        <v>7</v>
      </c>
      <c r="I52" s="6" t="str">
        <f t="shared" si="0"/>
        <v>case_type_dim5_3_1</v>
      </c>
    </row>
    <row r="53" spans="1:9" x14ac:dyDescent="0.3">
      <c r="A53" t="s">
        <v>855</v>
      </c>
      <c r="B53" t="s">
        <v>135</v>
      </c>
      <c r="C53">
        <v>0</v>
      </c>
      <c r="D53" t="s">
        <v>380</v>
      </c>
      <c r="E53" t="b">
        <v>0</v>
      </c>
      <c r="F53" s="6" t="str">
        <f>INDEX(Dim!$B:$B,MATCH($D53,Dim!$A:$A,0))</f>
        <v>TEXT</v>
      </c>
      <c r="G53" t="s">
        <v>848</v>
      </c>
      <c r="H53">
        <v>8</v>
      </c>
      <c r="I53" s="6" t="str">
        <f t="shared" si="0"/>
        <v>case_type_dim5_3_2</v>
      </c>
    </row>
    <row r="54" spans="1:9" x14ac:dyDescent="0.3">
      <c r="A54" t="s">
        <v>854</v>
      </c>
      <c r="B54" t="s">
        <v>135</v>
      </c>
      <c r="C54">
        <v>0</v>
      </c>
      <c r="D54" t="s">
        <v>380</v>
      </c>
      <c r="E54" t="b">
        <v>0</v>
      </c>
      <c r="F54" s="6" t="str">
        <f>INDEX(Dim!$B:$B,MATCH($D54,Dim!$A:$A,0))</f>
        <v>TEXT</v>
      </c>
      <c r="G54" t="s">
        <v>849</v>
      </c>
      <c r="H54">
        <v>9</v>
      </c>
      <c r="I54" s="6" t="str">
        <f t="shared" si="0"/>
        <v>case_type_dim5_3_3</v>
      </c>
    </row>
    <row r="55" spans="1:9" x14ac:dyDescent="0.3">
      <c r="A55" t="s">
        <v>853</v>
      </c>
      <c r="B55" t="s">
        <v>135</v>
      </c>
      <c r="C55">
        <v>0</v>
      </c>
      <c r="D55" t="s">
        <v>737</v>
      </c>
      <c r="E55" t="b">
        <v>0</v>
      </c>
      <c r="F55" s="6" t="str">
        <f>INDEX(Dim!$B:$B,MATCH($D55,Dim!$A:$A,0))</f>
        <v>TEXT</v>
      </c>
      <c r="G55" t="s">
        <v>850</v>
      </c>
      <c r="H55">
        <v>10</v>
      </c>
      <c r="I55" s="6" t="str">
        <f t="shared" si="0"/>
        <v>case_type_dim5_4_1</v>
      </c>
    </row>
    <row r="56" spans="1:9" x14ac:dyDescent="0.3">
      <c r="A56" t="s">
        <v>852</v>
      </c>
      <c r="B56" t="s">
        <v>135</v>
      </c>
      <c r="C56">
        <v>0</v>
      </c>
      <c r="D56" t="s">
        <v>737</v>
      </c>
      <c r="E56" t="b">
        <v>0</v>
      </c>
      <c r="F56" s="6" t="str">
        <f>INDEX(Dim!$B:$B,MATCH($D56,Dim!$A:$A,0))</f>
        <v>TEXT</v>
      </c>
      <c r="G56" t="s">
        <v>851</v>
      </c>
      <c r="H56">
        <v>11</v>
      </c>
      <c r="I56" s="6" t="str">
        <f t="shared" si="0"/>
        <v>case_type_dim5_4_2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workbookViewId="0">
      <selection activeCell="C2" sqref="C2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35.88671875" bestFit="1" customWidth="1"/>
    <col min="4" max="5" width="29.88671875" style="6" bestFit="1" customWidth="1"/>
    <col min="6" max="6" width="35.33203125" bestFit="1" customWidth="1"/>
    <col min="7" max="7" width="18.44140625" style="6" bestFit="1" customWidth="1"/>
    <col min="8" max="8" width="38.6640625" style="6" bestFit="1" customWidth="1"/>
    <col min="9" max="9" width="4.77734375" bestFit="1" customWidth="1"/>
    <col min="10" max="10" width="4.6640625" bestFit="1" customWidth="1"/>
    <col min="11" max="11" width="10" bestFit="1" customWidth="1"/>
    <col min="12" max="12" width="9.44140625" bestFit="1" customWidth="1"/>
    <col min="13" max="13" width="9.6640625" bestFit="1" customWidth="1"/>
    <col min="14" max="14" width="12.44140625" bestFit="1" customWidth="1"/>
    <col min="15" max="15" width="13" bestFit="1" customWidth="1"/>
    <col min="16" max="16" width="10.109375" bestFit="1" customWidth="1"/>
    <col min="17" max="17" width="10.6640625" bestFit="1" customWidth="1"/>
    <col min="18" max="18" width="7" bestFit="1" customWidth="1"/>
    <col min="19" max="19" width="31.33203125" bestFit="1" customWidth="1"/>
    <col min="20" max="20" width="19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316</v>
      </c>
      <c r="C1" s="1" t="s">
        <v>907</v>
      </c>
      <c r="D1" s="10" t="s">
        <v>908</v>
      </c>
      <c r="E1" s="10" t="s">
        <v>909</v>
      </c>
      <c r="F1" s="1" t="s">
        <v>318</v>
      </c>
      <c r="G1" s="10" t="s">
        <v>910</v>
      </c>
      <c r="H1" s="10" t="s">
        <v>320</v>
      </c>
      <c r="I1" s="1" t="s">
        <v>85</v>
      </c>
      <c r="J1" s="1" t="s">
        <v>321</v>
      </c>
      <c r="K1" s="1" t="s">
        <v>82</v>
      </c>
      <c r="L1" s="1" t="s">
        <v>322</v>
      </c>
      <c r="M1" s="1" t="s">
        <v>323</v>
      </c>
      <c r="N1" s="1" t="s">
        <v>324</v>
      </c>
      <c r="O1" s="1" t="s">
        <v>325</v>
      </c>
      <c r="P1" s="1" t="s">
        <v>326</v>
      </c>
      <c r="Q1" s="1" t="s">
        <v>327</v>
      </c>
      <c r="R1" s="1" t="s">
        <v>328</v>
      </c>
      <c r="S1" s="1" t="s">
        <v>329</v>
      </c>
      <c r="T1" s="1" t="s">
        <v>330</v>
      </c>
      <c r="U1" s="1" t="s">
        <v>331</v>
      </c>
    </row>
    <row r="2" spans="1:21" x14ac:dyDescent="0.3">
      <c r="A2" t="s">
        <v>142</v>
      </c>
      <c r="B2" t="s">
        <v>119</v>
      </c>
      <c r="C2" t="s">
        <v>906</v>
      </c>
      <c r="D2" s="6" t="str">
        <f>INDEX(CaseTypeDim!$F:$F,MATCH($C2,CaseTypeDim!$A:$A,0))</f>
        <v>TEXT</v>
      </c>
      <c r="E2" s="6" t="str">
        <f>INDEX(CaseTypeDim!$G:$G,MATCH($C2,CaseTypeDim!$A:$A,0))</f>
        <v>1_1_1</v>
      </c>
      <c r="F2" t="s">
        <v>332</v>
      </c>
      <c r="G2" s="6" t="str">
        <f>INDEX(Col!$H:$H,MATCH($F2,Col!$A:$A,0))</f>
        <v>TEXT</v>
      </c>
      <c r="H2" s="6" t="str">
        <f>"case_type_col"&amp;$E2&amp;"_"&amp;$I2&amp;"_"&amp;$G2</f>
        <v>case_type_col1_1_1_1_TEXT</v>
      </c>
      <c r="I2">
        <v>1</v>
      </c>
      <c r="U2" t="s">
        <v>333</v>
      </c>
    </row>
    <row r="3" spans="1:21" x14ac:dyDescent="0.3">
      <c r="A3" t="s">
        <v>145</v>
      </c>
      <c r="B3" t="s">
        <v>119</v>
      </c>
      <c r="C3" t="s">
        <v>905</v>
      </c>
      <c r="D3" s="6" t="str">
        <f>INDEX(CaseTypeDim!$F:$F,MATCH($C3,CaseTypeDim!$A:$A,0))</f>
        <v>TEXT</v>
      </c>
      <c r="E3" s="6" t="str">
        <f>INDEX(CaseTypeDim!$G:$G,MATCH($C3,CaseTypeDim!$A:$A,0))</f>
        <v>1_1_2</v>
      </c>
      <c r="F3" t="s">
        <v>334</v>
      </c>
      <c r="G3" s="6" t="str">
        <f>INDEX(Col!$H:$H,MATCH($F3,Col!$A:$A,0))</f>
        <v>TEXT</v>
      </c>
      <c r="H3" s="6" t="str">
        <f t="shared" ref="H3:H56" si="0">"case_type_col"&amp;$E3&amp;"_"&amp;$I3&amp;"_"&amp;$G3</f>
        <v>case_type_col1_1_2_1_TEXT</v>
      </c>
      <c r="I3">
        <v>1</v>
      </c>
      <c r="U3" t="s">
        <v>333</v>
      </c>
    </row>
    <row r="4" spans="1:21" x14ac:dyDescent="0.3">
      <c r="A4" t="s">
        <v>148</v>
      </c>
      <c r="B4" t="s">
        <v>119</v>
      </c>
      <c r="C4" t="s">
        <v>904</v>
      </c>
      <c r="D4" s="6" t="str">
        <f>INDEX(CaseTypeDim!$F:$F,MATCH($C4,CaseTypeDim!$A:$A,0))</f>
        <v>TEXT</v>
      </c>
      <c r="E4" s="6" t="str">
        <f>INDEX(CaseTypeDim!$G:$G,MATCH($C4,CaseTypeDim!$A:$A,0))</f>
        <v>1_1_3</v>
      </c>
      <c r="F4" t="s">
        <v>335</v>
      </c>
      <c r="G4" s="6" t="str">
        <f>INDEX(Col!$H:$H,MATCH($F4,Col!$A:$A,0))</f>
        <v>TEXT</v>
      </c>
      <c r="H4" s="6" t="str">
        <f t="shared" si="0"/>
        <v>case_type_col1_1_3_1_TEXT</v>
      </c>
      <c r="I4">
        <v>1</v>
      </c>
      <c r="U4" t="s">
        <v>333</v>
      </c>
    </row>
    <row r="5" spans="1:21" x14ac:dyDescent="0.3">
      <c r="A5" t="s">
        <v>151</v>
      </c>
      <c r="B5" t="s">
        <v>119</v>
      </c>
      <c r="C5" t="s">
        <v>903</v>
      </c>
      <c r="D5" s="6" t="str">
        <f>INDEX(CaseTypeDim!$F:$F,MATCH($C5,CaseTypeDim!$A:$A,0))</f>
        <v>TEXT</v>
      </c>
      <c r="E5" s="6" t="str">
        <f>INDEX(CaseTypeDim!$G:$G,MATCH($C5,CaseTypeDim!$A:$A,0))</f>
        <v>1_2_1</v>
      </c>
      <c r="F5" t="s">
        <v>336</v>
      </c>
      <c r="G5" s="6" t="str">
        <f>INDEX(Col!$H:$H,MATCH($F5,Col!$A:$A,0))</f>
        <v>TEXT</v>
      </c>
      <c r="H5" s="6" t="str">
        <f t="shared" si="0"/>
        <v>case_type_col1_2_1_1_TEXT</v>
      </c>
      <c r="I5">
        <v>1</v>
      </c>
      <c r="U5" t="s">
        <v>333</v>
      </c>
    </row>
    <row r="6" spans="1:21" x14ac:dyDescent="0.3">
      <c r="A6" t="s">
        <v>154</v>
      </c>
      <c r="B6" t="s">
        <v>119</v>
      </c>
      <c r="C6" t="s">
        <v>902</v>
      </c>
      <c r="D6" s="6" t="str">
        <f>INDEX(CaseTypeDim!$F:$F,MATCH($C6,CaseTypeDim!$A:$A,0))</f>
        <v>TEXT</v>
      </c>
      <c r="E6" s="6" t="str">
        <f>INDEX(CaseTypeDim!$G:$G,MATCH($C6,CaseTypeDim!$A:$A,0))</f>
        <v>1_2_2</v>
      </c>
      <c r="F6" t="s">
        <v>337</v>
      </c>
      <c r="G6" s="6" t="str">
        <f>INDEX(Col!$H:$H,MATCH($F6,Col!$A:$A,0))</f>
        <v>TEXT</v>
      </c>
      <c r="H6" s="6" t="str">
        <f t="shared" si="0"/>
        <v>case_type_col1_2_2_1_TEXT</v>
      </c>
      <c r="I6">
        <v>1</v>
      </c>
      <c r="U6" t="s">
        <v>333</v>
      </c>
    </row>
    <row r="7" spans="1:21" x14ac:dyDescent="0.3">
      <c r="A7" t="s">
        <v>157</v>
      </c>
      <c r="B7" t="s">
        <v>119</v>
      </c>
      <c r="C7" t="s">
        <v>901</v>
      </c>
      <c r="D7" s="6" t="str">
        <f>INDEX(CaseTypeDim!$F:$F,MATCH($C7,CaseTypeDim!$A:$A,0))</f>
        <v>TEXT</v>
      </c>
      <c r="E7" s="6" t="str">
        <f>INDEX(CaseTypeDim!$G:$G,MATCH($C7,CaseTypeDim!$A:$A,0))</f>
        <v>1_2_3</v>
      </c>
      <c r="F7" t="s">
        <v>338</v>
      </c>
      <c r="G7" s="6" t="str">
        <f>INDEX(Col!$H:$H,MATCH($F7,Col!$A:$A,0))</f>
        <v>TEXT</v>
      </c>
      <c r="H7" s="6" t="str">
        <f t="shared" si="0"/>
        <v>case_type_col1_2_3_1_TEXT</v>
      </c>
      <c r="I7">
        <v>1</v>
      </c>
      <c r="U7" t="s">
        <v>333</v>
      </c>
    </row>
    <row r="8" spans="1:21" x14ac:dyDescent="0.3">
      <c r="A8" t="s">
        <v>160</v>
      </c>
      <c r="B8" t="s">
        <v>119</v>
      </c>
      <c r="C8" t="s">
        <v>900</v>
      </c>
      <c r="D8" s="6" t="str">
        <f>INDEX(CaseTypeDim!$F:$F,MATCH($C8,CaseTypeDim!$A:$A,0))</f>
        <v>TEXT</v>
      </c>
      <c r="E8" s="6" t="str">
        <f>INDEX(CaseTypeDim!$G:$G,MATCH($C8,CaseTypeDim!$A:$A,0))</f>
        <v>1_3_1</v>
      </c>
      <c r="F8" t="s">
        <v>339</v>
      </c>
      <c r="G8" s="6" t="str">
        <f>INDEX(Col!$H:$H,MATCH($F8,Col!$A:$A,0))</f>
        <v>TEXT</v>
      </c>
      <c r="H8" s="6" t="str">
        <f t="shared" si="0"/>
        <v>case_type_col1_3_1_1_TEXT</v>
      </c>
      <c r="I8">
        <v>1</v>
      </c>
      <c r="U8" t="s">
        <v>333</v>
      </c>
    </row>
    <row r="9" spans="1:21" x14ac:dyDescent="0.3">
      <c r="A9" t="s">
        <v>163</v>
      </c>
      <c r="B9" t="s">
        <v>119</v>
      </c>
      <c r="C9" t="s">
        <v>899</v>
      </c>
      <c r="D9" s="6" t="str">
        <f>INDEX(CaseTypeDim!$F:$F,MATCH($C9,CaseTypeDim!$A:$A,0))</f>
        <v>TEXT</v>
      </c>
      <c r="E9" s="6" t="str">
        <f>INDEX(CaseTypeDim!$G:$G,MATCH($C9,CaseTypeDim!$A:$A,0))</f>
        <v>1_3_2</v>
      </c>
      <c r="F9" t="s">
        <v>340</v>
      </c>
      <c r="G9" s="6" t="str">
        <f>INDEX(Col!$H:$H,MATCH($F9,Col!$A:$A,0))</f>
        <v>TEXT</v>
      </c>
      <c r="H9" s="6" t="str">
        <f t="shared" si="0"/>
        <v>case_type_col1_3_2_1_TEXT</v>
      </c>
      <c r="I9">
        <v>1</v>
      </c>
      <c r="U9" t="s">
        <v>333</v>
      </c>
    </row>
    <row r="10" spans="1:21" x14ac:dyDescent="0.3">
      <c r="A10" t="s">
        <v>166</v>
      </c>
      <c r="B10" t="s">
        <v>119</v>
      </c>
      <c r="C10" t="s">
        <v>898</v>
      </c>
      <c r="D10" s="6" t="str">
        <f>INDEX(CaseTypeDim!$F:$F,MATCH($C10,CaseTypeDim!$A:$A,0))</f>
        <v>TEXT</v>
      </c>
      <c r="E10" s="6" t="str">
        <f>INDEX(CaseTypeDim!$G:$G,MATCH($C10,CaseTypeDim!$A:$A,0))</f>
        <v>1_3_3</v>
      </c>
      <c r="F10" t="s">
        <v>341</v>
      </c>
      <c r="G10" s="6" t="str">
        <f>INDEX(Col!$H:$H,MATCH($F10,Col!$A:$A,0))</f>
        <v>TEXT</v>
      </c>
      <c r="H10" s="6" t="str">
        <f t="shared" si="0"/>
        <v>case_type_col1_3_3_1_TEXT</v>
      </c>
      <c r="I10">
        <v>1</v>
      </c>
      <c r="U10" t="s">
        <v>333</v>
      </c>
    </row>
    <row r="11" spans="1:21" x14ac:dyDescent="0.3">
      <c r="A11" t="s">
        <v>745</v>
      </c>
      <c r="B11" t="s">
        <v>119</v>
      </c>
      <c r="C11" t="s">
        <v>897</v>
      </c>
      <c r="D11" s="6" t="str">
        <f>INDEX(CaseTypeDim!$F:$F,MATCH($C11,CaseTypeDim!$A:$A,0))</f>
        <v>TEXT</v>
      </c>
      <c r="E11" s="6" t="str">
        <f>INDEX(CaseTypeDim!$G:$G,MATCH($C11,CaseTypeDim!$A:$A,0))</f>
        <v>1_4_1</v>
      </c>
      <c r="F11" t="s">
        <v>736</v>
      </c>
      <c r="G11" s="6" t="str">
        <f>INDEX(Col!$H:$H,MATCH($F11,Col!$A:$A,0))</f>
        <v>GENETIC_READS</v>
      </c>
      <c r="H11" s="6" t="str">
        <f t="shared" si="0"/>
        <v>case_type_col1_4_1_1_GENETIC_READS</v>
      </c>
      <c r="I11">
        <v>1</v>
      </c>
      <c r="U11" t="s">
        <v>333</v>
      </c>
    </row>
    <row r="12" spans="1:21" x14ac:dyDescent="0.3">
      <c r="A12" t="s">
        <v>744</v>
      </c>
      <c r="B12" t="s">
        <v>119</v>
      </c>
      <c r="C12" t="s">
        <v>896</v>
      </c>
      <c r="D12" s="6" t="str">
        <f>INDEX(CaseTypeDim!$F:$F,MATCH($C12,CaseTypeDim!$A:$A,0))</f>
        <v>TEXT</v>
      </c>
      <c r="E12" s="6" t="str">
        <f>INDEX(CaseTypeDim!$G:$G,MATCH($C12,CaseTypeDim!$A:$A,0))</f>
        <v>1_4_2</v>
      </c>
      <c r="F12" t="s">
        <v>735</v>
      </c>
      <c r="G12" s="6" t="str">
        <f>INDEX(Col!$H:$H,MATCH($F12,Col!$A:$A,0))</f>
        <v>GENETIC_SEQUENCE</v>
      </c>
      <c r="H12" s="6" t="str">
        <f t="shared" si="0"/>
        <v>case_type_col1_4_2_1_GENETIC_SEQUENCE</v>
      </c>
      <c r="I12">
        <v>1</v>
      </c>
      <c r="U12" t="s">
        <v>333</v>
      </c>
    </row>
    <row r="13" spans="1:21" x14ac:dyDescent="0.3">
      <c r="A13" t="s">
        <v>168</v>
      </c>
      <c r="B13" t="s">
        <v>123</v>
      </c>
      <c r="C13" t="s">
        <v>895</v>
      </c>
      <c r="D13" s="6" t="str">
        <f>INDEX(CaseTypeDim!$F:$F,MATCH($C13,CaseTypeDim!$A:$A,0))</f>
        <v>TEXT</v>
      </c>
      <c r="E13" s="6" t="str">
        <f>INDEX(CaseTypeDim!$G:$G,MATCH($C13,CaseTypeDim!$A:$A,0))</f>
        <v>2_1_1</v>
      </c>
      <c r="F13" t="s">
        <v>332</v>
      </c>
      <c r="G13" s="6" t="str">
        <f>INDEX(Col!$H:$H,MATCH($F13,Col!$A:$A,0))</f>
        <v>TEXT</v>
      </c>
      <c r="H13" s="6" t="str">
        <f t="shared" si="0"/>
        <v>case_type_col2_1_1_1_TEXT</v>
      </c>
      <c r="I13">
        <v>1</v>
      </c>
      <c r="U13" t="s">
        <v>333</v>
      </c>
    </row>
    <row r="14" spans="1:21" x14ac:dyDescent="0.3">
      <c r="A14" t="s">
        <v>171</v>
      </c>
      <c r="B14" t="s">
        <v>123</v>
      </c>
      <c r="C14" t="s">
        <v>894</v>
      </c>
      <c r="D14" s="6" t="str">
        <f>INDEX(CaseTypeDim!$F:$F,MATCH($C14,CaseTypeDim!$A:$A,0))</f>
        <v>TEXT</v>
      </c>
      <c r="E14" s="6" t="str">
        <f>INDEX(CaseTypeDim!$G:$G,MATCH($C14,CaseTypeDim!$A:$A,0))</f>
        <v>2_1_2</v>
      </c>
      <c r="F14" t="s">
        <v>334</v>
      </c>
      <c r="G14" s="6" t="str">
        <f>INDEX(Col!$H:$H,MATCH($F14,Col!$A:$A,0))</f>
        <v>TEXT</v>
      </c>
      <c r="H14" s="6" t="str">
        <f t="shared" si="0"/>
        <v>case_type_col2_1_2_1_TEXT</v>
      </c>
      <c r="I14">
        <v>1</v>
      </c>
      <c r="U14" t="s">
        <v>333</v>
      </c>
    </row>
    <row r="15" spans="1:21" x14ac:dyDescent="0.3">
      <c r="A15" t="s">
        <v>174</v>
      </c>
      <c r="B15" t="s">
        <v>123</v>
      </c>
      <c r="C15" t="s">
        <v>893</v>
      </c>
      <c r="D15" s="6" t="str">
        <f>INDEX(CaseTypeDim!$F:$F,MATCH($C15,CaseTypeDim!$A:$A,0))</f>
        <v>TEXT</v>
      </c>
      <c r="E15" s="6" t="str">
        <f>INDEX(CaseTypeDim!$G:$G,MATCH($C15,CaseTypeDim!$A:$A,0))</f>
        <v>2_1_3</v>
      </c>
      <c r="F15" t="s">
        <v>335</v>
      </c>
      <c r="G15" s="6" t="str">
        <f>INDEX(Col!$H:$H,MATCH($F15,Col!$A:$A,0))</f>
        <v>TEXT</v>
      </c>
      <c r="H15" s="6" t="str">
        <f t="shared" si="0"/>
        <v>case_type_col2_1_3_1_TEXT</v>
      </c>
      <c r="I15">
        <v>1</v>
      </c>
      <c r="U15" t="s">
        <v>333</v>
      </c>
    </row>
    <row r="16" spans="1:21" x14ac:dyDescent="0.3">
      <c r="A16" t="s">
        <v>177</v>
      </c>
      <c r="B16" t="s">
        <v>123</v>
      </c>
      <c r="C16" t="s">
        <v>892</v>
      </c>
      <c r="D16" s="6" t="str">
        <f>INDEX(CaseTypeDim!$F:$F,MATCH($C16,CaseTypeDim!$A:$A,0))</f>
        <v>TEXT</v>
      </c>
      <c r="E16" s="6" t="str">
        <f>INDEX(CaseTypeDim!$G:$G,MATCH($C16,CaseTypeDim!$A:$A,0))</f>
        <v>2_2_1</v>
      </c>
      <c r="F16" t="s">
        <v>336</v>
      </c>
      <c r="G16" s="6" t="str">
        <f>INDEX(Col!$H:$H,MATCH($F16,Col!$A:$A,0))</f>
        <v>TEXT</v>
      </c>
      <c r="H16" s="6" t="str">
        <f t="shared" si="0"/>
        <v>case_type_col2_2_1_1_TEXT</v>
      </c>
      <c r="I16">
        <v>1</v>
      </c>
      <c r="U16" t="s">
        <v>333</v>
      </c>
    </row>
    <row r="17" spans="1:21" x14ac:dyDescent="0.3">
      <c r="A17" t="s">
        <v>180</v>
      </c>
      <c r="B17" t="s">
        <v>123</v>
      </c>
      <c r="C17" t="s">
        <v>891</v>
      </c>
      <c r="D17" s="6" t="str">
        <f>INDEX(CaseTypeDim!$F:$F,MATCH($C17,CaseTypeDim!$A:$A,0))</f>
        <v>TEXT</v>
      </c>
      <c r="E17" s="6" t="str">
        <f>INDEX(CaseTypeDim!$G:$G,MATCH($C17,CaseTypeDim!$A:$A,0))</f>
        <v>2_2_2</v>
      </c>
      <c r="F17" t="s">
        <v>337</v>
      </c>
      <c r="G17" s="6" t="str">
        <f>INDEX(Col!$H:$H,MATCH($F17,Col!$A:$A,0))</f>
        <v>TEXT</v>
      </c>
      <c r="H17" s="6" t="str">
        <f t="shared" si="0"/>
        <v>case_type_col2_2_2_1_TEXT</v>
      </c>
      <c r="I17">
        <v>1</v>
      </c>
      <c r="U17" t="s">
        <v>333</v>
      </c>
    </row>
    <row r="18" spans="1:21" x14ac:dyDescent="0.3">
      <c r="A18" t="s">
        <v>183</v>
      </c>
      <c r="B18" t="s">
        <v>123</v>
      </c>
      <c r="C18" t="s">
        <v>890</v>
      </c>
      <c r="D18" s="6" t="str">
        <f>INDEX(CaseTypeDim!$F:$F,MATCH($C18,CaseTypeDim!$A:$A,0))</f>
        <v>TEXT</v>
      </c>
      <c r="E18" s="6" t="str">
        <f>INDEX(CaseTypeDim!$G:$G,MATCH($C18,CaseTypeDim!$A:$A,0))</f>
        <v>2_2_3</v>
      </c>
      <c r="F18" t="s">
        <v>338</v>
      </c>
      <c r="G18" s="6" t="str">
        <f>INDEX(Col!$H:$H,MATCH($F18,Col!$A:$A,0))</f>
        <v>TEXT</v>
      </c>
      <c r="H18" s="6" t="str">
        <f t="shared" si="0"/>
        <v>case_type_col2_2_3_1_TEXT</v>
      </c>
      <c r="I18">
        <v>1</v>
      </c>
      <c r="U18" t="s">
        <v>333</v>
      </c>
    </row>
    <row r="19" spans="1:21" x14ac:dyDescent="0.3">
      <c r="A19" t="s">
        <v>186</v>
      </c>
      <c r="B19" t="s">
        <v>123</v>
      </c>
      <c r="C19" t="s">
        <v>889</v>
      </c>
      <c r="D19" s="6" t="str">
        <f>INDEX(CaseTypeDim!$F:$F,MATCH($C19,CaseTypeDim!$A:$A,0))</f>
        <v>TEXT</v>
      </c>
      <c r="E19" s="6" t="str">
        <f>INDEX(CaseTypeDim!$G:$G,MATCH($C19,CaseTypeDim!$A:$A,0))</f>
        <v>2_3_1</v>
      </c>
      <c r="F19" t="s">
        <v>339</v>
      </c>
      <c r="G19" s="6" t="str">
        <f>INDEX(Col!$H:$H,MATCH($F19,Col!$A:$A,0))</f>
        <v>TEXT</v>
      </c>
      <c r="H19" s="6" t="str">
        <f t="shared" si="0"/>
        <v>case_type_col2_3_1_1_TEXT</v>
      </c>
      <c r="I19">
        <v>1</v>
      </c>
      <c r="U19" t="s">
        <v>333</v>
      </c>
    </row>
    <row r="20" spans="1:21" x14ac:dyDescent="0.3">
      <c r="A20" t="s">
        <v>189</v>
      </c>
      <c r="B20" t="s">
        <v>123</v>
      </c>
      <c r="C20" t="s">
        <v>888</v>
      </c>
      <c r="D20" s="6" t="str">
        <f>INDEX(CaseTypeDim!$F:$F,MATCH($C20,CaseTypeDim!$A:$A,0))</f>
        <v>TEXT</v>
      </c>
      <c r="E20" s="6" t="str">
        <f>INDEX(CaseTypeDim!$G:$G,MATCH($C20,CaseTypeDim!$A:$A,0))</f>
        <v>2_3_2</v>
      </c>
      <c r="F20" t="s">
        <v>340</v>
      </c>
      <c r="G20" s="6" t="str">
        <f>INDEX(Col!$H:$H,MATCH($F20,Col!$A:$A,0))</f>
        <v>TEXT</v>
      </c>
      <c r="H20" s="6" t="str">
        <f t="shared" si="0"/>
        <v>case_type_col2_3_2_1_TEXT</v>
      </c>
      <c r="I20">
        <v>1</v>
      </c>
      <c r="U20" t="s">
        <v>333</v>
      </c>
    </row>
    <row r="21" spans="1:21" x14ac:dyDescent="0.3">
      <c r="A21" t="s">
        <v>192</v>
      </c>
      <c r="B21" t="s">
        <v>123</v>
      </c>
      <c r="C21" t="s">
        <v>887</v>
      </c>
      <c r="D21" s="6" t="str">
        <f>INDEX(CaseTypeDim!$F:$F,MATCH($C21,CaseTypeDim!$A:$A,0))</f>
        <v>TEXT</v>
      </c>
      <c r="E21" s="6" t="str">
        <f>INDEX(CaseTypeDim!$G:$G,MATCH($C21,CaseTypeDim!$A:$A,0))</f>
        <v>2_3_3</v>
      </c>
      <c r="F21" t="s">
        <v>341</v>
      </c>
      <c r="G21" s="6" t="str">
        <f>INDEX(Col!$H:$H,MATCH($F21,Col!$A:$A,0))</f>
        <v>TEXT</v>
      </c>
      <c r="H21" s="6" t="str">
        <f t="shared" si="0"/>
        <v>case_type_col2_3_3_1_TEXT</v>
      </c>
      <c r="I21">
        <v>1</v>
      </c>
      <c r="U21" t="s">
        <v>333</v>
      </c>
    </row>
    <row r="22" spans="1:21" x14ac:dyDescent="0.3">
      <c r="A22" t="s">
        <v>753</v>
      </c>
      <c r="B22" t="s">
        <v>123</v>
      </c>
      <c r="C22" t="s">
        <v>886</v>
      </c>
      <c r="D22" s="6" t="str">
        <f>INDEX(CaseTypeDim!$F:$F,MATCH($C22,CaseTypeDim!$A:$A,0))</f>
        <v>TEXT</v>
      </c>
      <c r="E22" s="6" t="str">
        <f>INDEX(CaseTypeDim!$G:$G,MATCH($C22,CaseTypeDim!$A:$A,0))</f>
        <v>2_4_1</v>
      </c>
      <c r="F22" t="s">
        <v>736</v>
      </c>
      <c r="G22" s="6" t="str">
        <f>INDEX(Col!$H:$H,MATCH($F22,Col!$A:$A,0))</f>
        <v>GENETIC_READS</v>
      </c>
      <c r="H22" s="6" t="str">
        <f t="shared" si="0"/>
        <v>case_type_col2_4_1_1_GENETIC_READS</v>
      </c>
      <c r="I22">
        <v>1</v>
      </c>
      <c r="U22" t="s">
        <v>333</v>
      </c>
    </row>
    <row r="23" spans="1:21" x14ac:dyDescent="0.3">
      <c r="A23" t="s">
        <v>752</v>
      </c>
      <c r="B23" t="s">
        <v>123</v>
      </c>
      <c r="C23" t="s">
        <v>885</v>
      </c>
      <c r="D23" s="6" t="str">
        <f>INDEX(CaseTypeDim!$F:$F,MATCH($C23,CaseTypeDim!$A:$A,0))</f>
        <v>TEXT</v>
      </c>
      <c r="E23" s="6" t="str">
        <f>INDEX(CaseTypeDim!$G:$G,MATCH($C23,CaseTypeDim!$A:$A,0))</f>
        <v>2_4_2</v>
      </c>
      <c r="F23" t="s">
        <v>735</v>
      </c>
      <c r="G23" s="6" t="str">
        <f>INDEX(Col!$H:$H,MATCH($F23,Col!$A:$A,0))</f>
        <v>GENETIC_SEQUENCE</v>
      </c>
      <c r="H23" s="6" t="str">
        <f t="shared" si="0"/>
        <v>case_type_col2_4_2_1_GENETIC_SEQUENCE</v>
      </c>
      <c r="I23">
        <v>1</v>
      </c>
      <c r="U23" t="s">
        <v>333</v>
      </c>
    </row>
    <row r="24" spans="1:21" x14ac:dyDescent="0.3">
      <c r="A24" t="s">
        <v>194</v>
      </c>
      <c r="B24" t="s">
        <v>127</v>
      </c>
      <c r="C24" t="s">
        <v>884</v>
      </c>
      <c r="D24" s="6" t="str">
        <f>INDEX(CaseTypeDim!$F:$F,MATCH($C24,CaseTypeDim!$A:$A,0))</f>
        <v>TEXT</v>
      </c>
      <c r="E24" s="6" t="str">
        <f>INDEX(CaseTypeDim!$G:$G,MATCH($C24,CaseTypeDim!$A:$A,0))</f>
        <v>3_1_1</v>
      </c>
      <c r="F24" t="s">
        <v>332</v>
      </c>
      <c r="G24" s="6" t="str">
        <f>INDEX(Col!$H:$H,MATCH($F24,Col!$A:$A,0))</f>
        <v>TEXT</v>
      </c>
      <c r="H24" s="6" t="str">
        <f t="shared" si="0"/>
        <v>case_type_col3_1_1_1_TEXT</v>
      </c>
      <c r="I24">
        <v>1</v>
      </c>
      <c r="U24" t="s">
        <v>333</v>
      </c>
    </row>
    <row r="25" spans="1:21" x14ac:dyDescent="0.3">
      <c r="A25" t="s">
        <v>197</v>
      </c>
      <c r="B25" t="s">
        <v>127</v>
      </c>
      <c r="C25" t="s">
        <v>883</v>
      </c>
      <c r="D25" s="6" t="str">
        <f>INDEX(CaseTypeDim!$F:$F,MATCH($C25,CaseTypeDim!$A:$A,0))</f>
        <v>TEXT</v>
      </c>
      <c r="E25" s="6" t="str">
        <f>INDEX(CaseTypeDim!$G:$G,MATCH($C25,CaseTypeDim!$A:$A,0))</f>
        <v>3_1_2</v>
      </c>
      <c r="F25" t="s">
        <v>334</v>
      </c>
      <c r="G25" s="6" t="str">
        <f>INDEX(Col!$H:$H,MATCH($F25,Col!$A:$A,0))</f>
        <v>TEXT</v>
      </c>
      <c r="H25" s="6" t="str">
        <f t="shared" si="0"/>
        <v>case_type_col3_1_2_1_TEXT</v>
      </c>
      <c r="I25">
        <v>1</v>
      </c>
      <c r="U25" t="s">
        <v>333</v>
      </c>
    </row>
    <row r="26" spans="1:21" x14ac:dyDescent="0.3">
      <c r="A26" t="s">
        <v>200</v>
      </c>
      <c r="B26" t="s">
        <v>127</v>
      </c>
      <c r="C26" t="s">
        <v>882</v>
      </c>
      <c r="D26" s="6" t="str">
        <f>INDEX(CaseTypeDim!$F:$F,MATCH($C26,CaseTypeDim!$A:$A,0))</f>
        <v>TEXT</v>
      </c>
      <c r="E26" s="6" t="str">
        <f>INDEX(CaseTypeDim!$G:$G,MATCH($C26,CaseTypeDim!$A:$A,0))</f>
        <v>3_1_3</v>
      </c>
      <c r="F26" t="s">
        <v>335</v>
      </c>
      <c r="G26" s="6" t="str">
        <f>INDEX(Col!$H:$H,MATCH($F26,Col!$A:$A,0))</f>
        <v>TEXT</v>
      </c>
      <c r="H26" s="6" t="str">
        <f t="shared" si="0"/>
        <v>case_type_col3_1_3_1_TEXT</v>
      </c>
      <c r="I26">
        <v>1</v>
      </c>
      <c r="U26" t="s">
        <v>333</v>
      </c>
    </row>
    <row r="27" spans="1:21" x14ac:dyDescent="0.3">
      <c r="A27" t="s">
        <v>203</v>
      </c>
      <c r="B27" t="s">
        <v>127</v>
      </c>
      <c r="C27" t="s">
        <v>881</v>
      </c>
      <c r="D27" s="6" t="str">
        <f>INDEX(CaseTypeDim!$F:$F,MATCH($C27,CaseTypeDim!$A:$A,0))</f>
        <v>TEXT</v>
      </c>
      <c r="E27" s="6" t="str">
        <f>INDEX(CaseTypeDim!$G:$G,MATCH($C27,CaseTypeDim!$A:$A,0))</f>
        <v>3_2_1</v>
      </c>
      <c r="F27" t="s">
        <v>336</v>
      </c>
      <c r="G27" s="6" t="str">
        <f>INDEX(Col!$H:$H,MATCH($F27,Col!$A:$A,0))</f>
        <v>TEXT</v>
      </c>
      <c r="H27" s="6" t="str">
        <f t="shared" si="0"/>
        <v>case_type_col3_2_1_1_TEXT</v>
      </c>
      <c r="I27">
        <v>1</v>
      </c>
      <c r="U27" t="s">
        <v>333</v>
      </c>
    </row>
    <row r="28" spans="1:21" x14ac:dyDescent="0.3">
      <c r="A28" t="s">
        <v>206</v>
      </c>
      <c r="B28" t="s">
        <v>127</v>
      </c>
      <c r="C28" t="s">
        <v>880</v>
      </c>
      <c r="D28" s="6" t="str">
        <f>INDEX(CaseTypeDim!$F:$F,MATCH($C28,CaseTypeDim!$A:$A,0))</f>
        <v>TEXT</v>
      </c>
      <c r="E28" s="6" t="str">
        <f>INDEX(CaseTypeDim!$G:$G,MATCH($C28,CaseTypeDim!$A:$A,0))</f>
        <v>3_2_2</v>
      </c>
      <c r="F28" t="s">
        <v>337</v>
      </c>
      <c r="G28" s="6" t="str">
        <f>INDEX(Col!$H:$H,MATCH($F28,Col!$A:$A,0))</f>
        <v>TEXT</v>
      </c>
      <c r="H28" s="6" t="str">
        <f t="shared" si="0"/>
        <v>case_type_col3_2_2_1_TEXT</v>
      </c>
      <c r="I28">
        <v>1</v>
      </c>
      <c r="U28" t="s">
        <v>333</v>
      </c>
    </row>
    <row r="29" spans="1:21" x14ac:dyDescent="0.3">
      <c r="A29" t="s">
        <v>209</v>
      </c>
      <c r="B29" t="s">
        <v>127</v>
      </c>
      <c r="C29" t="s">
        <v>879</v>
      </c>
      <c r="D29" s="6" t="str">
        <f>INDEX(CaseTypeDim!$F:$F,MATCH($C29,CaseTypeDim!$A:$A,0))</f>
        <v>TEXT</v>
      </c>
      <c r="E29" s="6" t="str">
        <f>INDEX(CaseTypeDim!$G:$G,MATCH($C29,CaseTypeDim!$A:$A,0))</f>
        <v>3_2_3</v>
      </c>
      <c r="F29" t="s">
        <v>338</v>
      </c>
      <c r="G29" s="6" t="str">
        <f>INDEX(Col!$H:$H,MATCH($F29,Col!$A:$A,0))</f>
        <v>TEXT</v>
      </c>
      <c r="H29" s="6" t="str">
        <f t="shared" si="0"/>
        <v>case_type_col3_2_3_1_TEXT</v>
      </c>
      <c r="I29">
        <v>1</v>
      </c>
      <c r="U29" t="s">
        <v>333</v>
      </c>
    </row>
    <row r="30" spans="1:21" x14ac:dyDescent="0.3">
      <c r="A30" t="s">
        <v>212</v>
      </c>
      <c r="B30" t="s">
        <v>127</v>
      </c>
      <c r="C30" t="s">
        <v>878</v>
      </c>
      <c r="D30" s="6" t="str">
        <f>INDEX(CaseTypeDim!$F:$F,MATCH($C30,CaseTypeDim!$A:$A,0))</f>
        <v>TEXT</v>
      </c>
      <c r="E30" s="6" t="str">
        <f>INDEX(CaseTypeDim!$G:$G,MATCH($C30,CaseTypeDim!$A:$A,0))</f>
        <v>3_3_1</v>
      </c>
      <c r="F30" t="s">
        <v>339</v>
      </c>
      <c r="G30" s="6" t="str">
        <f>INDEX(Col!$H:$H,MATCH($F30,Col!$A:$A,0))</f>
        <v>TEXT</v>
      </c>
      <c r="H30" s="6" t="str">
        <f t="shared" si="0"/>
        <v>case_type_col3_3_1_1_TEXT</v>
      </c>
      <c r="I30">
        <v>1</v>
      </c>
      <c r="U30" t="s">
        <v>333</v>
      </c>
    </row>
    <row r="31" spans="1:21" x14ac:dyDescent="0.3">
      <c r="A31" t="s">
        <v>215</v>
      </c>
      <c r="B31" t="s">
        <v>127</v>
      </c>
      <c r="C31" t="s">
        <v>877</v>
      </c>
      <c r="D31" s="6" t="str">
        <f>INDEX(CaseTypeDim!$F:$F,MATCH($C31,CaseTypeDim!$A:$A,0))</f>
        <v>TEXT</v>
      </c>
      <c r="E31" s="6" t="str">
        <f>INDEX(CaseTypeDim!$G:$G,MATCH($C31,CaseTypeDim!$A:$A,0))</f>
        <v>3_3_2</v>
      </c>
      <c r="F31" t="s">
        <v>340</v>
      </c>
      <c r="G31" s="6" t="str">
        <f>INDEX(Col!$H:$H,MATCH($F31,Col!$A:$A,0))</f>
        <v>TEXT</v>
      </c>
      <c r="H31" s="6" t="str">
        <f t="shared" si="0"/>
        <v>case_type_col3_3_2_1_TEXT</v>
      </c>
      <c r="I31">
        <v>1</v>
      </c>
      <c r="U31" t="s">
        <v>333</v>
      </c>
    </row>
    <row r="32" spans="1:21" x14ac:dyDescent="0.3">
      <c r="A32" t="s">
        <v>218</v>
      </c>
      <c r="B32" t="s">
        <v>127</v>
      </c>
      <c r="C32" t="s">
        <v>876</v>
      </c>
      <c r="D32" s="6" t="str">
        <f>INDEX(CaseTypeDim!$F:$F,MATCH($C32,CaseTypeDim!$A:$A,0))</f>
        <v>TEXT</v>
      </c>
      <c r="E32" s="6" t="str">
        <f>INDEX(CaseTypeDim!$G:$G,MATCH($C32,CaseTypeDim!$A:$A,0))</f>
        <v>3_3_3</v>
      </c>
      <c r="F32" t="s">
        <v>341</v>
      </c>
      <c r="G32" s="6" t="str">
        <f>INDEX(Col!$H:$H,MATCH($F32,Col!$A:$A,0))</f>
        <v>TEXT</v>
      </c>
      <c r="H32" s="6" t="str">
        <f t="shared" si="0"/>
        <v>case_type_col3_3_3_1_TEXT</v>
      </c>
      <c r="I32">
        <v>1</v>
      </c>
      <c r="U32" t="s">
        <v>333</v>
      </c>
    </row>
    <row r="33" spans="1:21" x14ac:dyDescent="0.3">
      <c r="A33" t="s">
        <v>751</v>
      </c>
      <c r="B33" t="s">
        <v>127</v>
      </c>
      <c r="C33" t="s">
        <v>875</v>
      </c>
      <c r="D33" s="6" t="str">
        <f>INDEX(CaseTypeDim!$F:$F,MATCH($C33,CaseTypeDim!$A:$A,0))</f>
        <v>TEXT</v>
      </c>
      <c r="E33" s="6" t="str">
        <f>INDEX(CaseTypeDim!$G:$G,MATCH($C33,CaseTypeDim!$A:$A,0))</f>
        <v>3_4_1</v>
      </c>
      <c r="F33" t="s">
        <v>736</v>
      </c>
      <c r="G33" s="6" t="str">
        <f>INDEX(Col!$H:$H,MATCH($F33,Col!$A:$A,0))</f>
        <v>GENETIC_READS</v>
      </c>
      <c r="H33" s="6" t="str">
        <f t="shared" si="0"/>
        <v>case_type_col3_4_1_1_GENETIC_READS</v>
      </c>
      <c r="I33">
        <v>1</v>
      </c>
      <c r="U33" t="s">
        <v>333</v>
      </c>
    </row>
    <row r="34" spans="1:21" x14ac:dyDescent="0.3">
      <c r="A34" t="s">
        <v>750</v>
      </c>
      <c r="B34" t="s">
        <v>127</v>
      </c>
      <c r="C34" t="s">
        <v>874</v>
      </c>
      <c r="D34" s="6" t="str">
        <f>INDEX(CaseTypeDim!$F:$F,MATCH($C34,CaseTypeDim!$A:$A,0))</f>
        <v>TEXT</v>
      </c>
      <c r="E34" s="6" t="str">
        <f>INDEX(CaseTypeDim!$G:$G,MATCH($C34,CaseTypeDim!$A:$A,0))</f>
        <v>3_4_2</v>
      </c>
      <c r="F34" t="s">
        <v>735</v>
      </c>
      <c r="G34" s="6" t="str">
        <f>INDEX(Col!$H:$H,MATCH($F34,Col!$A:$A,0))</f>
        <v>GENETIC_SEQUENCE</v>
      </c>
      <c r="H34" s="6" t="str">
        <f t="shared" si="0"/>
        <v>case_type_col3_4_2_1_GENETIC_SEQUENCE</v>
      </c>
      <c r="I34">
        <v>1</v>
      </c>
      <c r="U34" t="s">
        <v>333</v>
      </c>
    </row>
    <row r="35" spans="1:21" x14ac:dyDescent="0.3">
      <c r="A35" t="s">
        <v>220</v>
      </c>
      <c r="B35" t="s">
        <v>131</v>
      </c>
      <c r="C35" t="s">
        <v>873</v>
      </c>
      <c r="D35" s="6" t="str">
        <f>INDEX(CaseTypeDim!$F:$F,MATCH($C35,CaseTypeDim!$A:$A,0))</f>
        <v>TEXT</v>
      </c>
      <c r="E35" s="6" t="str">
        <f>INDEX(CaseTypeDim!$G:$G,MATCH($C35,CaseTypeDim!$A:$A,0))</f>
        <v>4_1_1</v>
      </c>
      <c r="F35" t="s">
        <v>332</v>
      </c>
      <c r="G35" s="6" t="str">
        <f>INDEX(Col!$H:$H,MATCH($F35,Col!$A:$A,0))</f>
        <v>TEXT</v>
      </c>
      <c r="H35" s="6" t="str">
        <f t="shared" si="0"/>
        <v>case_type_col4_1_1_1_TEXT</v>
      </c>
      <c r="I35">
        <v>1</v>
      </c>
      <c r="U35" t="s">
        <v>333</v>
      </c>
    </row>
    <row r="36" spans="1:21" x14ac:dyDescent="0.3">
      <c r="A36" t="s">
        <v>223</v>
      </c>
      <c r="B36" t="s">
        <v>131</v>
      </c>
      <c r="C36" t="s">
        <v>872</v>
      </c>
      <c r="D36" s="6" t="str">
        <f>INDEX(CaseTypeDim!$F:$F,MATCH($C36,CaseTypeDim!$A:$A,0))</f>
        <v>TEXT</v>
      </c>
      <c r="E36" s="6" t="str">
        <f>INDEX(CaseTypeDim!$G:$G,MATCH($C36,CaseTypeDim!$A:$A,0))</f>
        <v>4_1_2</v>
      </c>
      <c r="F36" t="s">
        <v>334</v>
      </c>
      <c r="G36" s="6" t="str">
        <f>INDEX(Col!$H:$H,MATCH($F36,Col!$A:$A,0))</f>
        <v>TEXT</v>
      </c>
      <c r="H36" s="6" t="str">
        <f t="shared" si="0"/>
        <v>case_type_col4_1_2_1_TEXT</v>
      </c>
      <c r="I36">
        <v>1</v>
      </c>
      <c r="U36" t="s">
        <v>333</v>
      </c>
    </row>
    <row r="37" spans="1:21" x14ac:dyDescent="0.3">
      <c r="A37" t="s">
        <v>226</v>
      </c>
      <c r="B37" t="s">
        <v>131</v>
      </c>
      <c r="C37" t="s">
        <v>871</v>
      </c>
      <c r="D37" s="6" t="str">
        <f>INDEX(CaseTypeDim!$F:$F,MATCH($C37,CaseTypeDim!$A:$A,0))</f>
        <v>TEXT</v>
      </c>
      <c r="E37" s="6" t="str">
        <f>INDEX(CaseTypeDim!$G:$G,MATCH($C37,CaseTypeDim!$A:$A,0))</f>
        <v>4_1_3</v>
      </c>
      <c r="F37" t="s">
        <v>335</v>
      </c>
      <c r="G37" s="6" t="str">
        <f>INDEX(Col!$H:$H,MATCH($F37,Col!$A:$A,0))</f>
        <v>TEXT</v>
      </c>
      <c r="H37" s="6" t="str">
        <f t="shared" si="0"/>
        <v>case_type_col4_1_3_1_TEXT</v>
      </c>
      <c r="I37">
        <v>1</v>
      </c>
      <c r="U37" t="s">
        <v>333</v>
      </c>
    </row>
    <row r="38" spans="1:21" x14ac:dyDescent="0.3">
      <c r="A38" t="s">
        <v>229</v>
      </c>
      <c r="B38" t="s">
        <v>131</v>
      </c>
      <c r="C38" t="s">
        <v>870</v>
      </c>
      <c r="D38" s="6" t="str">
        <f>INDEX(CaseTypeDim!$F:$F,MATCH($C38,CaseTypeDim!$A:$A,0))</f>
        <v>TEXT</v>
      </c>
      <c r="E38" s="6" t="str">
        <f>INDEX(CaseTypeDim!$G:$G,MATCH($C38,CaseTypeDim!$A:$A,0))</f>
        <v>4_2_1</v>
      </c>
      <c r="F38" t="s">
        <v>336</v>
      </c>
      <c r="G38" s="6" t="str">
        <f>INDEX(Col!$H:$H,MATCH($F38,Col!$A:$A,0))</f>
        <v>TEXT</v>
      </c>
      <c r="H38" s="6" t="str">
        <f t="shared" si="0"/>
        <v>case_type_col4_2_1_1_TEXT</v>
      </c>
      <c r="I38">
        <v>1</v>
      </c>
      <c r="U38" t="s">
        <v>333</v>
      </c>
    </row>
    <row r="39" spans="1:21" x14ac:dyDescent="0.3">
      <c r="A39" t="s">
        <v>232</v>
      </c>
      <c r="B39" t="s">
        <v>131</v>
      </c>
      <c r="C39" t="s">
        <v>869</v>
      </c>
      <c r="D39" s="6" t="str">
        <f>INDEX(CaseTypeDim!$F:$F,MATCH($C39,CaseTypeDim!$A:$A,0))</f>
        <v>TEXT</v>
      </c>
      <c r="E39" s="6" t="str">
        <f>INDEX(CaseTypeDim!$G:$G,MATCH($C39,CaseTypeDim!$A:$A,0))</f>
        <v>4_2_2</v>
      </c>
      <c r="F39" t="s">
        <v>337</v>
      </c>
      <c r="G39" s="6" t="str">
        <f>INDEX(Col!$H:$H,MATCH($F39,Col!$A:$A,0))</f>
        <v>TEXT</v>
      </c>
      <c r="H39" s="6" t="str">
        <f t="shared" si="0"/>
        <v>case_type_col4_2_2_1_TEXT</v>
      </c>
      <c r="I39">
        <v>1</v>
      </c>
      <c r="U39" t="s">
        <v>333</v>
      </c>
    </row>
    <row r="40" spans="1:21" x14ac:dyDescent="0.3">
      <c r="A40" t="s">
        <v>235</v>
      </c>
      <c r="B40" t="s">
        <v>131</v>
      </c>
      <c r="C40" t="s">
        <v>868</v>
      </c>
      <c r="D40" s="6" t="str">
        <f>INDEX(CaseTypeDim!$F:$F,MATCH($C40,CaseTypeDim!$A:$A,0))</f>
        <v>TEXT</v>
      </c>
      <c r="E40" s="6" t="str">
        <f>INDEX(CaseTypeDim!$G:$G,MATCH($C40,CaseTypeDim!$A:$A,0))</f>
        <v>4_2_3</v>
      </c>
      <c r="F40" t="s">
        <v>338</v>
      </c>
      <c r="G40" s="6" t="str">
        <f>INDEX(Col!$H:$H,MATCH($F40,Col!$A:$A,0))</f>
        <v>TEXT</v>
      </c>
      <c r="H40" s="6" t="str">
        <f t="shared" si="0"/>
        <v>case_type_col4_2_3_1_TEXT</v>
      </c>
      <c r="I40">
        <v>1</v>
      </c>
      <c r="U40" t="s">
        <v>333</v>
      </c>
    </row>
    <row r="41" spans="1:21" x14ac:dyDescent="0.3">
      <c r="A41" t="s">
        <v>238</v>
      </c>
      <c r="B41" t="s">
        <v>131</v>
      </c>
      <c r="C41" t="s">
        <v>867</v>
      </c>
      <c r="D41" s="6" t="str">
        <f>INDEX(CaseTypeDim!$F:$F,MATCH($C41,CaseTypeDim!$A:$A,0))</f>
        <v>TEXT</v>
      </c>
      <c r="E41" s="6" t="str">
        <f>INDEX(CaseTypeDim!$G:$G,MATCH($C41,CaseTypeDim!$A:$A,0))</f>
        <v>4_3_1</v>
      </c>
      <c r="F41" t="s">
        <v>339</v>
      </c>
      <c r="G41" s="6" t="str">
        <f>INDEX(Col!$H:$H,MATCH($F41,Col!$A:$A,0))</f>
        <v>TEXT</v>
      </c>
      <c r="H41" s="6" t="str">
        <f t="shared" si="0"/>
        <v>case_type_col4_3_1_1_TEXT</v>
      </c>
      <c r="I41">
        <v>1</v>
      </c>
      <c r="U41" t="s">
        <v>333</v>
      </c>
    </row>
    <row r="42" spans="1:21" x14ac:dyDescent="0.3">
      <c r="A42" t="s">
        <v>241</v>
      </c>
      <c r="B42" t="s">
        <v>131</v>
      </c>
      <c r="C42" t="s">
        <v>866</v>
      </c>
      <c r="D42" s="6" t="str">
        <f>INDEX(CaseTypeDim!$F:$F,MATCH($C42,CaseTypeDim!$A:$A,0))</f>
        <v>TEXT</v>
      </c>
      <c r="E42" s="6" t="str">
        <f>INDEX(CaseTypeDim!$G:$G,MATCH($C42,CaseTypeDim!$A:$A,0))</f>
        <v>4_3_2</v>
      </c>
      <c r="F42" t="s">
        <v>340</v>
      </c>
      <c r="G42" s="6" t="str">
        <f>INDEX(Col!$H:$H,MATCH($F42,Col!$A:$A,0))</f>
        <v>TEXT</v>
      </c>
      <c r="H42" s="6" t="str">
        <f t="shared" si="0"/>
        <v>case_type_col4_3_2_1_TEXT</v>
      </c>
      <c r="I42">
        <v>1</v>
      </c>
      <c r="U42" t="s">
        <v>333</v>
      </c>
    </row>
    <row r="43" spans="1:21" x14ac:dyDescent="0.3">
      <c r="A43" t="s">
        <v>244</v>
      </c>
      <c r="B43" t="s">
        <v>131</v>
      </c>
      <c r="C43" t="s">
        <v>865</v>
      </c>
      <c r="D43" s="6" t="str">
        <f>INDEX(CaseTypeDim!$F:$F,MATCH($C43,CaseTypeDim!$A:$A,0))</f>
        <v>TEXT</v>
      </c>
      <c r="E43" s="6" t="str">
        <f>INDEX(CaseTypeDim!$G:$G,MATCH($C43,CaseTypeDim!$A:$A,0))</f>
        <v>4_3_3</v>
      </c>
      <c r="F43" t="s">
        <v>341</v>
      </c>
      <c r="G43" s="6" t="str">
        <f>INDEX(Col!$H:$H,MATCH($F43,Col!$A:$A,0))</f>
        <v>TEXT</v>
      </c>
      <c r="H43" s="6" t="str">
        <f t="shared" si="0"/>
        <v>case_type_col4_3_3_1_TEXT</v>
      </c>
      <c r="I43">
        <v>1</v>
      </c>
      <c r="U43" t="s">
        <v>333</v>
      </c>
    </row>
    <row r="44" spans="1:21" x14ac:dyDescent="0.3">
      <c r="A44" t="s">
        <v>749</v>
      </c>
      <c r="B44" t="s">
        <v>131</v>
      </c>
      <c r="C44" t="s">
        <v>864</v>
      </c>
      <c r="D44" s="6" t="str">
        <f>INDEX(CaseTypeDim!$F:$F,MATCH($C44,CaseTypeDim!$A:$A,0))</f>
        <v>TEXT</v>
      </c>
      <c r="E44" s="6" t="str">
        <f>INDEX(CaseTypeDim!$G:$G,MATCH($C44,CaseTypeDim!$A:$A,0))</f>
        <v>4_4_1</v>
      </c>
      <c r="F44" t="s">
        <v>736</v>
      </c>
      <c r="G44" s="6" t="str">
        <f>INDEX(Col!$H:$H,MATCH($F44,Col!$A:$A,0))</f>
        <v>GENETIC_READS</v>
      </c>
      <c r="H44" s="6" t="str">
        <f t="shared" si="0"/>
        <v>case_type_col4_4_1_1_GENETIC_READS</v>
      </c>
      <c r="I44">
        <v>1</v>
      </c>
      <c r="U44" t="s">
        <v>333</v>
      </c>
    </row>
    <row r="45" spans="1:21" x14ac:dyDescent="0.3">
      <c r="A45" t="s">
        <v>748</v>
      </c>
      <c r="B45" t="s">
        <v>131</v>
      </c>
      <c r="C45" t="s">
        <v>863</v>
      </c>
      <c r="D45" s="6" t="str">
        <f>INDEX(CaseTypeDim!$F:$F,MATCH($C45,CaseTypeDim!$A:$A,0))</f>
        <v>TEXT</v>
      </c>
      <c r="E45" s="6" t="str">
        <f>INDEX(CaseTypeDim!$G:$G,MATCH($C45,CaseTypeDim!$A:$A,0))</f>
        <v>4_4_2</v>
      </c>
      <c r="F45" t="s">
        <v>735</v>
      </c>
      <c r="G45" s="6" t="str">
        <f>INDEX(Col!$H:$H,MATCH($F45,Col!$A:$A,0))</f>
        <v>GENETIC_SEQUENCE</v>
      </c>
      <c r="H45" s="6" t="str">
        <f t="shared" si="0"/>
        <v>case_type_col4_4_2_1_GENETIC_SEQUENCE</v>
      </c>
      <c r="I45">
        <v>1</v>
      </c>
      <c r="U45" t="s">
        <v>333</v>
      </c>
    </row>
    <row r="46" spans="1:21" x14ac:dyDescent="0.3">
      <c r="A46" t="s">
        <v>246</v>
      </c>
      <c r="B46" t="s">
        <v>135</v>
      </c>
      <c r="C46" t="s">
        <v>862</v>
      </c>
      <c r="D46" s="6" t="str">
        <f>INDEX(CaseTypeDim!$F:$F,MATCH($C46,CaseTypeDim!$A:$A,0))</f>
        <v>TEXT</v>
      </c>
      <c r="E46" s="6" t="str">
        <f>INDEX(CaseTypeDim!$G:$G,MATCH($C46,CaseTypeDim!$A:$A,0))</f>
        <v>5_1_1</v>
      </c>
      <c r="F46" t="s">
        <v>332</v>
      </c>
      <c r="G46" s="6" t="str">
        <f>INDEX(Col!$H:$H,MATCH($F46,Col!$A:$A,0))</f>
        <v>TEXT</v>
      </c>
      <c r="H46" s="6" t="str">
        <f t="shared" si="0"/>
        <v>case_type_col5_1_1_1_TEXT</v>
      </c>
      <c r="I46">
        <v>1</v>
      </c>
      <c r="U46" t="s">
        <v>333</v>
      </c>
    </row>
    <row r="47" spans="1:21" x14ac:dyDescent="0.3">
      <c r="A47" t="s">
        <v>249</v>
      </c>
      <c r="B47" t="s">
        <v>135</v>
      </c>
      <c r="C47" t="s">
        <v>861</v>
      </c>
      <c r="D47" s="6" t="str">
        <f>INDEX(CaseTypeDim!$F:$F,MATCH($C47,CaseTypeDim!$A:$A,0))</f>
        <v>TEXT</v>
      </c>
      <c r="E47" s="6" t="str">
        <f>INDEX(CaseTypeDim!$G:$G,MATCH($C47,CaseTypeDim!$A:$A,0))</f>
        <v>5_1_2</v>
      </c>
      <c r="F47" t="s">
        <v>334</v>
      </c>
      <c r="G47" s="6" t="str">
        <f>INDEX(Col!$H:$H,MATCH($F47,Col!$A:$A,0))</f>
        <v>TEXT</v>
      </c>
      <c r="H47" s="6" t="str">
        <f t="shared" si="0"/>
        <v>case_type_col5_1_2_1_TEXT</v>
      </c>
      <c r="I47">
        <v>1</v>
      </c>
      <c r="U47" t="s">
        <v>333</v>
      </c>
    </row>
    <row r="48" spans="1:21" x14ac:dyDescent="0.3">
      <c r="A48" t="s">
        <v>252</v>
      </c>
      <c r="B48" t="s">
        <v>135</v>
      </c>
      <c r="C48" t="s">
        <v>860</v>
      </c>
      <c r="D48" s="6" t="str">
        <f>INDEX(CaseTypeDim!$F:$F,MATCH($C48,CaseTypeDim!$A:$A,0))</f>
        <v>TEXT</v>
      </c>
      <c r="E48" s="6" t="str">
        <f>INDEX(CaseTypeDim!$G:$G,MATCH($C48,CaseTypeDim!$A:$A,0))</f>
        <v>5_1_3</v>
      </c>
      <c r="F48" t="s">
        <v>335</v>
      </c>
      <c r="G48" s="6" t="str">
        <f>INDEX(Col!$H:$H,MATCH($F48,Col!$A:$A,0))</f>
        <v>TEXT</v>
      </c>
      <c r="H48" s="6" t="str">
        <f t="shared" si="0"/>
        <v>case_type_col5_1_3_1_TEXT</v>
      </c>
      <c r="I48">
        <v>1</v>
      </c>
      <c r="U48" t="s">
        <v>333</v>
      </c>
    </row>
    <row r="49" spans="1:21" x14ac:dyDescent="0.3">
      <c r="A49" t="s">
        <v>255</v>
      </c>
      <c r="B49" t="s">
        <v>135</v>
      </c>
      <c r="C49" t="s">
        <v>859</v>
      </c>
      <c r="D49" s="6" t="str">
        <f>INDEX(CaseTypeDim!$F:$F,MATCH($C49,CaseTypeDim!$A:$A,0))</f>
        <v>TEXT</v>
      </c>
      <c r="E49" s="6" t="str">
        <f>INDEX(CaseTypeDim!$G:$G,MATCH($C49,CaseTypeDim!$A:$A,0))</f>
        <v>5_2_1</v>
      </c>
      <c r="F49" t="s">
        <v>336</v>
      </c>
      <c r="G49" s="6" t="str">
        <f>INDEX(Col!$H:$H,MATCH($F49,Col!$A:$A,0))</f>
        <v>TEXT</v>
      </c>
      <c r="H49" s="6" t="str">
        <f t="shared" si="0"/>
        <v>case_type_col5_2_1_1_TEXT</v>
      </c>
      <c r="I49">
        <v>1</v>
      </c>
      <c r="U49" t="s">
        <v>333</v>
      </c>
    </row>
    <row r="50" spans="1:21" x14ac:dyDescent="0.3">
      <c r="A50" t="s">
        <v>258</v>
      </c>
      <c r="B50" t="s">
        <v>135</v>
      </c>
      <c r="C50" t="s">
        <v>858</v>
      </c>
      <c r="D50" s="6" t="str">
        <f>INDEX(CaseTypeDim!$F:$F,MATCH($C50,CaseTypeDim!$A:$A,0))</f>
        <v>TEXT</v>
      </c>
      <c r="E50" s="6" t="str">
        <f>INDEX(CaseTypeDim!$G:$G,MATCH($C50,CaseTypeDim!$A:$A,0))</f>
        <v>5_2_2</v>
      </c>
      <c r="F50" t="s">
        <v>337</v>
      </c>
      <c r="G50" s="6" t="str">
        <f>INDEX(Col!$H:$H,MATCH($F50,Col!$A:$A,0))</f>
        <v>TEXT</v>
      </c>
      <c r="H50" s="6" t="str">
        <f t="shared" si="0"/>
        <v>case_type_col5_2_2_1_TEXT</v>
      </c>
      <c r="I50">
        <v>1</v>
      </c>
      <c r="U50" t="s">
        <v>333</v>
      </c>
    </row>
    <row r="51" spans="1:21" x14ac:dyDescent="0.3">
      <c r="A51" t="s">
        <v>261</v>
      </c>
      <c r="B51" t="s">
        <v>135</v>
      </c>
      <c r="C51" t="s">
        <v>857</v>
      </c>
      <c r="D51" s="6" t="str">
        <f>INDEX(CaseTypeDim!$F:$F,MATCH($C51,CaseTypeDim!$A:$A,0))</f>
        <v>TEXT</v>
      </c>
      <c r="E51" s="6" t="str">
        <f>INDEX(CaseTypeDim!$G:$G,MATCH($C51,CaseTypeDim!$A:$A,0))</f>
        <v>5_2_3</v>
      </c>
      <c r="F51" t="s">
        <v>338</v>
      </c>
      <c r="G51" s="6" t="str">
        <f>INDEX(Col!$H:$H,MATCH($F51,Col!$A:$A,0))</f>
        <v>TEXT</v>
      </c>
      <c r="H51" s="6" t="str">
        <f t="shared" si="0"/>
        <v>case_type_col5_2_3_1_TEXT</v>
      </c>
      <c r="I51">
        <v>1</v>
      </c>
      <c r="U51" t="s">
        <v>333</v>
      </c>
    </row>
    <row r="52" spans="1:21" x14ac:dyDescent="0.3">
      <c r="A52" t="s">
        <v>264</v>
      </c>
      <c r="B52" t="s">
        <v>135</v>
      </c>
      <c r="C52" t="s">
        <v>856</v>
      </c>
      <c r="D52" s="6" t="str">
        <f>INDEX(CaseTypeDim!$F:$F,MATCH($C52,CaseTypeDim!$A:$A,0))</f>
        <v>TEXT</v>
      </c>
      <c r="E52" s="6" t="str">
        <f>INDEX(CaseTypeDim!$G:$G,MATCH($C52,CaseTypeDim!$A:$A,0))</f>
        <v>5_3_1</v>
      </c>
      <c r="F52" t="s">
        <v>339</v>
      </c>
      <c r="G52" s="6" t="str">
        <f>INDEX(Col!$H:$H,MATCH($F52,Col!$A:$A,0))</f>
        <v>TEXT</v>
      </c>
      <c r="H52" s="6" t="str">
        <f t="shared" si="0"/>
        <v>case_type_col5_3_1_1_TEXT</v>
      </c>
      <c r="I52">
        <v>1</v>
      </c>
      <c r="U52" t="s">
        <v>333</v>
      </c>
    </row>
    <row r="53" spans="1:21" x14ac:dyDescent="0.3">
      <c r="A53" t="s">
        <v>267</v>
      </c>
      <c r="B53" t="s">
        <v>135</v>
      </c>
      <c r="C53" t="s">
        <v>855</v>
      </c>
      <c r="D53" s="6" t="str">
        <f>INDEX(CaseTypeDim!$F:$F,MATCH($C53,CaseTypeDim!$A:$A,0))</f>
        <v>TEXT</v>
      </c>
      <c r="E53" s="6" t="str">
        <f>INDEX(CaseTypeDim!$G:$G,MATCH($C53,CaseTypeDim!$A:$A,0))</f>
        <v>5_3_2</v>
      </c>
      <c r="F53" t="s">
        <v>340</v>
      </c>
      <c r="G53" s="6" t="str">
        <f>INDEX(Col!$H:$H,MATCH($F53,Col!$A:$A,0))</f>
        <v>TEXT</v>
      </c>
      <c r="H53" s="6" t="str">
        <f t="shared" si="0"/>
        <v>case_type_col5_3_2_1_TEXT</v>
      </c>
      <c r="I53">
        <v>1</v>
      </c>
      <c r="U53" t="s">
        <v>333</v>
      </c>
    </row>
    <row r="54" spans="1:21" x14ac:dyDescent="0.3">
      <c r="A54" t="s">
        <v>270</v>
      </c>
      <c r="B54" t="s">
        <v>135</v>
      </c>
      <c r="C54" t="s">
        <v>854</v>
      </c>
      <c r="D54" s="6" t="str">
        <f>INDEX(CaseTypeDim!$F:$F,MATCH($C54,CaseTypeDim!$A:$A,0))</f>
        <v>TEXT</v>
      </c>
      <c r="E54" s="6" t="str">
        <f>INDEX(CaseTypeDim!$G:$G,MATCH($C54,CaseTypeDim!$A:$A,0))</f>
        <v>5_3_3</v>
      </c>
      <c r="F54" t="s">
        <v>341</v>
      </c>
      <c r="G54" s="6" t="str">
        <f>INDEX(Col!$H:$H,MATCH($F54,Col!$A:$A,0))</f>
        <v>TEXT</v>
      </c>
      <c r="H54" s="6" t="str">
        <f t="shared" si="0"/>
        <v>case_type_col5_3_3_1_TEXT</v>
      </c>
      <c r="I54">
        <v>1</v>
      </c>
      <c r="U54" t="s">
        <v>333</v>
      </c>
    </row>
    <row r="55" spans="1:21" x14ac:dyDescent="0.3">
      <c r="A55" t="s">
        <v>747</v>
      </c>
      <c r="B55" t="s">
        <v>135</v>
      </c>
      <c r="C55" t="s">
        <v>853</v>
      </c>
      <c r="D55" s="6" t="str">
        <f>INDEX(CaseTypeDim!$F:$F,MATCH($C55,CaseTypeDim!$A:$A,0))</f>
        <v>TEXT</v>
      </c>
      <c r="E55" s="6" t="str">
        <f>INDEX(CaseTypeDim!$G:$G,MATCH($C55,CaseTypeDim!$A:$A,0))</f>
        <v>5_4_1</v>
      </c>
      <c r="F55" t="s">
        <v>736</v>
      </c>
      <c r="G55" s="6" t="str">
        <f>INDEX(Col!$H:$H,MATCH($F55,Col!$A:$A,0))</f>
        <v>GENETIC_READS</v>
      </c>
      <c r="H55" s="6" t="str">
        <f t="shared" si="0"/>
        <v>case_type_col5_4_1_1_GENETIC_READS</v>
      </c>
      <c r="I55">
        <v>1</v>
      </c>
      <c r="U55" t="s">
        <v>333</v>
      </c>
    </row>
    <row r="56" spans="1:21" x14ac:dyDescent="0.3">
      <c r="A56" t="s">
        <v>746</v>
      </c>
      <c r="B56" t="s">
        <v>135</v>
      </c>
      <c r="C56" t="s">
        <v>852</v>
      </c>
      <c r="D56" s="6" t="str">
        <f>INDEX(CaseTypeDim!$F:$F,MATCH($C56,CaseTypeDim!$A:$A,0))</f>
        <v>TEXT</v>
      </c>
      <c r="E56" s="6" t="str">
        <f>INDEX(CaseTypeDim!$G:$G,MATCH($C56,CaseTypeDim!$A:$A,0))</f>
        <v>5_4_2</v>
      </c>
      <c r="F56" t="s">
        <v>735</v>
      </c>
      <c r="G56" s="6" t="str">
        <f>INDEX(Col!$H:$H,MATCH($F56,Col!$A:$A,0))</f>
        <v>GENETIC_SEQUENCE</v>
      </c>
      <c r="H56" s="6" t="str">
        <f t="shared" si="0"/>
        <v>case_type_col5_4_2_1_GENETIC_SEQUENCE</v>
      </c>
      <c r="I56">
        <v>1</v>
      </c>
      <c r="U56" t="s">
        <v>333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532</v>
      </c>
      <c r="B1" t="s">
        <v>667</v>
      </c>
      <c r="C1" t="s">
        <v>0</v>
      </c>
      <c r="D1" t="s">
        <v>535</v>
      </c>
      <c r="E1" s="6" t="s">
        <v>662</v>
      </c>
      <c r="F1" t="s">
        <v>533</v>
      </c>
      <c r="G1" s="19" t="s">
        <v>543</v>
      </c>
      <c r="H1" s="6" t="s">
        <v>610</v>
      </c>
      <c r="I1" s="6" t="s">
        <v>614</v>
      </c>
      <c r="J1" s="6" t="s">
        <v>611</v>
      </c>
      <c r="K1" s="6" t="s">
        <v>619</v>
      </c>
      <c r="L1" s="6" t="s">
        <v>544</v>
      </c>
      <c r="M1" s="6" t="s">
        <v>545</v>
      </c>
      <c r="N1" s="6" t="s">
        <v>613</v>
      </c>
      <c r="O1" s="6" t="s">
        <v>620</v>
      </c>
      <c r="P1" s="6" t="s">
        <v>546</v>
      </c>
      <c r="Q1" s="6" t="s">
        <v>547</v>
      </c>
      <c r="R1" t="s">
        <v>534</v>
      </c>
      <c r="S1" t="s">
        <v>536</v>
      </c>
      <c r="T1" s="6" t="s">
        <v>604</v>
      </c>
      <c r="U1" s="6" t="s">
        <v>609</v>
      </c>
      <c r="V1" t="s">
        <v>537</v>
      </c>
      <c r="W1" t="s">
        <v>538</v>
      </c>
      <c r="X1" s="6" t="s">
        <v>622</v>
      </c>
      <c r="Y1" t="s">
        <v>539</v>
      </c>
      <c r="Z1" t="s">
        <v>540</v>
      </c>
      <c r="AA1" t="s">
        <v>541</v>
      </c>
      <c r="AB1" t="s">
        <v>542</v>
      </c>
      <c r="AC1" s="6" t="s">
        <v>621</v>
      </c>
      <c r="AD1" s="6" t="s">
        <v>625</v>
      </c>
      <c r="AE1" s="6" t="s">
        <v>626</v>
      </c>
      <c r="AF1" s="6" t="s">
        <v>631</v>
      </c>
      <c r="AG1" s="6" t="s">
        <v>632</v>
      </c>
      <c r="AH1" t="s">
        <v>606</v>
      </c>
      <c r="AI1" t="s">
        <v>652</v>
      </c>
      <c r="AJ1" s="6" t="s">
        <v>623</v>
      </c>
      <c r="AK1" s="6" t="s">
        <v>627</v>
      </c>
      <c r="AL1" s="6" t="s">
        <v>628</v>
      </c>
      <c r="AM1" s="6" t="s">
        <v>633</v>
      </c>
      <c r="AN1" s="6" t="s">
        <v>634</v>
      </c>
      <c r="AO1" t="s">
        <v>607</v>
      </c>
      <c r="AP1" t="s">
        <v>653</v>
      </c>
      <c r="AQ1" s="6" t="s">
        <v>624</v>
      </c>
      <c r="AR1" s="6" t="s">
        <v>629</v>
      </c>
      <c r="AS1" s="6" t="s">
        <v>630</v>
      </c>
      <c r="AT1" s="6" t="s">
        <v>635</v>
      </c>
      <c r="AU1" s="6" t="s">
        <v>636</v>
      </c>
    </row>
    <row r="2" spans="1:47" x14ac:dyDescent="0.3">
      <c r="A2">
        <v>1</v>
      </c>
      <c r="B2" t="b">
        <v>1</v>
      </c>
      <c r="C2" t="s">
        <v>551</v>
      </c>
      <c r="D2" t="s">
        <v>668</v>
      </c>
      <c r="E2" s="6" t="str">
        <f>INDEX(User!$D:$D,MATCH($D2,User!$A:$A,0))</f>
        <v>root1_1</v>
      </c>
      <c r="F2" t="s">
        <v>605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550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608</v>
      </c>
      <c r="AC2" s="6" t="str">
        <f>IF($AA2="","",INDEX(CaseTypeCol!$H:$H,MATCH($AA2,CaseTypeCol!$A:$A,0)))</f>
        <v>case_type_col1_1_1_1_TEXT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IF($AH2="","",INDEX(CaseTypeCol!$H:$H,MATCH($AH2,CaseTypeCol!$A:$A,0)))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IF($AO2="","",INDEX(CaseTypeCol!$H:$H,MATCH($AO2,CaseTypeCol!$A:$A,0)))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549</v>
      </c>
      <c r="D3" t="s">
        <v>389</v>
      </c>
      <c r="E3" s="6" t="str">
        <f>INDEX(User!$D:$D,MATCH($D3,User!$A:$A,0))</f>
        <v>app_admin1_1</v>
      </c>
      <c r="F3" t="s">
        <v>605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548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608</v>
      </c>
      <c r="AC3" s="6" t="str">
        <f>IF($AA3="","",INDEX(CaseTypeCol!$H:$H,MATCH($AA3,CaseTypeCol!$A:$A,0)))</f>
        <v>case_type_col1_1_1_1_TEXT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IF($AH3="","",INDEX(CaseTypeCol!$H:$H,MATCH($AH3,CaseTypeCol!$A:$A,0)))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IF($AO3="","",INDEX(CaseTypeCol!$H:$H,MATCH($AO3,CaseTypeCol!$A:$A,0)))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552</v>
      </c>
      <c r="D4" t="s">
        <v>391</v>
      </c>
      <c r="E4" s="6" t="str">
        <f>INDEX(User!$D:$D,MATCH($D4,User!$A:$A,0))</f>
        <v>refdata_admin1_1</v>
      </c>
      <c r="F4" t="s">
        <v>605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578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608</v>
      </c>
      <c r="AC4" s="6" t="str">
        <f>IF($AA4="","",INDEX(CaseTypeCol!$H:$H,MATCH($AA4,CaseTypeCol!$A:$A,0)))</f>
        <v>case_type_col1_1_1_1_TEXT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IF($AH4="","",INDEX(CaseTypeCol!$H:$H,MATCH($AH4,CaseTypeCol!$A:$A,0)))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IF($AO4="","",INDEX(CaseTypeCol!$H:$H,MATCH($AO4,CaseTypeCol!$A:$A,0)))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654</v>
      </c>
      <c r="D5" t="s">
        <v>44</v>
      </c>
      <c r="E5" s="6" t="str">
        <f>INDEX(User!$D:$D,MATCH($D5,User!$A:$A,0))</f>
        <v>org_admin1_1</v>
      </c>
      <c r="F5" t="s">
        <v>605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658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608</v>
      </c>
      <c r="AC5" s="6" t="str">
        <f>IF($AA5="","",INDEX(CaseTypeCol!$H:$H,MATCH($AA5,CaseTypeCol!$A:$A,0)))</f>
        <v>case_type_col1_1_1_1_TEXT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IF($AH5="","",INDEX(CaseTypeCol!$H:$H,MATCH($AH5,CaseTypeCol!$A:$A,0)))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IF($AO5="","",INDEX(CaseTypeCol!$H:$H,MATCH($AO5,CaseTypeCol!$A:$A,0)))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655</v>
      </c>
      <c r="D6" t="s">
        <v>10</v>
      </c>
      <c r="E6" s="6" t="str">
        <f>INDEX(User!$D:$D,MATCH($D6,User!$A:$A,0))</f>
        <v>org_user1_1</v>
      </c>
      <c r="F6" t="s">
        <v>605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659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608</v>
      </c>
      <c r="AC6" s="6" t="str">
        <f>IF($AA6="","",INDEX(CaseTypeCol!$H:$H,MATCH($AA6,CaseTypeCol!$A:$A,0)))</f>
        <v>case_type_col1_1_1_1_TEXT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IF($AH6="","",INDEX(CaseTypeCol!$H:$H,MATCH($AH6,CaseTypeCol!$A:$A,0)))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IF($AO6="","",INDEX(CaseTypeCol!$H:$H,MATCH($AO6,CaseTypeCol!$A:$A,0)))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656</v>
      </c>
      <c r="D7" t="s">
        <v>668</v>
      </c>
      <c r="E7" s="6" t="str">
        <f>INDEX(User!$D:$D,MATCH($D7,User!$A:$A,0))</f>
        <v>root1_1</v>
      </c>
      <c r="F7" t="s">
        <v>666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660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608</v>
      </c>
      <c r="AC7" s="6" t="str">
        <f>IF($AA7="","",INDEX(CaseTypeCol!$H:$H,MATCH($AA7,CaseTypeCol!$A:$A,0)))</f>
        <v>case_type_col1_1_1_1_TEXT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IF($AH7="","",INDEX(CaseTypeCol!$H:$H,MATCH($AH7,CaseTypeCol!$A:$A,0)))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IF($AO7="","",INDEX(CaseTypeCol!$H:$H,MATCH($AO7,CaseTypeCol!$A:$A,0)))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657</v>
      </c>
      <c r="D8" t="s">
        <v>389</v>
      </c>
      <c r="E8" s="6" t="str">
        <f>INDEX(User!$D:$D,MATCH($D8,User!$A:$A,0))</f>
        <v>app_admin1_1</v>
      </c>
      <c r="F8" t="s">
        <v>666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661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608</v>
      </c>
      <c r="AC8" s="6" t="str">
        <f>IF($AA8="","",INDEX(CaseTypeCol!$H:$H,MATCH($AA8,CaseTypeCol!$A:$A,0)))</f>
        <v>case_type_col1_1_1_1_TEXT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IF($AH8="","",INDEX(CaseTypeCol!$H:$H,MATCH($AH8,CaseTypeCol!$A:$A,0)))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IF($AO8="","",INDEX(CaseTypeCol!$H:$H,MATCH($AO8,CaseTypeCol!$A:$A,0)))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553</v>
      </c>
      <c r="D9" t="s">
        <v>44</v>
      </c>
      <c r="E9" s="6" t="str">
        <f>INDEX(User!$D:$D,MATCH($D9,User!$A:$A,0))</f>
        <v>org_admin1_1</v>
      </c>
      <c r="F9" t="s">
        <v>666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579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608</v>
      </c>
      <c r="AC9" s="6" t="str">
        <f>IF($AA9="","",INDEX(CaseTypeCol!$H:$H,MATCH($AA9,CaseTypeCol!$A:$A,0)))</f>
        <v>case_type_col1_1_1_1_TEXT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IF($AH9="","",INDEX(CaseTypeCol!$H:$H,MATCH($AH9,CaseTypeCol!$A:$A,0)))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IF($AO9="","",INDEX(CaseTypeCol!$H:$H,MATCH($AO9,CaseTypeCol!$A:$A,0)))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554</v>
      </c>
      <c r="D10" t="s">
        <v>47</v>
      </c>
      <c r="E10" s="6" t="str">
        <f>INDEX(User!$D:$D,MATCH($D10,User!$A:$A,0))</f>
        <v>org_admin2_1</v>
      </c>
      <c r="F10" t="s">
        <v>666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580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608</v>
      </c>
      <c r="AC10" s="6" t="str">
        <f>IF($AA10="","",INDEX(CaseTypeCol!$H:$H,MATCH($AA10,CaseTypeCol!$A:$A,0)))</f>
        <v>case_type_col1_1_1_1_TEXT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IF($AH10="","",INDEX(CaseTypeCol!$H:$H,MATCH($AH10,CaseTypeCol!$A:$A,0)))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IF($AO10="","",INDEX(CaseTypeCol!$H:$H,MATCH($AO10,CaseTypeCol!$A:$A,0)))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555</v>
      </c>
      <c r="D11" t="s">
        <v>50</v>
      </c>
      <c r="E11" s="6" t="str">
        <f>INDEX(User!$D:$D,MATCH($D11,User!$A:$A,0))</f>
        <v>org_admin3_1</v>
      </c>
      <c r="F11" t="s">
        <v>666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581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608</v>
      </c>
      <c r="AC11" s="6" t="str">
        <f>IF($AA11="","",INDEX(CaseTypeCol!$H:$H,MATCH($AA11,CaseTypeCol!$A:$A,0)))</f>
        <v>case_type_col1_1_1_1_TEXT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IF($AH11="","",INDEX(CaseTypeCol!$H:$H,MATCH($AH11,CaseTypeCol!$A:$A,0)))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IF($AO11="","",INDEX(CaseTypeCol!$H:$H,MATCH($AO11,CaseTypeCol!$A:$A,0)))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556</v>
      </c>
      <c r="D12" t="s">
        <v>53</v>
      </c>
      <c r="E12" s="6" t="str">
        <f>INDEX(User!$D:$D,MATCH($D12,User!$A:$A,0))</f>
        <v>org_admin4_1</v>
      </c>
      <c r="F12" t="s">
        <v>666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582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608</v>
      </c>
      <c r="AC12" s="6" t="str">
        <f>IF($AA12="","",INDEX(CaseTypeCol!$H:$H,MATCH($AA12,CaseTypeCol!$A:$A,0)))</f>
        <v>case_type_col1_1_1_1_TEXT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IF($AH12="","",INDEX(CaseTypeCol!$H:$H,MATCH($AH12,CaseTypeCol!$A:$A,0)))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IF($AO12="","",INDEX(CaseTypeCol!$H:$H,MATCH($AO12,CaseTypeCol!$A:$A,0)))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557</v>
      </c>
      <c r="D13" t="s">
        <v>56</v>
      </c>
      <c r="E13" s="6" t="str">
        <f>INDEX(User!$D:$D,MATCH($D13,User!$A:$A,0))</f>
        <v>org_admin5_1</v>
      </c>
      <c r="F13" t="s">
        <v>666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583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608</v>
      </c>
      <c r="AC13" s="6" t="str">
        <f>IF($AA13="","",INDEX(CaseTypeCol!$H:$H,MATCH($AA13,CaseTypeCol!$A:$A,0)))</f>
        <v>case_type_col1_1_1_1_TEXT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IF($AH13="","",INDEX(CaseTypeCol!$H:$H,MATCH($AH13,CaseTypeCol!$A:$A,0)))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IF($AO13="","",INDEX(CaseTypeCol!$H:$H,MATCH($AO13,CaseTypeCol!$A:$A,0)))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558</v>
      </c>
      <c r="D14" t="s">
        <v>10</v>
      </c>
      <c r="E14" s="6" t="str">
        <f>INDEX(User!$D:$D,MATCH($D14,User!$A:$A,0))</f>
        <v>org_user1_1</v>
      </c>
      <c r="F14" t="s">
        <v>666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584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608</v>
      </c>
      <c r="AC14" s="6" t="str">
        <f>IF($AA14="","",INDEX(CaseTypeCol!$H:$H,MATCH($AA14,CaseTypeCol!$A:$A,0)))</f>
        <v>case_type_col1_1_1_1_TEXT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IF($AH14="","",INDEX(CaseTypeCol!$H:$H,MATCH($AH14,CaseTypeCol!$A:$A,0)))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IF($AO14="","",INDEX(CaseTypeCol!$H:$H,MATCH($AO14,CaseTypeCol!$A:$A,0)))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559</v>
      </c>
      <c r="D15" t="s">
        <v>12</v>
      </c>
      <c r="E15" s="6" t="str">
        <f>INDEX(User!$D:$D,MATCH($D15,User!$A:$A,0))</f>
        <v>org_user1_2</v>
      </c>
      <c r="F15" t="s">
        <v>666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585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608</v>
      </c>
      <c r="AC15" s="6" t="str">
        <f>IF($AA15="","",INDEX(CaseTypeCol!$H:$H,MATCH($AA15,CaseTypeCol!$A:$A,0)))</f>
        <v>case_type_col1_1_1_1_TEXT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IF($AH15="","",INDEX(CaseTypeCol!$H:$H,MATCH($AH15,CaseTypeCol!$A:$A,0)))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IF($AO15="","",INDEX(CaseTypeCol!$H:$H,MATCH($AO15,CaseTypeCol!$A:$A,0)))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560</v>
      </c>
      <c r="D16" t="s">
        <v>13</v>
      </c>
      <c r="E16" s="6" t="str">
        <f>INDEX(User!$D:$D,MATCH($D16,User!$A:$A,0))</f>
        <v>org_user1_3</v>
      </c>
      <c r="F16" t="s">
        <v>666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586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608</v>
      </c>
      <c r="AC16" s="6" t="str">
        <f>IF($AA16="","",INDEX(CaseTypeCol!$H:$H,MATCH($AA16,CaseTypeCol!$A:$A,0)))</f>
        <v>case_type_col1_1_1_1_TEXT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IF($AH16="","",INDEX(CaseTypeCol!$H:$H,MATCH($AH16,CaseTypeCol!$A:$A,0)))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IF($AO16="","",INDEX(CaseTypeCol!$H:$H,MATCH($AO16,CaseTypeCol!$A:$A,0)))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561</v>
      </c>
      <c r="D17" t="s">
        <v>14</v>
      </c>
      <c r="E17" s="6" t="str">
        <f>INDEX(User!$D:$D,MATCH($D17,User!$A:$A,0))</f>
        <v>org_user1_4</v>
      </c>
      <c r="F17" t="s">
        <v>666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587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608</v>
      </c>
      <c r="AC17" s="6" t="str">
        <f>IF($AA17="","",INDEX(CaseTypeCol!$H:$H,MATCH($AA17,CaseTypeCol!$A:$A,0)))</f>
        <v>case_type_col1_1_1_1_TEXT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IF($AH17="","",INDEX(CaseTypeCol!$H:$H,MATCH($AH17,CaseTypeCol!$A:$A,0)))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IF($AO17="","",INDEX(CaseTypeCol!$H:$H,MATCH($AO17,CaseTypeCol!$A:$A,0)))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562</v>
      </c>
      <c r="D18" t="s">
        <v>16</v>
      </c>
      <c r="E18" s="6" t="str">
        <f>INDEX(User!$D:$D,MATCH($D18,User!$A:$A,0))</f>
        <v>org_user2_1</v>
      </c>
      <c r="F18" t="s">
        <v>666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588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608</v>
      </c>
      <c r="AC18" s="6" t="str">
        <f>IF($AA18="","",INDEX(CaseTypeCol!$H:$H,MATCH($AA18,CaseTypeCol!$A:$A,0)))</f>
        <v>case_type_col1_1_1_1_TEXT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IF($AH18="","",INDEX(CaseTypeCol!$H:$H,MATCH($AH18,CaseTypeCol!$A:$A,0)))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IF($AO18="","",INDEX(CaseTypeCol!$H:$H,MATCH($AO18,CaseTypeCol!$A:$A,0)))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563</v>
      </c>
      <c r="D19" t="s">
        <v>18</v>
      </c>
      <c r="E19" s="6" t="str">
        <f>INDEX(User!$D:$D,MATCH($D19,User!$A:$A,0))</f>
        <v>org_user2_2</v>
      </c>
      <c r="F19" t="s">
        <v>666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589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608</v>
      </c>
      <c r="AC19" s="6" t="str">
        <f>IF($AA19="","",INDEX(CaseTypeCol!$H:$H,MATCH($AA19,CaseTypeCol!$A:$A,0)))</f>
        <v>case_type_col1_1_1_1_TEXT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IF($AH19="","",INDEX(CaseTypeCol!$H:$H,MATCH($AH19,CaseTypeCol!$A:$A,0)))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IF($AO19="","",INDEX(CaseTypeCol!$H:$H,MATCH($AO19,CaseTypeCol!$A:$A,0)))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564</v>
      </c>
      <c r="D20" t="s">
        <v>19</v>
      </c>
      <c r="E20" s="6" t="str">
        <f>INDEX(User!$D:$D,MATCH($D20,User!$A:$A,0))</f>
        <v>org_user2_3</v>
      </c>
      <c r="F20" t="s">
        <v>666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590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608</v>
      </c>
      <c r="AC20" s="6" t="str">
        <f>IF($AA20="","",INDEX(CaseTypeCol!$H:$H,MATCH($AA20,CaseTypeCol!$A:$A,0)))</f>
        <v>case_type_col1_1_1_1_TEXT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IF($AH20="","",INDEX(CaseTypeCol!$H:$H,MATCH($AH20,CaseTypeCol!$A:$A,0)))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IF($AO20="","",INDEX(CaseTypeCol!$H:$H,MATCH($AO20,CaseTypeCol!$A:$A,0)))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565</v>
      </c>
      <c r="D21" t="s">
        <v>20</v>
      </c>
      <c r="E21" s="6" t="str">
        <f>INDEX(User!$D:$D,MATCH($D21,User!$A:$A,0))</f>
        <v>org_user2_4</v>
      </c>
      <c r="F21" t="s">
        <v>666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591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608</v>
      </c>
      <c r="AC21" s="6" t="str">
        <f>IF($AA21="","",INDEX(CaseTypeCol!$H:$H,MATCH($AA21,CaseTypeCol!$A:$A,0)))</f>
        <v>case_type_col1_1_1_1_TEXT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IF($AH21="","",INDEX(CaseTypeCol!$H:$H,MATCH($AH21,CaseTypeCol!$A:$A,0)))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IF($AO21="","",INDEX(CaseTypeCol!$H:$H,MATCH($AO21,CaseTypeCol!$A:$A,0)))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566</v>
      </c>
      <c r="D22" t="s">
        <v>22</v>
      </c>
      <c r="E22" s="6" t="str">
        <f>INDEX(User!$D:$D,MATCH($D22,User!$A:$A,0))</f>
        <v>org_user3_1</v>
      </c>
      <c r="F22" t="s">
        <v>666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592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608</v>
      </c>
      <c r="AC22" s="6" t="str">
        <f>IF($AA22="","",INDEX(CaseTypeCol!$H:$H,MATCH($AA22,CaseTypeCol!$A:$A,0)))</f>
        <v>case_type_col1_1_1_1_TEXT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IF($AH22="","",INDEX(CaseTypeCol!$H:$H,MATCH($AH22,CaseTypeCol!$A:$A,0)))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IF($AO22="","",INDEX(CaseTypeCol!$H:$H,MATCH($AO22,CaseTypeCol!$A:$A,0)))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567</v>
      </c>
      <c r="D23" t="s">
        <v>24</v>
      </c>
      <c r="E23" s="6" t="str">
        <f>INDEX(User!$D:$D,MATCH($D23,User!$A:$A,0))</f>
        <v>org_user3_2</v>
      </c>
      <c r="F23" t="s">
        <v>666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593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608</v>
      </c>
      <c r="AC23" s="6" t="str">
        <f>IF($AA23="","",INDEX(CaseTypeCol!$H:$H,MATCH($AA23,CaseTypeCol!$A:$A,0)))</f>
        <v>case_type_col1_1_1_1_TEXT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IF($AH23="","",INDEX(CaseTypeCol!$H:$H,MATCH($AH23,CaseTypeCol!$A:$A,0)))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IF($AO23="","",INDEX(CaseTypeCol!$H:$H,MATCH($AO23,CaseTypeCol!$A:$A,0)))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568</v>
      </c>
      <c r="D24" t="s">
        <v>25</v>
      </c>
      <c r="E24" s="6" t="str">
        <f>INDEX(User!$D:$D,MATCH($D24,User!$A:$A,0))</f>
        <v>org_user3_3</v>
      </c>
      <c r="F24" t="s">
        <v>666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594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608</v>
      </c>
      <c r="AC24" s="6" t="str">
        <f>IF($AA24="","",INDEX(CaseTypeCol!$H:$H,MATCH($AA24,CaseTypeCol!$A:$A,0)))</f>
        <v>case_type_col1_1_1_1_TEXT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IF($AH24="","",INDEX(CaseTypeCol!$H:$H,MATCH($AH24,CaseTypeCol!$A:$A,0)))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IF($AO24="","",INDEX(CaseTypeCol!$H:$H,MATCH($AO24,CaseTypeCol!$A:$A,0)))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569</v>
      </c>
      <c r="D25" t="s">
        <v>26</v>
      </c>
      <c r="E25" s="6" t="str">
        <f>INDEX(User!$D:$D,MATCH($D25,User!$A:$A,0))</f>
        <v>org_user3_4</v>
      </c>
      <c r="F25" t="s">
        <v>666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595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608</v>
      </c>
      <c r="AC25" s="6" t="str">
        <f>IF($AA25="","",INDEX(CaseTypeCol!$H:$H,MATCH($AA25,CaseTypeCol!$A:$A,0)))</f>
        <v>case_type_col1_1_1_1_TEXT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IF($AH25="","",INDEX(CaseTypeCol!$H:$H,MATCH($AH25,CaseTypeCol!$A:$A,0)))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IF($AO25="","",INDEX(CaseTypeCol!$H:$H,MATCH($AO25,CaseTypeCol!$A:$A,0)))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570</v>
      </c>
      <c r="D26" t="s">
        <v>28</v>
      </c>
      <c r="E26" s="6" t="str">
        <f>INDEX(User!$D:$D,MATCH($D26,User!$A:$A,0))</f>
        <v>org_user4_1</v>
      </c>
      <c r="F26" t="s">
        <v>666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596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608</v>
      </c>
      <c r="AC26" s="6" t="str">
        <f>IF($AA26="","",INDEX(CaseTypeCol!$H:$H,MATCH($AA26,CaseTypeCol!$A:$A,0)))</f>
        <v>case_type_col1_1_1_1_TEXT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IF($AH26="","",INDEX(CaseTypeCol!$H:$H,MATCH($AH26,CaseTypeCol!$A:$A,0)))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IF($AO26="","",INDEX(CaseTypeCol!$H:$H,MATCH($AO26,CaseTypeCol!$A:$A,0)))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571</v>
      </c>
      <c r="D27" t="s">
        <v>30</v>
      </c>
      <c r="E27" s="6" t="str">
        <f>INDEX(User!$D:$D,MATCH($D27,User!$A:$A,0))</f>
        <v>org_user4_2</v>
      </c>
      <c r="F27" t="s">
        <v>666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597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608</v>
      </c>
      <c r="AC27" s="6" t="str">
        <f>IF($AA27="","",INDEX(CaseTypeCol!$H:$H,MATCH($AA27,CaseTypeCol!$A:$A,0)))</f>
        <v>case_type_col1_1_1_1_TEXT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IF($AH27="","",INDEX(CaseTypeCol!$H:$H,MATCH($AH27,CaseTypeCol!$A:$A,0)))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IF($AO27="","",INDEX(CaseTypeCol!$H:$H,MATCH($AO27,CaseTypeCol!$A:$A,0)))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572</v>
      </c>
      <c r="D28" t="s">
        <v>31</v>
      </c>
      <c r="E28" s="6" t="str">
        <f>INDEX(User!$D:$D,MATCH($D28,User!$A:$A,0))</f>
        <v>org_user4_3</v>
      </c>
      <c r="F28" t="s">
        <v>666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598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608</v>
      </c>
      <c r="AC28" s="6" t="str">
        <f>IF($AA28="","",INDEX(CaseTypeCol!$H:$H,MATCH($AA28,CaseTypeCol!$A:$A,0)))</f>
        <v>case_type_col1_1_1_1_TEXT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IF($AH28="","",INDEX(CaseTypeCol!$H:$H,MATCH($AH28,CaseTypeCol!$A:$A,0)))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IF($AO28="","",INDEX(CaseTypeCol!$H:$H,MATCH($AO28,CaseTypeCol!$A:$A,0)))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573</v>
      </c>
      <c r="D29" t="s">
        <v>32</v>
      </c>
      <c r="E29" s="6" t="str">
        <f>INDEX(User!$D:$D,MATCH($D29,User!$A:$A,0))</f>
        <v>org_user4_4</v>
      </c>
      <c r="F29" t="s">
        <v>666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599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608</v>
      </c>
      <c r="AC29" s="6" t="str">
        <f>IF($AA29="","",INDEX(CaseTypeCol!$H:$H,MATCH($AA29,CaseTypeCol!$A:$A,0)))</f>
        <v>case_type_col1_1_1_1_TEXT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IF($AH29="","",INDEX(CaseTypeCol!$H:$H,MATCH($AH29,CaseTypeCol!$A:$A,0)))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IF($AO29="","",INDEX(CaseTypeCol!$H:$H,MATCH($AO29,CaseTypeCol!$A:$A,0)))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574</v>
      </c>
      <c r="D30" t="s">
        <v>34</v>
      </c>
      <c r="E30" s="6" t="str">
        <f>INDEX(User!$D:$D,MATCH($D30,User!$A:$A,0))</f>
        <v>org_user5_1</v>
      </c>
      <c r="F30" t="s">
        <v>666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600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608</v>
      </c>
      <c r="AC30" s="6" t="str">
        <f>IF($AA30="","",INDEX(CaseTypeCol!$H:$H,MATCH($AA30,CaseTypeCol!$A:$A,0)))</f>
        <v>case_type_col1_1_1_1_TEXT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IF($AH30="","",INDEX(CaseTypeCol!$H:$H,MATCH($AH30,CaseTypeCol!$A:$A,0)))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IF($AO30="","",INDEX(CaseTypeCol!$H:$H,MATCH($AO30,CaseTypeCol!$A:$A,0)))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575</v>
      </c>
      <c r="D31" t="s">
        <v>36</v>
      </c>
      <c r="E31" s="6" t="str">
        <f>INDEX(User!$D:$D,MATCH($D31,User!$A:$A,0))</f>
        <v>org_user5_2</v>
      </c>
      <c r="F31" t="s">
        <v>666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601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608</v>
      </c>
      <c r="AC31" s="6" t="str">
        <f>IF($AA31="","",INDEX(CaseTypeCol!$H:$H,MATCH($AA31,CaseTypeCol!$A:$A,0)))</f>
        <v>case_type_col1_1_1_1_TEXT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IF($AH31="","",INDEX(CaseTypeCol!$H:$H,MATCH($AH31,CaseTypeCol!$A:$A,0)))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IF($AO31="","",INDEX(CaseTypeCol!$H:$H,MATCH($AO31,CaseTypeCol!$A:$A,0)))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576</v>
      </c>
      <c r="D32" t="s">
        <v>37</v>
      </c>
      <c r="E32" s="6" t="str">
        <f>INDEX(User!$D:$D,MATCH($D32,User!$A:$A,0))</f>
        <v>org_user5_3</v>
      </c>
      <c r="F32" t="s">
        <v>666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602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608</v>
      </c>
      <c r="AC32" s="6" t="str">
        <f>IF($AA32="","",INDEX(CaseTypeCol!$H:$H,MATCH($AA32,CaseTypeCol!$A:$A,0)))</f>
        <v>case_type_col1_1_1_1_TEXT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IF($AH32="","",INDEX(CaseTypeCol!$H:$H,MATCH($AH32,CaseTypeCol!$A:$A,0)))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IF($AO32="","",INDEX(CaseTypeCol!$H:$H,MATCH($AO32,CaseTypeCol!$A:$A,0)))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577</v>
      </c>
      <c r="D33" t="s">
        <v>38</v>
      </c>
      <c r="E33" s="6" t="str">
        <f>INDEX(User!$D:$D,MATCH($D33,User!$A:$A,0))</f>
        <v>org_user5_4</v>
      </c>
      <c r="F33" t="s">
        <v>666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603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608</v>
      </c>
      <c r="AC33" s="6" t="str">
        <f>IF($AA33="","",INDEX(CaseTypeCol!$H:$H,MATCH($AA33,CaseTypeCol!$A:$A,0)))</f>
        <v>case_type_col1_1_1_1_TEXT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IF($AH33="","",INDEX(CaseTypeCol!$H:$H,MATCH($AH33,CaseTypeCol!$A:$A,0)))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IF($AO33="","",INDEX(CaseTypeCol!$H:$H,MATCH($AO33,CaseTypeCol!$A:$A,0)))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669</v>
      </c>
      <c r="D34" t="s">
        <v>10</v>
      </c>
      <c r="E34" s="6" t="str">
        <f>INDEX(User!$D:$D,MATCH($D34,User!$A:$A,0))</f>
        <v>org_user1_1</v>
      </c>
      <c r="F34" t="s">
        <v>666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670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608</v>
      </c>
      <c r="AC34" s="6" t="str">
        <f>IF($AA34="","",INDEX(CaseTypeCol!$H:$H,MATCH($AA34,CaseTypeCol!$A:$A,0)))</f>
        <v>case_type_col1_1_1_1_TEXT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719</v>
      </c>
      <c r="AJ34" s="6" t="str">
        <f>IF($AH34="","",INDEX(CaseTypeCol!$H:$H,MATCH($AH34,CaseTypeCol!$A:$A,0)))</f>
        <v>case_type_col1_1_1_1_TEXT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671</v>
      </c>
      <c r="AQ34" s="6" t="str">
        <f>IF($AO34="","",INDEX(CaseTypeCol!$H:$H,MATCH($AO34,CaseTypeCol!$A:$A,0)))</f>
        <v>case_type_col1_1_1_1_TEXT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672</v>
      </c>
      <c r="D35" t="s">
        <v>12</v>
      </c>
      <c r="E35" s="6" t="str">
        <f>INDEX(User!$D:$D,MATCH($D35,User!$A:$A,0))</f>
        <v>org_user1_2</v>
      </c>
      <c r="F35" t="s">
        <v>666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670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608</v>
      </c>
      <c r="AC35" s="6" t="str">
        <f>IF($AA35="","",INDEX(CaseTypeCol!$H:$H,MATCH($AA35,CaseTypeCol!$A:$A,0)))</f>
        <v>case_type_col1_1_1_1_TEXT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728</v>
      </c>
      <c r="AJ35" s="6" t="str">
        <f>IF($AH35="","",INDEX(CaseTypeCol!$H:$H,MATCH($AH35,CaseTypeCol!$A:$A,0)))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IF($AO35="","",INDEX(CaseTypeCol!$H:$H,MATCH($AO35,CaseTypeCol!$A:$A,0)))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673</v>
      </c>
      <c r="D36" t="s">
        <v>13</v>
      </c>
      <c r="E36" s="6" t="str">
        <f>INDEX(User!$D:$D,MATCH($D36,User!$A:$A,0))</f>
        <v>org_user1_3</v>
      </c>
      <c r="F36" t="s">
        <v>666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670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608</v>
      </c>
      <c r="AC36" s="6" t="str">
        <f>IF($AA36="","",INDEX(CaseTypeCol!$H:$H,MATCH($AA36,CaseTypeCol!$A:$A,0)))</f>
        <v>case_type_col1_1_1_1_TEXT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727</v>
      </c>
      <c r="AJ36" s="6" t="str">
        <f>IF($AH36="","",INDEX(CaseTypeCol!$H:$H,MATCH($AH36,CaseTypeCol!$A:$A,0)))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IF($AO36="","",INDEX(CaseTypeCol!$H:$H,MATCH($AO36,CaseTypeCol!$A:$A,0)))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674</v>
      </c>
      <c r="D37" t="s">
        <v>14</v>
      </c>
      <c r="E37" s="6" t="str">
        <f>INDEX(User!$D:$D,MATCH($D37,User!$A:$A,0))</f>
        <v>org_user1_4</v>
      </c>
      <c r="F37" t="s">
        <v>666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670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608</v>
      </c>
      <c r="AC37" s="6" t="str">
        <f>IF($AA37="","",INDEX(CaseTypeCol!$H:$H,MATCH($AA37,CaseTypeCol!$A:$A,0)))</f>
        <v>case_type_col1_1_1_1_TEXT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720</v>
      </c>
      <c r="AJ37" s="6" t="str">
        <f>IF($AH37="","",INDEX(CaseTypeCol!$H:$H,MATCH($AH37,CaseTypeCol!$A:$A,0)))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IF($AO37="","",INDEX(CaseTypeCol!$H:$H,MATCH($AO37,CaseTypeCol!$A:$A,0)))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675</v>
      </c>
      <c r="D38" t="s">
        <v>16</v>
      </c>
      <c r="E38" s="6" t="str">
        <f>INDEX(User!$D:$D,MATCH($D38,User!$A:$A,0))</f>
        <v>org_user2_1</v>
      </c>
      <c r="F38" t="s">
        <v>666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670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608</v>
      </c>
      <c r="AC38" s="6" t="str">
        <f>IF($AA38="","",INDEX(CaseTypeCol!$H:$H,MATCH($AA38,CaseTypeCol!$A:$A,0)))</f>
        <v>case_type_col1_1_1_1_TEXT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721</v>
      </c>
      <c r="AJ38" s="6" t="str">
        <f>IF($AH38="","",INDEX(CaseTypeCol!$H:$H,MATCH($AH38,CaseTypeCol!$A:$A,0)))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IF($AO38="","",INDEX(CaseTypeCol!$H:$H,MATCH($AO38,CaseTypeCol!$A:$A,0)))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676</v>
      </c>
      <c r="D39" t="s">
        <v>18</v>
      </c>
      <c r="E39" s="6" t="str">
        <f>INDEX(User!$D:$D,MATCH($D39,User!$A:$A,0))</f>
        <v>org_user2_2</v>
      </c>
      <c r="F39" t="s">
        <v>666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670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608</v>
      </c>
      <c r="AC39" s="6" t="str">
        <f>IF($AA39="","",INDEX(CaseTypeCol!$H:$H,MATCH($AA39,CaseTypeCol!$A:$A,0)))</f>
        <v>case_type_col1_1_1_1_TEXT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722</v>
      </c>
      <c r="AJ39" s="6" t="str">
        <f>IF($AH39="","",INDEX(CaseTypeCol!$H:$H,MATCH($AH39,CaseTypeCol!$A:$A,0)))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IF($AO39="","",INDEX(CaseTypeCol!$H:$H,MATCH($AO39,CaseTypeCol!$A:$A,0)))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677</v>
      </c>
      <c r="D40" t="s">
        <v>19</v>
      </c>
      <c r="E40" s="6" t="str">
        <f>INDEX(User!$D:$D,MATCH($D40,User!$A:$A,0))</f>
        <v>org_user2_3</v>
      </c>
      <c r="F40" t="s">
        <v>666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670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608</v>
      </c>
      <c r="AC40" s="6" t="str">
        <f>IF($AA40="","",INDEX(CaseTypeCol!$H:$H,MATCH($AA40,CaseTypeCol!$A:$A,0)))</f>
        <v>case_type_col1_1_1_1_TEXT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722</v>
      </c>
      <c r="AJ40" s="6" t="str">
        <f>IF($AH40="","",INDEX(CaseTypeCol!$H:$H,MATCH($AH40,CaseTypeCol!$A:$A,0)))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IF($AO40="","",INDEX(CaseTypeCol!$H:$H,MATCH($AO40,CaseTypeCol!$A:$A,0)))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678</v>
      </c>
      <c r="D41" t="s">
        <v>20</v>
      </c>
      <c r="E41" s="6" t="str">
        <f>INDEX(User!$D:$D,MATCH($D41,User!$A:$A,0))</f>
        <v>org_user2_4</v>
      </c>
      <c r="F41" t="s">
        <v>666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670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608</v>
      </c>
      <c r="AC41" s="6" t="str">
        <f>IF($AA41="","",INDEX(CaseTypeCol!$H:$H,MATCH($AA41,CaseTypeCol!$A:$A,0)))</f>
        <v>case_type_col1_1_1_1_TEXT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723</v>
      </c>
      <c r="AJ41" s="6" t="str">
        <f>IF($AH41="","",INDEX(CaseTypeCol!$H:$H,MATCH($AH41,CaseTypeCol!$A:$A,0)))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IF($AO41="","",INDEX(CaseTypeCol!$H:$H,MATCH($AO41,CaseTypeCol!$A:$A,0)))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679</v>
      </c>
      <c r="D42" t="s">
        <v>22</v>
      </c>
      <c r="E42" s="6" t="str">
        <f>INDEX(User!$D:$D,MATCH($D42,User!$A:$A,0))</f>
        <v>org_user3_1</v>
      </c>
      <c r="F42" t="s">
        <v>666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670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608</v>
      </c>
      <c r="AC42" s="6" t="str">
        <f>IF($AA42="","",INDEX(CaseTypeCol!$H:$H,MATCH($AA42,CaseTypeCol!$A:$A,0)))</f>
        <v>case_type_col1_1_1_1_TEXT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724</v>
      </c>
      <c r="AJ42" s="6" t="str">
        <f>IF($AH42="","",INDEX(CaseTypeCol!$H:$H,MATCH($AH42,CaseTypeCol!$A:$A,0)))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IF($AO42="","",INDEX(CaseTypeCol!$H:$H,MATCH($AO42,CaseTypeCol!$A:$A,0)))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680</v>
      </c>
      <c r="D43" t="s">
        <v>24</v>
      </c>
      <c r="E43" s="6" t="str">
        <f>INDEX(User!$D:$D,MATCH($D43,User!$A:$A,0))</f>
        <v>org_user3_2</v>
      </c>
      <c r="F43" t="s">
        <v>666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670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608</v>
      </c>
      <c r="AC43" s="6" t="str">
        <f>IF($AA43="","",INDEX(CaseTypeCol!$H:$H,MATCH($AA43,CaseTypeCol!$A:$A,0)))</f>
        <v>case_type_col1_1_1_1_TEXT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725</v>
      </c>
      <c r="AJ43" s="6" t="str">
        <f>IF($AH43="","",INDEX(CaseTypeCol!$H:$H,MATCH($AH43,CaseTypeCol!$A:$A,0)))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IF($AO43="","",INDEX(CaseTypeCol!$H:$H,MATCH($AO43,CaseTypeCol!$A:$A,0)))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681</v>
      </c>
      <c r="D44" t="s">
        <v>25</v>
      </c>
      <c r="E44" s="6" t="str">
        <f>INDEX(User!$D:$D,MATCH($D44,User!$A:$A,0))</f>
        <v>org_user3_3</v>
      </c>
      <c r="F44" t="s">
        <v>666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670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608</v>
      </c>
      <c r="AC44" s="6" t="str">
        <f>IF($AA44="","",INDEX(CaseTypeCol!$H:$H,MATCH($AA44,CaseTypeCol!$A:$A,0)))</f>
        <v>case_type_col1_1_1_1_TEXT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IF($AH44="","",INDEX(CaseTypeCol!$H:$H,MATCH($AH44,CaseTypeCol!$A:$A,0)))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IF($AO44="","",INDEX(CaseTypeCol!$H:$H,MATCH($AO44,CaseTypeCol!$A:$A,0)))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682</v>
      </c>
      <c r="D45" t="s">
        <v>26</v>
      </c>
      <c r="E45" s="6" t="str">
        <f>INDEX(User!$D:$D,MATCH($D45,User!$A:$A,0))</f>
        <v>org_user3_4</v>
      </c>
      <c r="F45" t="s">
        <v>666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670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608</v>
      </c>
      <c r="AC45" s="6" t="str">
        <f>IF($AA45="","",INDEX(CaseTypeCol!$H:$H,MATCH($AA45,CaseTypeCol!$A:$A,0)))</f>
        <v>case_type_col1_1_1_1_TEXT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IF($AH45="","",INDEX(CaseTypeCol!$H:$H,MATCH($AH45,CaseTypeCol!$A:$A,0)))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IF($AO45="","",INDEX(CaseTypeCol!$H:$H,MATCH($AO45,CaseTypeCol!$A:$A,0)))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683</v>
      </c>
      <c r="D46" t="s">
        <v>28</v>
      </c>
      <c r="E46" s="6" t="str">
        <f>INDEX(User!$D:$D,MATCH($D46,User!$A:$A,0))</f>
        <v>org_user4_1</v>
      </c>
      <c r="F46" t="s">
        <v>666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596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608</v>
      </c>
      <c r="AC46" s="6" t="str">
        <f>IF($AA46="","",INDEX(CaseTypeCol!$H:$H,MATCH($AA46,CaseTypeCol!$A:$A,0)))</f>
        <v>case_type_col1_1_1_1_TEXT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IF($AH46="","",INDEX(CaseTypeCol!$H:$H,MATCH($AH46,CaseTypeCol!$A:$A,0)))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684</v>
      </c>
      <c r="AQ46" s="6" t="str">
        <f>IF($AO46="","",INDEX(CaseTypeCol!$H:$H,MATCH($AO46,CaseTypeCol!$A:$A,0)))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685</v>
      </c>
      <c r="D47" t="s">
        <v>30</v>
      </c>
      <c r="E47" s="6" t="str">
        <f>INDEX(User!$D:$D,MATCH($D47,User!$A:$A,0))</f>
        <v>org_user4_2</v>
      </c>
      <c r="F47" t="s">
        <v>666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597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608</v>
      </c>
      <c r="AC47" s="6" t="str">
        <f>IF($AA47="","",INDEX(CaseTypeCol!$H:$H,MATCH($AA47,CaseTypeCol!$A:$A,0)))</f>
        <v>case_type_col1_1_1_1_TEXT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IF($AH47="","",INDEX(CaseTypeCol!$H:$H,MATCH($AH47,CaseTypeCol!$A:$A,0)))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684</v>
      </c>
      <c r="AQ47" s="6" t="str">
        <f>IF($AO47="","",INDEX(CaseTypeCol!$H:$H,MATCH($AO47,CaseTypeCol!$A:$A,0)))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686</v>
      </c>
      <c r="D48" t="s">
        <v>31</v>
      </c>
      <c r="E48" s="6" t="str">
        <f>INDEX(User!$D:$D,MATCH($D48,User!$A:$A,0))</f>
        <v>org_user4_3</v>
      </c>
      <c r="F48" t="s">
        <v>666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598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608</v>
      </c>
      <c r="AC48" s="6" t="str">
        <f>IF($AA48="","",INDEX(CaseTypeCol!$H:$H,MATCH($AA48,CaseTypeCol!$A:$A,0)))</f>
        <v>case_type_col1_1_1_1_TEXT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IF($AH48="","",INDEX(CaseTypeCol!$H:$H,MATCH($AH48,CaseTypeCol!$A:$A,0)))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684</v>
      </c>
      <c r="AQ48" s="6" t="str">
        <f>IF($AO48="","",INDEX(CaseTypeCol!$H:$H,MATCH($AO48,CaseTypeCol!$A:$A,0)))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687</v>
      </c>
      <c r="D49" t="s">
        <v>32</v>
      </c>
      <c r="E49" s="6" t="str">
        <f>INDEX(User!$D:$D,MATCH($D49,User!$A:$A,0))</f>
        <v>org_user4_4</v>
      </c>
      <c r="F49" t="s">
        <v>666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599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608</v>
      </c>
      <c r="AC49" s="6" t="str">
        <f>IF($AA49="","",INDEX(CaseTypeCol!$H:$H,MATCH($AA49,CaseTypeCol!$A:$A,0)))</f>
        <v>case_type_col1_1_1_1_TEXT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IF($AH49="","",INDEX(CaseTypeCol!$H:$H,MATCH($AH49,CaseTypeCol!$A:$A,0)))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684</v>
      </c>
      <c r="AQ49" s="6" t="str">
        <f>IF($AO49="","",INDEX(CaseTypeCol!$H:$H,MATCH($AO49,CaseTypeCol!$A:$A,0)))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688</v>
      </c>
      <c r="D50" t="s">
        <v>34</v>
      </c>
      <c r="E50" s="6" t="str">
        <f>INDEX(User!$D:$D,MATCH($D50,User!$A:$A,0))</f>
        <v>org_user5_1</v>
      </c>
      <c r="F50" t="s">
        <v>666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600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608</v>
      </c>
      <c r="AC50" s="6" t="str">
        <f>IF($AA50="","",INDEX(CaseTypeCol!$H:$H,MATCH($AA50,CaseTypeCol!$A:$A,0)))</f>
        <v>case_type_col1_1_1_1_TEXT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IF($AH50="","",INDEX(CaseTypeCol!$H:$H,MATCH($AH50,CaseTypeCol!$A:$A,0)))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689</v>
      </c>
      <c r="AQ50" s="6" t="str">
        <f>IF($AO50="","",INDEX(CaseTypeCol!$H:$H,MATCH($AO50,CaseTypeCol!$A:$A,0)))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690</v>
      </c>
      <c r="D51" t="s">
        <v>36</v>
      </c>
      <c r="E51" s="6" t="str">
        <f>INDEX(User!$D:$D,MATCH($D51,User!$A:$A,0))</f>
        <v>org_user5_2</v>
      </c>
      <c r="F51" t="s">
        <v>666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601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608</v>
      </c>
      <c r="AC51" s="6" t="str">
        <f>IF($AA51="","",INDEX(CaseTypeCol!$H:$H,MATCH($AA51,CaseTypeCol!$A:$A,0)))</f>
        <v>case_type_col1_1_1_1_TEXT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IF($AH51="","",INDEX(CaseTypeCol!$H:$H,MATCH($AH51,CaseTypeCol!$A:$A,0)))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689</v>
      </c>
      <c r="AQ51" s="6" t="str">
        <f>IF($AO51="","",INDEX(CaseTypeCol!$H:$H,MATCH($AO51,CaseTypeCol!$A:$A,0)))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691</v>
      </c>
      <c r="D52" t="s">
        <v>37</v>
      </c>
      <c r="E52" s="6" t="str">
        <f>INDEX(User!$D:$D,MATCH($D52,User!$A:$A,0))</f>
        <v>org_user5_3</v>
      </c>
      <c r="F52" t="s">
        <v>666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602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608</v>
      </c>
      <c r="AC52" s="6" t="str">
        <f>IF($AA52="","",INDEX(CaseTypeCol!$H:$H,MATCH($AA52,CaseTypeCol!$A:$A,0)))</f>
        <v>case_type_col1_1_1_1_TEXT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IF($AH52="","",INDEX(CaseTypeCol!$H:$H,MATCH($AH52,CaseTypeCol!$A:$A,0)))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689</v>
      </c>
      <c r="AQ52" s="6" t="str">
        <f>IF($AO52="","",INDEX(CaseTypeCol!$H:$H,MATCH($AO52,CaseTypeCol!$A:$A,0)))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692</v>
      </c>
      <c r="D53" t="s">
        <v>38</v>
      </c>
      <c r="E53" s="6" t="str">
        <f>INDEX(User!$D:$D,MATCH($D53,User!$A:$A,0))</f>
        <v>org_user5_4</v>
      </c>
      <c r="F53" t="s">
        <v>666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603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608</v>
      </c>
      <c r="AC53" s="6" t="str">
        <f>IF($AA53="","",INDEX(CaseTypeCol!$H:$H,MATCH($AA53,CaseTypeCol!$A:$A,0)))</f>
        <v>case_type_col1_1_1_1_TEXT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IF($AH53="","",INDEX(CaseTypeCol!$H:$H,MATCH($AH53,CaseTypeCol!$A:$A,0)))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689</v>
      </c>
      <c r="AQ53" s="6" t="str">
        <f>IF($AO53="","",INDEX(CaseTypeCol!$H:$H,MATCH($AO53,CaseTypeCol!$A:$A,0)))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693</v>
      </c>
      <c r="D54" t="s">
        <v>10</v>
      </c>
      <c r="E54" s="6" t="str">
        <f>INDEX(User!$D:$D,MATCH($D54,User!$A:$A,0))</f>
        <v>org_user1_1</v>
      </c>
      <c r="F54" t="s">
        <v>666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694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608</v>
      </c>
      <c r="AC54" s="6" t="str">
        <f>IF($AA54="","",INDEX(CaseTypeCol!$H:$H,MATCH($AA54,CaseTypeCol!$A:$A,0)))</f>
        <v>case_type_col1_1_1_1_TEXT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726</v>
      </c>
      <c r="AJ54" s="6" t="str">
        <f>IF($AH54="","",INDEX(CaseTypeCol!$H:$H,MATCH($AH54,CaseTypeCol!$A:$A,0)))</f>
        <v>case_type_col1_1_1_1_TEXT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671</v>
      </c>
      <c r="AQ54" s="6" t="str">
        <f>IF($AO54="","",INDEX(CaseTypeCol!$H:$H,MATCH($AO54,CaseTypeCol!$A:$A,0)))</f>
        <v>case_type_col1_1_1_1_TEXT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695</v>
      </c>
      <c r="D55" t="s">
        <v>10</v>
      </c>
      <c r="E55" s="6" t="str">
        <f>INDEX(User!$D:$D,MATCH($D55,User!$A:$A,0))</f>
        <v>org_user1_1</v>
      </c>
      <c r="F55" t="s">
        <v>666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696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608</v>
      </c>
      <c r="AC55" s="6" t="str">
        <f>IF($AA55="","",INDEX(CaseTypeCol!$H:$H,MATCH($AA55,CaseTypeCol!$A:$A,0)))</f>
        <v>case_type_col1_1_2_1_TEXT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727</v>
      </c>
      <c r="AJ55" s="6" t="str">
        <f>IF($AH55="","",INDEX(CaseTypeCol!$H:$H,MATCH($AH55,CaseTypeCol!$A:$A,0)))</f>
        <v>case_type_col1_1_2_1_TEXT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671</v>
      </c>
      <c r="AQ55" s="6" t="str">
        <f>IF($AO55="","",INDEX(CaseTypeCol!$H:$H,MATCH($AO55,CaseTypeCol!$A:$A,0)))</f>
        <v>case_type_col1_1_2_1_TEXT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697</v>
      </c>
      <c r="D56" t="s">
        <v>10</v>
      </c>
      <c r="E56" s="6" t="str">
        <f>INDEX(User!$D:$D,MATCH($D56,User!$A:$A,0))</f>
        <v>org_user1_1</v>
      </c>
      <c r="F56" t="s">
        <v>666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698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608</v>
      </c>
      <c r="AC56" s="6" t="str">
        <f>IF($AA56="","",INDEX(CaseTypeCol!$H:$H,MATCH($AA56,CaseTypeCol!$A:$A,0)))</f>
        <v>case_type_col1_1_3_1_TEXT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727</v>
      </c>
      <c r="AJ56" s="6" t="str">
        <f>IF($AH56="","",INDEX(CaseTypeCol!$H:$H,MATCH($AH56,CaseTypeCol!$A:$A,0)))</f>
        <v>case_type_col1_1_3_1_TEXT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671</v>
      </c>
      <c r="AQ56" s="6" t="str">
        <f>IF($AO56="","",INDEX(CaseTypeCol!$H:$H,MATCH($AO56,CaseTypeCol!$A:$A,0)))</f>
        <v>case_type_col1_1_3_1_TEXT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699</v>
      </c>
      <c r="D57" t="s">
        <v>12</v>
      </c>
      <c r="E57" s="6" t="str">
        <f>INDEX(User!$D:$D,MATCH($D57,User!$A:$A,0))</f>
        <v>org_user1_2</v>
      </c>
      <c r="F57" t="s">
        <v>666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585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608</v>
      </c>
      <c r="AC57" s="6" t="str">
        <f>IF($AA57="","",INDEX(CaseTypeCol!$H:$H,MATCH($AA57,CaseTypeCol!$A:$A,0)))</f>
        <v>case_type_col1_1_1_1_TEXT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IF($AH57="","",INDEX(CaseTypeCol!$H:$H,MATCH($AH57,CaseTypeCol!$A:$A,0)))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689</v>
      </c>
      <c r="AQ57" s="6" t="str">
        <f>IF($AO57="","",INDEX(CaseTypeCol!$H:$H,MATCH($AO57,CaseTypeCol!$A:$A,0)))</f>
        <v>case_type_col1_1_2_1_TEXT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700</v>
      </c>
      <c r="D58" t="s">
        <v>12</v>
      </c>
      <c r="E58" s="6" t="str">
        <f>INDEX(User!$D:$D,MATCH($D58,User!$A:$A,0))</f>
        <v>org_user1_2</v>
      </c>
      <c r="F58" t="s">
        <v>666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585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608</v>
      </c>
      <c r="AC58" s="6" t="str">
        <f>IF($AA58="","",INDEX(CaseTypeCol!$H:$H,MATCH($AA58,CaseTypeCol!$A:$A,0)))</f>
        <v>case_type_col1_1_1_1_TEXT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IF($AH58="","",INDEX(CaseTypeCol!$H:$H,MATCH($AH58,CaseTypeCol!$A:$A,0)))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689</v>
      </c>
      <c r="AQ58" s="6" t="str">
        <f>IF($AO58="","",INDEX(CaseTypeCol!$H:$H,MATCH($AO58,CaseTypeCol!$A:$A,0)))</f>
        <v>case_type_col1_1_2_1_TEXT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701</v>
      </c>
      <c r="D59" t="s">
        <v>13</v>
      </c>
      <c r="E59" s="6" t="str">
        <f>INDEX(User!$D:$D,MATCH($D59,User!$A:$A,0))</f>
        <v>org_user1_3</v>
      </c>
      <c r="F59" t="s">
        <v>666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586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608</v>
      </c>
      <c r="AC59" s="6" t="str">
        <f>IF($AA59="","",INDEX(CaseTypeCol!$H:$H,MATCH($AA59,CaseTypeCol!$A:$A,0)))</f>
        <v>case_type_col1_1_1_1_TEXT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IF($AH59="","",INDEX(CaseTypeCol!$H:$H,MATCH($AH59,CaseTypeCol!$A:$A,0)))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702</v>
      </c>
      <c r="AQ59" s="6" t="str">
        <f>IF($AO59="","",INDEX(CaseTypeCol!$H:$H,MATCH($AO59,CaseTypeCol!$A:$A,0)))</f>
        <v>case_type_col1_2_1_1_TEXT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703</v>
      </c>
      <c r="D60" t="s">
        <v>22</v>
      </c>
      <c r="E60" s="6" t="str">
        <f>INDEX(User!$D:$D,MATCH($D60,User!$A:$A,0))</f>
        <v>org_user3_1</v>
      </c>
      <c r="F60" t="s">
        <v>666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670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608</v>
      </c>
      <c r="AC60" s="6" t="str">
        <f>IF($AA60="","",INDEX(CaseTypeCol!$H:$H,MATCH($AA60,CaseTypeCol!$A:$A,0)))</f>
        <v>case_type_col1_1_1_1_TEXT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725</v>
      </c>
      <c r="AJ60" s="6" t="str">
        <f>IF($AH60="","",INDEX(CaseTypeCol!$H:$H,MATCH($AH60,CaseTypeCol!$A:$A,0)))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IF($AO60="","",INDEX(CaseTypeCol!$H:$H,MATCH($AO60,CaseTypeCol!$A:$A,0)))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704</v>
      </c>
      <c r="D61" t="s">
        <v>24</v>
      </c>
      <c r="E61" s="6" t="str">
        <f>INDEX(User!$D:$D,MATCH($D61,User!$A:$A,0))</f>
        <v>org_user3_2</v>
      </c>
      <c r="F61" t="s">
        <v>666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670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608</v>
      </c>
      <c r="AC61" s="6" t="str">
        <f>IF($AA61="","",INDEX(CaseTypeCol!$H:$H,MATCH($AA61,CaseTypeCol!$A:$A,0)))</f>
        <v>case_type_col1_1_1_1_TEXT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725</v>
      </c>
      <c r="AJ61" s="6" t="str">
        <f>IF($AH61="","",INDEX(CaseTypeCol!$H:$H,MATCH($AH61,CaseTypeCol!$A:$A,0)))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IF($AO61="","",INDEX(CaseTypeCol!$H:$H,MATCH($AO61,CaseTypeCol!$A:$A,0)))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705</v>
      </c>
      <c r="D62" t="s">
        <v>25</v>
      </c>
      <c r="E62" s="6" t="str">
        <f>INDEX(User!$D:$D,MATCH($D62,User!$A:$A,0))</f>
        <v>org_user3_3</v>
      </c>
      <c r="F62" t="s">
        <v>666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670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608</v>
      </c>
      <c r="AC62" s="6" t="str">
        <f>IF($AA62="","",INDEX(CaseTypeCol!$H:$H,MATCH($AA62,CaseTypeCol!$A:$A,0)))</f>
        <v>case_type_col1_1_1_1_TEXT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725</v>
      </c>
      <c r="AJ62" s="6" t="str">
        <f>IF($AH62="","",INDEX(CaseTypeCol!$H:$H,MATCH($AH62,CaseTypeCol!$A:$A,0)))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IF($AO62="","",INDEX(CaseTypeCol!$H:$H,MATCH($AO62,CaseTypeCol!$A:$A,0)))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706</v>
      </c>
      <c r="D63" t="s">
        <v>26</v>
      </c>
      <c r="E63" s="6" t="str">
        <f>INDEX(User!$D:$D,MATCH($D63,User!$A:$A,0))</f>
        <v>org_user3_4</v>
      </c>
      <c r="F63" t="s">
        <v>666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670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608</v>
      </c>
      <c r="AC63" s="6" t="str">
        <f>IF($AA63="","",INDEX(CaseTypeCol!$H:$H,MATCH($AA63,CaseTypeCol!$A:$A,0)))</f>
        <v>case_type_col1_1_1_1_TEXT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725</v>
      </c>
      <c r="AJ63" s="6" t="str">
        <f>IF($AH63="","",INDEX(CaseTypeCol!$H:$H,MATCH($AH63,CaseTypeCol!$A:$A,0)))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IF($AO63="","",INDEX(CaseTypeCol!$H:$H,MATCH($AO63,CaseTypeCol!$A:$A,0)))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707</v>
      </c>
      <c r="D64" t="s">
        <v>28</v>
      </c>
      <c r="E64" s="6" t="str">
        <f>INDEX(User!$D:$D,MATCH($D64,User!$A:$A,0))</f>
        <v>org_user4_1</v>
      </c>
      <c r="F64" t="s">
        <v>666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596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608</v>
      </c>
      <c r="AC64" s="6" t="str">
        <f>IF($AA64="","",INDEX(CaseTypeCol!$H:$H,MATCH($AA64,CaseTypeCol!$A:$A,0)))</f>
        <v>case_type_col1_1_1_1_TEXT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725</v>
      </c>
      <c r="AJ64" s="6" t="str">
        <f>IF($AH64="","",INDEX(CaseTypeCol!$H:$H,MATCH($AH64,CaseTypeCol!$A:$A,0)))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684</v>
      </c>
      <c r="AQ64" s="6" t="str">
        <f>IF($AO64="","",INDEX(CaseTypeCol!$H:$H,MATCH($AO64,CaseTypeCol!$A:$A,0)))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708</v>
      </c>
      <c r="D65" t="s">
        <v>30</v>
      </c>
      <c r="E65" s="6" t="str">
        <f>INDEX(User!$D:$D,MATCH($D65,User!$A:$A,0))</f>
        <v>org_user4_2</v>
      </c>
      <c r="F65" t="s">
        <v>666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597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608</v>
      </c>
      <c r="AC65" s="6" t="str">
        <f>IF($AA65="","",INDEX(CaseTypeCol!$H:$H,MATCH($AA65,CaseTypeCol!$A:$A,0)))</f>
        <v>case_type_col1_1_1_1_TEXT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725</v>
      </c>
      <c r="AJ65" s="6" t="str">
        <f>IF($AH65="","",INDEX(CaseTypeCol!$H:$H,MATCH($AH65,CaseTypeCol!$A:$A,0)))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684</v>
      </c>
      <c r="AQ65" s="6" t="str">
        <f>IF($AO65="","",INDEX(CaseTypeCol!$H:$H,MATCH($AO65,CaseTypeCol!$A:$A,0)))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709</v>
      </c>
      <c r="D66" t="s">
        <v>31</v>
      </c>
      <c r="E66" s="6" t="str">
        <f>INDEX(User!$D:$D,MATCH($D66,User!$A:$A,0))</f>
        <v>org_user4_3</v>
      </c>
      <c r="F66" t="s">
        <v>666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598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608</v>
      </c>
      <c r="AC66" s="6" t="str">
        <f>IF($AA66="","",INDEX(CaseTypeCol!$H:$H,MATCH($AA66,CaseTypeCol!$A:$A,0)))</f>
        <v>case_type_col1_1_1_1_TEXT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725</v>
      </c>
      <c r="AJ66" s="6" t="str">
        <f>IF($AH66="","",INDEX(CaseTypeCol!$H:$H,MATCH($AH66,CaseTypeCol!$A:$A,0)))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684</v>
      </c>
      <c r="AQ66" s="6" t="str">
        <f>IF($AO66="","",INDEX(CaseTypeCol!$H:$H,MATCH($AO66,CaseTypeCol!$A:$A,0)))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710</v>
      </c>
      <c r="D67" t="s">
        <v>32</v>
      </c>
      <c r="E67" s="6" t="str">
        <f>INDEX(User!$D:$D,MATCH($D67,User!$A:$A,0))</f>
        <v>org_user4_4</v>
      </c>
      <c r="F67" t="s">
        <v>666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599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608</v>
      </c>
      <c r="AC67" s="6" t="str">
        <f>IF($AA67="","",INDEX(CaseTypeCol!$H:$H,MATCH($AA67,CaseTypeCol!$A:$A,0)))</f>
        <v>case_type_col1_1_1_1_TEXT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725</v>
      </c>
      <c r="AJ67" s="6" t="str">
        <f>IF($AH67="","",INDEX(CaseTypeCol!$H:$H,MATCH($AH67,CaseTypeCol!$A:$A,0)))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684</v>
      </c>
      <c r="AQ67" s="6" t="str">
        <f>IF($AO67="","",INDEX(CaseTypeCol!$H:$H,MATCH($AO67,CaseTypeCol!$A:$A,0)))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711</v>
      </c>
      <c r="D68" t="s">
        <v>34</v>
      </c>
      <c r="E68" s="6" t="str">
        <f>INDEX(User!$D:$D,MATCH($D68,User!$A:$A,0))</f>
        <v>org_user5_1</v>
      </c>
      <c r="F68" t="s">
        <v>666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600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608</v>
      </c>
      <c r="AC68" s="6" t="str">
        <f>IF($AA68="","",INDEX(CaseTypeCol!$H:$H,MATCH($AA68,CaseTypeCol!$A:$A,0)))</f>
        <v>case_type_col1_1_1_1_TEXT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725</v>
      </c>
      <c r="AJ68" s="6" t="str">
        <f>IF($AH68="","",INDEX(CaseTypeCol!$H:$H,MATCH($AH68,CaseTypeCol!$A:$A,0)))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689</v>
      </c>
      <c r="AQ68" s="6" t="str">
        <f>IF($AO68="","",INDEX(CaseTypeCol!$H:$H,MATCH($AO68,CaseTypeCol!$A:$A,0)))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712</v>
      </c>
      <c r="D69" t="s">
        <v>36</v>
      </c>
      <c r="E69" s="6" t="str">
        <f>INDEX(User!$D:$D,MATCH($D69,User!$A:$A,0))</f>
        <v>org_user5_2</v>
      </c>
      <c r="F69" t="s">
        <v>666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601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608</v>
      </c>
      <c r="AC69" s="6" t="str">
        <f>IF($AA69="","",INDEX(CaseTypeCol!$H:$H,MATCH($AA69,CaseTypeCol!$A:$A,0)))</f>
        <v>case_type_col1_1_1_1_TEXT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725</v>
      </c>
      <c r="AJ69" s="6" t="str">
        <f>IF($AH69="","",INDEX(CaseTypeCol!$H:$H,MATCH($AH69,CaseTypeCol!$A:$A,0)))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689</v>
      </c>
      <c r="AQ69" s="6" t="str">
        <f>IF($AO69="","",INDEX(CaseTypeCol!$H:$H,MATCH($AO69,CaseTypeCol!$A:$A,0)))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713</v>
      </c>
      <c r="D70" t="s">
        <v>37</v>
      </c>
      <c r="E70" s="6" t="str">
        <f>INDEX(User!$D:$D,MATCH($D70,User!$A:$A,0))</f>
        <v>org_user5_3</v>
      </c>
      <c r="F70" t="s">
        <v>666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602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608</v>
      </c>
      <c r="AC70" s="6" t="str">
        <f>IF($AA70="","",INDEX(CaseTypeCol!$H:$H,MATCH($AA70,CaseTypeCol!$A:$A,0)))</f>
        <v>case_type_col1_1_1_1_TEXT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725</v>
      </c>
      <c r="AJ70" s="6" t="str">
        <f>IF($AH70="","",INDEX(CaseTypeCol!$H:$H,MATCH($AH70,CaseTypeCol!$A:$A,0)))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689</v>
      </c>
      <c r="AQ70" s="6" t="str">
        <f>IF($AO70="","",INDEX(CaseTypeCol!$H:$H,MATCH($AO70,CaseTypeCol!$A:$A,0)))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714</v>
      </c>
      <c r="D71" t="s">
        <v>38</v>
      </c>
      <c r="E71" s="6" t="str">
        <f>INDEX(User!$D:$D,MATCH($D71,User!$A:$A,0))</f>
        <v>org_user5_4</v>
      </c>
      <c r="F71" t="s">
        <v>666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603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608</v>
      </c>
      <c r="AC71" s="6" t="str">
        <f>IF($AA71="","",INDEX(CaseTypeCol!$H:$H,MATCH($AA71,CaseTypeCol!$A:$A,0)))</f>
        <v>case_type_col1_1_1_1_TEXT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725</v>
      </c>
      <c r="AJ71" s="6" t="str">
        <f>IF($AH71="","",INDEX(CaseTypeCol!$H:$H,MATCH($AH71,CaseTypeCol!$A:$A,0)))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689</v>
      </c>
      <c r="AQ71" s="6" t="str">
        <f>IF($AO71="","",INDEX(CaseTypeCol!$H:$H,MATCH($AO71,CaseTypeCol!$A:$A,0)))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715</v>
      </c>
      <c r="D72" t="s">
        <v>16</v>
      </c>
      <c r="E72" s="6" t="str">
        <f>INDEX(User!$D:$D,MATCH($D72,User!$A:$A,0))</f>
        <v>org_user2_1</v>
      </c>
      <c r="F72" t="s">
        <v>666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670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608</v>
      </c>
      <c r="AC72" s="6" t="str">
        <f>IF($AA72="","",INDEX(CaseTypeCol!$H:$H,MATCH($AA72,CaseTypeCol!$A:$A,0)))</f>
        <v>case_type_col1_1_1_1_TEXT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725</v>
      </c>
      <c r="AJ72" s="6" t="str">
        <f>IF($AH72="","",INDEX(CaseTypeCol!$H:$H,MATCH($AH72,CaseTypeCol!$A:$A,0)))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IF($AO72="","",INDEX(CaseTypeCol!$H:$H,MATCH($AO72,CaseTypeCol!$A:$A,0)))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716</v>
      </c>
      <c r="D73" t="s">
        <v>18</v>
      </c>
      <c r="E73" s="6" t="str">
        <f>INDEX(User!$D:$D,MATCH($D73,User!$A:$A,0))</f>
        <v>org_user2_2</v>
      </c>
      <c r="F73" t="s">
        <v>666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670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608</v>
      </c>
      <c r="AC73" s="6" t="str">
        <f>IF($AA73="","",INDEX(CaseTypeCol!$H:$H,MATCH($AA73,CaseTypeCol!$A:$A,0)))</f>
        <v>case_type_col1_1_1_1_TEXT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725</v>
      </c>
      <c r="AJ73" s="6" t="str">
        <f>IF($AH73="","",INDEX(CaseTypeCol!$H:$H,MATCH($AH73,CaseTypeCol!$A:$A,0)))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IF($AO73="","",INDEX(CaseTypeCol!$H:$H,MATCH($AO73,CaseTypeCol!$A:$A,0)))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717</v>
      </c>
      <c r="D74" t="s">
        <v>19</v>
      </c>
      <c r="E74" s="6" t="str">
        <f>INDEX(User!$D:$D,MATCH($D74,User!$A:$A,0))</f>
        <v>org_user2_3</v>
      </c>
      <c r="F74" t="s">
        <v>666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602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608</v>
      </c>
      <c r="AC74" s="6" t="str">
        <f>IF($AA74="","",INDEX(CaseTypeCol!$H:$H,MATCH($AA74,CaseTypeCol!$A:$A,0)))</f>
        <v>case_type_col1_1_1_1_TEXT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725</v>
      </c>
      <c r="AJ74" s="6" t="str">
        <f>IF($AH74="","",INDEX(CaseTypeCol!$H:$H,MATCH($AH74,CaseTypeCol!$A:$A,0)))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IF($AO74="","",INDEX(CaseTypeCol!$H:$H,MATCH($AO74,CaseTypeCol!$A:$A,0)))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3">
      <c r="A75">
        <v>74</v>
      </c>
      <c r="B75" t="b">
        <v>1</v>
      </c>
      <c r="C75" t="s">
        <v>718</v>
      </c>
      <c r="D75" t="s">
        <v>20</v>
      </c>
      <c r="E75" s="6" t="str">
        <f>INDEX(User!$D:$D,MATCH($D75,User!$A:$A,0))</f>
        <v>org_user2_4</v>
      </c>
      <c r="F75" t="s">
        <v>666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602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608</v>
      </c>
      <c r="AC75" s="6" t="str">
        <f>IF($AA75="","",INDEX(CaseTypeCol!$H:$H,MATCH($AA75,CaseTypeCol!$A:$A,0)))</f>
        <v>case_type_col1_1_1_1_TEXT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725</v>
      </c>
      <c r="AJ75" s="6" t="str">
        <f>IF($AH75="","",INDEX(CaseTypeCol!$H:$H,MATCH($AH75,CaseTypeCol!$A:$A,0)))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IF($AO75="","",INDEX(CaseTypeCol!$H:$H,MATCH($AO75,CaseTypeCol!$A:$A,0)))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topLeftCell="A36" workbookViewId="0">
      <selection activeCell="A55" sqref="A55:A56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772</v>
      </c>
      <c r="B11" t="s">
        <v>754</v>
      </c>
      <c r="C11" t="s">
        <v>754</v>
      </c>
    </row>
    <row r="12" spans="1:3" x14ac:dyDescent="0.3">
      <c r="A12" t="s">
        <v>773</v>
      </c>
      <c r="B12" t="s">
        <v>755</v>
      </c>
      <c r="C12" t="s">
        <v>755</v>
      </c>
    </row>
    <row r="13" spans="1:3" x14ac:dyDescent="0.3">
      <c r="A13" t="s">
        <v>66</v>
      </c>
      <c r="B13" t="s">
        <v>280</v>
      </c>
      <c r="C13" t="s">
        <v>280</v>
      </c>
    </row>
    <row r="14" spans="1:3" x14ac:dyDescent="0.3">
      <c r="A14" t="s">
        <v>170</v>
      </c>
      <c r="B14" t="s">
        <v>281</v>
      </c>
      <c r="C14" t="s">
        <v>281</v>
      </c>
    </row>
    <row r="15" spans="1:3" x14ac:dyDescent="0.3">
      <c r="A15" t="s">
        <v>173</v>
      </c>
      <c r="B15" t="s">
        <v>282</v>
      </c>
      <c r="C15" t="s">
        <v>282</v>
      </c>
    </row>
    <row r="16" spans="1:3" x14ac:dyDescent="0.3">
      <c r="A16" t="s">
        <v>176</v>
      </c>
      <c r="B16" t="s">
        <v>283</v>
      </c>
      <c r="C16" t="s">
        <v>283</v>
      </c>
    </row>
    <row r="17" spans="1:3" x14ac:dyDescent="0.3">
      <c r="A17" t="s">
        <v>179</v>
      </c>
      <c r="B17" t="s">
        <v>284</v>
      </c>
      <c r="C17" t="s">
        <v>284</v>
      </c>
    </row>
    <row r="18" spans="1:3" x14ac:dyDescent="0.3">
      <c r="A18" t="s">
        <v>182</v>
      </c>
      <c r="B18" t="s">
        <v>285</v>
      </c>
      <c r="C18" t="s">
        <v>285</v>
      </c>
    </row>
    <row r="19" spans="1:3" x14ac:dyDescent="0.3">
      <c r="A19" t="s">
        <v>185</v>
      </c>
      <c r="B19" t="s">
        <v>286</v>
      </c>
      <c r="C19" t="s">
        <v>286</v>
      </c>
    </row>
    <row r="20" spans="1:3" x14ac:dyDescent="0.3">
      <c r="A20" t="s">
        <v>188</v>
      </c>
      <c r="B20" t="s">
        <v>287</v>
      </c>
      <c r="C20" t="s">
        <v>287</v>
      </c>
    </row>
    <row r="21" spans="1:3" x14ac:dyDescent="0.3">
      <c r="A21" t="s">
        <v>191</v>
      </c>
      <c r="B21" t="s">
        <v>288</v>
      </c>
      <c r="C21" t="s">
        <v>288</v>
      </c>
    </row>
    <row r="22" spans="1:3" x14ac:dyDescent="0.3">
      <c r="A22" t="s">
        <v>770</v>
      </c>
      <c r="B22" t="s">
        <v>756</v>
      </c>
      <c r="C22" t="s">
        <v>756</v>
      </c>
    </row>
    <row r="23" spans="1:3" x14ac:dyDescent="0.3">
      <c r="A23" t="s">
        <v>771</v>
      </c>
      <c r="B23" t="s">
        <v>757</v>
      </c>
      <c r="C23" t="s">
        <v>757</v>
      </c>
    </row>
    <row r="24" spans="1:3" x14ac:dyDescent="0.3">
      <c r="A24" t="s">
        <v>68</v>
      </c>
      <c r="B24" t="s">
        <v>289</v>
      </c>
      <c r="C24" t="s">
        <v>289</v>
      </c>
    </row>
    <row r="25" spans="1:3" x14ac:dyDescent="0.3">
      <c r="A25" t="s">
        <v>196</v>
      </c>
      <c r="B25" t="s">
        <v>290</v>
      </c>
      <c r="C25" t="s">
        <v>290</v>
      </c>
    </row>
    <row r="26" spans="1:3" x14ac:dyDescent="0.3">
      <c r="A26" t="s">
        <v>199</v>
      </c>
      <c r="B26" t="s">
        <v>291</v>
      </c>
      <c r="C26" t="s">
        <v>291</v>
      </c>
    </row>
    <row r="27" spans="1:3" x14ac:dyDescent="0.3">
      <c r="A27" t="s">
        <v>202</v>
      </c>
      <c r="B27" t="s">
        <v>292</v>
      </c>
      <c r="C27" t="s">
        <v>292</v>
      </c>
    </row>
    <row r="28" spans="1:3" x14ac:dyDescent="0.3">
      <c r="A28" t="s">
        <v>205</v>
      </c>
      <c r="B28" t="s">
        <v>293</v>
      </c>
      <c r="C28" t="s">
        <v>293</v>
      </c>
    </row>
    <row r="29" spans="1:3" x14ac:dyDescent="0.3">
      <c r="A29" t="s">
        <v>208</v>
      </c>
      <c r="B29" t="s">
        <v>294</v>
      </c>
      <c r="C29" t="s">
        <v>294</v>
      </c>
    </row>
    <row r="30" spans="1:3" x14ac:dyDescent="0.3">
      <c r="A30" t="s">
        <v>211</v>
      </c>
      <c r="B30" t="s">
        <v>295</v>
      </c>
      <c r="C30" t="s">
        <v>295</v>
      </c>
    </row>
    <row r="31" spans="1:3" x14ac:dyDescent="0.3">
      <c r="A31" t="s">
        <v>214</v>
      </c>
      <c r="B31" t="s">
        <v>296</v>
      </c>
      <c r="C31" t="s">
        <v>296</v>
      </c>
    </row>
    <row r="32" spans="1:3" x14ac:dyDescent="0.3">
      <c r="A32" t="s">
        <v>217</v>
      </c>
      <c r="B32" t="s">
        <v>297</v>
      </c>
      <c r="C32" t="s">
        <v>297</v>
      </c>
    </row>
    <row r="33" spans="1:3" x14ac:dyDescent="0.3">
      <c r="A33" t="s">
        <v>769</v>
      </c>
      <c r="B33" t="s">
        <v>758</v>
      </c>
      <c r="C33" t="s">
        <v>758</v>
      </c>
    </row>
    <row r="34" spans="1:3" x14ac:dyDescent="0.3">
      <c r="A34" t="s">
        <v>768</v>
      </c>
      <c r="B34" t="s">
        <v>759</v>
      </c>
      <c r="C34" t="s">
        <v>759</v>
      </c>
    </row>
    <row r="35" spans="1:3" x14ac:dyDescent="0.3">
      <c r="A35" t="s">
        <v>70</v>
      </c>
      <c r="B35" t="s">
        <v>298</v>
      </c>
      <c r="C35" t="s">
        <v>298</v>
      </c>
    </row>
    <row r="36" spans="1:3" x14ac:dyDescent="0.3">
      <c r="A36" t="s">
        <v>222</v>
      </c>
      <c r="B36" t="s">
        <v>299</v>
      </c>
      <c r="C36" t="s">
        <v>299</v>
      </c>
    </row>
    <row r="37" spans="1:3" x14ac:dyDescent="0.3">
      <c r="A37" t="s">
        <v>225</v>
      </c>
      <c r="B37" t="s">
        <v>300</v>
      </c>
      <c r="C37" t="s">
        <v>300</v>
      </c>
    </row>
    <row r="38" spans="1:3" x14ac:dyDescent="0.3">
      <c r="A38" t="s">
        <v>228</v>
      </c>
      <c r="B38" t="s">
        <v>301</v>
      </c>
      <c r="C38" t="s">
        <v>301</v>
      </c>
    </row>
    <row r="39" spans="1:3" x14ac:dyDescent="0.3">
      <c r="A39" t="s">
        <v>231</v>
      </c>
      <c r="B39" t="s">
        <v>302</v>
      </c>
      <c r="C39" t="s">
        <v>302</v>
      </c>
    </row>
    <row r="40" spans="1:3" x14ac:dyDescent="0.3">
      <c r="A40" t="s">
        <v>234</v>
      </c>
      <c r="B40" t="s">
        <v>303</v>
      </c>
      <c r="C40" t="s">
        <v>303</v>
      </c>
    </row>
    <row r="41" spans="1:3" x14ac:dyDescent="0.3">
      <c r="A41" t="s">
        <v>237</v>
      </c>
      <c r="B41" t="s">
        <v>304</v>
      </c>
      <c r="C41" t="s">
        <v>304</v>
      </c>
    </row>
    <row r="42" spans="1:3" x14ac:dyDescent="0.3">
      <c r="A42" t="s">
        <v>240</v>
      </c>
      <c r="B42" t="s">
        <v>305</v>
      </c>
      <c r="C42" t="s">
        <v>305</v>
      </c>
    </row>
    <row r="43" spans="1:3" x14ac:dyDescent="0.3">
      <c r="A43" t="s">
        <v>243</v>
      </c>
      <c r="B43" t="s">
        <v>306</v>
      </c>
      <c r="C43" t="s">
        <v>306</v>
      </c>
    </row>
    <row r="44" spans="1:3" x14ac:dyDescent="0.3">
      <c r="A44" t="s">
        <v>767</v>
      </c>
      <c r="B44" t="s">
        <v>760</v>
      </c>
      <c r="C44" t="s">
        <v>760</v>
      </c>
    </row>
    <row r="45" spans="1:3" x14ac:dyDescent="0.3">
      <c r="A45" t="s">
        <v>766</v>
      </c>
      <c r="B45" t="s">
        <v>761</v>
      </c>
      <c r="C45" t="s">
        <v>761</v>
      </c>
    </row>
    <row r="46" spans="1:3" x14ac:dyDescent="0.3">
      <c r="A46" t="s">
        <v>72</v>
      </c>
      <c r="B46" t="s">
        <v>307</v>
      </c>
      <c r="C46" t="s">
        <v>307</v>
      </c>
    </row>
    <row r="47" spans="1:3" x14ac:dyDescent="0.3">
      <c r="A47" t="s">
        <v>248</v>
      </c>
      <c r="B47" t="s">
        <v>308</v>
      </c>
      <c r="C47" t="s">
        <v>308</v>
      </c>
    </row>
    <row r="48" spans="1:3" x14ac:dyDescent="0.3">
      <c r="A48" t="s">
        <v>251</v>
      </c>
      <c r="B48" t="s">
        <v>309</v>
      </c>
      <c r="C48" t="s">
        <v>309</v>
      </c>
    </row>
    <row r="49" spans="1:3" x14ac:dyDescent="0.3">
      <c r="A49" t="s">
        <v>254</v>
      </c>
      <c r="B49" t="s">
        <v>310</v>
      </c>
      <c r="C49" t="s">
        <v>310</v>
      </c>
    </row>
    <row r="50" spans="1:3" x14ac:dyDescent="0.3">
      <c r="A50" t="s">
        <v>257</v>
      </c>
      <c r="B50" t="s">
        <v>311</v>
      </c>
      <c r="C50" t="s">
        <v>311</v>
      </c>
    </row>
    <row r="51" spans="1:3" x14ac:dyDescent="0.3">
      <c r="A51" t="s">
        <v>260</v>
      </c>
      <c r="B51" t="s">
        <v>312</v>
      </c>
      <c r="C51" t="s">
        <v>312</v>
      </c>
    </row>
    <row r="52" spans="1:3" x14ac:dyDescent="0.3">
      <c r="A52" t="s">
        <v>263</v>
      </c>
      <c r="B52" t="s">
        <v>313</v>
      </c>
      <c r="C52" t="s">
        <v>313</v>
      </c>
    </row>
    <row r="53" spans="1:3" x14ac:dyDescent="0.3">
      <c r="A53" t="s">
        <v>266</v>
      </c>
      <c r="B53" t="s">
        <v>314</v>
      </c>
      <c r="C53" t="s">
        <v>314</v>
      </c>
    </row>
    <row r="54" spans="1:3" x14ac:dyDescent="0.3">
      <c r="A54" t="s">
        <v>269</v>
      </c>
      <c r="B54" t="s">
        <v>315</v>
      </c>
      <c r="C54" t="s">
        <v>315</v>
      </c>
    </row>
    <row r="55" spans="1:3" x14ac:dyDescent="0.3">
      <c r="A55" t="s">
        <v>765</v>
      </c>
      <c r="B55" t="s">
        <v>762</v>
      </c>
      <c r="C55" t="s">
        <v>762</v>
      </c>
    </row>
    <row r="56" spans="1:3" x14ac:dyDescent="0.3">
      <c r="A56" t="s">
        <v>764</v>
      </c>
      <c r="B56" t="s">
        <v>763</v>
      </c>
      <c r="C56" t="s">
        <v>763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/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529</v>
      </c>
      <c r="D1" s="1" t="s">
        <v>61</v>
      </c>
      <c r="E1" s="1" t="s">
        <v>139</v>
      </c>
      <c r="F1" s="10" t="s">
        <v>530</v>
      </c>
      <c r="G1" s="1" t="s">
        <v>140</v>
      </c>
      <c r="H1" s="16" t="s">
        <v>612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INDEX(CaseTypeCol!$H:$H,MATCH($E2,CaseTypeCol!$A:$A,0))</f>
        <v>case_type_col1_1_1_1_TEXT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INDEX(CaseTypeCol!$H:$H,MATCH($E3,CaseTypeCol!$A:$A,0))</f>
        <v>case_type_col1_1_2_1_TEXT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INDEX(CaseTypeCol!$H:$H,MATCH($E4,CaseTypeCol!$A:$A,0))</f>
        <v>case_type_col1_1_3_1_TEXT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INDEX(CaseTypeCol!$H:$H,MATCH($E5,CaseTypeCol!$A:$A,0))</f>
        <v>case_type_col1_2_1_1_TEXT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INDEX(CaseTypeCol!$H:$H,MATCH($E6,CaseTypeCol!$A:$A,0))</f>
        <v>case_type_col1_2_2_1_TEXT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INDEX(CaseTypeCol!$H:$H,MATCH($E7,CaseTypeCol!$A:$A,0))</f>
        <v>case_type_col1_2_3_1_TEXT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INDEX(CaseTypeCol!$H:$H,MATCH($E8,CaseTypeCol!$A:$A,0))</f>
        <v>case_type_col1_3_1_1_TEXT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INDEX(CaseTypeCol!$H:$H,MATCH($E9,CaseTypeCol!$A:$A,0))</f>
        <v>case_type_col1_3_2_1_TEXT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INDEX(CaseTypeCol!$H:$H,MATCH($E10,CaseTypeCol!$A:$A,0))</f>
        <v>case_type_col1_3_3_1_TEXT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774</v>
      </c>
      <c r="B11" t="s">
        <v>772</v>
      </c>
      <c r="C11" s="6" t="str">
        <f>INDEX(CaseTypeColSet!$B:$B,MATCH($B11,CaseTypeColSet!$A:$A,0))</f>
        <v>case_type_col_set1_4_1</v>
      </c>
      <c r="E11" t="s">
        <v>745</v>
      </c>
      <c r="F11" s="6" t="str">
        <f>INDEX(CaseTypeCol!$H:$H,MATCH($E11,CaseTypeCol!$A:$A,0))</f>
        <v>case_type_col1_4_1_1_GENETIC_READS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775</v>
      </c>
      <c r="B12" t="s">
        <v>773</v>
      </c>
      <c r="C12" s="6" t="str">
        <f>INDEX(CaseTypeColSet!$B:$B,MATCH($B12,CaseTypeColSet!$A:$A,0))</f>
        <v>case_type_col_set1_4_2</v>
      </c>
      <c r="E12" t="s">
        <v>744</v>
      </c>
      <c r="F12" s="6" t="str">
        <f>INDEX(CaseTypeCol!$H:$H,MATCH($E12,CaseTypeCol!$A:$A,0))</f>
        <v>case_type_col1_4_2_1_GENETIC_SEQUENCE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167</v>
      </c>
      <c r="B13" t="s">
        <v>66</v>
      </c>
      <c r="C13" s="6" t="str">
        <f>INDEX(CaseTypeColSet!$B:$B,MATCH($B13,CaseTypeColSet!$A:$A,0))</f>
        <v>case_type_col_set2_1_1</v>
      </c>
      <c r="E13" t="s">
        <v>168</v>
      </c>
      <c r="F13" s="6" t="str">
        <f>INDEX(CaseTypeCol!$H:$H,MATCH($E13,CaseTypeCol!$A:$A,0))</f>
        <v>case_type_col2_1_1_1_TEXT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169</v>
      </c>
      <c r="B14" t="s">
        <v>170</v>
      </c>
      <c r="C14" s="6" t="str">
        <f>INDEX(CaseTypeColSet!$B:$B,MATCH($B14,CaseTypeColSet!$A:$A,0))</f>
        <v>case_type_col_set2_1_2</v>
      </c>
      <c r="E14" t="s">
        <v>171</v>
      </c>
      <c r="F14" s="6" t="str">
        <f>INDEX(CaseTypeCol!$H:$H,MATCH($E14,CaseTypeCol!$A:$A,0))</f>
        <v>case_type_col2_1_2_1_TEXT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172</v>
      </c>
      <c r="B15" t="s">
        <v>173</v>
      </c>
      <c r="C15" s="6" t="str">
        <f>INDEX(CaseTypeColSet!$B:$B,MATCH($B15,CaseTypeColSet!$A:$A,0))</f>
        <v>case_type_col_set2_1_3</v>
      </c>
      <c r="E15" t="s">
        <v>174</v>
      </c>
      <c r="F15" s="6" t="str">
        <f>INDEX(CaseTypeCol!$H:$H,MATCH($E15,CaseTypeCol!$A:$A,0))</f>
        <v>case_type_col2_1_3_1_TEXT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175</v>
      </c>
      <c r="B16" t="s">
        <v>176</v>
      </c>
      <c r="C16" s="6" t="str">
        <f>INDEX(CaseTypeColSet!$B:$B,MATCH($B16,CaseTypeColSet!$A:$A,0))</f>
        <v>case_type_col_set2_2_1</v>
      </c>
      <c r="E16" t="s">
        <v>177</v>
      </c>
      <c r="F16" s="6" t="str">
        <f>INDEX(CaseTypeCol!$H:$H,MATCH($E16,CaseTypeCol!$A:$A,0))</f>
        <v>case_type_col2_2_1_1_TEXT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178</v>
      </c>
      <c r="B17" t="s">
        <v>179</v>
      </c>
      <c r="C17" s="6" t="str">
        <f>INDEX(CaseTypeColSet!$B:$B,MATCH($B17,CaseTypeColSet!$A:$A,0))</f>
        <v>case_type_col_set2_2_2</v>
      </c>
      <c r="E17" t="s">
        <v>180</v>
      </c>
      <c r="F17" s="6" t="str">
        <f>INDEX(CaseTypeCol!$H:$H,MATCH($E17,CaseTypeCol!$A:$A,0))</f>
        <v>case_type_col2_2_2_1_TEXT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181</v>
      </c>
      <c r="B18" t="s">
        <v>182</v>
      </c>
      <c r="C18" s="6" t="str">
        <f>INDEX(CaseTypeColSet!$B:$B,MATCH($B18,CaseTypeColSet!$A:$A,0))</f>
        <v>case_type_col_set2_2_3</v>
      </c>
      <c r="E18" t="s">
        <v>183</v>
      </c>
      <c r="F18" s="6" t="str">
        <f>INDEX(CaseTypeCol!$H:$H,MATCH($E18,CaseTypeCol!$A:$A,0))</f>
        <v>case_type_col2_2_3_1_TEXT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184</v>
      </c>
      <c r="B19" t="s">
        <v>185</v>
      </c>
      <c r="C19" s="6" t="str">
        <f>INDEX(CaseTypeColSet!$B:$B,MATCH($B19,CaseTypeColSet!$A:$A,0))</f>
        <v>case_type_col_set2_3_1</v>
      </c>
      <c r="E19" t="s">
        <v>186</v>
      </c>
      <c r="F19" s="6" t="str">
        <f>INDEX(CaseTypeCol!$H:$H,MATCH($E19,CaseTypeCol!$A:$A,0))</f>
        <v>case_type_col2_3_1_1_TEXT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187</v>
      </c>
      <c r="B20" t="s">
        <v>188</v>
      </c>
      <c r="C20" s="6" t="str">
        <f>INDEX(CaseTypeColSet!$B:$B,MATCH($B20,CaseTypeColSet!$A:$A,0))</f>
        <v>case_type_col_set2_3_2</v>
      </c>
      <c r="E20" t="s">
        <v>189</v>
      </c>
      <c r="F20" s="6" t="str">
        <f>INDEX(CaseTypeCol!$H:$H,MATCH($E20,CaseTypeCol!$A:$A,0))</f>
        <v>case_type_col2_3_2_1_TEXT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190</v>
      </c>
      <c r="B21" t="s">
        <v>191</v>
      </c>
      <c r="C21" s="6" t="str">
        <f>INDEX(CaseTypeColSet!$B:$B,MATCH($B21,CaseTypeColSet!$A:$A,0))</f>
        <v>case_type_col_set2_3_3</v>
      </c>
      <c r="E21" t="s">
        <v>192</v>
      </c>
      <c r="F21" s="6" t="str">
        <f>INDEX(CaseTypeCol!$H:$H,MATCH($E21,CaseTypeCol!$A:$A,0))</f>
        <v>case_type_col2_3_3_1_TEXT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776</v>
      </c>
      <c r="B22" t="s">
        <v>770</v>
      </c>
      <c r="C22" s="6" t="str">
        <f>INDEX(CaseTypeColSet!$B:$B,MATCH($B22,CaseTypeColSet!$A:$A,0))</f>
        <v>case_type_col_set2_4_1</v>
      </c>
      <c r="E22" t="s">
        <v>753</v>
      </c>
      <c r="F22" s="6" t="str">
        <f>INDEX(CaseTypeCol!$H:$H,MATCH($E22,CaseTypeCol!$A:$A,0))</f>
        <v>case_type_col2_4_1_1_GENETIC_READS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777</v>
      </c>
      <c r="B23" t="s">
        <v>771</v>
      </c>
      <c r="C23" s="6" t="str">
        <f>INDEX(CaseTypeColSet!$B:$B,MATCH($B23,CaseTypeColSet!$A:$A,0))</f>
        <v>case_type_col_set2_4_2</v>
      </c>
      <c r="E23" t="s">
        <v>752</v>
      </c>
      <c r="F23" s="6" t="str">
        <f>INDEX(CaseTypeCol!$H:$H,MATCH($E23,CaseTypeCol!$A:$A,0))</f>
        <v>case_type_col2_4_2_1_GENETIC_SEQUENCE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193</v>
      </c>
      <c r="B24" t="s">
        <v>68</v>
      </c>
      <c r="C24" s="6" t="str">
        <f>INDEX(CaseTypeColSet!$B:$B,MATCH($B24,CaseTypeColSet!$A:$A,0))</f>
        <v>case_type_col_set3_1_1</v>
      </c>
      <c r="E24" t="s">
        <v>194</v>
      </c>
      <c r="F24" s="6" t="str">
        <f>INDEX(CaseTypeCol!$H:$H,MATCH($E24,CaseTypeCol!$A:$A,0))</f>
        <v>case_type_col3_1_1_1_TEXT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195</v>
      </c>
      <c r="B25" t="s">
        <v>196</v>
      </c>
      <c r="C25" s="6" t="str">
        <f>INDEX(CaseTypeColSet!$B:$B,MATCH($B25,CaseTypeColSet!$A:$A,0))</f>
        <v>case_type_col_set3_1_2</v>
      </c>
      <c r="E25" t="s">
        <v>197</v>
      </c>
      <c r="F25" s="6" t="str">
        <f>INDEX(CaseTypeCol!$H:$H,MATCH($E25,CaseTypeCol!$A:$A,0))</f>
        <v>case_type_col3_1_2_1_TEXT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198</v>
      </c>
      <c r="B26" t="s">
        <v>199</v>
      </c>
      <c r="C26" s="6" t="str">
        <f>INDEX(CaseTypeColSet!$B:$B,MATCH($B26,CaseTypeColSet!$A:$A,0))</f>
        <v>case_type_col_set3_1_3</v>
      </c>
      <c r="E26" t="s">
        <v>200</v>
      </c>
      <c r="F26" s="6" t="str">
        <f>INDEX(CaseTypeCol!$H:$H,MATCH($E26,CaseTypeCol!$A:$A,0))</f>
        <v>case_type_col3_1_3_1_TEXT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201</v>
      </c>
      <c r="B27" t="s">
        <v>202</v>
      </c>
      <c r="C27" s="6" t="str">
        <f>INDEX(CaseTypeColSet!$B:$B,MATCH($B27,CaseTypeColSet!$A:$A,0))</f>
        <v>case_type_col_set3_2_1</v>
      </c>
      <c r="E27" t="s">
        <v>203</v>
      </c>
      <c r="F27" s="6" t="str">
        <f>INDEX(CaseTypeCol!$H:$H,MATCH($E27,CaseTypeCol!$A:$A,0))</f>
        <v>case_type_col3_2_1_1_TEXT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204</v>
      </c>
      <c r="B28" t="s">
        <v>205</v>
      </c>
      <c r="C28" s="6" t="str">
        <f>INDEX(CaseTypeColSet!$B:$B,MATCH($B28,CaseTypeColSet!$A:$A,0))</f>
        <v>case_type_col_set3_2_2</v>
      </c>
      <c r="E28" t="s">
        <v>206</v>
      </c>
      <c r="F28" s="6" t="str">
        <f>INDEX(CaseTypeCol!$H:$H,MATCH($E28,CaseTypeCol!$A:$A,0))</f>
        <v>case_type_col3_2_2_1_TEXT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207</v>
      </c>
      <c r="B29" t="s">
        <v>208</v>
      </c>
      <c r="C29" s="6" t="str">
        <f>INDEX(CaseTypeColSet!$B:$B,MATCH($B29,CaseTypeColSet!$A:$A,0))</f>
        <v>case_type_col_set3_2_3</v>
      </c>
      <c r="E29" t="s">
        <v>209</v>
      </c>
      <c r="F29" s="6" t="str">
        <f>INDEX(CaseTypeCol!$H:$H,MATCH($E29,CaseTypeCol!$A:$A,0))</f>
        <v>case_type_col3_2_3_1_TEXT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210</v>
      </c>
      <c r="B30" t="s">
        <v>211</v>
      </c>
      <c r="C30" s="6" t="str">
        <f>INDEX(CaseTypeColSet!$B:$B,MATCH($B30,CaseTypeColSet!$A:$A,0))</f>
        <v>case_type_col_set3_3_1</v>
      </c>
      <c r="E30" t="s">
        <v>212</v>
      </c>
      <c r="F30" s="6" t="str">
        <f>INDEX(CaseTypeCol!$H:$H,MATCH($E30,CaseTypeCol!$A:$A,0))</f>
        <v>case_type_col3_3_1_1_TEXT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213</v>
      </c>
      <c r="B31" t="s">
        <v>214</v>
      </c>
      <c r="C31" s="6" t="str">
        <f>INDEX(CaseTypeColSet!$B:$B,MATCH($B31,CaseTypeColSet!$A:$A,0))</f>
        <v>case_type_col_set3_3_2</v>
      </c>
      <c r="E31" t="s">
        <v>215</v>
      </c>
      <c r="F31" s="6" t="str">
        <f>INDEX(CaseTypeCol!$H:$H,MATCH($E31,CaseTypeCol!$A:$A,0))</f>
        <v>case_type_col3_3_2_1_TEXT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216</v>
      </c>
      <c r="B32" t="s">
        <v>217</v>
      </c>
      <c r="C32" s="6" t="str">
        <f>INDEX(CaseTypeColSet!$B:$B,MATCH($B32,CaseTypeColSet!$A:$A,0))</f>
        <v>case_type_col_set3_3_3</v>
      </c>
      <c r="E32" t="s">
        <v>218</v>
      </c>
      <c r="F32" s="6" t="str">
        <f>INDEX(CaseTypeCol!$H:$H,MATCH($E32,CaseTypeCol!$A:$A,0))</f>
        <v>case_type_col3_3_3_1_TEXT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778</v>
      </c>
      <c r="B33" t="s">
        <v>769</v>
      </c>
      <c r="C33" s="6" t="str">
        <f>INDEX(CaseTypeColSet!$B:$B,MATCH($B33,CaseTypeColSet!$A:$A,0))</f>
        <v>case_type_col_set3_4_1</v>
      </c>
      <c r="E33" t="s">
        <v>751</v>
      </c>
      <c r="F33" s="6" t="str">
        <f>INDEX(CaseTypeCol!$H:$H,MATCH($E33,CaseTypeCol!$A:$A,0))</f>
        <v>case_type_col3_4_1_1_GENETIC_READS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779</v>
      </c>
      <c r="B34" t="s">
        <v>768</v>
      </c>
      <c r="C34" s="6" t="str">
        <f>INDEX(CaseTypeColSet!$B:$B,MATCH($B34,CaseTypeColSet!$A:$A,0))</f>
        <v>case_type_col_set3_4_2</v>
      </c>
      <c r="E34" t="s">
        <v>750</v>
      </c>
      <c r="F34" s="6" t="str">
        <f>INDEX(CaseTypeCol!$H:$H,MATCH($E34,CaseTypeCol!$A:$A,0))</f>
        <v>case_type_col3_4_2_1_GENETIC_SEQUENCE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219</v>
      </c>
      <c r="B35" t="s">
        <v>70</v>
      </c>
      <c r="C35" s="6" t="str">
        <f>INDEX(CaseTypeColSet!$B:$B,MATCH($B35,CaseTypeColSet!$A:$A,0))</f>
        <v>case_type_col_set4_1_1</v>
      </c>
      <c r="E35" t="s">
        <v>220</v>
      </c>
      <c r="F35" s="6" t="str">
        <f>INDEX(CaseTypeCol!$H:$H,MATCH($E35,CaseTypeCol!$A:$A,0))</f>
        <v>case_type_col4_1_1_1_TEXT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221</v>
      </c>
      <c r="B36" t="s">
        <v>222</v>
      </c>
      <c r="C36" s="6" t="str">
        <f>INDEX(CaseTypeColSet!$B:$B,MATCH($B36,CaseTypeColSet!$A:$A,0))</f>
        <v>case_type_col_set4_1_2</v>
      </c>
      <c r="E36" t="s">
        <v>223</v>
      </c>
      <c r="F36" s="6" t="str">
        <f>INDEX(CaseTypeCol!$H:$H,MATCH($E36,CaseTypeCol!$A:$A,0))</f>
        <v>case_type_col4_1_2_1_TEXT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224</v>
      </c>
      <c r="B37" t="s">
        <v>225</v>
      </c>
      <c r="C37" s="6" t="str">
        <f>INDEX(CaseTypeColSet!$B:$B,MATCH($B37,CaseTypeColSet!$A:$A,0))</f>
        <v>case_type_col_set4_1_3</v>
      </c>
      <c r="E37" t="s">
        <v>226</v>
      </c>
      <c r="F37" s="6" t="str">
        <f>INDEX(CaseTypeCol!$H:$H,MATCH($E37,CaseTypeCol!$A:$A,0))</f>
        <v>case_type_col4_1_3_1_TEXT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227</v>
      </c>
      <c r="B38" t="s">
        <v>228</v>
      </c>
      <c r="C38" s="6" t="str">
        <f>INDEX(CaseTypeColSet!$B:$B,MATCH($B38,CaseTypeColSet!$A:$A,0))</f>
        <v>case_type_col_set4_2_1</v>
      </c>
      <c r="E38" t="s">
        <v>229</v>
      </c>
      <c r="F38" s="6" t="str">
        <f>INDEX(CaseTypeCol!$H:$H,MATCH($E38,CaseTypeCol!$A:$A,0))</f>
        <v>case_type_col4_2_1_1_TEXT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230</v>
      </c>
      <c r="B39" t="s">
        <v>231</v>
      </c>
      <c r="C39" s="6" t="str">
        <f>INDEX(CaseTypeColSet!$B:$B,MATCH($B39,CaseTypeColSet!$A:$A,0))</f>
        <v>case_type_col_set4_2_2</v>
      </c>
      <c r="E39" t="s">
        <v>232</v>
      </c>
      <c r="F39" s="6" t="str">
        <f>INDEX(CaseTypeCol!$H:$H,MATCH($E39,CaseTypeCol!$A:$A,0))</f>
        <v>case_type_col4_2_2_1_TEXT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233</v>
      </c>
      <c r="B40" t="s">
        <v>234</v>
      </c>
      <c r="C40" s="6" t="str">
        <f>INDEX(CaseTypeColSet!$B:$B,MATCH($B40,CaseTypeColSet!$A:$A,0))</f>
        <v>case_type_col_set4_2_3</v>
      </c>
      <c r="E40" t="s">
        <v>235</v>
      </c>
      <c r="F40" s="6" t="str">
        <f>INDEX(CaseTypeCol!$H:$H,MATCH($E40,CaseTypeCol!$A:$A,0))</f>
        <v>case_type_col4_2_3_1_TEXT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236</v>
      </c>
      <c r="B41" t="s">
        <v>237</v>
      </c>
      <c r="C41" s="6" t="str">
        <f>INDEX(CaseTypeColSet!$B:$B,MATCH($B41,CaseTypeColSet!$A:$A,0))</f>
        <v>case_type_col_set4_3_1</v>
      </c>
      <c r="E41" t="s">
        <v>238</v>
      </c>
      <c r="F41" s="6" t="str">
        <f>INDEX(CaseTypeCol!$H:$H,MATCH($E41,CaseTypeCol!$A:$A,0))</f>
        <v>case_type_col4_3_1_1_TEXT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239</v>
      </c>
      <c r="B42" t="s">
        <v>240</v>
      </c>
      <c r="C42" s="6" t="str">
        <f>INDEX(CaseTypeColSet!$B:$B,MATCH($B42,CaseTypeColSet!$A:$A,0))</f>
        <v>case_type_col_set4_3_2</v>
      </c>
      <c r="E42" t="s">
        <v>241</v>
      </c>
      <c r="F42" s="6" t="str">
        <f>INDEX(CaseTypeCol!$H:$H,MATCH($E42,CaseTypeCol!$A:$A,0))</f>
        <v>case_type_col4_3_2_1_TEXT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242</v>
      </c>
      <c r="B43" t="s">
        <v>243</v>
      </c>
      <c r="C43" s="6" t="str">
        <f>INDEX(CaseTypeColSet!$B:$B,MATCH($B43,CaseTypeColSet!$A:$A,0))</f>
        <v>case_type_col_set4_3_3</v>
      </c>
      <c r="E43" t="s">
        <v>244</v>
      </c>
      <c r="F43" s="6" t="str">
        <f>INDEX(CaseTypeCol!$H:$H,MATCH($E43,CaseTypeCol!$A:$A,0))</f>
        <v>case_type_col4_3_3_1_TEXT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781</v>
      </c>
      <c r="B44" t="s">
        <v>767</v>
      </c>
      <c r="C44" s="6" t="str">
        <f>INDEX(CaseTypeColSet!$B:$B,MATCH($B44,CaseTypeColSet!$A:$A,0))</f>
        <v>case_type_col_set4_4_1</v>
      </c>
      <c r="E44" t="s">
        <v>749</v>
      </c>
      <c r="F44" s="6" t="str">
        <f>INDEX(CaseTypeCol!$H:$H,MATCH($E44,CaseTypeCol!$A:$A,0))</f>
        <v>case_type_col4_4_1_1_GENETIC_READS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780</v>
      </c>
      <c r="B45" t="s">
        <v>766</v>
      </c>
      <c r="C45" s="6" t="str">
        <f>INDEX(CaseTypeColSet!$B:$B,MATCH($B45,CaseTypeColSet!$A:$A,0))</f>
        <v>case_type_col_set4_4_2</v>
      </c>
      <c r="E45" t="s">
        <v>748</v>
      </c>
      <c r="F45" s="6" t="str">
        <f>INDEX(CaseTypeCol!$H:$H,MATCH($E45,CaseTypeCol!$A:$A,0))</f>
        <v>case_type_col4_4_2_1_GENETIC_SEQUENCE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245</v>
      </c>
      <c r="B46" t="s">
        <v>72</v>
      </c>
      <c r="C46" s="6" t="str">
        <f>INDEX(CaseTypeColSet!$B:$B,MATCH($B46,CaseTypeColSet!$A:$A,0))</f>
        <v>case_type_col_set5_1_1</v>
      </c>
      <c r="E46" t="s">
        <v>246</v>
      </c>
      <c r="F46" s="6" t="str">
        <f>INDEX(CaseTypeCol!$H:$H,MATCH($E46,CaseTypeCol!$A:$A,0))</f>
        <v>case_type_col5_1_1_1_TEXT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247</v>
      </c>
      <c r="B47" t="s">
        <v>248</v>
      </c>
      <c r="C47" s="6" t="str">
        <f>INDEX(CaseTypeColSet!$B:$B,MATCH($B47,CaseTypeColSet!$A:$A,0))</f>
        <v>case_type_col_set5_1_2</v>
      </c>
      <c r="E47" t="s">
        <v>249</v>
      </c>
      <c r="F47" s="6" t="str">
        <f>INDEX(CaseTypeCol!$H:$H,MATCH($E47,CaseTypeCol!$A:$A,0))</f>
        <v>case_type_col5_1_2_1_TEXT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250</v>
      </c>
      <c r="B48" t="s">
        <v>251</v>
      </c>
      <c r="C48" s="6" t="str">
        <f>INDEX(CaseTypeColSet!$B:$B,MATCH($B48,CaseTypeColSet!$A:$A,0))</f>
        <v>case_type_col_set5_1_3</v>
      </c>
      <c r="E48" t="s">
        <v>252</v>
      </c>
      <c r="F48" s="6" t="str">
        <f>INDEX(CaseTypeCol!$H:$H,MATCH($E48,CaseTypeCol!$A:$A,0))</f>
        <v>case_type_col5_1_3_1_TEXT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253</v>
      </c>
      <c r="B49" t="s">
        <v>254</v>
      </c>
      <c r="C49" s="6" t="str">
        <f>INDEX(CaseTypeColSet!$B:$B,MATCH($B49,CaseTypeColSet!$A:$A,0))</f>
        <v>case_type_col_set5_2_1</v>
      </c>
      <c r="E49" t="s">
        <v>255</v>
      </c>
      <c r="F49" s="6" t="str">
        <f>INDEX(CaseTypeCol!$H:$H,MATCH($E49,CaseTypeCol!$A:$A,0))</f>
        <v>case_type_col5_2_1_1_TEXT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256</v>
      </c>
      <c r="B50" t="s">
        <v>257</v>
      </c>
      <c r="C50" s="6" t="str">
        <f>INDEX(CaseTypeColSet!$B:$B,MATCH($B50,CaseTypeColSet!$A:$A,0))</f>
        <v>case_type_col_set5_2_2</v>
      </c>
      <c r="E50" t="s">
        <v>258</v>
      </c>
      <c r="F50" s="6" t="str">
        <f>INDEX(CaseTypeCol!$H:$H,MATCH($E50,CaseTypeCol!$A:$A,0))</f>
        <v>case_type_col5_2_2_1_TEXT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259</v>
      </c>
      <c r="B51" t="s">
        <v>260</v>
      </c>
      <c r="C51" s="6" t="str">
        <f>INDEX(CaseTypeColSet!$B:$B,MATCH($B51,CaseTypeColSet!$A:$A,0))</f>
        <v>case_type_col_set5_2_3</v>
      </c>
      <c r="E51" t="s">
        <v>261</v>
      </c>
      <c r="F51" s="6" t="str">
        <f>INDEX(CaseTypeCol!$H:$H,MATCH($E51,CaseTypeCol!$A:$A,0))</f>
        <v>case_type_col5_2_3_1_TEXT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262</v>
      </c>
      <c r="B52" t="s">
        <v>263</v>
      </c>
      <c r="C52" s="6" t="str">
        <f>INDEX(CaseTypeColSet!$B:$B,MATCH($B52,CaseTypeColSet!$A:$A,0))</f>
        <v>case_type_col_set5_3_1</v>
      </c>
      <c r="E52" t="s">
        <v>264</v>
      </c>
      <c r="F52" s="6" t="str">
        <f>INDEX(CaseTypeCol!$H:$H,MATCH($E52,CaseTypeCol!$A:$A,0))</f>
        <v>case_type_col5_3_1_1_TEXT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265</v>
      </c>
      <c r="B53" t="s">
        <v>266</v>
      </c>
      <c r="C53" s="6" t="str">
        <f>INDEX(CaseTypeColSet!$B:$B,MATCH($B53,CaseTypeColSet!$A:$A,0))</f>
        <v>case_type_col_set5_3_2</v>
      </c>
      <c r="E53" t="s">
        <v>267</v>
      </c>
      <c r="F53" s="6" t="str">
        <f>INDEX(CaseTypeCol!$H:$H,MATCH($E53,CaseTypeCol!$A:$A,0))</f>
        <v>case_type_col5_3_2_1_TEXT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268</v>
      </c>
      <c r="B54" t="s">
        <v>269</v>
      </c>
      <c r="C54" s="6" t="str">
        <f>INDEX(CaseTypeColSet!$B:$B,MATCH($B54,CaseTypeColSet!$A:$A,0))</f>
        <v>case_type_col_set5_3_3</v>
      </c>
      <c r="E54" t="s">
        <v>270</v>
      </c>
      <c r="F54" s="6" t="str">
        <f>INDEX(CaseTypeCol!$H:$H,MATCH($E54,CaseTypeCol!$A:$A,0))</f>
        <v>case_type_col5_3_3_1_TEXT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783</v>
      </c>
      <c r="B55" t="s">
        <v>765</v>
      </c>
      <c r="C55" s="6" t="str">
        <f>INDEX(CaseTypeColSet!$B:$B,MATCH($B55,CaseTypeColSet!$A:$A,0))</f>
        <v>case_type_col_set5_4_1</v>
      </c>
      <c r="E55" t="s">
        <v>747</v>
      </c>
      <c r="F55" s="6" t="str">
        <f>INDEX(CaseTypeCol!$H:$H,MATCH($E55,CaseTypeCol!$A:$A,0))</f>
        <v>case_type_col5_4_1_1_GENETIC_READS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782</v>
      </c>
      <c r="B56" t="s">
        <v>764</v>
      </c>
      <c r="C56" s="6" t="str">
        <f>INDEX(CaseTypeColSet!$B:$B,MATCH($B56,CaseTypeColSet!$A:$A,0))</f>
        <v>case_type_col_set5_4_2</v>
      </c>
      <c r="E56" t="s">
        <v>746</v>
      </c>
      <c r="F56" s="6" t="str">
        <f>INDEX(CaseTypeCol!$H:$H,MATCH($E56,CaseTypeCol!$A:$A,0))</f>
        <v>case_type_col5_4_2_1_GENETIC_SEQUENCE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496</v>
      </c>
      <c r="D1" s="7" t="s">
        <v>1</v>
      </c>
      <c r="E1" s="7" t="s">
        <v>495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500</v>
      </c>
      <c r="D1" s="7" t="s">
        <v>58</v>
      </c>
      <c r="E1" s="4" t="s">
        <v>501</v>
      </c>
      <c r="F1" s="7" t="s">
        <v>3</v>
      </c>
      <c r="G1" s="7" t="s">
        <v>502</v>
      </c>
      <c r="H1" s="7" t="s">
        <v>4</v>
      </c>
      <c r="I1" s="7" t="s">
        <v>5</v>
      </c>
      <c r="J1" s="7" t="s">
        <v>503</v>
      </c>
      <c r="K1" s="8" t="s">
        <v>505</v>
      </c>
      <c r="L1" s="7" t="s">
        <v>504</v>
      </c>
      <c r="M1" s="8" t="s">
        <v>506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507</v>
      </c>
      <c r="T1" s="4" t="s">
        <v>508</v>
      </c>
      <c r="U1" s="8" t="s">
        <v>509</v>
      </c>
      <c r="V1" s="8" t="s">
        <v>612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500</v>
      </c>
      <c r="D1" s="7" t="s">
        <v>58</v>
      </c>
      <c r="E1" s="4" t="s">
        <v>501</v>
      </c>
      <c r="F1" s="7" t="s">
        <v>3</v>
      </c>
      <c r="G1" s="7" t="s">
        <v>4</v>
      </c>
      <c r="H1" s="7" t="s">
        <v>5</v>
      </c>
      <c r="I1" s="7" t="s">
        <v>503</v>
      </c>
      <c r="J1" s="8" t="s">
        <v>505</v>
      </c>
      <c r="K1" s="7" t="s">
        <v>504</v>
      </c>
      <c r="L1" s="8" t="s">
        <v>506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513</v>
      </c>
      <c r="R1" s="8" t="s">
        <v>514</v>
      </c>
      <c r="S1" s="4" t="s">
        <v>508</v>
      </c>
      <c r="T1" s="8" t="s">
        <v>509</v>
      </c>
      <c r="U1" s="7" t="s">
        <v>1</v>
      </c>
      <c r="V1" s="8" t="s">
        <v>510</v>
      </c>
      <c r="W1" s="15" t="s">
        <v>612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500</v>
      </c>
      <c r="D1" t="s">
        <v>58</v>
      </c>
      <c r="E1" s="3" t="s">
        <v>501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436</v>
      </c>
      <c r="L1" s="3" t="s">
        <v>511</v>
      </c>
      <c r="M1" s="6" t="s">
        <v>513</v>
      </c>
      <c r="N1" s="3" t="s">
        <v>514</v>
      </c>
      <c r="O1" s="7" t="s">
        <v>1</v>
      </c>
      <c r="P1" s="8" t="s">
        <v>510</v>
      </c>
    </row>
    <row r="2" spans="1:16" x14ac:dyDescent="0.3">
      <c r="A2" t="s">
        <v>512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500</v>
      </c>
      <c r="D1" t="s">
        <v>58</v>
      </c>
      <c r="E1" s="3" t="s">
        <v>501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436</v>
      </c>
      <c r="L1" s="3" t="s">
        <v>511</v>
      </c>
      <c r="M1" t="s">
        <v>41</v>
      </c>
      <c r="N1" s="3" t="s">
        <v>507</v>
      </c>
    </row>
    <row r="2" spans="1:14" x14ac:dyDescent="0.3">
      <c r="A2" t="s">
        <v>512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CaseTypeDim</vt:lpstr>
      <vt:lpstr>CaseTypeCol</vt:lpstr>
      <vt:lpstr>CaseCrudCommand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2025-12-15T06:24:55Z</dcterms:modified>
</cp:coreProperties>
</file>