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5D967B31-6311-4351-96D3-68E92B5E9772}" xr6:coauthVersionLast="47" xr6:coauthVersionMax="47" xr10:uidLastSave="{00000000-0000-0000-0000-000000000000}"/>
  <bookViews>
    <workbookView xWindow="-108" yWindow="-108" windowWidth="41496" windowHeight="16776" tabRatio="913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RefDim" sheetId="14" r:id="rId5"/>
    <sheet name="Ref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Dim" sheetId="27" r:id="rId13"/>
    <sheet name="Col" sheetId="11" r:id="rId14"/>
    <sheet name="CaseCrudCommand" sheetId="24" r:id="rId15"/>
    <sheet name="ColSet" sheetId="10" r:id="rId16"/>
    <sheet name="ColSetMember" sheetId="9" r:id="rId17"/>
    <sheet name="OrganizationAdminPolicy" sheetId="2" r:id="rId18"/>
    <sheet name="OrganizationAccessCasePolicy" sheetId="20" r:id="rId19"/>
    <sheet name="UserAccessCasePolicy" sheetId="21" r:id="rId20"/>
    <sheet name="UserShareCasePolicy" sheetId="23" r:id="rId21"/>
    <sheet name="OrganizationShareCasePolicy" sheetId="22" r:id="rId22"/>
  </sheets>
  <definedNames>
    <definedName name="_xlnm._FilterDatabase" localSheetId="14" hidden="1">CaseCrudCommand!$A$1:$AU$33</definedName>
    <definedName name="_xlnm._FilterDatabase" localSheetId="11" hidden="1">CaseTypeSetMember!$A$1:$G$26</definedName>
    <definedName name="_xlnm._FilterDatabase" localSheetId="18" hidden="1">OrganizationAccessCasePolicy!$A$1:$U$11</definedName>
    <definedName name="_xlnm._FilterDatabase" localSheetId="19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27" l="1"/>
  <c r="I55" i="27"/>
  <c r="I54" i="27"/>
  <c r="I53" i="27"/>
  <c r="I52" i="27"/>
  <c r="I51" i="27"/>
  <c r="I50" i="27"/>
  <c r="I49" i="27"/>
  <c r="I48" i="27"/>
  <c r="I47" i="27"/>
  <c r="I46" i="27"/>
  <c r="I45" i="27"/>
  <c r="I44" i="27"/>
  <c r="I43" i="27"/>
  <c r="I42" i="27"/>
  <c r="I41" i="27"/>
  <c r="I40" i="27"/>
  <c r="I39" i="27"/>
  <c r="I38" i="27"/>
  <c r="I37" i="27"/>
  <c r="I36" i="27"/>
  <c r="I35" i="27"/>
  <c r="I34" i="27"/>
  <c r="I33" i="27"/>
  <c r="I32" i="27"/>
  <c r="I31" i="27"/>
  <c r="I30" i="27"/>
  <c r="I29" i="27"/>
  <c r="I28" i="27"/>
  <c r="I27" i="27"/>
  <c r="I26" i="27"/>
  <c r="I25" i="27"/>
  <c r="I24" i="27"/>
  <c r="I23" i="27"/>
  <c r="I22" i="27"/>
  <c r="I21" i="27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2" i="27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F3" i="14"/>
  <c r="F4" i="14"/>
  <c r="F5" i="14"/>
  <c r="F2" i="14"/>
  <c r="G3" i="11" l="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2" i="11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2" i="27"/>
  <c r="H56" i="9" l="1"/>
  <c r="F56" i="9"/>
  <c r="C56" i="9"/>
  <c r="H55" i="9"/>
  <c r="F55" i="9"/>
  <c r="C55" i="9"/>
  <c r="H45" i="9"/>
  <c r="F45" i="9"/>
  <c r="C45" i="9"/>
  <c r="H44" i="9"/>
  <c r="F44" i="9"/>
  <c r="C44" i="9"/>
  <c r="H34" i="9"/>
  <c r="F34" i="9"/>
  <c r="C34" i="9"/>
  <c r="H23" i="9"/>
  <c r="F23" i="9"/>
  <c r="C23" i="9"/>
  <c r="H33" i="9"/>
  <c r="F33" i="9"/>
  <c r="C33" i="9"/>
  <c r="H22" i="9"/>
  <c r="F22" i="9"/>
  <c r="C22" i="9"/>
  <c r="H12" i="9"/>
  <c r="F12" i="9"/>
  <c r="C12" i="9"/>
  <c r="H11" i="9"/>
  <c r="F11" i="9"/>
  <c r="C11" i="9"/>
  <c r="O11" i="13"/>
  <c r="O12" i="13"/>
  <c r="G5" i="14"/>
  <c r="AQ33" i="24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N33" i="24"/>
  <c r="Q33" i="24" s="1" a="1"/>
  <c r="Q33" i="24" s="1"/>
  <c r="H34" i="24"/>
  <c r="N34" i="24"/>
  <c r="H35" i="24"/>
  <c r="J35" i="24" s="1"/>
  <c r="N35" i="24"/>
  <c r="AG35" i="24" s="1" a="1"/>
  <c r="AG35" i="24" s="1"/>
  <c r="O35" i="24" a="1"/>
  <c r="O35" i="24" s="1"/>
  <c r="H36" i="24"/>
  <c r="N36" i="24"/>
  <c r="AF36" i="24" s="1" a="1"/>
  <c r="AF36" i="24" s="1"/>
  <c r="O36" i="24" a="1"/>
  <c r="O36" i="24" s="1"/>
  <c r="P36" i="24" a="1"/>
  <c r="P36" i="24" s="1"/>
  <c r="H37" i="24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N38" i="24"/>
  <c r="H39" i="24"/>
  <c r="N39" i="24"/>
  <c r="P39" i="24" s="1" a="1"/>
  <c r="P39" i="24" s="1"/>
  <c r="H40" i="24"/>
  <c r="N40" i="24"/>
  <c r="P40" i="24" s="1" a="1"/>
  <c r="P40" i="24" s="1"/>
  <c r="O40" i="24" a="1"/>
  <c r="O40" i="24" s="1"/>
  <c r="Q40" i="24" a="1"/>
  <c r="Q40" i="24" s="1"/>
  <c r="H41" i="24"/>
  <c r="N41" i="24"/>
  <c r="P41" i="24" s="1" a="1"/>
  <c r="P41" i="24" s="1"/>
  <c r="H42" i="24"/>
  <c r="N42" i="24"/>
  <c r="H43" i="24"/>
  <c r="N43" i="24"/>
  <c r="P43" i="24" s="1" a="1"/>
  <c r="P43" i="24" s="1"/>
  <c r="O43" i="24" a="1"/>
  <c r="O43" i="24" s="1"/>
  <c r="Q43" i="24" a="1"/>
  <c r="Q43" i="24" s="1"/>
  <c r="H44" i="24"/>
  <c r="N44" i="24"/>
  <c r="P44" i="24" s="1" a="1"/>
  <c r="P44" i="24" s="1"/>
  <c r="H45" i="24"/>
  <c r="N45" i="24"/>
  <c r="P45" i="24" s="1" a="1"/>
  <c r="P45" i="24" s="1"/>
  <c r="O45" i="24" a="1"/>
  <c r="O45" i="24" s="1"/>
  <c r="Q45" i="24" a="1"/>
  <c r="Q45" i="24" s="1"/>
  <c r="H46" i="24"/>
  <c r="N46" i="24"/>
  <c r="H47" i="24"/>
  <c r="N47" i="24"/>
  <c r="P47" i="24" s="1" a="1"/>
  <c r="P47" i="24" s="1"/>
  <c r="O47" i="24" a="1"/>
  <c r="O47" i="24" s="1"/>
  <c r="Q47" i="24" a="1"/>
  <c r="Q47" i="24" s="1"/>
  <c r="H48" i="24"/>
  <c r="I48" i="24"/>
  <c r="N48" i="24"/>
  <c r="P48" i="24" s="1" a="1"/>
  <c r="P48" i="24" s="1"/>
  <c r="O48" i="24" a="1"/>
  <c r="O48" i="24" s="1"/>
  <c r="H49" i="24"/>
  <c r="N49" i="24"/>
  <c r="P49" i="24" s="1" a="1"/>
  <c r="P49" i="24" s="1"/>
  <c r="O49" i="24" a="1"/>
  <c r="O49" i="24" s="1"/>
  <c r="Q49" i="24" a="1"/>
  <c r="Q49" i="24" s="1"/>
  <c r="H50" i="24"/>
  <c r="N50" i="24"/>
  <c r="H51" i="24"/>
  <c r="N51" i="24"/>
  <c r="P51" i="24" s="1" a="1"/>
  <c r="P51" i="24" s="1"/>
  <c r="Q51" i="24" a="1"/>
  <c r="Q51" i="24" s="1"/>
  <c r="H52" i="24"/>
  <c r="N52" i="24"/>
  <c r="P52" i="24" s="1" a="1"/>
  <c r="P52" i="24" s="1"/>
  <c r="H53" i="24"/>
  <c r="N53" i="24"/>
  <c r="P53" i="24" s="1" a="1"/>
  <c r="P53" i="24" s="1"/>
  <c r="O53" i="24" a="1"/>
  <c r="O53" i="24" s="1"/>
  <c r="Q53" i="24" a="1"/>
  <c r="Q53" i="24" s="1"/>
  <c r="H54" i="24"/>
  <c r="N54" i="24"/>
  <c r="H55" i="24"/>
  <c r="N55" i="24"/>
  <c r="H56" i="24"/>
  <c r="N56" i="24"/>
  <c r="P56" i="24" s="1" a="1"/>
  <c r="P56" i="24" s="1"/>
  <c r="O56" i="24" a="1"/>
  <c r="O56" i="24" s="1"/>
  <c r="Q56" i="24" a="1"/>
  <c r="Q56" i="24" s="1"/>
  <c r="H57" i="24"/>
  <c r="N57" i="24"/>
  <c r="P57" i="24" s="1" a="1"/>
  <c r="P57" i="24" s="1"/>
  <c r="H58" i="24"/>
  <c r="N58" i="24"/>
  <c r="Q58" i="24" s="1" a="1"/>
  <c r="Q58" i="24" s="1"/>
  <c r="H59" i="24"/>
  <c r="N59" i="24"/>
  <c r="P59" i="24" s="1" a="1"/>
  <c r="P59" i="24" s="1"/>
  <c r="Q59" i="24" a="1"/>
  <c r="Q59" i="24" s="1"/>
  <c r="H60" i="24"/>
  <c r="N60" i="24"/>
  <c r="H61" i="24"/>
  <c r="N61" i="24"/>
  <c r="P61" i="24" s="1" a="1"/>
  <c r="P61" i="24" s="1"/>
  <c r="O61" i="24" a="1"/>
  <c r="O61" i="24" s="1"/>
  <c r="H62" i="24"/>
  <c r="N62" i="24"/>
  <c r="AF62" i="24" s="1" a="1"/>
  <c r="AF62" i="24" s="1"/>
  <c r="P62" i="24" a="1"/>
  <c r="P62" i="24" s="1"/>
  <c r="H63" i="24"/>
  <c r="N63" i="24"/>
  <c r="AG63" i="24" s="1" a="1"/>
  <c r="AG63" i="24" s="1"/>
  <c r="P63" i="24" a="1"/>
  <c r="P63" i="24" s="1"/>
  <c r="H64" i="24"/>
  <c r="N64" i="24"/>
  <c r="H65" i="24"/>
  <c r="N65" i="24"/>
  <c r="AF65" i="24" s="1" a="1"/>
  <c r="AF65" i="24" s="1"/>
  <c r="H66" i="24"/>
  <c r="I66" i="24"/>
  <c r="N66" i="24"/>
  <c r="AF66" i="24" s="1" a="1"/>
  <c r="AF66" i="24" s="1"/>
  <c r="H67" i="24"/>
  <c r="N67" i="24"/>
  <c r="AF67" i="24" s="1" a="1"/>
  <c r="AF67" i="24" s="1"/>
  <c r="H68" i="24"/>
  <c r="N68" i="24"/>
  <c r="H69" i="24"/>
  <c r="N69" i="24"/>
  <c r="P69" i="24" s="1" a="1"/>
  <c r="P69" i="24" s="1"/>
  <c r="H70" i="24"/>
  <c r="N70" i="24"/>
  <c r="AG70" i="24" s="1" a="1"/>
  <c r="AG70" i="24" s="1"/>
  <c r="H71" i="24"/>
  <c r="N71" i="24"/>
  <c r="AF71" i="24" s="1" a="1"/>
  <c r="AF71" i="24" s="1"/>
  <c r="H72" i="24"/>
  <c r="N72" i="24"/>
  <c r="H73" i="24"/>
  <c r="N73" i="24"/>
  <c r="AF73" i="24" s="1" a="1"/>
  <c r="AF73" i="24" s="1"/>
  <c r="H74" i="24"/>
  <c r="N74" i="24"/>
  <c r="AG74" i="24" s="1" a="1"/>
  <c r="AG74" i="24" s="1"/>
  <c r="O74" i="24" a="1"/>
  <c r="O74" i="24" s="1"/>
  <c r="H75" i="24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I12" i="15"/>
  <c r="M12" i="15" s="1"/>
  <c r="I16" i="24" s="1"/>
  <c r="I13" i="15"/>
  <c r="I14" i="15"/>
  <c r="I15" i="15"/>
  <c r="M15" i="15" s="1"/>
  <c r="I19" i="24" s="1"/>
  <c r="I16" i="15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I28" i="15"/>
  <c r="M28" i="15" s="1"/>
  <c r="I32" i="24" s="1"/>
  <c r="I29" i="15"/>
  <c r="I2" i="15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3" i="9"/>
  <c r="H14" i="9"/>
  <c r="H15" i="9"/>
  <c r="H16" i="9"/>
  <c r="H17" i="9"/>
  <c r="H18" i="9"/>
  <c r="H19" i="9"/>
  <c r="H20" i="9"/>
  <c r="H21" i="9"/>
  <c r="H24" i="9"/>
  <c r="H25" i="9"/>
  <c r="H26" i="9"/>
  <c r="H27" i="9"/>
  <c r="H28" i="9"/>
  <c r="H29" i="9"/>
  <c r="H30" i="9"/>
  <c r="H31" i="9"/>
  <c r="H32" i="9"/>
  <c r="H35" i="9"/>
  <c r="H36" i="9"/>
  <c r="H37" i="9"/>
  <c r="H38" i="9"/>
  <c r="H39" i="9"/>
  <c r="H40" i="9"/>
  <c r="H41" i="9"/>
  <c r="H42" i="9"/>
  <c r="H43" i="9"/>
  <c r="H46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J55" i="24" s="1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3" i="9"/>
  <c r="F14" i="9"/>
  <c r="F15" i="9"/>
  <c r="F16" i="9"/>
  <c r="F17" i="9"/>
  <c r="F18" i="9"/>
  <c r="F19" i="9"/>
  <c r="F20" i="9"/>
  <c r="F21" i="9"/>
  <c r="F24" i="9"/>
  <c r="F25" i="9"/>
  <c r="F26" i="9"/>
  <c r="F27" i="9"/>
  <c r="F28" i="9"/>
  <c r="F29" i="9"/>
  <c r="F30" i="9"/>
  <c r="F31" i="9"/>
  <c r="F32" i="9"/>
  <c r="F35" i="9"/>
  <c r="F36" i="9"/>
  <c r="F37" i="9"/>
  <c r="F38" i="9"/>
  <c r="F39" i="9"/>
  <c r="F40" i="9"/>
  <c r="F41" i="9"/>
  <c r="F42" i="9"/>
  <c r="F43" i="9"/>
  <c r="F46" i="9"/>
  <c r="F47" i="9"/>
  <c r="F48" i="9"/>
  <c r="F49" i="9"/>
  <c r="F50" i="9"/>
  <c r="F51" i="9"/>
  <c r="F52" i="9"/>
  <c r="F53" i="9"/>
  <c r="F54" i="9"/>
  <c r="F2" i="9"/>
  <c r="C3" i="9"/>
  <c r="C4" i="9"/>
  <c r="C5" i="9"/>
  <c r="C6" i="9"/>
  <c r="C7" i="9"/>
  <c r="C8" i="9"/>
  <c r="C9" i="9"/>
  <c r="C10" i="9"/>
  <c r="C13" i="9"/>
  <c r="C14" i="9"/>
  <c r="C15" i="9"/>
  <c r="C16" i="9"/>
  <c r="C17" i="9"/>
  <c r="C18" i="9"/>
  <c r="C19" i="9"/>
  <c r="C20" i="9"/>
  <c r="C21" i="9"/>
  <c r="C24" i="9"/>
  <c r="C25" i="9"/>
  <c r="C26" i="9"/>
  <c r="C27" i="9"/>
  <c r="C28" i="9"/>
  <c r="C29" i="9"/>
  <c r="C30" i="9"/>
  <c r="C31" i="9"/>
  <c r="C32" i="9"/>
  <c r="C35" i="9"/>
  <c r="C36" i="9"/>
  <c r="C37" i="9"/>
  <c r="C38" i="9"/>
  <c r="C39" i="9"/>
  <c r="C40" i="9"/>
  <c r="C41" i="9"/>
  <c r="C42" i="9"/>
  <c r="C43" i="9"/>
  <c r="C46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AG72" i="24" a="1"/>
  <c r="P60" i="24" a="1"/>
  <c r="P68" i="24" a="1"/>
  <c r="P50" i="24" a="1"/>
  <c r="Q38" i="24" a="1"/>
  <c r="Q54" i="24" a="1"/>
  <c r="Q60" i="24" a="1"/>
  <c r="AF50" i="24" a="1"/>
  <c r="Q34" i="24" a="1"/>
  <c r="AK55" i="24" a="1"/>
  <c r="AF34" i="24" a="1"/>
  <c r="AF60" i="24" a="1"/>
  <c r="AF68" i="24" a="1"/>
  <c r="Q55" i="24" a="1"/>
  <c r="AR55" i="24" a="1"/>
  <c r="P55" i="24" a="1"/>
  <c r="L35" i="24" a="1"/>
  <c r="AG54" i="24" a="1"/>
  <c r="AF72" i="24" a="1"/>
  <c r="AN54" i="24" a="1"/>
  <c r="AM55" i="24" a="1"/>
  <c r="AL55" i="24" a="1"/>
  <c r="AG64" i="24" a="1"/>
  <c r="AF55" i="24" a="1"/>
  <c r="Q42" i="24" a="1"/>
  <c r="AF54" i="24" a="1"/>
  <c r="P42" i="24" a="1"/>
  <c r="AG38" i="24" a="1"/>
  <c r="AF38" i="24" a="1"/>
  <c r="AM54" i="24" a="1"/>
  <c r="AE35" i="24" a="1"/>
  <c r="O72" i="24" a="1"/>
  <c r="O60" i="24" a="1"/>
  <c r="P46" i="24" a="1"/>
  <c r="AU34" i="24" a="1"/>
  <c r="O42" i="24" a="1"/>
  <c r="AE55" i="24" a="1"/>
  <c r="AG50" i="24" a="1"/>
  <c r="AG42" i="24" a="1"/>
  <c r="AD35" i="24" a="1"/>
  <c r="Q46" i="24" a="1"/>
  <c r="AN55" i="24" a="1"/>
  <c r="AT34" i="24" a="1"/>
  <c r="AD55" i="24" a="1"/>
  <c r="AF42" i="24" a="1"/>
  <c r="AT55" i="24" a="1"/>
  <c r="M55" i="24" a="1"/>
  <c r="AS55" i="24" a="1"/>
  <c r="O55" i="24" a="1"/>
  <c r="K35" i="24" a="1"/>
  <c r="AF46" i="24" a="1"/>
  <c r="AF64" i="24" a="1"/>
  <c r="AU55" i="24" a="1"/>
  <c r="AG34" i="24" a="1"/>
  <c r="AG46" i="24" a="1"/>
  <c r="M35" i="24" a="1"/>
  <c r="AG60" i="24" a="1"/>
  <c r="Q50" i="24" a="1"/>
  <c r="O38" i="24" a="1"/>
  <c r="P34" i="24" a="1"/>
  <c r="AG55" i="24" a="1"/>
  <c r="AU54" i="24" a="1"/>
  <c r="AT54" i="24" a="1"/>
  <c r="AN34" i="24" a="1"/>
  <c r="P38" i="24" a="1"/>
  <c r="AM34" i="24" a="1"/>
  <c r="O34" i="24" a="1"/>
  <c r="AG68" i="24" a="1"/>
  <c r="P64" i="24" a="1"/>
  <c r="J72" i="24" l="1"/>
  <c r="J59" i="24"/>
  <c r="J54" i="24"/>
  <c r="J49" i="24"/>
  <c r="J64" i="24"/>
  <c r="J45" i="24"/>
  <c r="J39" i="24"/>
  <c r="J34" i="24"/>
  <c r="J71" i="24"/>
  <c r="AD71" i="24" s="1" a="1"/>
  <c r="AD71" i="24" s="1"/>
  <c r="J58" i="24"/>
  <c r="J65" i="24"/>
  <c r="J44" i="24"/>
  <c r="J38" i="24"/>
  <c r="J33" i="24"/>
  <c r="J70" i="24"/>
  <c r="J63" i="24"/>
  <c r="J57" i="24"/>
  <c r="J53" i="24"/>
  <c r="J48" i="24"/>
  <c r="J69" i="24"/>
  <c r="AD69" i="24" s="1" a="1"/>
  <c r="AD69" i="24" s="1"/>
  <c r="J40" i="24"/>
  <c r="J62" i="24"/>
  <c r="J52" i="24"/>
  <c r="J43" i="24"/>
  <c r="J75" i="24"/>
  <c r="J68" i="24"/>
  <c r="J37" i="24"/>
  <c r="J47" i="24"/>
  <c r="J42" i="24"/>
  <c r="J67" i="24"/>
  <c r="J56" i="24"/>
  <c r="J51" i="24"/>
  <c r="J74" i="24"/>
  <c r="J61" i="24"/>
  <c r="J41" i="24"/>
  <c r="J50" i="24"/>
  <c r="J46" i="24"/>
  <c r="J36" i="24"/>
  <c r="J73" i="24"/>
  <c r="J66" i="24"/>
  <c r="J60" i="24"/>
  <c r="I68" i="24"/>
  <c r="M16" i="15"/>
  <c r="I20" i="24" s="1"/>
  <c r="M2" i="15"/>
  <c r="M14" i="15"/>
  <c r="M29" i="15"/>
  <c r="M13" i="15"/>
  <c r="I17" i="24" s="1"/>
  <c r="I65" i="24"/>
  <c r="M27" i="15"/>
  <c r="M11" i="15"/>
  <c r="I47" i="24"/>
  <c r="I50" i="24"/>
  <c r="I64" i="24"/>
  <c r="I59" i="24"/>
  <c r="I36" i="24"/>
  <c r="I54" i="24"/>
  <c r="I70" i="24"/>
  <c r="I46" i="24"/>
  <c r="I39" i="24"/>
  <c r="I75" i="24"/>
  <c r="M25" i="15"/>
  <c r="M9" i="15"/>
  <c r="I13" i="24" s="1"/>
  <c r="I38" i="24"/>
  <c r="I35" i="24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R55" i="24"/>
  <c r="AT55" i="24"/>
  <c r="AT54" i="24"/>
  <c r="AT34" i="24"/>
  <c r="AU55" i="24"/>
  <c r="AS55" i="24"/>
  <c r="AU54" i="24"/>
  <c r="AU34" i="24"/>
  <c r="AK55" i="24"/>
  <c r="AM54" i="24"/>
  <c r="AM34" i="24"/>
  <c r="AN55" i="24"/>
  <c r="AL55" i="24"/>
  <c r="AM55" i="24"/>
  <c r="AN54" i="24"/>
  <c r="AN34" i="24"/>
  <c r="AF55" i="24"/>
  <c r="AG72" i="24"/>
  <c r="AG68" i="24"/>
  <c r="AG64" i="24"/>
  <c r="AG60" i="24"/>
  <c r="AF54" i="24"/>
  <c r="AF50" i="24"/>
  <c r="AF46" i="24"/>
  <c r="AF42" i="24"/>
  <c r="AF38" i="24"/>
  <c r="AF34" i="24"/>
  <c r="AD55" i="24"/>
  <c r="AD35" i="24"/>
  <c r="AG55" i="24"/>
  <c r="AE55" i="24"/>
  <c r="AE35" i="24"/>
  <c r="AF72" i="24"/>
  <c r="AF68" i="24"/>
  <c r="AF64" i="24"/>
  <c r="AF60" i="24"/>
  <c r="AG54" i="24"/>
  <c r="AG50" i="24"/>
  <c r="AG46" i="24"/>
  <c r="AG42" i="24"/>
  <c r="AG38" i="24"/>
  <c r="AG34" i="24"/>
  <c r="P68" i="24"/>
  <c r="M55" i="24"/>
  <c r="Q54" i="24"/>
  <c r="O60" i="24"/>
  <c r="O72" i="24"/>
  <c r="P64" i="24"/>
  <c r="O55" i="24"/>
  <c r="Q50" i="24"/>
  <c r="P50" i="24"/>
  <c r="Q46" i="24"/>
  <c r="P46" i="24"/>
  <c r="M35" i="24"/>
  <c r="O42" i="24"/>
  <c r="K35" i="24"/>
  <c r="Q60" i="24"/>
  <c r="P60" i="24"/>
  <c r="P42" i="24"/>
  <c r="P38" i="24"/>
  <c r="L35" i="24"/>
  <c r="Q55" i="24"/>
  <c r="P55" i="24"/>
  <c r="Q42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AD72" i="24" a="1"/>
  <c r="M50" i="24" a="1"/>
  <c r="P72" i="24" a="1"/>
  <c r="K60" i="24" a="1"/>
  <c r="AK54" i="24" a="1"/>
  <c r="K4" i="24" a="1"/>
  <c r="L50" i="24" a="1"/>
  <c r="AD37" i="24" a="1"/>
  <c r="K14" i="24" a="1"/>
  <c r="AD5" i="24" a="1"/>
  <c r="AK34" i="24" a="1"/>
  <c r="K51" i="24" a="1"/>
  <c r="AE50" i="24" a="1"/>
  <c r="AS54" i="24" a="1"/>
  <c r="K38" i="24" a="1"/>
  <c r="P54" i="24" a="1"/>
  <c r="K43" i="24" a="1"/>
  <c r="AL54" i="24" a="1"/>
  <c r="L43" i="24" a="1"/>
  <c r="AE14" i="24" a="1"/>
  <c r="AE70" i="24" a="1"/>
  <c r="AD6" i="24" a="1"/>
  <c r="AD64" i="24" a="1"/>
  <c r="Q68" i="24" a="1"/>
  <c r="L59" i="24" a="1"/>
  <c r="AE8" i="24" a="1"/>
  <c r="L39" i="24" a="1"/>
  <c r="M15" i="24" a="1"/>
  <c r="K36" i="24" a="1"/>
  <c r="L8" i="24" a="1"/>
  <c r="K61" i="24" a="1"/>
  <c r="L67" i="24" a="1"/>
  <c r="L60" i="24" a="1"/>
  <c r="L68" i="24" a="1"/>
  <c r="L34" i="24" a="1"/>
  <c r="L66" i="24" a="1"/>
  <c r="K53" i="24" a="1"/>
  <c r="AD57" i="24" a="1"/>
  <c r="AD38" i="24" a="1"/>
  <c r="K66" i="24" a="1"/>
  <c r="AE49" i="24" a="1"/>
  <c r="L38" i="24" a="1"/>
  <c r="AE17" i="24" a="1"/>
  <c r="K57" i="24" a="1"/>
  <c r="K52" i="24" a="1"/>
  <c r="M57" i="24" a="1"/>
  <c r="M64" i="24" a="1"/>
  <c r="AL34" i="24" a="1"/>
  <c r="M67" i="24" a="1"/>
  <c r="AE59" i="24" a="1"/>
  <c r="AE65" i="24" a="1"/>
  <c r="M39" i="24" a="1"/>
  <c r="P14" i="24" a="1"/>
  <c r="M73" i="24" a="1"/>
  <c r="M45" i="24" a="1"/>
  <c r="AD17" i="24" a="1"/>
  <c r="AE53" i="24" a="1"/>
  <c r="L73" i="24" a="1"/>
  <c r="L65" i="24" a="1"/>
  <c r="O46" i="24" a="1"/>
  <c r="Q72" i="24" a="1"/>
  <c r="K65" i="24" a="1"/>
  <c r="K55" i="24" a="1"/>
  <c r="AE3" i="24" a="1"/>
  <c r="M44" i="24" a="1"/>
  <c r="K44" i="24" a="1"/>
  <c r="K73" i="24" a="1"/>
  <c r="AR54" i="24" a="1"/>
  <c r="AE47" i="24" a="1"/>
  <c r="K46" i="24" a="1"/>
  <c r="AE64" i="24" a="1"/>
  <c r="K48" i="24" a="1"/>
  <c r="AE66" i="24" a="1"/>
  <c r="AS57" i="24" a="1"/>
  <c r="AD54" i="24" a="1"/>
  <c r="K34" i="24" a="1"/>
  <c r="K9" i="24" a="1"/>
  <c r="AD60" i="24" a="1"/>
  <c r="AE68" i="24" a="1"/>
  <c r="AE38" i="24" a="1"/>
  <c r="L62" i="24" a="1"/>
  <c r="L45" i="24" a="1"/>
  <c r="K62" i="24" a="1"/>
  <c r="K72" i="24" a="1"/>
  <c r="AE52" i="24" a="1"/>
  <c r="L41" i="24" a="1"/>
  <c r="M61" i="24" a="1"/>
  <c r="AD47" i="24" a="1"/>
  <c r="L70" i="24" a="1"/>
  <c r="AD39" i="24" a="1"/>
  <c r="M51" i="24" a="1"/>
  <c r="AE46" i="24" a="1"/>
  <c r="M59" i="24" a="1"/>
  <c r="M34" i="24" a="1"/>
  <c r="AD45" i="24" a="1"/>
  <c r="O64" i="24" a="1"/>
  <c r="AE39" i="24" a="1"/>
  <c r="L14" i="24" a="1"/>
  <c r="AE51" i="24" a="1"/>
  <c r="M70" i="24" a="1"/>
  <c r="K67" i="24" a="1"/>
  <c r="AR59" i="24" a="1"/>
  <c r="L55" i="24" a="1"/>
  <c r="L57" i="24" a="1"/>
  <c r="AS59" i="24" a="1"/>
  <c r="M68" i="24" a="1"/>
  <c r="L2" i="24" a="1"/>
  <c r="L48" i="24" a="1"/>
  <c r="AD53" i="24" a="1"/>
  <c r="O14" i="24" a="1"/>
  <c r="AE6" i="24" a="1"/>
  <c r="AD36" i="24" a="1"/>
  <c r="L5" i="24" a="1"/>
  <c r="L72" i="24" a="1"/>
  <c r="AD8" i="24" a="1"/>
  <c r="L17" i="24" a="1"/>
  <c r="L37" i="24" a="1"/>
  <c r="M47" i="24" a="1"/>
  <c r="AE41" i="24" a="1"/>
  <c r="AD65" i="24" a="1"/>
  <c r="AE40" i="24" a="1"/>
  <c r="K37" i="24" a="1"/>
  <c r="M40" i="24" a="1"/>
  <c r="K2" i="24" a="1"/>
  <c r="AE60" i="24" a="1"/>
  <c r="AD59" i="24" a="1"/>
  <c r="L42" i="24" a="1"/>
  <c r="O50" i="24" a="1"/>
  <c r="L6" i="24" a="1"/>
  <c r="K45" i="24" a="1"/>
  <c r="AE72" i="24" a="1"/>
  <c r="AD41" i="24" a="1"/>
  <c r="M41" i="24" a="1"/>
  <c r="M8" i="24" a="1"/>
  <c r="AD14" i="24" a="1"/>
  <c r="M49" i="24" a="1"/>
  <c r="K42" i="24" a="1"/>
  <c r="AE42" i="24" a="1"/>
  <c r="AD42" i="24" a="1"/>
  <c r="L53" i="24" a="1"/>
  <c r="K54" i="24" a="1"/>
  <c r="K17" i="24" a="1"/>
  <c r="AD43" i="24" a="1"/>
  <c r="M7" i="24" a="1"/>
  <c r="K63" i="24" a="1"/>
  <c r="AD68" i="24" a="1"/>
  <c r="M43" i="24" a="1"/>
  <c r="O68" i="24" a="1"/>
  <c r="AE54" i="24" a="1"/>
  <c r="AE73" i="24" a="1"/>
  <c r="M63" i="24" a="1"/>
  <c r="L61" i="24" a="1"/>
  <c r="AR57" i="24" a="1"/>
  <c r="AF14" i="24" a="1"/>
  <c r="AD70" i="24" a="1"/>
  <c r="AS34" i="24" a="1"/>
  <c r="M60" i="24" a="1"/>
  <c r="AE34" i="24" a="1"/>
  <c r="AE15" i="24" a="1"/>
  <c r="AD48" i="24" a="1"/>
  <c r="AE45" i="24" a="1"/>
  <c r="AD46" i="24" a="1"/>
  <c r="K8" i="24" a="1"/>
  <c r="AD34" i="24" a="1"/>
  <c r="L47" i="24" a="1"/>
  <c r="AD49" i="24" a="1"/>
  <c r="AD44" i="24" a="1"/>
  <c r="M9" i="24" a="1"/>
  <c r="K50" i="24" a="1"/>
  <c r="M42" i="24" a="1"/>
  <c r="M36" i="24" a="1"/>
  <c r="L46" i="24" a="1"/>
  <c r="M14" i="24" a="1"/>
  <c r="K70" i="24" a="1"/>
  <c r="M46" i="24" a="1"/>
  <c r="AE67" i="24" a="1"/>
  <c r="AG14" i="24" a="1"/>
  <c r="M5" i="24" a="1"/>
  <c r="AE43" i="24" a="1"/>
  <c r="L52" i="24" a="1"/>
  <c r="AE48" i="24" a="1"/>
  <c r="M52" i="24" a="1"/>
  <c r="K40" i="24" a="1"/>
  <c r="AE16" i="24" a="1"/>
  <c r="AD50" i="24" a="1"/>
  <c r="L54" i="24" a="1"/>
  <c r="L64" i="24" a="1"/>
  <c r="AD73" i="24" a="1"/>
  <c r="M54" i="24" a="1"/>
  <c r="AD15" i="24" a="1"/>
  <c r="AE44" i="24" a="1"/>
  <c r="AD61" i="24" a="1"/>
  <c r="K6" i="24" a="1"/>
  <c r="M62" i="24" a="1"/>
  <c r="AE62" i="24" a="1"/>
  <c r="K41" i="24" a="1"/>
  <c r="AD66" i="24" a="1"/>
  <c r="Q64" i="24" a="1"/>
  <c r="AR34" i="24" a="1"/>
  <c r="L40" i="24" a="1"/>
  <c r="M53" i="24" a="1"/>
  <c r="AD40" i="24" a="1"/>
  <c r="Q14" i="24" a="1"/>
  <c r="L51" i="24" a="1"/>
  <c r="K68" i="24" a="1"/>
  <c r="K59" i="24" a="1"/>
  <c r="L63" i="24" a="1"/>
  <c r="K15" i="24" a="1"/>
  <c r="AE36" i="24" a="1"/>
  <c r="AD51" i="24" a="1"/>
  <c r="AD63" i="24" a="1"/>
  <c r="L9" i="24" a="1"/>
  <c r="M48" i="24" a="1"/>
  <c r="K5" i="24" a="1"/>
  <c r="M38" i="24" a="1"/>
  <c r="AE63" i="24" a="1"/>
  <c r="O54" i="24" a="1"/>
  <c r="AD62" i="24" a="1"/>
  <c r="M37" i="24" a="1"/>
  <c r="AD67" i="24" a="1"/>
  <c r="K47" i="24" a="1"/>
  <c r="AE61" i="24" a="1"/>
  <c r="AD52" i="24" a="1"/>
  <c r="K39" i="24" a="1"/>
  <c r="K64" i="24" a="1"/>
  <c r="AE57" i="24" a="1"/>
  <c r="L49" i="24" a="1"/>
  <c r="AD9" i="24" a="1"/>
  <c r="L44" i="24" a="1"/>
  <c r="AE5" i="24" a="1"/>
  <c r="M72" i="24" a="1"/>
  <c r="AE37" i="24" a="1"/>
  <c r="M17" i="24" a="1"/>
  <c r="L36" i="24" a="1"/>
  <c r="M6" i="24" a="1"/>
  <c r="K49" i="24" a="1"/>
  <c r="M65" i="24" a="1"/>
  <c r="L15" i="24" a="1"/>
  <c r="M66" i="24" a="1"/>
  <c r="AE51" i="24" l="1"/>
  <c r="M51" i="24"/>
  <c r="K51" i="24"/>
  <c r="AD51" i="24"/>
  <c r="AD63" i="24"/>
  <c r="L63" i="24"/>
  <c r="AE63" i="24"/>
  <c r="AE70" i="24"/>
  <c r="L70" i="24"/>
  <c r="AD70" i="24"/>
  <c r="AE67" i="24"/>
  <c r="AD67" i="24"/>
  <c r="K42" i="24"/>
  <c r="L42" i="24"/>
  <c r="AD42" i="24"/>
  <c r="AE42" i="24"/>
  <c r="K38" i="24"/>
  <c r="AE38" i="24"/>
  <c r="AD38" i="24"/>
  <c r="M38" i="24"/>
  <c r="L38" i="24"/>
  <c r="AE47" i="24"/>
  <c r="K47" i="24"/>
  <c r="M47" i="24"/>
  <c r="AD47" i="24"/>
  <c r="AE44" i="24"/>
  <c r="L44" i="24"/>
  <c r="AD44" i="24"/>
  <c r="AD37" i="24"/>
  <c r="M37" i="24"/>
  <c r="AE37" i="24"/>
  <c r="K37" i="24"/>
  <c r="L37" i="24"/>
  <c r="AD65" i="24"/>
  <c r="AE65" i="24"/>
  <c r="AD68" i="24"/>
  <c r="AE68" i="24"/>
  <c r="K60" i="24"/>
  <c r="AD60" i="24"/>
  <c r="L60" i="24"/>
  <c r="M60" i="24"/>
  <c r="AE60" i="24"/>
  <c r="AE66" i="24"/>
  <c r="AD66" i="24"/>
  <c r="K43" i="24"/>
  <c r="AD43" i="24"/>
  <c r="L43" i="24"/>
  <c r="AE43" i="24"/>
  <c r="M34" i="24"/>
  <c r="L34" i="24"/>
  <c r="AS34" i="24"/>
  <c r="AE34" i="24"/>
  <c r="AL34" i="24"/>
  <c r="AK34" i="24"/>
  <c r="AR34" i="24"/>
  <c r="AD34" i="24"/>
  <c r="K34" i="24"/>
  <c r="L73" i="24"/>
  <c r="AD73" i="24"/>
  <c r="M73" i="24"/>
  <c r="AE73" i="24"/>
  <c r="K73" i="24"/>
  <c r="K52" i="24"/>
  <c r="L52" i="24"/>
  <c r="AD52" i="24"/>
  <c r="AE52" i="24"/>
  <c r="M52" i="24"/>
  <c r="K39" i="24"/>
  <c r="AE39" i="24"/>
  <c r="M39" i="24"/>
  <c r="AD39" i="24"/>
  <c r="L39" i="24"/>
  <c r="M36" i="24"/>
  <c r="L36" i="24"/>
  <c r="AD36" i="24"/>
  <c r="K36" i="24"/>
  <c r="AE36" i="24"/>
  <c r="AE62" i="24"/>
  <c r="L62" i="24"/>
  <c r="AD62" i="24"/>
  <c r="K62" i="24"/>
  <c r="AE45" i="24"/>
  <c r="K45" i="24"/>
  <c r="AD45" i="24"/>
  <c r="L45" i="24"/>
  <c r="AE46" i="24"/>
  <c r="AD46" i="24"/>
  <c r="M46" i="24"/>
  <c r="L46" i="24"/>
  <c r="K40" i="24"/>
  <c r="L40" i="24"/>
  <c r="M40" i="24"/>
  <c r="AE40" i="24"/>
  <c r="AD40" i="24"/>
  <c r="AD64" i="24"/>
  <c r="AE64" i="24"/>
  <c r="M50" i="24"/>
  <c r="L50" i="24"/>
  <c r="AE50" i="24"/>
  <c r="AD50" i="24"/>
  <c r="AD49" i="24"/>
  <c r="AE49" i="24"/>
  <c r="M49" i="24"/>
  <c r="L49" i="24"/>
  <c r="K49" i="24"/>
  <c r="AE41" i="24"/>
  <c r="M41" i="24"/>
  <c r="AD41" i="24"/>
  <c r="K41" i="24"/>
  <c r="L41" i="24"/>
  <c r="L48" i="24"/>
  <c r="AE48" i="24"/>
  <c r="K48" i="24"/>
  <c r="AD48" i="24"/>
  <c r="M48" i="24"/>
  <c r="L54" i="24"/>
  <c r="AS54" i="24"/>
  <c r="AR54" i="24"/>
  <c r="AL54" i="24"/>
  <c r="K54" i="24"/>
  <c r="AD54" i="24"/>
  <c r="AK54" i="24"/>
  <c r="M54" i="24"/>
  <c r="AE54" i="24"/>
  <c r="AD61" i="24"/>
  <c r="M61" i="24"/>
  <c r="AE61" i="24"/>
  <c r="L61" i="24"/>
  <c r="K61" i="24"/>
  <c r="M53" i="24"/>
  <c r="AE53" i="24"/>
  <c r="K53" i="24"/>
  <c r="L53" i="24"/>
  <c r="AD53" i="24"/>
  <c r="AR59" i="24"/>
  <c r="AE59" i="24"/>
  <c r="AD59" i="24"/>
  <c r="AS59" i="24"/>
  <c r="AS57" i="24"/>
  <c r="AR57" i="24"/>
  <c r="K57" i="24"/>
  <c r="L57" i="24"/>
  <c r="AD57" i="24"/>
  <c r="M57" i="24"/>
  <c r="AE57" i="24"/>
  <c r="AE72" i="24"/>
  <c r="L72" i="24"/>
  <c r="AD72" i="24"/>
  <c r="K56" i="24" a="1"/>
  <c r="K56" i="24" s="1"/>
  <c r="L56" i="24" a="1"/>
  <c r="L56" i="24" s="1"/>
  <c r="AD56" i="24" a="1"/>
  <c r="AD56" i="24" s="1"/>
  <c r="AE69" i="24" a="1"/>
  <c r="AE69" i="24" s="1"/>
  <c r="G69" i="24" s="1"/>
  <c r="I15" i="24"/>
  <c r="I57" i="24"/>
  <c r="I31" i="24"/>
  <c r="I69" i="24"/>
  <c r="I33" i="24"/>
  <c r="I71" i="24"/>
  <c r="I18" i="24"/>
  <c r="I72" i="24"/>
  <c r="I53" i="24"/>
  <c r="I22" i="24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71" i="24"/>
  <c r="G75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K3" i="24" a="1"/>
  <c r="AD7" i="24" a="1"/>
  <c r="AD3" i="24" a="1"/>
  <c r="K16" i="24" a="1"/>
  <c r="M2" i="24" a="1"/>
  <c r="M16" i="24" a="1"/>
  <c r="O6" i="24" a="1"/>
  <c r="P6" i="24" a="1"/>
  <c r="L3" i="24" a="1"/>
  <c r="L4" i="24" a="1"/>
  <c r="AE7" i="24" a="1"/>
  <c r="L7" i="24" a="1"/>
  <c r="AE9" i="24" a="1"/>
  <c r="AD4" i="24" a="1"/>
  <c r="L16" i="24" a="1"/>
  <c r="AG6" i="24" a="1"/>
  <c r="M3" i="24" a="1"/>
  <c r="AE4" i="24" a="1"/>
  <c r="AD2" i="24" a="1"/>
  <c r="AE2" i="24" a="1"/>
  <c r="K7" i="24" a="1"/>
  <c r="AF6" i="24" a="1"/>
  <c r="AD16" i="24" a="1"/>
  <c r="M4" i="24" a="1"/>
  <c r="Q6" i="24" a="1"/>
  <c r="G56" i="24" l="1"/>
  <c r="G48" i="24"/>
  <c r="G62" i="24"/>
  <c r="G41" i="24"/>
  <c r="G61" i="24"/>
  <c r="G53" i="24"/>
  <c r="G59" i="24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<sst xmlns="http://schemas.openxmlformats.org/spreadsheetml/2006/main" count="2501" uniqueCount="910">
  <si>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</si>
  <si>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</si>
  <si>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</si>
  <si>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</si>
  <si>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</si>
  <si>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</si>
  <si>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</si>
  <si>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</si>
  <si>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</si>
  <si>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</si>
  <si>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</si>
  <si>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</si>
  <si>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</si>
  <si>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</si>
  <si>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</si>
  <si>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</si>
  <si>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</si>
  <si>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</si>
  <si>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</si>
  <si>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</si>
  <si>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</si>
  <si>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</si>
  <si>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</si>
  <si>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</si>
  <si>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</si>
  <si>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</si>
  <si>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</si>
  <si>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</si>
  <si>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</si>
  <si>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</si>
  <si>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</si>
  <si>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</si>
  <si>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</si>
  <si>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</si>
  <si>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</si>
  <si>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</si>
  <si>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</si>
  <si>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</si>
  <si>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</si>
  <si>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</si>
  <si>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</si>
  <si>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</si>
  <si>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</si>
  <si>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</si>
  <si>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</si>
  <si>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</si>
  <si>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</si>
  <si>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</si>
  <si>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</si>
  <si>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</si>
  <si>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</si>
  <si>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</si>
  <si>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</si>
  <si>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</si>
  <si>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</si>
  <si>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</si>
  <si>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</si>
  <si>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</si>
  <si>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</si>
  <si>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</si>
  <si>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</si>
  <si>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</si>
  <si>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</si>
  <si>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</si>
  <si>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</si>
  <si>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</si>
  <si>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</si>
  <si>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</si>
  <si>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</si>
  <si>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</si>
  <si>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</si>
  <si>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</si>
  <si>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</si>
  <si>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</si>
  <si>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</si>
  <si>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</si>
  <si>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</si>
  <si>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</si>
  <si>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</si>
  <si>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</si>
  <si>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</si>
  <si>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</si>
  <si>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</si>
  <si>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</si>
  <si>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</si>
  <si>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</si>
  <si>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</si>
  <si>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</si>
  <si>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</si>
  <si>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</si>
  <si>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</si>
  <si>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</si>
  <si>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</si>
  <si>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</si>
  <si>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</si>
  <si>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</si>
  <si>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</si>
  <si>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</si>
  <si>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</si>
  <si>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</si>
  <si>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</si>
  <si>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</si>
  <si>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</si>
  <si>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</si>
  <si>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</si>
  <si>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</si>
  <si>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</si>
  <si>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</si>
  <si>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</si>
  <si>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</si>
  <si>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</si>
  <si>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</si>
  <si>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</si>
  <si>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</si>
  <si>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</si>
  <si>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</si>
  <si>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</si>
  <si>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</si>
  <si>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</si>
  <si>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</si>
  <si>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</si>
  <si>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</si>
  <si>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</si>
  <si>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</si>
  <si>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</si>
  <si>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</si>
  <si>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</si>
  <si>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</si>
  <si>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</si>
  <si>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</si>
  <si>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</si>
  <si>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</si>
  <si>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</si>
  <si>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</si>
  <si>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</si>
  <si>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</si>
  <si>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</si>
  <si>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</si>
  <si>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</si>
  <si>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</si>
  <si>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</si>
  <si>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</si>
  <si>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</si>
  <si>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</si>
  <si>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</si>
  <si>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</si>
  <si>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</si>
  <si>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</si>
  <si>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</si>
  <si>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</si>
  <si>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</si>
  <si>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</si>
  <si>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</si>
  <si>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</si>
  <si>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</si>
  <si>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</si>
  <si>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</si>
  <si>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</si>
  <si>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</si>
  <si>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</si>
  <si>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</si>
  <si>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</si>
  <si>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</si>
  <si>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</si>
  <si>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</si>
  <si>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</si>
  <si>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</si>
  <si>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</si>
  <si>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</si>
  <si>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</si>
  <si>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</si>
  <si>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</si>
  <si>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</si>
  <si>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</si>
  <si>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</si>
  <si>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</si>
  <si>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</si>
  <si>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</si>
  <si>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</si>
  <si>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</si>
  <si>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</si>
  <si>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</si>
  <si>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</si>
  <si>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</si>
  <si>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</si>
  <si>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</si>
  <si>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</si>
  <si>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</si>
  <si>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</si>
  <si>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</si>
  <si>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</si>
  <si>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</si>
  <si>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</si>
  <si>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</si>
  <si>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</si>
  <si>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</si>
  <si>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</si>
  <si>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</si>
  <si>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</si>
  <si>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</si>
  <si>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</si>
  <si>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</si>
  <si>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</si>
  <si>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</si>
  <si>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</si>
  <si>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</si>
  <si>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</si>
  <si>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</si>
  <si>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</si>
  <si>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</si>
  <si>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</si>
  <si>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</si>
  <si>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</si>
  <si>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</si>
  <si>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</si>
  <si>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</si>
  <si>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</si>
  <si>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</si>
  <si>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</si>
  <si>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</si>
  <si>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</si>
  <si>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</si>
  <si>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</si>
  <si>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</si>
  <si>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</si>
  <si>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</si>
  <si>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</si>
  <si>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</si>
  <si>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</si>
  <si>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</si>
  <si>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</si>
  <si>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</si>
  <si>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</si>
  <si>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</si>
  <si>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</si>
  <si>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</si>
  <si>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</si>
  <si>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</si>
  <si>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</si>
  <si>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</si>
  <si>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</si>
  <si>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</si>
  <si>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</si>
  <si>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</si>
  <si>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</si>
  <si>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</si>
  <si>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</si>
  <si>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</si>
  <si>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</si>
  <si>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</si>
  <si>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</si>
  <si>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</si>
  <si>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</si>
  <si>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</si>
  <si>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</si>
  <si>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</si>
  <si>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</si>
  <si>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</si>
  <si>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</si>
  <si>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</si>
  <si>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</si>
  <si>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</si>
  <si>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</si>
  <si>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</si>
  <si>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</si>
  <si>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</si>
  <si>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</si>
  <si>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</si>
  <si>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</si>
  <si>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</si>
  <si>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</si>
  <si>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</si>
  <si>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</si>
  <si>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</si>
  <si>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</si>
  <si>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</si>
  <si>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</si>
  <si>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</si>
  <si>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</si>
  <si>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tree_algorithm_codes</t>
  </si>
  <si>
    <t>props</t>
  </si>
  <si>
    <t>0195d18c-1ca8-0d1d-088c-b8af029e62d9</t>
  </si>
  <si>
    <t>{}</t>
  </si>
  <si>
    <t>0195d18c-1ca8-2d41-3f8a-a08c6c72781c</t>
  </si>
  <si>
    <t>0195d18c-1ca9-5de7-c726-bbac813384cb</t>
  </si>
  <si>
    <t>0195d18c-1ca9-79ee-762e-93e2d841f46e</t>
  </si>
  <si>
    <t>0195d18c-1ca9-e6f0-c3d1-2695fe9f64f9</t>
  </si>
  <si>
    <t>0195d18c-1ca9-ec62-d071-2b041d96f2c7</t>
  </si>
  <si>
    <t>0195d18c-1ca9-2301-2c4f-a4762f675f45</t>
  </si>
  <si>
    <t>0195d18c-1caa-e67f-100d-0d313ce91422</t>
  </si>
  <si>
    <t>0195d18c-1caa-aad7-3b8b-2357d679761c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</si>
  <si>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</si>
  <si>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</si>
  <si>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</si>
  <si>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</si>
  <si>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</si>
  <si>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</si>
  <si>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</si>
  <si>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</si>
  <si>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</si>
  <si>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</si>
  <si>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</si>
  <si>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</si>
  <si>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</si>
  <si>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</si>
  <si>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</si>
  <si>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</si>
  <si>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</si>
  <si>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</si>
  <si>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</si>
  <si>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</si>
  <si>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</si>
  <si>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</si>
  <si>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</si>
  <si>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</si>
  <si>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</si>
  <si>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</si>
  <si>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</si>
  <si>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</si>
  <si>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</si>
  <si>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</si>
  <si>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</si>
  <si>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</si>
  <si>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</si>
  <si>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</si>
  <si>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</si>
  <si>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</si>
  <si>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0195d18c-1ca7-eac1-1845-3de69c9879f2</t>
  </si>
  <si>
    <t>0195d18c-1ca8-d12f-d2f7-05baa1ed8610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</si>
  <si>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</si>
  <si>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</si>
  <si>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</si>
  <si>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</si>
  <si>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</si>
  <si>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</si>
  <si>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</si>
  <si>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</si>
  <si>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</si>
  <si>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</si>
  <si>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</si>
  <si>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</si>
  <si>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</si>
  <si>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</si>
  <si>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</si>
  <si>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</si>
  <si>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</si>
  <si>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</si>
  <si>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</si>
  <si>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</si>
  <si>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</si>
  <si>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</si>
  <si>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</si>
  <si>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</si>
  <si>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</si>
  <si>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</si>
  <si>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</si>
  <si>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</si>
  <si>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</si>
  <si>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</si>
  <si>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</si>
  <si>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</si>
  <si>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</si>
  <si>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</si>
  <si>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</si>
  <si>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</si>
  <si>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</si>
  <si>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</si>
  <si>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</si>
  <si>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</si>
  <si>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</si>
  <si>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</si>
  <si>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</si>
  <si>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</si>
  <si>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</si>
  <si>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</si>
  <si>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</si>
  <si>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</si>
  <si>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</si>
  <si>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</si>
  <si>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</si>
  <si>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</si>
  <si>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</si>
  <si>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</si>
  <si>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</si>
  <si>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</si>
  <si>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</si>
  <si>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</si>
  <si>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</si>
  <si>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</si>
  <si>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</si>
  <si>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</si>
  <si>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</si>
  <si>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</si>
  <si>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</si>
  <si>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</si>
  <si>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</si>
  <si>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</si>
  <si>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</si>
  <si>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</si>
  <si>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</si>
  <si>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</si>
  <si>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</si>
  <si>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</si>
  <si>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</si>
  <si>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</si>
  <si>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</si>
  <si>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</si>
  <si>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</si>
  <si>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</si>
  <si>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</si>
  <si>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</si>
  <si>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</si>
  <si>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</si>
  <si>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</si>
  <si>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</si>
  <si>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</si>
  <si>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</si>
  <si>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</si>
  <si>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</si>
  <si>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</si>
  <si>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</si>
  <si>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</si>
  <si>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</si>
  <si>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</si>
  <si>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</si>
  <si>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</si>
  <si>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</si>
  <si>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</si>
  <si>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</si>
  <si>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</si>
  <si>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</si>
  <si>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</si>
  <si>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</si>
  <si>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</si>
  <si>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</si>
  <si>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</si>
  <si>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</si>
  <si>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</si>
  <si>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</si>
  <si>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</si>
  <si>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</si>
  <si>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</si>
  <si>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</si>
  <si>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</si>
  <si>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</si>
  <si>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</si>
  <si>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</si>
  <si>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</si>
  <si>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</si>
  <si>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</si>
  <si>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</si>
  <si>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</si>
  <si>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</si>
  <si>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</si>
  <si>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</si>
  <si>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</si>
  <si>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</si>
  <si>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</si>
  <si>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</si>
  <si>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</si>
  <si>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</si>
  <si>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</si>
  <si>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</si>
  <si>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</si>
  <si>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</si>
  <si>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</si>
  <si>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</si>
  <si>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</si>
  <si>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</si>
  <si>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</si>
  <si>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</si>
  <si>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</si>
  <si>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</si>
  <si>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</si>
  <si>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</si>
  <si>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</si>
  <si>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</si>
  <si>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</si>
  <si>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</si>
  <si>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</si>
  <si>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</si>
  <si>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</si>
  <si>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</si>
  <si>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</si>
  <si>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</si>
  <si>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</si>
  <si>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</si>
  <si>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</si>
  <si>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</si>
  <si>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</si>
  <si>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</si>
  <si>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</si>
  <si>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</si>
  <si>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</si>
  <si>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</si>
  <si>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</si>
  <si>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</si>
  <si>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</si>
  <si>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</si>
  <si>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</si>
  <si>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</si>
  <si>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</si>
  <si>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</si>
  <si>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</si>
  <si>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</si>
  <si>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</si>
  <si>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</si>
  <si>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</si>
  <si>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</si>
  <si>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</si>
  <si>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</si>
  <si>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</si>
  <si>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</si>
  <si>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</si>
  <si>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</si>
  <si>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</si>
  <si>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</si>
  <si>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</si>
  <si>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</si>
  <si>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</si>
  <si>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</si>
  <si>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</si>
  <si>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</si>
  <si>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</si>
  <si>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</si>
  <si>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</si>
  <si>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</si>
  <si>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</si>
  <si>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</si>
  <si>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</si>
  <si>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</si>
  <si>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</si>
  <si>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</si>
  <si>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</si>
  <si>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</si>
  <si>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</si>
  <si>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</si>
  <si>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</si>
  <si>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</si>
  <si>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</si>
  <si>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</si>
  <si>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</si>
  <si>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</si>
  <si>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</si>
  <si>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</si>
  <si>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</si>
  <si>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</si>
  <si>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</si>
  <si>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</si>
  <si>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</si>
  <si>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</si>
  <si>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</si>
  <si>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</si>
  <si>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</si>
  <si>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</si>
  <si>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</si>
  <si>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</si>
  <si>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</si>
  <si>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dm.case.created_in_data_collection.name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</si>
  <si>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</si>
  <si>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</si>
  <si>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</si>
  <si>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</si>
  <si>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</si>
  <si>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</si>
  <si>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</si>
  <si>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</si>
  <si>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</si>
  <si>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</si>
  <si>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</si>
  <si>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</si>
  <si>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</si>
  <si>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</si>
  <si>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</si>
  <si>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</si>
  <si>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</si>
  <si>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</si>
  <si>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</si>
  <si>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</si>
  <si>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</si>
  <si>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</si>
  <si>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</si>
  <si>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</si>
  <si>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</si>
  <si>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</si>
  <si>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</si>
  <si>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</si>
  <si>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</si>
  <si>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</si>
  <si>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</si>
  <si>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</si>
  <si>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</si>
  <si>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</si>
  <si>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</si>
  <si>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</si>
  <si>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</si>
  <si>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</si>
  <si>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</si>
  <si>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</si>
  <si>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</si>
  <si>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</si>
  <si>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</si>
  <si>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</si>
  <si>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</si>
  <si>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</si>
  <si>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</si>
  <si>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</si>
  <si>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</si>
  <si>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</si>
  <si>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</si>
  <si>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</si>
  <si>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</si>
  <si>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</si>
  <si>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</si>
  <si>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</si>
  <si>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</si>
  <si>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</si>
  <si>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</si>
  <si>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</si>
  <si>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</si>
  <si>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</si>
  <si>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</si>
  <si>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</si>
  <si>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</si>
  <si>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</si>
  <si>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</si>
  <si>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</si>
  <si>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</si>
  <si>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</si>
  <si>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</si>
  <si>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</si>
  <si>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</si>
  <si>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</si>
  <si>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</si>
  <si>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</si>
  <si>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</si>
  <si>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</si>
  <si>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</si>
  <si>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</si>
  <si>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</si>
  <si>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</si>
  <si>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</si>
  <si>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</si>
  <si>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</si>
  <si>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</si>
  <si>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</si>
  <si>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</si>
  <si>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</si>
  <si>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</si>
  <si>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</si>
  <si>
    <t>["CASEDB_ROOT"]</t>
  </si>
  <si>
    <t>["CASEDB_APP_ADMIN"]</t>
  </si>
  <si>
    <t>["CASEDB_REFDATA_ADMIN"]</t>
  </si>
  <si>
    <t>["CASEDB_ORG_ADMIN"]</t>
  </si>
  <si>
    <t>["CASEDB_ORG_USER"]</t>
  </si>
  <si>
    <t>019a8753-bed9-ce77-1fe4-e1e92fc9b431</t>
  </si>
  <si>
    <t>019a8753-bed9-2b6d-f669-ec9d41256fd6</t>
  </si>
  <si>
    <t>019a8753-bed9-81c8-4fce-c4ca38509c66</t>
  </si>
  <si>
    <t>4</t>
  </si>
  <si>
    <t>dim4</t>
  </si>
  <si>
    <t>GENETIC_READS</t>
  </si>
  <si>
    <t>GENETIC_SEQUENCE</t>
  </si>
  <si>
    <t>4_1</t>
  </si>
  <si>
    <t>4_2</t>
  </si>
  <si>
    <t>019a8753-bed9-8a7b-7c82-adf57928fa72</t>
  </si>
  <si>
    <t>019a8753-bed9-180c-d818-10c8aed7f4c5</t>
  </si>
  <si>
    <t>019a8753-bed9-991b-7f4f-683a81051e65</t>
  </si>
  <si>
    <t>019a8753-bed9-e6df-c1d5-00f9f7cf16f3</t>
  </si>
  <si>
    <t>019a8753-bed9-9857-f307-13b9f5a150d1</t>
  </si>
  <si>
    <t>019a8753-bed9-9436-d94c-4e4ee8856951</t>
  </si>
  <si>
    <t>019a8753-bed9-af63-b674-d9ae3c5f0a08</t>
  </si>
  <si>
    <t>019a8753-bed9-0ab7-4323-aa6aedd4c1cc</t>
  </si>
  <si>
    <t>019a8753-bed9-423c-9007-26ece8e894c8</t>
  </si>
  <si>
    <t>019a8753-bed9-10ef-cde6-dd672b6f1342</t>
  </si>
  <si>
    <t>019a8753-bed9-b12e-cfb7-f4c9c62c8fc6</t>
  </si>
  <si>
    <t>019a8753-bed9-8d4b-cfe4-957f28881a67</t>
  </si>
  <si>
    <t>019a8753-bed9-47cd-cf12-b0da18fd2588</t>
  </si>
  <si>
    <t>019a8753-bed9-eba4-fbce-8c553ccd262a</t>
  </si>
  <si>
    <t>019a8753-bed9-9918-33cd-c862ad905516</t>
  </si>
  <si>
    <t>019a8753-bed9-c7d8-6072-9a0d42887e0f</t>
  </si>
  <si>
    <t>019a8753-bed9-8f84-5827-8c0fedea4c3d</t>
  </si>
  <si>
    <t>019a8753-bed9-2ec3-f155-116a4b0fe44d</t>
  </si>
  <si>
    <t>019a8753-bed9-afc6-e887-8b50ddfd6962</t>
  </si>
  <si>
    <t>019a8753-bed9-869e-506b-15ae88b8c755</t>
  </si>
  <si>
    <t>019a8753-bed9-e0db-f17c-d2593ac2e0ae</t>
  </si>
  <si>
    <t>019a8753-bed9-6c7f-60e3-cac3235d66c9</t>
  </si>
  <si>
    <t>019a8753-bed9-77b4-7251-1482abc4c1de</t>
  </si>
  <si>
    <t>019a8753-bed9-0b05-7141-2f121d4fad38</t>
  </si>
  <si>
    <t>019a8753-bed9-f8d6-367c-7cb258e6eb59</t>
  </si>
  <si>
    <t>019a8753-bed9-134a-0192-ae64f09437ad</t>
  </si>
  <si>
    <t>019a8753-bed9-c767-4e72-46e1afc2b6b3</t>
  </si>
  <si>
    <t>019a8753-bed9-1d66-cdd5-209407b1eac7</t>
  </si>
  <si>
    <t>019a8753-bed9-9737-0c0b-2bfc6e57a6ce</t>
  </si>
  <si>
    <t>019a8753-bed9-c236-1097-01c862c1858d</t>
  </si>
  <si>
    <t>is_case_date_dim</t>
  </si>
  <si>
    <t>dm.dim.dim_type</t>
  </si>
  <si>
    <t>col1_1_text</t>
  </si>
  <si>
    <t>col1_2_text</t>
  </si>
  <si>
    <t>col1_3_text</t>
  </si>
  <si>
    <t>col2_1_text</t>
  </si>
  <si>
    <t>col2_2_text</t>
  </si>
  <si>
    <t>col2_3_text</t>
  </si>
  <si>
    <t>col3_1_text</t>
  </si>
  <si>
    <t>col3_2_text</t>
  </si>
  <si>
    <t>col3_3_text</t>
  </si>
  <si>
    <t>col4_1_genetic_reads</t>
  </si>
  <si>
    <t>col4_2_genetic_sequence</t>
  </si>
  <si>
    <t>1_1_1</t>
  </si>
  <si>
    <t>1_1_2</t>
  </si>
  <si>
    <t>1_1_3</t>
  </si>
  <si>
    <t>1_2_1</t>
  </si>
  <si>
    <t>1_2_2</t>
  </si>
  <si>
    <t>1_2_3</t>
  </si>
  <si>
    <t>1_3_1</t>
  </si>
  <si>
    <t>1_3_2</t>
  </si>
  <si>
    <t>1_3_3</t>
  </si>
  <si>
    <t>2_1_1</t>
  </si>
  <si>
    <t>2_1_2</t>
  </si>
  <si>
    <t>2_1_3</t>
  </si>
  <si>
    <t>2_2_1</t>
  </si>
  <si>
    <t>2_2_2</t>
  </si>
  <si>
    <t>2_2_3</t>
  </si>
  <si>
    <t>2_3_1</t>
  </si>
  <si>
    <t>2_3_2</t>
  </si>
  <si>
    <t>2_3_3</t>
  </si>
  <si>
    <t>1_4_1</t>
  </si>
  <si>
    <t>1_4_2</t>
  </si>
  <si>
    <t>2_4_1</t>
  </si>
  <si>
    <t>2_4_2</t>
  </si>
  <si>
    <t>3_1_1</t>
  </si>
  <si>
    <t>3_1_2</t>
  </si>
  <si>
    <t>3_1_3</t>
  </si>
  <si>
    <t>3_2_1</t>
  </si>
  <si>
    <t>3_2_2</t>
  </si>
  <si>
    <t>3_2_3</t>
  </si>
  <si>
    <t>3_3_1</t>
  </si>
  <si>
    <t>3_3_2</t>
  </si>
  <si>
    <t>3_3_3</t>
  </si>
  <si>
    <t>3_4_1</t>
  </si>
  <si>
    <t>3_4_2</t>
  </si>
  <si>
    <t>4_1_1</t>
  </si>
  <si>
    <t>4_1_2</t>
  </si>
  <si>
    <t>4_1_3</t>
  </si>
  <si>
    <t>4_2_1</t>
  </si>
  <si>
    <t>4_2_2</t>
  </si>
  <si>
    <t>4_2_3</t>
  </si>
  <si>
    <t>4_3_1</t>
  </si>
  <si>
    <t>4_3_2</t>
  </si>
  <si>
    <t>4_3_3</t>
  </si>
  <si>
    <t>4_4_1</t>
  </si>
  <si>
    <t>4_4_2</t>
  </si>
  <si>
    <t>5_1_1</t>
  </si>
  <si>
    <t>5_1_2</t>
  </si>
  <si>
    <t>5_1_3</t>
  </si>
  <si>
    <t>5_2_1</t>
  </si>
  <si>
    <t>5_2_2</t>
  </si>
  <si>
    <t>5_2_3</t>
  </si>
  <si>
    <t>5_3_1</t>
  </si>
  <si>
    <t>5_3_2</t>
  </si>
  <si>
    <t>5_3_3</t>
  </si>
  <si>
    <t>5_4_1</t>
  </si>
  <si>
    <t>5_4_2</t>
  </si>
  <si>
    <t>019a8753-bf2c-b332-2bd4-2c3d4508b641</t>
  </si>
  <si>
    <t>019a8753-bf2c-f59a-6217-10b2d27fa8ff</t>
  </si>
  <si>
    <t>019a8753-bf2c-8b4e-2221-72ec27986d17</t>
  </si>
  <si>
    <t>019a8753-bf2c-f830-e2ed-a1d2cd44c9f2</t>
  </si>
  <si>
    <t>019a8753-bf2c-c6c3-790e-8e3abbbf63eb</t>
  </si>
  <si>
    <t>019a8753-bf2c-1a71-68cc-22678419ff3c</t>
  </si>
  <si>
    <t>019a8753-bf2c-dfeb-d895-291a63e74301</t>
  </si>
  <si>
    <t>019a8753-bf2c-abb6-9fee-e113cc0325d3</t>
  </si>
  <si>
    <t>019a8753-bf2c-dde9-2bca-006644dfc3ac</t>
  </si>
  <si>
    <t>019a8753-bf2c-47aa-1288-a5559d57887a</t>
  </si>
  <si>
    <t>019a8753-bf2c-7367-1866-779c209e928f</t>
  </si>
  <si>
    <t>019a8753-bf2c-c507-e8ba-0974325d14bd</t>
  </si>
  <si>
    <t>019a8753-bf2c-90b6-b431-e422803480e3</t>
  </si>
  <si>
    <t>019a8753-bf2c-c2a4-3cfa-d8874fc02b9b</t>
  </si>
  <si>
    <t>019a8753-bf2c-c33e-fb1b-77406f2733a2</t>
  </si>
  <si>
    <t>019a8753-bf2c-ac95-89e0-5963d994e47c</t>
  </si>
  <si>
    <t>019a8753-bf2c-650e-75c2-18340213f8e0</t>
  </si>
  <si>
    <t>019a8753-bf2c-15d2-fc13-ad0d1f1eedc1</t>
  </si>
  <si>
    <t>019a8753-bf2c-b6fd-1935-1318caff70d8</t>
  </si>
  <si>
    <t>019a8753-bf2c-cb54-c2a8-18b6bf1ab23f</t>
  </si>
  <si>
    <t>019a8753-bf2c-3d70-4681-b9e76ec0c5f3</t>
  </si>
  <si>
    <t>019a8753-bf2c-3293-a29a-809eb43136e4</t>
  </si>
  <si>
    <t>019a8753-bf2c-1f68-b785-280c6b47d300</t>
  </si>
  <si>
    <t>019a8753-bf2c-2958-5884-c2cdf1f57bc8</t>
  </si>
  <si>
    <t>019a8753-bf2c-ee34-6f7f-196e3bea9eda</t>
  </si>
  <si>
    <t>019a8753-bf2c-f3c8-82a4-265e9547e90b</t>
  </si>
  <si>
    <t>019a8753-bf2c-d851-429f-a3c1ac042cec</t>
  </si>
  <si>
    <t>019a8753-bf2c-a0ec-4346-63ea0fc8e876</t>
  </si>
  <si>
    <t>019a8753-bf2c-32d4-52b3-66425db10c04</t>
  </si>
  <si>
    <t>019a8753-bf2c-85e0-9df5-d4acaa315bbc</t>
  </si>
  <si>
    <t>019a8753-bf2c-b335-f9c4-52f5ed123335</t>
  </si>
  <si>
    <t>019a8753-bf2c-4a4a-5a33-3a871df9c51e</t>
  </si>
  <si>
    <t>019a8753-bf2c-d6ef-150f-b6fdc2c549ce</t>
  </si>
  <si>
    <t>019a8753-bf2c-b2e7-d456-828ec268babc</t>
  </si>
  <si>
    <t>019a8753-bf2c-0152-fe57-b0baf015fb04</t>
  </si>
  <si>
    <t>019a8753-bf2c-0f85-e7a8-4025d4536a21</t>
  </si>
  <si>
    <t>019a8753-bf2c-ca8b-b5dc-7ae3881b1d6f</t>
  </si>
  <si>
    <t>019a8753-bf2c-2c66-610c-80c3aa2e3dc3</t>
  </si>
  <si>
    <t>019a8753-bf2c-87fc-42d4-39d65490dd86</t>
  </si>
  <si>
    <t>019a8753-bf2c-1383-b296-6b56b297dbac</t>
  </si>
  <si>
    <t>019a8753-bf2c-b4bd-2350-3e901b367d83</t>
  </si>
  <si>
    <t>019a8753-bf2c-4d06-6ca1-05bc406e943b</t>
  </si>
  <si>
    <t>019a8753-bf2c-c524-910b-e69702d58337</t>
  </si>
  <si>
    <t>019a8753-bf2c-2256-5bfb-63d2b80d5620</t>
  </si>
  <si>
    <t>019a8753-bf2c-0250-ce68-292460450d9b</t>
  </si>
  <si>
    <t>019a8753-bf2c-1a57-61c3-0da6d7435bd0</t>
  </si>
  <si>
    <t>019a8753-bf2c-29b4-62cd-205ae5310343</t>
  </si>
  <si>
    <t>019a8753-bf2c-6276-7bf3-dcf08512cfd4</t>
  </si>
  <si>
    <t>019a8753-bf2c-dc39-c061-eb6624be33da</t>
  </si>
  <si>
    <t>019a8753-bf2c-cdc9-0c51-ca524b053d62</t>
  </si>
  <si>
    <t>019a8753-bf2c-6ae1-8910-0359a71fef3b</t>
  </si>
  <si>
    <t>019a8753-bf2c-032f-d303-effd867b1482</t>
  </si>
  <si>
    <t>019a8753-bf2c-3403-c59d-424688eb5216</t>
  </si>
  <si>
    <t>019a8753-bf2c-0df0-e836-8926bf784274</t>
  </si>
  <si>
    <t>019a8753-bf2c-c103-3870-716407a6cb33</t>
  </si>
  <si>
    <t>ref_dim_id</t>
  </si>
  <si>
    <t>ref_col_id</t>
  </si>
  <si>
    <t>dm.ref_col.col_type</t>
  </si>
  <si>
    <t>dim_id</t>
  </si>
  <si>
    <t>dm.dim.ref_dim.dim_type</t>
  </si>
  <si>
    <t>dm.dim.code</t>
  </si>
  <si>
    <t>col_set_id</t>
  </si>
  <si>
    <t>dm.col_set.code</t>
  </si>
  <si>
    <t>col_set</t>
  </si>
  <si>
    <t>col_id</t>
  </si>
  <si>
    <t>dm.col.code</t>
  </si>
  <si>
    <t>col</t>
  </si>
  <si>
    <t>genetic_sequence_col_id</t>
  </si>
  <si>
    <t>case.content.col_id1</t>
  </si>
  <si>
    <t>case.content.col_value1</t>
  </si>
  <si>
    <t>dm.case.content.col_code1</t>
  </si>
  <si>
    <t>dm.organization_access_case_policy.read_col_set.contains_col1</t>
  </si>
  <si>
    <t>dm.organization_access_case_policy.write_col_set.contains_col1</t>
  </si>
  <si>
    <t>dm.user_access_case_policy.read_col_set.contains_col1</t>
  </si>
  <si>
    <t>dm.user_access_case_policy.write_col_set.contains_col1</t>
  </si>
  <si>
    <t>case.content.col_id2</t>
  </si>
  <si>
    <t>case.content.col_value2</t>
  </si>
  <si>
    <t>dm.case.content.col_code2</t>
  </si>
  <si>
    <t>dm.organization_access_case_policy.read_col_set.contains_col2</t>
  </si>
  <si>
    <t>dm.organization_access_case_policy.write_col_set.contains_col2</t>
  </si>
  <si>
    <t>dm.user_access_case_policy.read_col_set.contains_col2</t>
  </si>
  <si>
    <t>dm.user_access_case_policy.write_col_set.contains_col2</t>
  </si>
  <si>
    <t>case.content.col_id3</t>
  </si>
  <si>
    <t>case.content.col_value3</t>
  </si>
  <si>
    <t>dm.case.content.col_code3</t>
  </si>
  <si>
    <t>dm.organization_access_case_policy.read_col_set.contains_col3</t>
  </si>
  <si>
    <t>dm.organization_access_case_policy.write_col_set.contains_col3</t>
  </si>
  <si>
    <t>dm.user_access_case_policy.read_col_set.contains_col3</t>
  </si>
  <si>
    <t>dm.user_access_case_policy.write_col_set.contains_col3</t>
  </si>
  <si>
    <t>col_set1_1_1</t>
  </si>
  <si>
    <t>col_set1_1_2</t>
  </si>
  <si>
    <t>col_set1_1_3</t>
  </si>
  <si>
    <t>col_set1_2_1</t>
  </si>
  <si>
    <t>col_set1_2_2</t>
  </si>
  <si>
    <t>col_set1_2_3</t>
  </si>
  <si>
    <t>col_set1_3_1</t>
  </si>
  <si>
    <t>col_set1_3_2</t>
  </si>
  <si>
    <t>col_set1_3_3</t>
  </si>
  <si>
    <t>col_set1_4_1</t>
  </si>
  <si>
    <t>col_set1_4_2</t>
  </si>
  <si>
    <t>col_set2_1_1</t>
  </si>
  <si>
    <t>col_set2_1_2</t>
  </si>
  <si>
    <t>col_set2_1_3</t>
  </si>
  <si>
    <t>col_set2_2_1</t>
  </si>
  <si>
    <t>col_set2_2_2</t>
  </si>
  <si>
    <t>col_set2_2_3</t>
  </si>
  <si>
    <t>col_set2_3_1</t>
  </si>
  <si>
    <t>col_set2_3_2</t>
  </si>
  <si>
    <t>col_set2_3_3</t>
  </si>
  <si>
    <t>col_set2_4_1</t>
  </si>
  <si>
    <t>col_set2_4_2</t>
  </si>
  <si>
    <t>col_set3_1_1</t>
  </si>
  <si>
    <t>col_set3_1_2</t>
  </si>
  <si>
    <t>col_set3_1_3</t>
  </si>
  <si>
    <t>col_set3_2_1</t>
  </si>
  <si>
    <t>col_set3_2_2</t>
  </si>
  <si>
    <t>col_set3_2_3</t>
  </si>
  <si>
    <t>col_set3_3_1</t>
  </si>
  <si>
    <t>col_set3_3_2</t>
  </si>
  <si>
    <t>col_set3_3_3</t>
  </si>
  <si>
    <t>col_set3_4_1</t>
  </si>
  <si>
    <t>col_set3_4_2</t>
  </si>
  <si>
    <t>col_set4_1_1</t>
  </si>
  <si>
    <t>col_set4_1_2</t>
  </si>
  <si>
    <t>col_set4_1_3</t>
  </si>
  <si>
    <t>col_set4_2_1</t>
  </si>
  <si>
    <t>col_set4_2_2</t>
  </si>
  <si>
    <t>col_set4_2_3</t>
  </si>
  <si>
    <t>col_set4_3_1</t>
  </si>
  <si>
    <t>col_set4_3_2</t>
  </si>
  <si>
    <t>col_set4_3_3</t>
  </si>
  <si>
    <t>col_set4_4_1</t>
  </si>
  <si>
    <t>col_set4_4_2</t>
  </si>
  <si>
    <t>col_set5_1_1</t>
  </si>
  <si>
    <t>col_set5_1_2</t>
  </si>
  <si>
    <t>col_set5_1_3</t>
  </si>
  <si>
    <t>col_set5_2_1</t>
  </si>
  <si>
    <t>col_set5_2_2</t>
  </si>
  <si>
    <t>col_set5_2_3</t>
  </si>
  <si>
    <t>col_set5_3_1</t>
  </si>
  <si>
    <t>col_set5_3_2</t>
  </si>
  <si>
    <t>col_set5_3_3</t>
  </si>
  <si>
    <t>col_set5_4_1</t>
  </si>
  <si>
    <t>col_set5_4_2</t>
  </si>
  <si>
    <t>read_col_set_id</t>
  </si>
  <si>
    <t>dm.read_col_set.name</t>
  </si>
  <si>
    <t>write_col_set_id</t>
  </si>
  <si>
    <t>dm.write_col_set.name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</si>
</sst>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tabSelected="1" workbookViewId="0">
      <selection activeCell="C2" sqref="C2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  <col min="4" max="4" width="13.664062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270</v>
      </c>
      <c r="D1" s="1" t="s">
        <v>376</v>
      </c>
      <c r="E1" s="1" t="s">
        <v>377</v>
      </c>
    </row>
    <row r="2" spans="1:5" x14ac:dyDescent="0.3">
      <c r="A2" t="s">
        <v>43</v>
      </c>
      <c r="B2" t="s">
        <v>378</v>
      </c>
      <c r="C2" t="s">
        <v>378</v>
      </c>
    </row>
    <row r="3" spans="1:5" x14ac:dyDescent="0.3">
      <c r="A3" t="s">
        <v>46</v>
      </c>
      <c r="B3" t="s">
        <v>379</v>
      </c>
      <c r="C3" t="s">
        <v>379</v>
      </c>
    </row>
    <row r="4" spans="1:5" x14ac:dyDescent="0.3">
      <c r="A4" t="s">
        <v>49</v>
      </c>
      <c r="B4" t="s">
        <v>380</v>
      </c>
      <c r="C4" t="s">
        <v>380</v>
      </c>
    </row>
    <row r="5" spans="1:5" x14ac:dyDescent="0.3">
      <c r="A5" t="s">
        <v>52</v>
      </c>
      <c r="B5" t="s">
        <v>381</v>
      </c>
      <c r="C5" t="s">
        <v>381</v>
      </c>
    </row>
    <row r="6" spans="1:5" x14ac:dyDescent="0.3">
      <c r="A6" t="s">
        <v>55</v>
      </c>
      <c r="B6" t="s">
        <v>382</v>
      </c>
      <c r="C6" t="s">
        <v>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80</v>
      </c>
    </row>
    <row r="2" spans="1:3" x14ac:dyDescent="0.3">
      <c r="A2" t="s">
        <v>11</v>
      </c>
      <c r="B2" t="s">
        <v>365</v>
      </c>
      <c r="C2" s="6" t="str">
        <f>"dc"&amp;RIGHT($B2,LEN($B2)-15)</f>
        <v>dc1</v>
      </c>
    </row>
    <row r="3" spans="1:3" x14ac:dyDescent="0.3">
      <c r="A3" t="s">
        <v>17</v>
      </c>
      <c r="B3" t="s">
        <v>366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367</v>
      </c>
      <c r="C4" s="6" t="str">
        <f t="shared" si="0"/>
        <v>dc3</v>
      </c>
    </row>
    <row r="5" spans="1:3" x14ac:dyDescent="0.3">
      <c r="A5" t="s">
        <v>29</v>
      </c>
      <c r="B5" t="s">
        <v>368</v>
      </c>
      <c r="C5" s="6" t="str">
        <f t="shared" si="0"/>
        <v>dc4</v>
      </c>
    </row>
    <row r="6" spans="1:3" x14ac:dyDescent="0.3">
      <c r="A6" t="s">
        <v>35</v>
      </c>
      <c r="B6" t="s">
        <v>369</v>
      </c>
      <c r="C6" s="6" t="str">
        <f t="shared" si="0"/>
        <v>dc5</v>
      </c>
    </row>
    <row r="7" spans="1:3" x14ac:dyDescent="0.3">
      <c r="A7" t="s">
        <v>15</v>
      </c>
      <c r="B7" t="s">
        <v>370</v>
      </c>
      <c r="C7" s="6" t="str">
        <f t="shared" si="0"/>
        <v>dc6</v>
      </c>
    </row>
    <row r="8" spans="1:3" x14ac:dyDescent="0.3">
      <c r="A8" t="s">
        <v>21</v>
      </c>
      <c r="B8" t="s">
        <v>371</v>
      </c>
      <c r="C8" s="6" t="str">
        <f t="shared" si="0"/>
        <v>dc7</v>
      </c>
    </row>
    <row r="9" spans="1:3" x14ac:dyDescent="0.3">
      <c r="A9" t="s">
        <v>27</v>
      </c>
      <c r="B9" t="s">
        <v>372</v>
      </c>
      <c r="C9" s="6" t="str">
        <f t="shared" si="0"/>
        <v>dc8</v>
      </c>
    </row>
    <row r="10" spans="1:3" x14ac:dyDescent="0.3">
      <c r="A10" t="s">
        <v>33</v>
      </c>
      <c r="B10" t="s">
        <v>373</v>
      </c>
      <c r="C10" s="6" t="str">
        <f t="shared" si="0"/>
        <v>dc9</v>
      </c>
    </row>
    <row r="11" spans="1:3" x14ac:dyDescent="0.3">
      <c r="A11" t="s">
        <v>39</v>
      </c>
      <c r="B11" t="s">
        <v>374</v>
      </c>
      <c r="C11" s="6" t="str">
        <f t="shared" si="0"/>
        <v>dc10</v>
      </c>
    </row>
    <row r="12" spans="1:3" x14ac:dyDescent="0.3">
      <c r="A12" t="s">
        <v>40</v>
      </c>
      <c r="B12" t="s">
        <v>375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F2" sqref="F2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6640625" style="6" bestFit="1" customWidth="1"/>
  </cols>
  <sheetData>
    <row r="1" spans="1:13" x14ac:dyDescent="0.3">
      <c r="A1" s="1" t="s">
        <v>0</v>
      </c>
      <c r="B1" s="1" t="s">
        <v>649</v>
      </c>
      <c r="C1" s="1" t="s">
        <v>334</v>
      </c>
      <c r="D1" s="1" t="s">
        <v>57</v>
      </c>
      <c r="E1" s="1" t="s">
        <v>3</v>
      </c>
      <c r="F1" s="1" t="s">
        <v>335</v>
      </c>
      <c r="G1" s="1" t="s">
        <v>41</v>
      </c>
      <c r="H1" s="5" t="s">
        <v>450</v>
      </c>
      <c r="I1" s="5" t="s">
        <v>553</v>
      </c>
      <c r="J1" s="5" t="s">
        <v>554</v>
      </c>
      <c r="K1" s="5" t="s">
        <v>583</v>
      </c>
      <c r="L1" s="5" t="s">
        <v>555</v>
      </c>
      <c r="M1" s="17" t="s">
        <v>552</v>
      </c>
    </row>
    <row r="2" spans="1:13" x14ac:dyDescent="0.3">
      <c r="A2" t="s">
        <v>588</v>
      </c>
      <c r="B2" t="s">
        <v>336</v>
      </c>
      <c r="C2" t="s">
        <v>336</v>
      </c>
      <c r="D2" t="str">
        <f>LEFT(C2,FIND("@",C2)-1)</f>
        <v>root1_1</v>
      </c>
      <c r="E2" t="b">
        <v>1</v>
      </c>
      <c r="F2" t="s">
        <v>650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337</v>
      </c>
      <c r="B3" t="s">
        <v>338</v>
      </c>
      <c r="C3" t="s">
        <v>338</v>
      </c>
      <c r="D3" t="str">
        <f t="shared" ref="D3:D29" si="0">LEFT(C3,FIND("@",C3)-1)</f>
        <v>app_admin1_1</v>
      </c>
      <c r="E3" t="b">
        <v>1</v>
      </c>
      <c r="F3" t="s">
        <v>651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339</v>
      </c>
      <c r="B4" s="20" t="s">
        <v>584</v>
      </c>
      <c r="C4" s="20" t="s">
        <v>584</v>
      </c>
      <c r="D4" t="str">
        <f t="shared" si="0"/>
        <v>refdata_admin1_1</v>
      </c>
      <c r="E4" t="b">
        <v>1</v>
      </c>
      <c r="F4" t="s">
        <v>652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340</v>
      </c>
      <c r="C5" t="s">
        <v>340</v>
      </c>
      <c r="D5" t="str">
        <f t="shared" si="0"/>
        <v>org_admin1_1</v>
      </c>
      <c r="E5" t="b">
        <v>1</v>
      </c>
      <c r="F5" t="s">
        <v>653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341</v>
      </c>
      <c r="C6" t="s">
        <v>341</v>
      </c>
      <c r="D6" t="str">
        <f t="shared" si="0"/>
        <v>org_admin2_1</v>
      </c>
      <c r="E6" t="b">
        <v>1</v>
      </c>
      <c r="F6" t="s">
        <v>653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342</v>
      </c>
      <c r="C7" t="s">
        <v>342</v>
      </c>
      <c r="D7" t="str">
        <f t="shared" si="0"/>
        <v>org_admin3_1</v>
      </c>
      <c r="E7" t="b">
        <v>1</v>
      </c>
      <c r="F7" t="s">
        <v>653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343</v>
      </c>
      <c r="C8" t="s">
        <v>343</v>
      </c>
      <c r="D8" t="str">
        <f t="shared" si="0"/>
        <v>org_admin4_1</v>
      </c>
      <c r="E8" t="b">
        <v>1</v>
      </c>
      <c r="F8" t="s">
        <v>653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344</v>
      </c>
      <c r="C9" t="s">
        <v>344</v>
      </c>
      <c r="D9" t="str">
        <f t="shared" si="0"/>
        <v>org_admin5_1</v>
      </c>
      <c r="E9" t="b">
        <v>1</v>
      </c>
      <c r="F9" t="s">
        <v>653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345</v>
      </c>
      <c r="C10" t="s">
        <v>345</v>
      </c>
      <c r="D10" t="str">
        <f t="shared" si="0"/>
        <v>org_user1_1</v>
      </c>
      <c r="E10" t="b">
        <v>1</v>
      </c>
      <c r="F10" t="s">
        <v>654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346</v>
      </c>
      <c r="C11" t="s">
        <v>346</v>
      </c>
      <c r="D11" t="str">
        <f t="shared" si="0"/>
        <v>org_user1_2</v>
      </c>
      <c r="E11" t="b">
        <v>1</v>
      </c>
      <c r="F11" t="s">
        <v>654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347</v>
      </c>
      <c r="C12" t="s">
        <v>347</v>
      </c>
      <c r="D12" t="str">
        <f t="shared" si="0"/>
        <v>org_user1_3</v>
      </c>
      <c r="E12" t="b">
        <v>1</v>
      </c>
      <c r="F12" t="s">
        <v>654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348</v>
      </c>
      <c r="C13" t="s">
        <v>348</v>
      </c>
      <c r="D13" t="str">
        <f t="shared" si="0"/>
        <v>org_user1_4</v>
      </c>
      <c r="E13" t="b">
        <v>1</v>
      </c>
      <c r="F13" t="s">
        <v>654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349</v>
      </c>
      <c r="C14" t="s">
        <v>349</v>
      </c>
      <c r="D14" t="str">
        <f t="shared" si="0"/>
        <v>org_user2_1</v>
      </c>
      <c r="E14" t="b">
        <v>1</v>
      </c>
      <c r="F14" t="s">
        <v>654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350</v>
      </c>
      <c r="C15" t="s">
        <v>350</v>
      </c>
      <c r="D15" t="str">
        <f t="shared" si="0"/>
        <v>org_user2_2</v>
      </c>
      <c r="E15" t="b">
        <v>1</v>
      </c>
      <c r="F15" t="s">
        <v>654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351</v>
      </c>
      <c r="C16" t="s">
        <v>351</v>
      </c>
      <c r="D16" t="str">
        <f t="shared" si="0"/>
        <v>org_user2_3</v>
      </c>
      <c r="E16" t="b">
        <v>1</v>
      </c>
      <c r="F16" t="s">
        <v>654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352</v>
      </c>
      <c r="C17" t="s">
        <v>352</v>
      </c>
      <c r="D17" t="str">
        <f t="shared" si="0"/>
        <v>org_user2_4</v>
      </c>
      <c r="E17" t="b">
        <v>1</v>
      </c>
      <c r="F17" t="s">
        <v>654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353</v>
      </c>
      <c r="C18" t="s">
        <v>353</v>
      </c>
      <c r="D18" t="str">
        <f t="shared" si="0"/>
        <v>org_user3_1</v>
      </c>
      <c r="E18" t="b">
        <v>1</v>
      </c>
      <c r="F18" t="s">
        <v>654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354</v>
      </c>
      <c r="C19" t="s">
        <v>354</v>
      </c>
      <c r="D19" t="str">
        <f t="shared" si="0"/>
        <v>org_user3_2</v>
      </c>
      <c r="E19" t="b">
        <v>1</v>
      </c>
      <c r="F19" t="s">
        <v>654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355</v>
      </c>
      <c r="C20" t="s">
        <v>355</v>
      </c>
      <c r="D20" t="str">
        <f t="shared" si="0"/>
        <v>org_user3_3</v>
      </c>
      <c r="E20" t="b">
        <v>1</v>
      </c>
      <c r="F20" t="s">
        <v>654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356</v>
      </c>
      <c r="C21" t="s">
        <v>356</v>
      </c>
      <c r="D21" t="str">
        <f t="shared" si="0"/>
        <v>org_user3_4</v>
      </c>
      <c r="E21" t="b">
        <v>1</v>
      </c>
      <c r="F21" t="s">
        <v>654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357</v>
      </c>
      <c r="C22" t="s">
        <v>357</v>
      </c>
      <c r="D22" t="str">
        <f t="shared" si="0"/>
        <v>org_user4_1</v>
      </c>
      <c r="E22" t="b">
        <v>1</v>
      </c>
      <c r="F22" t="s">
        <v>654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358</v>
      </c>
      <c r="C23" t="s">
        <v>358</v>
      </c>
      <c r="D23" t="str">
        <f t="shared" si="0"/>
        <v>org_user4_2</v>
      </c>
      <c r="E23" t="b">
        <v>1</v>
      </c>
      <c r="F23" t="s">
        <v>654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359</v>
      </c>
      <c r="C24" t="s">
        <v>359</v>
      </c>
      <c r="D24" t="str">
        <f t="shared" si="0"/>
        <v>org_user4_3</v>
      </c>
      <c r="E24" t="b">
        <v>1</v>
      </c>
      <c r="F24" t="s">
        <v>654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360</v>
      </c>
      <c r="C25" t="s">
        <v>360</v>
      </c>
      <c r="D25" t="str">
        <f t="shared" si="0"/>
        <v>org_user4_4</v>
      </c>
      <c r="E25" t="b">
        <v>1</v>
      </c>
      <c r="F25" t="s">
        <v>654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361</v>
      </c>
      <c r="C26" t="s">
        <v>361</v>
      </c>
      <c r="D26" t="str">
        <f t="shared" si="0"/>
        <v>org_user5_1</v>
      </c>
      <c r="E26" t="b">
        <v>1</v>
      </c>
      <c r="F26" t="s">
        <v>654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362</v>
      </c>
      <c r="C27" t="s">
        <v>362</v>
      </c>
      <c r="D27" t="str">
        <f t="shared" si="0"/>
        <v>org_user5_2</v>
      </c>
      <c r="E27" t="b">
        <v>1</v>
      </c>
      <c r="F27" t="s">
        <v>654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363</v>
      </c>
      <c r="C28" t="s">
        <v>363</v>
      </c>
      <c r="D28" t="str">
        <f t="shared" si="0"/>
        <v>org_user5_3</v>
      </c>
      <c r="E28" t="b">
        <v>1</v>
      </c>
      <c r="F28" t="s">
        <v>654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364</v>
      </c>
      <c r="C29" t="s">
        <v>364</v>
      </c>
      <c r="D29" t="str">
        <f t="shared" si="0"/>
        <v>org_user5_4</v>
      </c>
      <c r="E29" t="b">
        <v>1</v>
      </c>
      <c r="F29" t="s">
        <v>654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E5" sqref="E5"/>
    </sheetView>
  </sheetViews>
  <sheetFormatPr defaultColWidth="8.664062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649</v>
      </c>
      <c r="C1" s="1" t="s">
        <v>334</v>
      </c>
      <c r="D1" s="10" t="s">
        <v>451</v>
      </c>
      <c r="E1" s="1" t="s">
        <v>384</v>
      </c>
      <c r="F1" s="1" t="s">
        <v>385</v>
      </c>
      <c r="G1" s="1" t="s">
        <v>335</v>
      </c>
      <c r="H1" s="1" t="s">
        <v>386</v>
      </c>
      <c r="I1" s="10" t="s">
        <v>470</v>
      </c>
      <c r="J1" s="1" t="s">
        <v>41</v>
      </c>
      <c r="K1" s="10" t="s">
        <v>443</v>
      </c>
    </row>
    <row r="2" spans="1:11" x14ac:dyDescent="0.3">
      <c r="A2" t="s">
        <v>387</v>
      </c>
      <c r="B2" t="s">
        <v>338</v>
      </c>
      <c r="C2" t="s">
        <v>338</v>
      </c>
      <c r="D2" s="6" t="str">
        <f>LEFT($C2,LEN($C2)-9)</f>
        <v>app_admin1_1</v>
      </c>
      <c r="E2" t="s">
        <v>388</v>
      </c>
      <c r="F2" s="2">
        <v>45743.390918726589</v>
      </c>
      <c r="G2" t="s">
        <v>444</v>
      </c>
      <c r="H2" t="s">
        <v>588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389</v>
      </c>
      <c r="B3" s="20" t="s">
        <v>584</v>
      </c>
      <c r="C3" s="20" t="s">
        <v>584</v>
      </c>
      <c r="D3" s="6" t="str">
        <f t="shared" ref="D3:D28" si="0">LEFT($C3,LEN($C3)-9)</f>
        <v>refdata_admin1_1</v>
      </c>
      <c r="E3" t="s">
        <v>390</v>
      </c>
      <c r="F3" s="2">
        <v>45743.390918741461</v>
      </c>
      <c r="G3" t="s">
        <v>585</v>
      </c>
      <c r="H3" t="s">
        <v>337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391</v>
      </c>
      <c r="B4" t="s">
        <v>340</v>
      </c>
      <c r="C4" t="s">
        <v>340</v>
      </c>
      <c r="D4" s="6" t="str">
        <f t="shared" si="0"/>
        <v>org_admin1_1</v>
      </c>
      <c r="E4" t="s">
        <v>392</v>
      </c>
      <c r="F4" s="2">
        <v>45743.390918746562</v>
      </c>
      <c r="G4" t="s">
        <v>445</v>
      </c>
      <c r="H4" t="s">
        <v>337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393</v>
      </c>
      <c r="B5" t="s">
        <v>341</v>
      </c>
      <c r="C5" t="s">
        <v>341</v>
      </c>
      <c r="D5" s="6" t="str">
        <f t="shared" si="0"/>
        <v>org_admin2_1</v>
      </c>
      <c r="E5" t="s">
        <v>394</v>
      </c>
      <c r="F5" s="2">
        <v>45743.390918763551</v>
      </c>
      <c r="G5" t="s">
        <v>445</v>
      </c>
      <c r="H5" t="s">
        <v>337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395</v>
      </c>
      <c r="B6" t="s">
        <v>342</v>
      </c>
      <c r="C6" t="s">
        <v>342</v>
      </c>
      <c r="D6" s="6" t="str">
        <f t="shared" si="0"/>
        <v>org_admin3_1</v>
      </c>
      <c r="E6" t="s">
        <v>396</v>
      </c>
      <c r="F6" s="2">
        <v>45743.390918772537</v>
      </c>
      <c r="G6" t="s">
        <v>445</v>
      </c>
      <c r="H6" t="s">
        <v>337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397</v>
      </c>
      <c r="B7" t="s">
        <v>343</v>
      </c>
      <c r="C7" t="s">
        <v>343</v>
      </c>
      <c r="D7" s="6" t="str">
        <f t="shared" si="0"/>
        <v>org_admin4_1</v>
      </c>
      <c r="E7" t="s">
        <v>398</v>
      </c>
      <c r="F7" s="2">
        <v>45743.390918781181</v>
      </c>
      <c r="G7" t="s">
        <v>445</v>
      </c>
      <c r="H7" t="s">
        <v>337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399</v>
      </c>
      <c r="B8" t="s">
        <v>344</v>
      </c>
      <c r="C8" t="s">
        <v>344</v>
      </c>
      <c r="D8" s="6" t="str">
        <f t="shared" si="0"/>
        <v>org_admin5_1</v>
      </c>
      <c r="E8" t="s">
        <v>400</v>
      </c>
      <c r="F8" s="2">
        <v>45743.3909187889</v>
      </c>
      <c r="G8" t="s">
        <v>445</v>
      </c>
      <c r="H8" t="s">
        <v>337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401</v>
      </c>
      <c r="B9" t="s">
        <v>345</v>
      </c>
      <c r="C9" t="s">
        <v>345</v>
      </c>
      <c r="D9" s="6" t="str">
        <f t="shared" si="0"/>
        <v>org_user1_1</v>
      </c>
      <c r="E9" t="s">
        <v>402</v>
      </c>
      <c r="F9" s="2">
        <v>45743.390918796598</v>
      </c>
      <c r="G9" t="s">
        <v>446</v>
      </c>
      <c r="H9" t="s">
        <v>337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403</v>
      </c>
      <c r="B10" t="s">
        <v>346</v>
      </c>
      <c r="C10" t="s">
        <v>346</v>
      </c>
      <c r="D10" s="6" t="str">
        <f t="shared" si="0"/>
        <v>org_user1_2</v>
      </c>
      <c r="E10" t="s">
        <v>404</v>
      </c>
      <c r="F10" s="2">
        <v>45743.390918801953</v>
      </c>
      <c r="G10" t="s">
        <v>446</v>
      </c>
      <c r="H10" t="s">
        <v>337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405</v>
      </c>
      <c r="B11" t="s">
        <v>347</v>
      </c>
      <c r="C11" t="s">
        <v>347</v>
      </c>
      <c r="D11" s="6" t="str">
        <f t="shared" si="0"/>
        <v>org_user1_3</v>
      </c>
      <c r="E11" t="s">
        <v>406</v>
      </c>
      <c r="F11" s="2">
        <v>45743.390918807163</v>
      </c>
      <c r="G11" t="s">
        <v>446</v>
      </c>
      <c r="H11" t="s">
        <v>337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407</v>
      </c>
      <c r="B12" t="s">
        <v>348</v>
      </c>
      <c r="C12" t="s">
        <v>348</v>
      </c>
      <c r="D12" s="6" t="str">
        <f t="shared" si="0"/>
        <v>org_user1_4</v>
      </c>
      <c r="E12" t="s">
        <v>408</v>
      </c>
      <c r="F12" s="2">
        <v>45743.3909188123</v>
      </c>
      <c r="G12" t="s">
        <v>446</v>
      </c>
      <c r="H12" t="s">
        <v>337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409</v>
      </c>
      <c r="B13" t="s">
        <v>349</v>
      </c>
      <c r="C13" t="s">
        <v>349</v>
      </c>
      <c r="D13" s="6" t="str">
        <f t="shared" si="0"/>
        <v>org_user2_1</v>
      </c>
      <c r="E13" t="s">
        <v>410</v>
      </c>
      <c r="F13" s="2">
        <v>45743.390918817633</v>
      </c>
      <c r="G13" t="s">
        <v>446</v>
      </c>
      <c r="H13" t="s">
        <v>337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411</v>
      </c>
      <c r="B14" t="s">
        <v>350</v>
      </c>
      <c r="C14" t="s">
        <v>350</v>
      </c>
      <c r="D14" s="6" t="str">
        <f t="shared" si="0"/>
        <v>org_user2_2</v>
      </c>
      <c r="E14" t="s">
        <v>412</v>
      </c>
      <c r="F14" s="2">
        <v>45743.390918822908</v>
      </c>
      <c r="G14" t="s">
        <v>446</v>
      </c>
      <c r="H14" t="s">
        <v>337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413</v>
      </c>
      <c r="B15" t="s">
        <v>351</v>
      </c>
      <c r="C15" t="s">
        <v>351</v>
      </c>
      <c r="D15" s="6" t="str">
        <f t="shared" si="0"/>
        <v>org_user2_3</v>
      </c>
      <c r="E15" t="s">
        <v>414</v>
      </c>
      <c r="F15" s="2">
        <v>45743.390918828743</v>
      </c>
      <c r="G15" t="s">
        <v>446</v>
      </c>
      <c r="H15" t="s">
        <v>337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415</v>
      </c>
      <c r="B16" t="s">
        <v>352</v>
      </c>
      <c r="C16" t="s">
        <v>352</v>
      </c>
      <c r="D16" s="6" t="str">
        <f t="shared" si="0"/>
        <v>org_user2_4</v>
      </c>
      <c r="E16" t="s">
        <v>416</v>
      </c>
      <c r="F16" s="2">
        <v>45743.390918834302</v>
      </c>
      <c r="G16" t="s">
        <v>446</v>
      </c>
      <c r="H16" t="s">
        <v>337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417</v>
      </c>
      <c r="B17" t="s">
        <v>353</v>
      </c>
      <c r="C17" t="s">
        <v>353</v>
      </c>
      <c r="D17" s="6" t="str">
        <f t="shared" si="0"/>
        <v>org_user3_1</v>
      </c>
      <c r="E17" t="s">
        <v>418</v>
      </c>
      <c r="F17" s="2">
        <v>45743.390918839839</v>
      </c>
      <c r="G17" t="s">
        <v>446</v>
      </c>
      <c r="H17" t="s">
        <v>337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419</v>
      </c>
      <c r="B18" t="s">
        <v>354</v>
      </c>
      <c r="C18" t="s">
        <v>354</v>
      </c>
      <c r="D18" s="6" t="str">
        <f t="shared" si="0"/>
        <v>org_user3_2</v>
      </c>
      <c r="E18" t="s">
        <v>420</v>
      </c>
      <c r="F18" s="2">
        <v>45743.390918845187</v>
      </c>
      <c r="G18" t="s">
        <v>446</v>
      </c>
      <c r="H18" t="s">
        <v>337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421</v>
      </c>
      <c r="B19" t="s">
        <v>355</v>
      </c>
      <c r="C19" t="s">
        <v>355</v>
      </c>
      <c r="D19" s="6" t="str">
        <f t="shared" si="0"/>
        <v>org_user3_3</v>
      </c>
      <c r="E19" t="s">
        <v>422</v>
      </c>
      <c r="F19" s="2">
        <v>45743.390918851088</v>
      </c>
      <c r="G19" t="s">
        <v>446</v>
      </c>
      <c r="H19" t="s">
        <v>337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423</v>
      </c>
      <c r="B20" t="s">
        <v>356</v>
      </c>
      <c r="C20" t="s">
        <v>356</v>
      </c>
      <c r="D20" s="6" t="str">
        <f t="shared" si="0"/>
        <v>org_user3_4</v>
      </c>
      <c r="E20" t="s">
        <v>424</v>
      </c>
      <c r="F20" s="2">
        <v>45743.39091885696</v>
      </c>
      <c r="G20" t="s">
        <v>446</v>
      </c>
      <c r="H20" t="s">
        <v>337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425</v>
      </c>
      <c r="B21" t="s">
        <v>357</v>
      </c>
      <c r="C21" t="s">
        <v>357</v>
      </c>
      <c r="D21" s="6" t="str">
        <f t="shared" si="0"/>
        <v>org_user4_1</v>
      </c>
      <c r="E21" t="s">
        <v>426</v>
      </c>
      <c r="F21" s="2">
        <v>45743.390918862962</v>
      </c>
      <c r="G21" t="s">
        <v>446</v>
      </c>
      <c r="H21" t="s">
        <v>337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427</v>
      </c>
      <c r="B22" t="s">
        <v>358</v>
      </c>
      <c r="C22" t="s">
        <v>358</v>
      </c>
      <c r="D22" s="6" t="str">
        <f t="shared" si="0"/>
        <v>org_user4_2</v>
      </c>
      <c r="E22" t="s">
        <v>428</v>
      </c>
      <c r="F22" s="2">
        <v>45743.390918868739</v>
      </c>
      <c r="G22" t="s">
        <v>446</v>
      </c>
      <c r="H22" t="s">
        <v>337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429</v>
      </c>
      <c r="B23" t="s">
        <v>359</v>
      </c>
      <c r="C23" t="s">
        <v>359</v>
      </c>
      <c r="D23" s="6" t="str">
        <f t="shared" si="0"/>
        <v>org_user4_3</v>
      </c>
      <c r="E23" t="s">
        <v>430</v>
      </c>
      <c r="F23" s="2">
        <v>45743.390918874728</v>
      </c>
      <c r="G23" t="s">
        <v>446</v>
      </c>
      <c r="H23" t="s">
        <v>337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431</v>
      </c>
      <c r="B24" t="s">
        <v>360</v>
      </c>
      <c r="C24" t="s">
        <v>360</v>
      </c>
      <c r="D24" s="6" t="str">
        <f t="shared" si="0"/>
        <v>org_user4_4</v>
      </c>
      <c r="E24" t="s">
        <v>432</v>
      </c>
      <c r="F24" s="2">
        <v>45743.390918881109</v>
      </c>
      <c r="G24" t="s">
        <v>446</v>
      </c>
      <c r="H24" t="s">
        <v>337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433</v>
      </c>
      <c r="B25" t="s">
        <v>361</v>
      </c>
      <c r="C25" t="s">
        <v>361</v>
      </c>
      <c r="D25" s="6" t="str">
        <f t="shared" si="0"/>
        <v>org_user5_1</v>
      </c>
      <c r="E25" t="s">
        <v>434</v>
      </c>
      <c r="F25" s="2">
        <v>45743.390918887373</v>
      </c>
      <c r="G25" t="s">
        <v>446</v>
      </c>
      <c r="H25" t="s">
        <v>337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435</v>
      </c>
      <c r="B26" t="s">
        <v>362</v>
      </c>
      <c r="C26" t="s">
        <v>362</v>
      </c>
      <c r="D26" s="6" t="str">
        <f t="shared" si="0"/>
        <v>org_user5_2</v>
      </c>
      <c r="E26" t="s">
        <v>436</v>
      </c>
      <c r="F26" s="2">
        <v>45743.39091889358</v>
      </c>
      <c r="G26" t="s">
        <v>446</v>
      </c>
      <c r="H26" t="s">
        <v>337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437</v>
      </c>
      <c r="B27" t="s">
        <v>363</v>
      </c>
      <c r="C27" t="s">
        <v>363</v>
      </c>
      <c r="D27" s="6" t="str">
        <f t="shared" si="0"/>
        <v>org_user5_3</v>
      </c>
      <c r="E27" t="s">
        <v>438</v>
      </c>
      <c r="F27" s="2">
        <v>45743.390918900091</v>
      </c>
      <c r="G27" t="s">
        <v>446</v>
      </c>
      <c r="H27" t="s">
        <v>337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439</v>
      </c>
      <c r="B28" t="s">
        <v>364</v>
      </c>
      <c r="C28" t="s">
        <v>364</v>
      </c>
      <c r="D28" s="6" t="str">
        <f t="shared" si="0"/>
        <v>org_user5_4</v>
      </c>
      <c r="E28" t="s">
        <v>440</v>
      </c>
      <c r="F28" s="2">
        <v>45743.390918906553</v>
      </c>
      <c r="G28" t="s">
        <v>446</v>
      </c>
      <c r="H28" t="s">
        <v>337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"/>
  <sheetViews>
    <sheetView workbookViewId="0">
      <selection activeCell="F2" sqref="F2"/>
    </sheetView>
  </sheetViews>
  <sheetFormatPr defaultColWidth="8.6640625" defaultRowHeight="14.4" x14ac:dyDescent="0.3"/>
  <cols>
    <col min="1" max="1" width="35.6640625" bestFit="1" customWidth="1"/>
    <col min="2" max="2" width="9" bestFit="1" customWidth="1"/>
    <col min="3" max="4" width="5" bestFit="1" customWidth="1"/>
    <col min="5" max="5" width="4.6640625" bestFit="1" customWidth="1"/>
    <col min="6" max="6" width="14.44140625" style="6" bestFit="1" customWidth="1"/>
    <col min="7" max="7" width="10.33203125" style="6" bestFit="1" customWidth="1"/>
    <col min="8" max="8" width="5.6640625" bestFit="1" customWidth="1"/>
  </cols>
  <sheetData>
    <row r="1" spans="1:8" x14ac:dyDescent="0.3">
      <c r="A1" s="1" t="s">
        <v>0</v>
      </c>
      <c r="B1" s="1" t="s">
        <v>329</v>
      </c>
      <c r="C1" s="1" t="s">
        <v>270</v>
      </c>
      <c r="D1" s="1" t="s">
        <v>271</v>
      </c>
      <c r="E1" s="1" t="s">
        <v>83</v>
      </c>
      <c r="F1" s="10" t="s">
        <v>330</v>
      </c>
      <c r="G1" s="10" t="s">
        <v>80</v>
      </c>
      <c r="H1" s="1" t="s">
        <v>280</v>
      </c>
    </row>
    <row r="2" spans="1:8" x14ac:dyDescent="0.3">
      <c r="A2" t="s">
        <v>326</v>
      </c>
      <c r="B2" t="s">
        <v>441</v>
      </c>
      <c r="C2" s="11" t="s">
        <v>458</v>
      </c>
      <c r="D2" t="s">
        <v>331</v>
      </c>
      <c r="E2">
        <v>1</v>
      </c>
      <c r="F2" s="6" t="str">
        <f>$E2&amp;"_"</f>
        <v>1_</v>
      </c>
      <c r="G2" s="6" t="str">
        <f>"dim"&amp;$C2&amp;"("&amp;$B2&amp;")"</f>
        <v>dim1(TEXT)</v>
      </c>
      <c r="H2" t="s">
        <v>282</v>
      </c>
    </row>
    <row r="3" spans="1:8" x14ac:dyDescent="0.3">
      <c r="A3" t="s">
        <v>327</v>
      </c>
      <c r="B3" t="s">
        <v>441</v>
      </c>
      <c r="C3" s="11" t="s">
        <v>459</v>
      </c>
      <c r="D3" t="s">
        <v>332</v>
      </c>
      <c r="E3">
        <v>2</v>
      </c>
      <c r="F3" s="6" t="str">
        <f t="shared" ref="F3:F5" si="0">$E3&amp;"_"</f>
        <v>2_</v>
      </c>
      <c r="G3" s="6" t="str">
        <f>"dim"&amp;$C3&amp;"("&amp;$B3&amp;")"</f>
        <v>dim2(TEXT)</v>
      </c>
      <c r="H3" t="s">
        <v>282</v>
      </c>
    </row>
    <row r="4" spans="1:8" x14ac:dyDescent="0.3">
      <c r="A4" t="s">
        <v>328</v>
      </c>
      <c r="B4" t="s">
        <v>441</v>
      </c>
      <c r="C4" s="11" t="s">
        <v>460</v>
      </c>
      <c r="D4" t="s">
        <v>333</v>
      </c>
      <c r="E4">
        <v>3</v>
      </c>
      <c r="F4" s="6" t="str">
        <f t="shared" si="0"/>
        <v>3_</v>
      </c>
      <c r="G4" s="6" t="str">
        <f>"dim"&amp;$C4&amp;"("&amp;$B4&amp;")"</f>
        <v>dim3(TEXT)</v>
      </c>
      <c r="H4" t="s">
        <v>282</v>
      </c>
    </row>
    <row r="5" spans="1:8" x14ac:dyDescent="0.3">
      <c r="A5" t="s">
        <v>657</v>
      </c>
      <c r="B5" t="s">
        <v>441</v>
      </c>
      <c r="C5" s="11" t="s">
        <v>658</v>
      </c>
      <c r="D5" t="s">
        <v>659</v>
      </c>
      <c r="E5">
        <v>4</v>
      </c>
      <c r="F5" s="6" t="str">
        <f t="shared" si="0"/>
        <v>4_</v>
      </c>
      <c r="G5" s="6" t="str">
        <f>"dim"&amp;$C5&amp;"("&amp;$B5&amp;")"</f>
        <v>dim4(TEXT)</v>
      </c>
      <c r="H5" t="s">
        <v>282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2"/>
  <sheetViews>
    <sheetView workbookViewId="0">
      <selection activeCell="B2" sqref="B2"/>
    </sheetView>
  </sheetViews>
  <sheetFormatPr defaultColWidth="8.6640625" defaultRowHeight="14.4" x14ac:dyDescent="0.3"/>
  <cols>
    <col min="1" max="1" width="36" bestFit="1" customWidth="1"/>
    <col min="2" max="2" width="35.664062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6640625" bestFit="1" customWidth="1"/>
    <col min="10" max="10" width="11.109375" bestFit="1" customWidth="1"/>
    <col min="11" max="11" width="12.33203125" bestFit="1" customWidth="1"/>
    <col min="12" max="12" width="9.664062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6640625" bestFit="1" customWidth="1"/>
  </cols>
  <sheetData>
    <row r="1" spans="1:16" x14ac:dyDescent="0.3">
      <c r="A1" s="1" t="s">
        <v>0</v>
      </c>
      <c r="B1" s="1" t="s">
        <v>817</v>
      </c>
      <c r="C1" s="1" t="s">
        <v>316</v>
      </c>
      <c r="D1" s="1" t="s">
        <v>317</v>
      </c>
      <c r="E1" s="1" t="s">
        <v>270</v>
      </c>
      <c r="F1" s="1" t="s">
        <v>318</v>
      </c>
      <c r="G1" s="1" t="s">
        <v>271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  <c r="N1" s="1" t="s">
        <v>325</v>
      </c>
      <c r="O1" s="12" t="s">
        <v>80</v>
      </c>
      <c r="P1" s="1" t="s">
        <v>280</v>
      </c>
    </row>
    <row r="2" spans="1:16" x14ac:dyDescent="0.3">
      <c r="A2" t="s">
        <v>281</v>
      </c>
      <c r="B2" t="s">
        <v>326</v>
      </c>
      <c r="E2" t="s">
        <v>461</v>
      </c>
      <c r="F2">
        <v>1</v>
      </c>
      <c r="G2" t="s">
        <v>696</v>
      </c>
      <c r="H2" t="s">
        <v>441</v>
      </c>
      <c r="O2" s="13" t="str">
        <f>"col"&amp;$E2&amp;"("&amp;$H2&amp;")"</f>
        <v>col1_1(TEXT)</v>
      </c>
      <c r="P2" t="s">
        <v>282</v>
      </c>
    </row>
    <row r="3" spans="1:16" x14ac:dyDescent="0.3">
      <c r="A3" t="s">
        <v>283</v>
      </c>
      <c r="B3" t="s">
        <v>326</v>
      </c>
      <c r="E3" t="s">
        <v>462</v>
      </c>
      <c r="F3">
        <v>2</v>
      </c>
      <c r="G3" t="s">
        <v>697</v>
      </c>
      <c r="H3" t="s">
        <v>441</v>
      </c>
      <c r="O3" s="13" t="str">
        <f t="shared" ref="O3:O12" si="0">"col"&amp;$E3&amp;"("&amp;$H3&amp;")"</f>
        <v>col1_2(TEXT)</v>
      </c>
      <c r="P3" t="s">
        <v>282</v>
      </c>
    </row>
    <row r="4" spans="1:16" x14ac:dyDescent="0.3">
      <c r="A4" t="s">
        <v>284</v>
      </c>
      <c r="B4" t="s">
        <v>326</v>
      </c>
      <c r="E4" t="s">
        <v>463</v>
      </c>
      <c r="F4">
        <v>3</v>
      </c>
      <c r="G4" t="s">
        <v>698</v>
      </c>
      <c r="H4" t="s">
        <v>441</v>
      </c>
      <c r="O4" s="13" t="str">
        <f t="shared" si="0"/>
        <v>col1_3(TEXT)</v>
      </c>
      <c r="P4" t="s">
        <v>282</v>
      </c>
    </row>
    <row r="5" spans="1:16" x14ac:dyDescent="0.3">
      <c r="A5" t="s">
        <v>285</v>
      </c>
      <c r="B5" t="s">
        <v>327</v>
      </c>
      <c r="E5" t="s">
        <v>464</v>
      </c>
      <c r="F5">
        <v>1</v>
      </c>
      <c r="G5" t="s">
        <v>699</v>
      </c>
      <c r="H5" t="s">
        <v>441</v>
      </c>
      <c r="O5" s="13" t="str">
        <f t="shared" si="0"/>
        <v>col2_1(TEXT)</v>
      </c>
      <c r="P5" t="s">
        <v>282</v>
      </c>
    </row>
    <row r="6" spans="1:16" x14ac:dyDescent="0.3">
      <c r="A6" t="s">
        <v>286</v>
      </c>
      <c r="B6" t="s">
        <v>327</v>
      </c>
      <c r="E6" t="s">
        <v>465</v>
      </c>
      <c r="F6">
        <v>2</v>
      </c>
      <c r="G6" t="s">
        <v>700</v>
      </c>
      <c r="H6" t="s">
        <v>441</v>
      </c>
      <c r="O6" s="13" t="str">
        <f t="shared" si="0"/>
        <v>col2_2(TEXT)</v>
      </c>
      <c r="P6" t="s">
        <v>282</v>
      </c>
    </row>
    <row r="7" spans="1:16" x14ac:dyDescent="0.3">
      <c r="A7" t="s">
        <v>287</v>
      </c>
      <c r="B7" t="s">
        <v>327</v>
      </c>
      <c r="E7" t="s">
        <v>466</v>
      </c>
      <c r="F7">
        <v>3</v>
      </c>
      <c r="G7" t="s">
        <v>701</v>
      </c>
      <c r="H7" t="s">
        <v>441</v>
      </c>
      <c r="O7" s="13" t="str">
        <f t="shared" si="0"/>
        <v>col2_3(TEXT)</v>
      </c>
      <c r="P7" t="s">
        <v>282</v>
      </c>
    </row>
    <row r="8" spans="1:16" x14ac:dyDescent="0.3">
      <c r="A8" t="s">
        <v>288</v>
      </c>
      <c r="B8" t="s">
        <v>328</v>
      </c>
      <c r="E8" t="s">
        <v>467</v>
      </c>
      <c r="F8">
        <v>1</v>
      </c>
      <c r="G8" t="s">
        <v>702</v>
      </c>
      <c r="H8" t="s">
        <v>441</v>
      </c>
      <c r="O8" s="13" t="str">
        <f t="shared" si="0"/>
        <v>col3_1(TEXT)</v>
      </c>
      <c r="P8" t="s">
        <v>282</v>
      </c>
    </row>
    <row r="9" spans="1:16" x14ac:dyDescent="0.3">
      <c r="A9" t="s">
        <v>289</v>
      </c>
      <c r="B9" t="s">
        <v>328</v>
      </c>
      <c r="E9" t="s">
        <v>468</v>
      </c>
      <c r="F9">
        <v>2</v>
      </c>
      <c r="G9" t="s">
        <v>703</v>
      </c>
      <c r="H9" t="s">
        <v>441</v>
      </c>
      <c r="O9" s="13" t="str">
        <f t="shared" si="0"/>
        <v>col3_2(TEXT)</v>
      </c>
      <c r="P9" t="s">
        <v>282</v>
      </c>
    </row>
    <row r="10" spans="1:16" x14ac:dyDescent="0.3">
      <c r="A10" t="s">
        <v>290</v>
      </c>
      <c r="B10" t="s">
        <v>328</v>
      </c>
      <c r="E10" t="s">
        <v>469</v>
      </c>
      <c r="F10">
        <v>3</v>
      </c>
      <c r="G10" t="s">
        <v>704</v>
      </c>
      <c r="H10" t="s">
        <v>441</v>
      </c>
      <c r="O10" s="13" t="str">
        <f t="shared" si="0"/>
        <v>col3_3(TEXT)</v>
      </c>
      <c r="P10" t="s">
        <v>282</v>
      </c>
    </row>
    <row r="11" spans="1:16" x14ac:dyDescent="0.3">
      <c r="A11" t="s">
        <v>656</v>
      </c>
      <c r="B11" t="s">
        <v>657</v>
      </c>
      <c r="E11" t="s">
        <v>662</v>
      </c>
      <c r="F11">
        <v>1</v>
      </c>
      <c r="G11" t="s">
        <v>705</v>
      </c>
      <c r="H11" t="s">
        <v>660</v>
      </c>
      <c r="O11" s="13" t="str">
        <f>"col"&amp;$E11&amp;"("&amp;$H11&amp;")"</f>
        <v>col4_1(GENETIC_READS)</v>
      </c>
      <c r="P11" t="s">
        <v>282</v>
      </c>
    </row>
    <row r="12" spans="1:16" x14ac:dyDescent="0.3">
      <c r="A12" t="s">
        <v>655</v>
      </c>
      <c r="B12" t="s">
        <v>657</v>
      </c>
      <c r="E12" t="s">
        <v>663</v>
      </c>
      <c r="F12">
        <v>2</v>
      </c>
      <c r="G12" t="s">
        <v>706</v>
      </c>
      <c r="H12" t="s">
        <v>661</v>
      </c>
      <c r="O12" s="13" t="str">
        <f t="shared" si="0"/>
        <v>col4_2(GENETIC_SEQUENCE)</v>
      </c>
      <c r="P12" t="s">
        <v>282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6640625" defaultRowHeight="14.4" x14ac:dyDescent="0.3"/>
  <cols>
    <col min="1" max="1" width="34.6640625" bestFit="1" customWidth="1"/>
  </cols>
  <sheetData>
    <row r="1" spans="1:3" x14ac:dyDescent="0.3">
      <c r="A1" t="s">
        <v>0</v>
      </c>
      <c r="B1" t="s">
        <v>57</v>
      </c>
      <c r="C1" t="s">
        <v>559</v>
      </c>
    </row>
    <row r="2" spans="1:3" x14ac:dyDescent="0.3">
      <c r="A2" t="s">
        <v>119</v>
      </c>
      <c r="B2" t="s">
        <v>560</v>
      </c>
    </row>
    <row r="3" spans="1:3" x14ac:dyDescent="0.3">
      <c r="A3" t="s">
        <v>123</v>
      </c>
      <c r="B3" t="s">
        <v>561</v>
      </c>
    </row>
    <row r="4" spans="1:3" x14ac:dyDescent="0.3">
      <c r="A4" t="s">
        <v>127</v>
      </c>
      <c r="B4" t="s">
        <v>562</v>
      </c>
    </row>
    <row r="5" spans="1:3" x14ac:dyDescent="0.3">
      <c r="A5" t="s">
        <v>131</v>
      </c>
      <c r="B5" t="s">
        <v>563</v>
      </c>
    </row>
    <row r="6" spans="1:3" x14ac:dyDescent="0.3">
      <c r="A6" t="s">
        <v>135</v>
      </c>
      <c r="B6" t="s">
        <v>564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664062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565</v>
      </c>
    </row>
    <row r="2" spans="1:3" x14ac:dyDescent="0.3">
      <c r="A2" t="s">
        <v>120</v>
      </c>
      <c r="B2" t="s">
        <v>566</v>
      </c>
      <c r="C2" t="s">
        <v>573</v>
      </c>
    </row>
    <row r="3" spans="1:3" x14ac:dyDescent="0.3">
      <c r="A3" t="s">
        <v>124</v>
      </c>
      <c r="B3" t="s">
        <v>567</v>
      </c>
      <c r="C3" t="s">
        <v>573</v>
      </c>
    </row>
    <row r="4" spans="1:3" x14ac:dyDescent="0.3">
      <c r="A4" t="s">
        <v>128</v>
      </c>
      <c r="B4" t="s">
        <v>568</v>
      </c>
      <c r="C4" t="s">
        <v>573</v>
      </c>
    </row>
    <row r="5" spans="1:3" x14ac:dyDescent="0.3">
      <c r="A5" t="s">
        <v>132</v>
      </c>
      <c r="B5" t="s">
        <v>569</v>
      </c>
      <c r="C5" t="s">
        <v>573</v>
      </c>
    </row>
    <row r="6" spans="1:3" x14ac:dyDescent="0.3">
      <c r="A6" t="s">
        <v>136</v>
      </c>
      <c r="B6" t="s">
        <v>570</v>
      </c>
      <c r="C6" t="s">
        <v>573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6640625" defaultRowHeight="14.4" x14ac:dyDescent="0.3"/>
  <cols>
    <col min="1" max="1" width="35.44140625" bestFit="1" customWidth="1"/>
    <col min="2" max="3" width="10" bestFit="1" customWidth="1"/>
    <col min="4" max="4" width="34.6640625" bestFit="1" customWidth="1"/>
    <col min="5" max="5" width="34.66406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80</v>
      </c>
      <c r="D1" s="1" t="s">
        <v>113</v>
      </c>
      <c r="E1" s="12" t="s">
        <v>571</v>
      </c>
      <c r="F1" s="1" t="s">
        <v>114</v>
      </c>
      <c r="G1" s="1" t="s">
        <v>115</v>
      </c>
      <c r="H1" s="12" t="s">
        <v>572</v>
      </c>
      <c r="I1" s="1" t="s">
        <v>116</v>
      </c>
    </row>
    <row r="2" spans="1:9" x14ac:dyDescent="0.3">
      <c r="A2" t="s">
        <v>117</v>
      </c>
      <c r="B2" t="s">
        <v>118</v>
      </c>
      <c r="D2" t="s">
        <v>119</v>
      </c>
      <c r="E2" s="13" t="str">
        <f>INDEX(Disease!$B:$B,MATCH($D2,Disease!$A:$A,0))</f>
        <v>disease1</v>
      </c>
      <c r="G2" t="s">
        <v>120</v>
      </c>
      <c r="H2" s="13" t="str">
        <f>INDEX(EtiologicalAgent!$B:$B,MATCH($G2,EtiologicalAgent!$A:$A,0))</f>
        <v>etiological_agent1</v>
      </c>
    </row>
    <row r="3" spans="1:9" x14ac:dyDescent="0.3">
      <c r="A3" t="s">
        <v>121</v>
      </c>
      <c r="B3" t="s">
        <v>122</v>
      </c>
      <c r="D3" t="s">
        <v>123</v>
      </c>
      <c r="E3" s="13" t="str">
        <f>INDEX(Disease!$B:$B,MATCH($D3,Disease!$A:$A,0))</f>
        <v>disease2</v>
      </c>
      <c r="G3" t="s">
        <v>124</v>
      </c>
      <c r="H3" s="13" t="str">
        <f>INDEX(EtiologicalAgent!$B:$B,MATCH($G3,EtiologicalAgent!$A:$A,0))</f>
        <v>etiological_agent2</v>
      </c>
    </row>
    <row r="4" spans="1:9" x14ac:dyDescent="0.3">
      <c r="A4" t="s">
        <v>125</v>
      </c>
      <c r="B4" t="s">
        <v>126</v>
      </c>
      <c r="D4" t="s">
        <v>127</v>
      </c>
      <c r="E4" s="13" t="str">
        <f>INDEX(Disease!$B:$B,MATCH($D4,Disease!$A:$A,0))</f>
        <v>disease3</v>
      </c>
      <c r="G4" t="s">
        <v>128</v>
      </c>
      <c r="H4" s="13" t="str">
        <f>INDEX(EtiologicalAgent!$B:$B,MATCH($G4,EtiologicalAgent!$A:$A,0))</f>
        <v>etiological_agent3</v>
      </c>
    </row>
    <row r="5" spans="1:9" x14ac:dyDescent="0.3">
      <c r="A5" t="s">
        <v>129</v>
      </c>
      <c r="B5" t="s">
        <v>130</v>
      </c>
      <c r="D5" t="s">
        <v>131</v>
      </c>
      <c r="E5" s="13" t="str">
        <f>INDEX(Disease!$B:$B,MATCH($D5,Disease!$A:$A,0))</f>
        <v>disease4</v>
      </c>
      <c r="G5" t="s">
        <v>132</v>
      </c>
      <c r="H5" s="13" t="str">
        <f>INDEX(EtiologicalAgent!$B:$B,MATCH($G5,EtiologicalAgent!$A:$A,0))</f>
        <v>etiological_agent4</v>
      </c>
    </row>
    <row r="6" spans="1:9" x14ac:dyDescent="0.3">
      <c r="A6" t="s">
        <v>133</v>
      </c>
      <c r="B6" t="s">
        <v>134</v>
      </c>
      <c r="D6" t="s">
        <v>135</v>
      </c>
      <c r="E6" s="13" t="str">
        <f>INDEX(Disease!$B:$B,MATCH($D6,Disease!$A:$A,0))</f>
        <v>disease5</v>
      </c>
      <c r="G6" t="s">
        <v>136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6640625" defaultRowHeight="14.4" x14ac:dyDescent="0.3"/>
  <cols>
    <col min="1" max="1" width="34.109375" bestFit="1" customWidth="1"/>
    <col min="2" max="2" width="21.6640625" bestFit="1" customWidth="1"/>
    <col min="3" max="3" width="10" bestFit="1" customWidth="1"/>
    <col min="4" max="4" width="4.44140625" bestFit="1" customWidth="1"/>
    <col min="5" max="5" width="8.6640625" bestFit="1" customWidth="1"/>
  </cols>
  <sheetData>
    <row r="1" spans="1:5" x14ac:dyDescent="0.3">
      <c r="A1" s="1" t="s">
        <v>0</v>
      </c>
      <c r="B1" s="1" t="s">
        <v>57</v>
      </c>
      <c r="C1" s="1" t="s">
        <v>80</v>
      </c>
      <c r="D1" s="1" t="s">
        <v>83</v>
      </c>
      <c r="E1" s="1" t="s">
        <v>110</v>
      </c>
    </row>
    <row r="2" spans="1:5" x14ac:dyDescent="0.3">
      <c r="A2" t="s">
        <v>85</v>
      </c>
      <c r="B2" t="s">
        <v>111</v>
      </c>
      <c r="D2">
        <v>0</v>
      </c>
      <c r="E2" t="s">
        <v>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6640625" defaultRowHeight="14.4" x14ac:dyDescent="0.3"/>
  <cols>
    <col min="1" max="1" width="35.664062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80</v>
      </c>
      <c r="D1" s="1" t="s">
        <v>81</v>
      </c>
      <c r="E1" s="10" t="s">
        <v>472</v>
      </c>
      <c r="F1" s="1" t="s">
        <v>82</v>
      </c>
      <c r="G1" s="1" t="s">
        <v>83</v>
      </c>
    </row>
    <row r="2" spans="1:7" x14ac:dyDescent="0.3">
      <c r="A2" t="s">
        <v>61</v>
      </c>
      <c r="B2" t="s">
        <v>84</v>
      </c>
      <c r="D2" t="s">
        <v>85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63</v>
      </c>
      <c r="B3" t="s">
        <v>86</v>
      </c>
      <c r="D3" t="s">
        <v>85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65</v>
      </c>
      <c r="B4" t="s">
        <v>87</v>
      </c>
      <c r="D4" t="s">
        <v>85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88</v>
      </c>
      <c r="D5" t="s">
        <v>85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69</v>
      </c>
      <c r="B6" t="s">
        <v>89</v>
      </c>
      <c r="D6" t="s">
        <v>85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90</v>
      </c>
      <c r="B7" t="s">
        <v>91</v>
      </c>
      <c r="D7" t="s">
        <v>85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92</v>
      </c>
      <c r="B8" t="s">
        <v>93</v>
      </c>
      <c r="D8" t="s">
        <v>85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94</v>
      </c>
      <c r="B9" t="s">
        <v>95</v>
      </c>
      <c r="D9" t="s">
        <v>85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96</v>
      </c>
      <c r="B10" t="s">
        <v>97</v>
      </c>
      <c r="D10" t="s">
        <v>85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98</v>
      </c>
      <c r="B11" t="s">
        <v>99</v>
      </c>
      <c r="D11" t="s">
        <v>85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100</v>
      </c>
      <c r="B12" t="s">
        <v>101</v>
      </c>
      <c r="D12" t="s">
        <v>85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102</v>
      </c>
      <c r="B13" t="s">
        <v>103</v>
      </c>
      <c r="D13" t="s">
        <v>85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104</v>
      </c>
      <c r="B14" t="s">
        <v>105</v>
      </c>
      <c r="D14" t="s">
        <v>85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106</v>
      </c>
      <c r="B15" t="s">
        <v>107</v>
      </c>
      <c r="D15" t="s">
        <v>85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108</v>
      </c>
      <c r="B16" t="s">
        <v>109</v>
      </c>
      <c r="D16" t="s">
        <v>85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6640625" defaultRowHeight="14.4" x14ac:dyDescent="0.3"/>
  <cols>
    <col min="1" max="2" width="35.664062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448</v>
      </c>
      <c r="D1" s="1" t="s">
        <v>59</v>
      </c>
      <c r="E1" s="1" t="s">
        <v>267</v>
      </c>
      <c r="F1" s="10" t="s">
        <v>471</v>
      </c>
      <c r="G1" s="1" t="s">
        <v>268</v>
      </c>
      <c r="H1" s="16" t="s">
        <v>549</v>
      </c>
    </row>
    <row r="2" spans="1:8" x14ac:dyDescent="0.3">
      <c r="A2" t="s">
        <v>291</v>
      </c>
      <c r="B2" t="s">
        <v>61</v>
      </c>
      <c r="C2" s="6" t="str">
        <f>INDEX(CaseTypeSet!$B:$B,MATCH($B2,CaseTypeSet!$A:$A,0))</f>
        <v>case_type_set1</v>
      </c>
      <c r="E2" t="s">
        <v>117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292</v>
      </c>
      <c r="B3" t="s">
        <v>63</v>
      </c>
      <c r="C3" s="6" t="str">
        <f>INDEX(CaseTypeSet!$B:$B,MATCH($B3,CaseTypeSet!$A:$A,0))</f>
        <v>case_type_set2</v>
      </c>
      <c r="E3" t="s">
        <v>121</v>
      </c>
      <c r="F3" s="6" t="str">
        <f>INDEX(CaseType!$B:$B,MATCH($E3,CaseType!$A:$A,0))</f>
        <v>case_type2</v>
      </c>
      <c r="H3"/>
    </row>
    <row r="4" spans="1:8" hidden="1" x14ac:dyDescent="0.3">
      <c r="A4" t="s">
        <v>293</v>
      </c>
      <c r="B4" t="s">
        <v>65</v>
      </c>
      <c r="C4" s="6" t="str">
        <f>INDEX(CaseTypeSet!$B:$B,MATCH($B4,CaseTypeSet!$A:$A,0))</f>
        <v>case_type_set3</v>
      </c>
      <c r="E4" t="s">
        <v>125</v>
      </c>
      <c r="F4" s="6" t="str">
        <f>INDEX(CaseType!$B:$B,MATCH($E4,CaseType!$A:$A,0))</f>
        <v>case_type3</v>
      </c>
      <c r="H4"/>
    </row>
    <row r="5" spans="1:8" hidden="1" x14ac:dyDescent="0.3">
      <c r="A5" t="s">
        <v>294</v>
      </c>
      <c r="B5" t="s">
        <v>67</v>
      </c>
      <c r="C5" s="6" t="str">
        <f>INDEX(CaseTypeSet!$B:$B,MATCH($B5,CaseTypeSet!$A:$A,0))</f>
        <v>case_type_set4</v>
      </c>
      <c r="E5" t="s">
        <v>129</v>
      </c>
      <c r="F5" s="6" t="str">
        <f>INDEX(CaseType!$B:$B,MATCH($E5,CaseType!$A:$A,0))</f>
        <v>case_type4</v>
      </c>
      <c r="H5"/>
    </row>
    <row r="6" spans="1:8" hidden="1" x14ac:dyDescent="0.3">
      <c r="A6" t="s">
        <v>295</v>
      </c>
      <c r="B6" t="s">
        <v>69</v>
      </c>
      <c r="C6" s="6" t="str">
        <f>INDEX(CaseTypeSet!$B:$B,MATCH($B6,CaseTypeSet!$A:$A,0))</f>
        <v>case_type_set5</v>
      </c>
      <c r="E6" t="s">
        <v>133</v>
      </c>
      <c r="F6" s="6" t="str">
        <f>INDEX(CaseType!$B:$B,MATCH($E6,CaseType!$A:$A,0))</f>
        <v>case_type5</v>
      </c>
      <c r="H6"/>
    </row>
    <row r="7" spans="1:8" x14ac:dyDescent="0.3">
      <c r="A7" t="s">
        <v>296</v>
      </c>
      <c r="B7" t="s">
        <v>90</v>
      </c>
      <c r="C7" s="6" t="str">
        <f>INDEX(CaseTypeSet!$B:$B,MATCH($B7,CaseTypeSet!$A:$A,0))</f>
        <v>case_type_set1,2</v>
      </c>
      <c r="E7" t="s">
        <v>117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297</v>
      </c>
      <c r="B8" t="s">
        <v>90</v>
      </c>
      <c r="C8" s="6" t="str">
        <f>INDEX(CaseTypeSet!$B:$B,MATCH($B8,CaseTypeSet!$A:$A,0))</f>
        <v>case_type_set1,2</v>
      </c>
      <c r="E8" t="s">
        <v>121</v>
      </c>
      <c r="F8" s="6" t="str">
        <f>INDEX(CaseType!$B:$B,MATCH($E8,CaseType!$A:$A,0))</f>
        <v>case_type2</v>
      </c>
      <c r="H8"/>
    </row>
    <row r="9" spans="1:8" hidden="1" x14ac:dyDescent="0.3">
      <c r="A9" t="s">
        <v>298</v>
      </c>
      <c r="B9" t="s">
        <v>92</v>
      </c>
      <c r="C9" s="6" t="str">
        <f>INDEX(CaseTypeSet!$B:$B,MATCH($B9,CaseTypeSet!$A:$A,0))</f>
        <v>case_type_set1,3</v>
      </c>
      <c r="E9" t="s">
        <v>125</v>
      </c>
      <c r="F9" s="6" t="str">
        <f>INDEX(CaseType!$B:$B,MATCH($E9,CaseType!$A:$A,0))</f>
        <v>case_type3</v>
      </c>
      <c r="H9"/>
    </row>
    <row r="10" spans="1:8" x14ac:dyDescent="0.3">
      <c r="A10" t="s">
        <v>299</v>
      </c>
      <c r="B10" t="s">
        <v>92</v>
      </c>
      <c r="C10" s="6" t="str">
        <f>INDEX(CaseTypeSet!$B:$B,MATCH($B10,CaseTypeSet!$A:$A,0))</f>
        <v>case_type_set1,3</v>
      </c>
      <c r="E10" t="s">
        <v>117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300</v>
      </c>
      <c r="B11" t="s">
        <v>94</v>
      </c>
      <c r="C11" s="6" t="str">
        <f>INDEX(CaseTypeSet!$B:$B,MATCH($B11,CaseTypeSet!$A:$A,0))</f>
        <v>case_type_set1,4</v>
      </c>
      <c r="E11" t="s">
        <v>117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301</v>
      </c>
      <c r="B12" t="s">
        <v>94</v>
      </c>
      <c r="C12" s="6" t="str">
        <f>INDEX(CaseTypeSet!$B:$B,MATCH($B12,CaseTypeSet!$A:$A,0))</f>
        <v>case_type_set1,4</v>
      </c>
      <c r="E12" t="s">
        <v>129</v>
      </c>
      <c r="F12" s="6" t="str">
        <f>INDEX(CaseType!$B:$B,MATCH($E12,CaseType!$A:$A,0))</f>
        <v>case_type4</v>
      </c>
      <c r="H12"/>
    </row>
    <row r="13" spans="1:8" hidden="1" x14ac:dyDescent="0.3">
      <c r="A13" t="s">
        <v>302</v>
      </c>
      <c r="B13" t="s">
        <v>96</v>
      </c>
      <c r="C13" s="6" t="str">
        <f>INDEX(CaseTypeSet!$B:$B,MATCH($B13,CaseTypeSet!$A:$A,0))</f>
        <v>case_type_set1,5</v>
      </c>
      <c r="E13" t="s">
        <v>133</v>
      </c>
      <c r="F13" s="6" t="str">
        <f>INDEX(CaseType!$B:$B,MATCH($E13,CaseType!$A:$A,0))</f>
        <v>case_type5</v>
      </c>
      <c r="H13"/>
    </row>
    <row r="14" spans="1:8" x14ac:dyDescent="0.3">
      <c r="A14" t="s">
        <v>303</v>
      </c>
      <c r="B14" t="s">
        <v>96</v>
      </c>
      <c r="C14" s="6" t="str">
        <f>INDEX(CaseTypeSet!$B:$B,MATCH($B14,CaseTypeSet!$A:$A,0))</f>
        <v>case_type_set1,5</v>
      </c>
      <c r="E14" t="s">
        <v>117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304</v>
      </c>
      <c r="B15" t="s">
        <v>98</v>
      </c>
      <c r="C15" s="6" t="str">
        <f>INDEX(CaseTypeSet!$B:$B,MATCH($B15,CaseTypeSet!$A:$A,0))</f>
        <v>case_type_set2,3</v>
      </c>
      <c r="E15" t="s">
        <v>125</v>
      </c>
      <c r="F15" s="6" t="str">
        <f>INDEX(CaseType!$B:$B,MATCH($E15,CaseType!$A:$A,0))</f>
        <v>case_type3</v>
      </c>
      <c r="H15"/>
    </row>
    <row r="16" spans="1:8" hidden="1" x14ac:dyDescent="0.3">
      <c r="A16" t="s">
        <v>305</v>
      </c>
      <c r="B16" t="s">
        <v>98</v>
      </c>
      <c r="C16" s="6" t="str">
        <f>INDEX(CaseTypeSet!$B:$B,MATCH($B16,CaseTypeSet!$A:$A,0))</f>
        <v>case_type_set2,3</v>
      </c>
      <c r="E16" t="s">
        <v>121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306</v>
      </c>
      <c r="B17" t="s">
        <v>100</v>
      </c>
      <c r="C17" s="6" t="str">
        <f>INDEX(CaseTypeSet!$B:$B,MATCH($B17,CaseTypeSet!$A:$A,0))</f>
        <v>case_type_set2,4</v>
      </c>
      <c r="E17" t="s">
        <v>129</v>
      </c>
      <c r="F17" s="6" t="str">
        <f>INDEX(CaseType!$B:$B,MATCH($E17,CaseType!$A:$A,0))</f>
        <v>case_type4</v>
      </c>
    </row>
    <row r="18" spans="1:6" customFormat="1" hidden="1" x14ac:dyDescent="0.3">
      <c r="A18" t="s">
        <v>307</v>
      </c>
      <c r="B18" t="s">
        <v>100</v>
      </c>
      <c r="C18" s="6" t="str">
        <f>INDEX(CaseTypeSet!$B:$B,MATCH($B18,CaseTypeSet!$A:$A,0))</f>
        <v>case_type_set2,4</v>
      </c>
      <c r="E18" t="s">
        <v>121</v>
      </c>
      <c r="F18" s="6" t="str">
        <f>INDEX(CaseType!$B:$B,MATCH($E18,CaseType!$A:$A,0))</f>
        <v>case_type2</v>
      </c>
    </row>
    <row r="19" spans="1:6" customFormat="1" hidden="1" x14ac:dyDescent="0.3">
      <c r="A19" t="s">
        <v>308</v>
      </c>
      <c r="B19" t="s">
        <v>102</v>
      </c>
      <c r="C19" s="6" t="str">
        <f>INDEX(CaseTypeSet!$B:$B,MATCH($B19,CaseTypeSet!$A:$A,0))</f>
        <v>case_type_set2,5</v>
      </c>
      <c r="E19" t="s">
        <v>133</v>
      </c>
      <c r="F19" s="6" t="str">
        <f>INDEX(CaseType!$B:$B,MATCH($E19,CaseType!$A:$A,0))</f>
        <v>case_type5</v>
      </c>
    </row>
    <row r="20" spans="1:6" customFormat="1" hidden="1" x14ac:dyDescent="0.3">
      <c r="A20" t="s">
        <v>309</v>
      </c>
      <c r="B20" t="s">
        <v>102</v>
      </c>
      <c r="C20" s="6" t="str">
        <f>INDEX(CaseTypeSet!$B:$B,MATCH($B20,CaseTypeSet!$A:$A,0))</f>
        <v>case_type_set2,5</v>
      </c>
      <c r="E20" t="s">
        <v>121</v>
      </c>
      <c r="F20" s="6" t="str">
        <f>INDEX(CaseType!$B:$B,MATCH($E20,CaseType!$A:$A,0))</f>
        <v>case_type2</v>
      </c>
    </row>
    <row r="21" spans="1:6" customFormat="1" hidden="1" x14ac:dyDescent="0.3">
      <c r="A21" t="s">
        <v>310</v>
      </c>
      <c r="B21" t="s">
        <v>104</v>
      </c>
      <c r="C21" s="6" t="str">
        <f>INDEX(CaseTypeSet!$B:$B,MATCH($B21,CaseTypeSet!$A:$A,0))</f>
        <v>case_type_set3,4</v>
      </c>
      <c r="E21" t="s">
        <v>125</v>
      </c>
      <c r="F21" s="6" t="str">
        <f>INDEX(CaseType!$B:$B,MATCH($E21,CaseType!$A:$A,0))</f>
        <v>case_type3</v>
      </c>
    </row>
    <row r="22" spans="1:6" customFormat="1" hidden="1" x14ac:dyDescent="0.3">
      <c r="A22" t="s">
        <v>311</v>
      </c>
      <c r="B22" t="s">
        <v>104</v>
      </c>
      <c r="C22" s="6" t="str">
        <f>INDEX(CaseTypeSet!$B:$B,MATCH($B22,CaseTypeSet!$A:$A,0))</f>
        <v>case_type_set3,4</v>
      </c>
      <c r="E22" t="s">
        <v>129</v>
      </c>
      <c r="F22" s="6" t="str">
        <f>INDEX(CaseType!$B:$B,MATCH($E22,CaseType!$A:$A,0))</f>
        <v>case_type4</v>
      </c>
    </row>
    <row r="23" spans="1:6" customFormat="1" hidden="1" x14ac:dyDescent="0.3">
      <c r="A23" t="s">
        <v>312</v>
      </c>
      <c r="B23" t="s">
        <v>106</v>
      </c>
      <c r="C23" s="6" t="str">
        <f>INDEX(CaseTypeSet!$B:$B,MATCH($B23,CaseTypeSet!$A:$A,0))</f>
        <v>case_type_set3,5</v>
      </c>
      <c r="E23" t="s">
        <v>125</v>
      </c>
      <c r="F23" s="6" t="str">
        <f>INDEX(CaseType!$B:$B,MATCH($E23,CaseType!$A:$A,0))</f>
        <v>case_type3</v>
      </c>
    </row>
    <row r="24" spans="1:6" customFormat="1" hidden="1" x14ac:dyDescent="0.3">
      <c r="A24" t="s">
        <v>313</v>
      </c>
      <c r="B24" t="s">
        <v>106</v>
      </c>
      <c r="C24" s="6" t="str">
        <f>INDEX(CaseTypeSet!$B:$B,MATCH($B24,CaseTypeSet!$A:$A,0))</f>
        <v>case_type_set3,5</v>
      </c>
      <c r="E24" t="s">
        <v>133</v>
      </c>
      <c r="F24" s="6" t="str">
        <f>INDEX(CaseType!$B:$B,MATCH($E24,CaseType!$A:$A,0))</f>
        <v>case_type5</v>
      </c>
    </row>
    <row r="25" spans="1:6" customFormat="1" hidden="1" x14ac:dyDescent="0.3">
      <c r="A25" t="s">
        <v>314</v>
      </c>
      <c r="B25" t="s">
        <v>108</v>
      </c>
      <c r="C25" s="6" t="str">
        <f>INDEX(CaseTypeSet!$B:$B,MATCH($B25,CaseTypeSet!$A:$A,0))</f>
        <v>case_type_set4,5</v>
      </c>
      <c r="E25" t="s">
        <v>133</v>
      </c>
      <c r="F25" s="6" t="str">
        <f>INDEX(CaseType!$B:$B,MATCH($E25,CaseType!$A:$A,0))</f>
        <v>case_type5</v>
      </c>
    </row>
    <row r="26" spans="1:6" customFormat="1" hidden="1" x14ac:dyDescent="0.3">
      <c r="A26" t="s">
        <v>315</v>
      </c>
      <c r="B26" t="s">
        <v>108</v>
      </c>
      <c r="C26" s="6" t="str">
        <f>INDEX(CaseTypeSet!$B:$B,MATCH($B26,CaseTypeSet!$A:$A,0))</f>
        <v>case_type_set4,5</v>
      </c>
      <c r="E26" t="s">
        <v>129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BC7C-6CF8-4305-B66D-D3F56E6B0FAE}">
  <dimension ref="A1:J56"/>
  <sheetViews>
    <sheetView workbookViewId="0">
      <pane ySplit="1" topLeftCell="A2" activePane="bottomLeft" state="frozen"/>
      <selection pane="bottomLeft" activeCell="D6" sqref="D6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0.109375" bestFit="1" customWidth="1"/>
    <col min="4" max="4" width="36.21875" bestFit="1" customWidth="1"/>
    <col min="5" max="5" width="15.6640625" bestFit="1" customWidth="1"/>
    <col min="6" max="6" width="15.33203125" style="6" bestFit="1" customWidth="1"/>
    <col min="7" max="7" width="6" bestFit="1" customWidth="1"/>
    <col min="8" max="8" width="7" bestFit="1" customWidth="1"/>
    <col min="9" max="9" width="36.77734375" style="6" bestFit="1" customWidth="1"/>
    <col min="10" max="10" width="49.6640625" bestFit="1" customWidth="1"/>
  </cols>
  <sheetData>
    <row r="1" spans="1:10" x14ac:dyDescent="0.3">
      <c r="A1" t="s">
        <v>0</v>
      </c>
      <c r="B1" t="s">
        <v>267</v>
      </c>
      <c r="C1" t="s">
        <v>269</v>
      </c>
      <c r="D1" t="s">
        <v>817</v>
      </c>
      <c r="E1" t="s">
        <v>694</v>
      </c>
      <c r="F1" s="6" t="s">
        <v>695</v>
      </c>
      <c r="G1" t="s">
        <v>270</v>
      </c>
      <c r="H1" t="s">
        <v>83</v>
      </c>
      <c r="I1" s="6" t="s">
        <v>271</v>
      </c>
      <c r="J1" t="s">
        <v>80</v>
      </c>
    </row>
    <row r="2" spans="1:10" x14ac:dyDescent="0.3">
      <c r="A2" t="s">
        <v>816</v>
      </c>
      <c r="B2" t="s">
        <v>117</v>
      </c>
      <c r="C2">
        <v>0</v>
      </c>
      <c r="D2" t="s">
        <v>326</v>
      </c>
      <c r="E2" t="b">
        <v>0</v>
      </c>
      <c r="F2" s="6" t="str">
        <f>INDEX(RefDim!$B:$B,MATCH($D2,RefDim!$A:$A,0))</f>
        <v>TEXT</v>
      </c>
      <c r="G2" t="s">
        <v>707</v>
      </c>
      <c r="H2">
        <v>1</v>
      </c>
      <c r="I2" s="6" t="str">
        <f t="shared" ref="I2:I33" si="0">"dim"&amp;$G2</f>
        <v>dim1_1_1</v>
      </c>
    </row>
    <row r="3" spans="1:10" x14ac:dyDescent="0.3">
      <c r="A3" t="s">
        <v>815</v>
      </c>
      <c r="B3" t="s">
        <v>117</v>
      </c>
      <c r="C3">
        <v>0</v>
      </c>
      <c r="D3" t="s">
        <v>326</v>
      </c>
      <c r="E3" t="b">
        <v>0</v>
      </c>
      <c r="F3" s="6" t="str">
        <f>INDEX(RefDim!$B:$B,MATCH($D3,RefDim!$A:$A,0))</f>
        <v>TEXT</v>
      </c>
      <c r="G3" t="s">
        <v>708</v>
      </c>
      <c r="H3">
        <v>2</v>
      </c>
      <c r="I3" s="6" t="str">
        <f t="shared" si="0"/>
        <v>dim1_1_2</v>
      </c>
    </row>
    <row r="4" spans="1:10" x14ac:dyDescent="0.3">
      <c r="A4" t="s">
        <v>814</v>
      </c>
      <c r="B4" t="s">
        <v>117</v>
      </c>
      <c r="C4">
        <v>0</v>
      </c>
      <c r="D4" t="s">
        <v>326</v>
      </c>
      <c r="E4" t="b">
        <v>0</v>
      </c>
      <c r="F4" s="6" t="str">
        <f>INDEX(RefDim!$B:$B,MATCH($D4,RefDim!$A:$A,0))</f>
        <v>TEXT</v>
      </c>
      <c r="G4" t="s">
        <v>709</v>
      </c>
      <c r="H4">
        <v>3</v>
      </c>
      <c r="I4" s="6" t="str">
        <f t="shared" si="0"/>
        <v>dim1_1_3</v>
      </c>
    </row>
    <row r="5" spans="1:10" x14ac:dyDescent="0.3">
      <c r="A5" t="s">
        <v>813</v>
      </c>
      <c r="B5" t="s">
        <v>117</v>
      </c>
      <c r="C5">
        <v>0</v>
      </c>
      <c r="D5" t="s">
        <v>327</v>
      </c>
      <c r="E5" t="b">
        <v>0</v>
      </c>
      <c r="F5" s="6" t="str">
        <f>INDEX(RefDim!$B:$B,MATCH($D5,RefDim!$A:$A,0))</f>
        <v>TEXT</v>
      </c>
      <c r="G5" t="s">
        <v>710</v>
      </c>
      <c r="H5">
        <v>4</v>
      </c>
      <c r="I5" s="6" t="str">
        <f t="shared" si="0"/>
        <v>dim1_2_1</v>
      </c>
    </row>
    <row r="6" spans="1:10" x14ac:dyDescent="0.3">
      <c r="A6" t="s">
        <v>812</v>
      </c>
      <c r="B6" t="s">
        <v>117</v>
      </c>
      <c r="C6">
        <v>0</v>
      </c>
      <c r="D6" t="s">
        <v>327</v>
      </c>
      <c r="E6" t="b">
        <v>0</v>
      </c>
      <c r="F6" s="6" t="str">
        <f>INDEX(RefDim!$B:$B,MATCH($D6,RefDim!$A:$A,0))</f>
        <v>TEXT</v>
      </c>
      <c r="G6" t="s">
        <v>711</v>
      </c>
      <c r="H6">
        <v>5</v>
      </c>
      <c r="I6" s="6" t="str">
        <f t="shared" si="0"/>
        <v>dim1_2_2</v>
      </c>
    </row>
    <row r="7" spans="1:10" x14ac:dyDescent="0.3">
      <c r="A7" t="s">
        <v>811</v>
      </c>
      <c r="B7" t="s">
        <v>117</v>
      </c>
      <c r="C7">
        <v>0</v>
      </c>
      <c r="D7" t="s">
        <v>327</v>
      </c>
      <c r="E7" t="b">
        <v>0</v>
      </c>
      <c r="F7" s="6" t="str">
        <f>INDEX(RefDim!$B:$B,MATCH($D7,RefDim!$A:$A,0))</f>
        <v>TEXT</v>
      </c>
      <c r="G7" t="s">
        <v>712</v>
      </c>
      <c r="H7">
        <v>6</v>
      </c>
      <c r="I7" s="6" t="str">
        <f t="shared" si="0"/>
        <v>dim1_2_3</v>
      </c>
    </row>
    <row r="8" spans="1:10" x14ac:dyDescent="0.3">
      <c r="A8" t="s">
        <v>810</v>
      </c>
      <c r="B8" t="s">
        <v>117</v>
      </c>
      <c r="C8">
        <v>0</v>
      </c>
      <c r="D8" t="s">
        <v>328</v>
      </c>
      <c r="E8" t="b">
        <v>0</v>
      </c>
      <c r="F8" s="6" t="str">
        <f>INDEX(RefDim!$B:$B,MATCH($D8,RefDim!$A:$A,0))</f>
        <v>TEXT</v>
      </c>
      <c r="G8" t="s">
        <v>713</v>
      </c>
      <c r="H8">
        <v>7</v>
      </c>
      <c r="I8" s="6" t="str">
        <f t="shared" si="0"/>
        <v>dim1_3_1</v>
      </c>
    </row>
    <row r="9" spans="1:10" x14ac:dyDescent="0.3">
      <c r="A9" t="s">
        <v>809</v>
      </c>
      <c r="B9" t="s">
        <v>117</v>
      </c>
      <c r="C9">
        <v>0</v>
      </c>
      <c r="D9" t="s">
        <v>328</v>
      </c>
      <c r="E9" t="b">
        <v>0</v>
      </c>
      <c r="F9" s="6" t="str">
        <f>INDEX(RefDim!$B:$B,MATCH($D9,RefDim!$A:$A,0))</f>
        <v>TEXT</v>
      </c>
      <c r="G9" t="s">
        <v>714</v>
      </c>
      <c r="H9">
        <v>8</v>
      </c>
      <c r="I9" s="6" t="str">
        <f t="shared" si="0"/>
        <v>dim1_3_2</v>
      </c>
    </row>
    <row r="10" spans="1:10" x14ac:dyDescent="0.3">
      <c r="A10" t="s">
        <v>808</v>
      </c>
      <c r="B10" t="s">
        <v>117</v>
      </c>
      <c r="C10">
        <v>0</v>
      </c>
      <c r="D10" t="s">
        <v>328</v>
      </c>
      <c r="E10" t="b">
        <v>0</v>
      </c>
      <c r="F10" s="6" t="str">
        <f>INDEX(RefDim!$B:$B,MATCH($D10,RefDim!$A:$A,0))</f>
        <v>TEXT</v>
      </c>
      <c r="G10" t="s">
        <v>715</v>
      </c>
      <c r="H10">
        <v>9</v>
      </c>
      <c r="I10" s="6" t="str">
        <f t="shared" si="0"/>
        <v>dim1_3_3</v>
      </c>
    </row>
    <row r="11" spans="1:10" x14ac:dyDescent="0.3">
      <c r="A11" t="s">
        <v>807</v>
      </c>
      <c r="B11" t="s">
        <v>117</v>
      </c>
      <c r="C11">
        <v>0</v>
      </c>
      <c r="D11" t="s">
        <v>657</v>
      </c>
      <c r="E11" t="b">
        <v>0</v>
      </c>
      <c r="F11" s="6" t="str">
        <f>INDEX(RefDim!$B:$B,MATCH($D11,RefDim!$A:$A,0))</f>
        <v>TEXT</v>
      </c>
      <c r="G11" t="s">
        <v>725</v>
      </c>
      <c r="H11">
        <v>10</v>
      </c>
      <c r="I11" s="6" t="str">
        <f t="shared" si="0"/>
        <v>dim1_4_1</v>
      </c>
    </row>
    <row r="12" spans="1:10" x14ac:dyDescent="0.3">
      <c r="A12" t="s">
        <v>806</v>
      </c>
      <c r="B12" t="s">
        <v>117</v>
      </c>
      <c r="C12">
        <v>0</v>
      </c>
      <c r="D12" t="s">
        <v>657</v>
      </c>
      <c r="E12" t="b">
        <v>0</v>
      </c>
      <c r="F12" s="6" t="str">
        <f>INDEX(RefDim!$B:$B,MATCH($D12,RefDim!$A:$A,0))</f>
        <v>TEXT</v>
      </c>
      <c r="G12" t="s">
        <v>726</v>
      </c>
      <c r="H12">
        <v>11</v>
      </c>
      <c r="I12" s="6" t="str">
        <f t="shared" si="0"/>
        <v>dim1_4_2</v>
      </c>
    </row>
    <row r="13" spans="1:10" x14ac:dyDescent="0.3">
      <c r="A13" t="s">
        <v>805</v>
      </c>
      <c r="B13" t="s">
        <v>121</v>
      </c>
      <c r="C13">
        <v>0</v>
      </c>
      <c r="D13" t="s">
        <v>326</v>
      </c>
      <c r="E13" t="b">
        <v>0</v>
      </c>
      <c r="F13" s="6" t="str">
        <f>INDEX(RefDim!$B:$B,MATCH($D13,RefDim!$A:$A,0))</f>
        <v>TEXT</v>
      </c>
      <c r="G13" t="s">
        <v>716</v>
      </c>
      <c r="H13">
        <v>1</v>
      </c>
      <c r="I13" s="6" t="str">
        <f t="shared" si="0"/>
        <v>dim2_1_1</v>
      </c>
    </row>
    <row r="14" spans="1:10" x14ac:dyDescent="0.3">
      <c r="A14" t="s">
        <v>804</v>
      </c>
      <c r="B14" t="s">
        <v>121</v>
      </c>
      <c r="C14">
        <v>0</v>
      </c>
      <c r="D14" t="s">
        <v>326</v>
      </c>
      <c r="E14" t="b">
        <v>0</v>
      </c>
      <c r="F14" s="6" t="str">
        <f>INDEX(RefDim!$B:$B,MATCH($D14,RefDim!$A:$A,0))</f>
        <v>TEXT</v>
      </c>
      <c r="G14" t="s">
        <v>717</v>
      </c>
      <c r="H14">
        <v>2</v>
      </c>
      <c r="I14" s="6" t="str">
        <f t="shared" si="0"/>
        <v>dim2_1_2</v>
      </c>
    </row>
    <row r="15" spans="1:10" x14ac:dyDescent="0.3">
      <c r="A15" t="s">
        <v>803</v>
      </c>
      <c r="B15" t="s">
        <v>121</v>
      </c>
      <c r="C15">
        <v>0</v>
      </c>
      <c r="D15" t="s">
        <v>326</v>
      </c>
      <c r="E15" t="b">
        <v>0</v>
      </c>
      <c r="F15" s="6" t="str">
        <f>INDEX(RefDim!$B:$B,MATCH($D15,RefDim!$A:$A,0))</f>
        <v>TEXT</v>
      </c>
      <c r="G15" t="s">
        <v>718</v>
      </c>
      <c r="H15">
        <v>3</v>
      </c>
      <c r="I15" s="6" t="str">
        <f t="shared" si="0"/>
        <v>dim2_1_3</v>
      </c>
    </row>
    <row r="16" spans="1:10" x14ac:dyDescent="0.3">
      <c r="A16" t="s">
        <v>802</v>
      </c>
      <c r="B16" t="s">
        <v>121</v>
      </c>
      <c r="C16">
        <v>0</v>
      </c>
      <c r="D16" t="s">
        <v>327</v>
      </c>
      <c r="E16" t="b">
        <v>0</v>
      </c>
      <c r="F16" s="6" t="str">
        <f>INDEX(RefDim!$B:$B,MATCH($D16,RefDim!$A:$A,0))</f>
        <v>TEXT</v>
      </c>
      <c r="G16" t="s">
        <v>719</v>
      </c>
      <c r="H16">
        <v>4</v>
      </c>
      <c r="I16" s="6" t="str">
        <f t="shared" si="0"/>
        <v>dim2_2_1</v>
      </c>
    </row>
    <row r="17" spans="1:9" x14ac:dyDescent="0.3">
      <c r="A17" t="s">
        <v>801</v>
      </c>
      <c r="B17" t="s">
        <v>121</v>
      </c>
      <c r="C17">
        <v>0</v>
      </c>
      <c r="D17" t="s">
        <v>327</v>
      </c>
      <c r="E17" t="b">
        <v>0</v>
      </c>
      <c r="F17" s="6" t="str">
        <f>INDEX(RefDim!$B:$B,MATCH($D17,RefDim!$A:$A,0))</f>
        <v>TEXT</v>
      </c>
      <c r="G17" t="s">
        <v>720</v>
      </c>
      <c r="H17">
        <v>5</v>
      </c>
      <c r="I17" s="6" t="str">
        <f t="shared" si="0"/>
        <v>dim2_2_2</v>
      </c>
    </row>
    <row r="18" spans="1:9" x14ac:dyDescent="0.3">
      <c r="A18" t="s">
        <v>800</v>
      </c>
      <c r="B18" t="s">
        <v>121</v>
      </c>
      <c r="C18">
        <v>0</v>
      </c>
      <c r="D18" t="s">
        <v>327</v>
      </c>
      <c r="E18" t="b">
        <v>0</v>
      </c>
      <c r="F18" s="6" t="str">
        <f>INDEX(RefDim!$B:$B,MATCH($D18,RefDim!$A:$A,0))</f>
        <v>TEXT</v>
      </c>
      <c r="G18" t="s">
        <v>721</v>
      </c>
      <c r="H18">
        <v>6</v>
      </c>
      <c r="I18" s="6" t="str">
        <f t="shared" si="0"/>
        <v>dim2_2_3</v>
      </c>
    </row>
    <row r="19" spans="1:9" x14ac:dyDescent="0.3">
      <c r="A19" t="s">
        <v>799</v>
      </c>
      <c r="B19" t="s">
        <v>121</v>
      </c>
      <c r="C19">
        <v>0</v>
      </c>
      <c r="D19" t="s">
        <v>328</v>
      </c>
      <c r="E19" t="b">
        <v>0</v>
      </c>
      <c r="F19" s="6" t="str">
        <f>INDEX(RefDim!$B:$B,MATCH($D19,RefDim!$A:$A,0))</f>
        <v>TEXT</v>
      </c>
      <c r="G19" t="s">
        <v>722</v>
      </c>
      <c r="H19">
        <v>7</v>
      </c>
      <c r="I19" s="6" t="str">
        <f t="shared" si="0"/>
        <v>dim2_3_1</v>
      </c>
    </row>
    <row r="20" spans="1:9" x14ac:dyDescent="0.3">
      <c r="A20" t="s">
        <v>798</v>
      </c>
      <c r="B20" t="s">
        <v>121</v>
      </c>
      <c r="C20">
        <v>0</v>
      </c>
      <c r="D20" t="s">
        <v>328</v>
      </c>
      <c r="E20" t="b">
        <v>0</v>
      </c>
      <c r="F20" s="6" t="str">
        <f>INDEX(RefDim!$B:$B,MATCH($D20,RefDim!$A:$A,0))</f>
        <v>TEXT</v>
      </c>
      <c r="G20" t="s">
        <v>723</v>
      </c>
      <c r="H20">
        <v>8</v>
      </c>
      <c r="I20" s="6" t="str">
        <f t="shared" si="0"/>
        <v>dim2_3_2</v>
      </c>
    </row>
    <row r="21" spans="1:9" x14ac:dyDescent="0.3">
      <c r="A21" t="s">
        <v>797</v>
      </c>
      <c r="B21" t="s">
        <v>121</v>
      </c>
      <c r="C21">
        <v>0</v>
      </c>
      <c r="D21" t="s">
        <v>328</v>
      </c>
      <c r="E21" t="b">
        <v>0</v>
      </c>
      <c r="F21" s="6" t="str">
        <f>INDEX(RefDim!$B:$B,MATCH($D21,RefDim!$A:$A,0))</f>
        <v>TEXT</v>
      </c>
      <c r="G21" t="s">
        <v>724</v>
      </c>
      <c r="H21">
        <v>9</v>
      </c>
      <c r="I21" s="6" t="str">
        <f t="shared" si="0"/>
        <v>dim2_3_3</v>
      </c>
    </row>
    <row r="22" spans="1:9" x14ac:dyDescent="0.3">
      <c r="A22" t="s">
        <v>796</v>
      </c>
      <c r="B22" t="s">
        <v>121</v>
      </c>
      <c r="C22">
        <v>0</v>
      </c>
      <c r="D22" t="s">
        <v>657</v>
      </c>
      <c r="E22" t="b">
        <v>0</v>
      </c>
      <c r="F22" s="6" t="str">
        <f>INDEX(RefDim!$B:$B,MATCH($D22,RefDim!$A:$A,0))</f>
        <v>TEXT</v>
      </c>
      <c r="G22" t="s">
        <v>727</v>
      </c>
      <c r="H22">
        <v>10</v>
      </c>
      <c r="I22" s="6" t="str">
        <f t="shared" si="0"/>
        <v>dim2_4_1</v>
      </c>
    </row>
    <row r="23" spans="1:9" x14ac:dyDescent="0.3">
      <c r="A23" t="s">
        <v>795</v>
      </c>
      <c r="B23" t="s">
        <v>121</v>
      </c>
      <c r="C23">
        <v>0</v>
      </c>
      <c r="D23" t="s">
        <v>657</v>
      </c>
      <c r="E23" t="b">
        <v>0</v>
      </c>
      <c r="F23" s="6" t="str">
        <f>INDEX(RefDim!$B:$B,MATCH($D23,RefDim!$A:$A,0))</f>
        <v>TEXT</v>
      </c>
      <c r="G23" t="s">
        <v>728</v>
      </c>
      <c r="H23">
        <v>11</v>
      </c>
      <c r="I23" s="6" t="str">
        <f t="shared" si="0"/>
        <v>dim2_4_2</v>
      </c>
    </row>
    <row r="24" spans="1:9" x14ac:dyDescent="0.3">
      <c r="A24" t="s">
        <v>794</v>
      </c>
      <c r="B24" t="s">
        <v>125</v>
      </c>
      <c r="C24">
        <v>0</v>
      </c>
      <c r="D24" t="s">
        <v>326</v>
      </c>
      <c r="E24" t="b">
        <v>0</v>
      </c>
      <c r="F24" s="6" t="str">
        <f>INDEX(RefDim!$B:$B,MATCH($D24,RefDim!$A:$A,0))</f>
        <v>TEXT</v>
      </c>
      <c r="G24" t="s">
        <v>729</v>
      </c>
      <c r="H24">
        <v>1</v>
      </c>
      <c r="I24" s="6" t="str">
        <f t="shared" si="0"/>
        <v>dim3_1_1</v>
      </c>
    </row>
    <row r="25" spans="1:9" x14ac:dyDescent="0.3">
      <c r="A25" t="s">
        <v>793</v>
      </c>
      <c r="B25" t="s">
        <v>125</v>
      </c>
      <c r="C25">
        <v>0</v>
      </c>
      <c r="D25" t="s">
        <v>326</v>
      </c>
      <c r="E25" t="b">
        <v>0</v>
      </c>
      <c r="F25" s="6" t="str">
        <f>INDEX(RefDim!$B:$B,MATCH($D25,RefDim!$A:$A,0))</f>
        <v>TEXT</v>
      </c>
      <c r="G25" t="s">
        <v>730</v>
      </c>
      <c r="H25">
        <v>2</v>
      </c>
      <c r="I25" s="6" t="str">
        <f t="shared" si="0"/>
        <v>dim3_1_2</v>
      </c>
    </row>
    <row r="26" spans="1:9" x14ac:dyDescent="0.3">
      <c r="A26" t="s">
        <v>792</v>
      </c>
      <c r="B26" t="s">
        <v>125</v>
      </c>
      <c r="C26">
        <v>0</v>
      </c>
      <c r="D26" t="s">
        <v>326</v>
      </c>
      <c r="E26" t="b">
        <v>0</v>
      </c>
      <c r="F26" s="6" t="str">
        <f>INDEX(RefDim!$B:$B,MATCH($D26,RefDim!$A:$A,0))</f>
        <v>TEXT</v>
      </c>
      <c r="G26" t="s">
        <v>731</v>
      </c>
      <c r="H26">
        <v>3</v>
      </c>
      <c r="I26" s="6" t="str">
        <f t="shared" si="0"/>
        <v>dim3_1_3</v>
      </c>
    </row>
    <row r="27" spans="1:9" x14ac:dyDescent="0.3">
      <c r="A27" t="s">
        <v>791</v>
      </c>
      <c r="B27" t="s">
        <v>125</v>
      </c>
      <c r="C27">
        <v>0</v>
      </c>
      <c r="D27" t="s">
        <v>327</v>
      </c>
      <c r="E27" t="b">
        <v>0</v>
      </c>
      <c r="F27" s="6" t="str">
        <f>INDEX(RefDim!$B:$B,MATCH($D27,RefDim!$A:$A,0))</f>
        <v>TEXT</v>
      </c>
      <c r="G27" t="s">
        <v>732</v>
      </c>
      <c r="H27">
        <v>4</v>
      </c>
      <c r="I27" s="6" t="str">
        <f t="shared" si="0"/>
        <v>dim3_2_1</v>
      </c>
    </row>
    <row r="28" spans="1:9" x14ac:dyDescent="0.3">
      <c r="A28" t="s">
        <v>790</v>
      </c>
      <c r="B28" t="s">
        <v>125</v>
      </c>
      <c r="C28">
        <v>0</v>
      </c>
      <c r="D28" t="s">
        <v>327</v>
      </c>
      <c r="E28" t="b">
        <v>0</v>
      </c>
      <c r="F28" s="6" t="str">
        <f>INDEX(RefDim!$B:$B,MATCH($D28,RefDim!$A:$A,0))</f>
        <v>TEXT</v>
      </c>
      <c r="G28" t="s">
        <v>733</v>
      </c>
      <c r="H28">
        <v>5</v>
      </c>
      <c r="I28" s="6" t="str">
        <f t="shared" si="0"/>
        <v>dim3_2_2</v>
      </c>
    </row>
    <row r="29" spans="1:9" x14ac:dyDescent="0.3">
      <c r="A29" t="s">
        <v>789</v>
      </c>
      <c r="B29" t="s">
        <v>125</v>
      </c>
      <c r="C29">
        <v>0</v>
      </c>
      <c r="D29" t="s">
        <v>327</v>
      </c>
      <c r="E29" t="b">
        <v>0</v>
      </c>
      <c r="F29" s="6" t="str">
        <f>INDEX(RefDim!$B:$B,MATCH($D29,RefDim!$A:$A,0))</f>
        <v>TEXT</v>
      </c>
      <c r="G29" t="s">
        <v>734</v>
      </c>
      <c r="H29">
        <v>6</v>
      </c>
      <c r="I29" s="6" t="str">
        <f t="shared" si="0"/>
        <v>dim3_2_3</v>
      </c>
    </row>
    <row r="30" spans="1:9" x14ac:dyDescent="0.3">
      <c r="A30" t="s">
        <v>788</v>
      </c>
      <c r="B30" t="s">
        <v>125</v>
      </c>
      <c r="C30">
        <v>0</v>
      </c>
      <c r="D30" t="s">
        <v>328</v>
      </c>
      <c r="E30" t="b">
        <v>0</v>
      </c>
      <c r="F30" s="6" t="str">
        <f>INDEX(RefDim!$B:$B,MATCH($D30,RefDim!$A:$A,0))</f>
        <v>TEXT</v>
      </c>
      <c r="G30" t="s">
        <v>735</v>
      </c>
      <c r="H30">
        <v>7</v>
      </c>
      <c r="I30" s="6" t="str">
        <f t="shared" si="0"/>
        <v>dim3_3_1</v>
      </c>
    </row>
    <row r="31" spans="1:9" x14ac:dyDescent="0.3">
      <c r="A31" t="s">
        <v>787</v>
      </c>
      <c r="B31" t="s">
        <v>125</v>
      </c>
      <c r="C31">
        <v>0</v>
      </c>
      <c r="D31" t="s">
        <v>328</v>
      </c>
      <c r="E31" t="b">
        <v>0</v>
      </c>
      <c r="F31" s="6" t="str">
        <f>INDEX(RefDim!$B:$B,MATCH($D31,RefDim!$A:$A,0))</f>
        <v>TEXT</v>
      </c>
      <c r="G31" t="s">
        <v>736</v>
      </c>
      <c r="H31">
        <v>8</v>
      </c>
      <c r="I31" s="6" t="str">
        <f t="shared" si="0"/>
        <v>dim3_3_2</v>
      </c>
    </row>
    <row r="32" spans="1:9" x14ac:dyDescent="0.3">
      <c r="A32" t="s">
        <v>786</v>
      </c>
      <c r="B32" t="s">
        <v>125</v>
      </c>
      <c r="C32">
        <v>0</v>
      </c>
      <c r="D32" t="s">
        <v>328</v>
      </c>
      <c r="E32" t="b">
        <v>0</v>
      </c>
      <c r="F32" s="6" t="str">
        <f>INDEX(RefDim!$B:$B,MATCH($D32,RefDim!$A:$A,0))</f>
        <v>TEXT</v>
      </c>
      <c r="G32" t="s">
        <v>737</v>
      </c>
      <c r="H32">
        <v>9</v>
      </c>
      <c r="I32" s="6" t="str">
        <f t="shared" si="0"/>
        <v>dim3_3_3</v>
      </c>
    </row>
    <row r="33" spans="1:9" x14ac:dyDescent="0.3">
      <c r="A33" t="s">
        <v>785</v>
      </c>
      <c r="B33" t="s">
        <v>125</v>
      </c>
      <c r="C33">
        <v>0</v>
      </c>
      <c r="D33" t="s">
        <v>657</v>
      </c>
      <c r="E33" t="b">
        <v>0</v>
      </c>
      <c r="F33" s="6" t="str">
        <f>INDEX(RefDim!$B:$B,MATCH($D33,RefDim!$A:$A,0))</f>
        <v>TEXT</v>
      </c>
      <c r="G33" t="s">
        <v>738</v>
      </c>
      <c r="H33">
        <v>10</v>
      </c>
      <c r="I33" s="6" t="str">
        <f t="shared" si="0"/>
        <v>dim3_4_1</v>
      </c>
    </row>
    <row r="34" spans="1:9" x14ac:dyDescent="0.3">
      <c r="A34" t="s">
        <v>784</v>
      </c>
      <c r="B34" t="s">
        <v>125</v>
      </c>
      <c r="C34">
        <v>0</v>
      </c>
      <c r="D34" t="s">
        <v>657</v>
      </c>
      <c r="E34" t="b">
        <v>0</v>
      </c>
      <c r="F34" s="6" t="str">
        <f>INDEX(RefDim!$B:$B,MATCH($D34,RefDim!$A:$A,0))</f>
        <v>TEXT</v>
      </c>
      <c r="G34" t="s">
        <v>739</v>
      </c>
      <c r="H34">
        <v>11</v>
      </c>
      <c r="I34" s="6" t="str">
        <f t="shared" ref="I34:I56" si="1">"dim"&amp;$G34</f>
        <v>dim3_4_2</v>
      </c>
    </row>
    <row r="35" spans="1:9" x14ac:dyDescent="0.3">
      <c r="A35" t="s">
        <v>783</v>
      </c>
      <c r="B35" t="s">
        <v>129</v>
      </c>
      <c r="C35">
        <v>0</v>
      </c>
      <c r="D35" t="s">
        <v>326</v>
      </c>
      <c r="E35" t="b">
        <v>0</v>
      </c>
      <c r="F35" s="6" t="str">
        <f>INDEX(RefDim!$B:$B,MATCH($D35,RefDim!$A:$A,0))</f>
        <v>TEXT</v>
      </c>
      <c r="G35" t="s">
        <v>740</v>
      </c>
      <c r="H35">
        <v>1</v>
      </c>
      <c r="I35" s="6" t="str">
        <f t="shared" si="1"/>
        <v>dim4_1_1</v>
      </c>
    </row>
    <row r="36" spans="1:9" x14ac:dyDescent="0.3">
      <c r="A36" t="s">
        <v>782</v>
      </c>
      <c r="B36" t="s">
        <v>129</v>
      </c>
      <c r="C36">
        <v>0</v>
      </c>
      <c r="D36" t="s">
        <v>326</v>
      </c>
      <c r="E36" t="b">
        <v>0</v>
      </c>
      <c r="F36" s="6" t="str">
        <f>INDEX(RefDim!$B:$B,MATCH($D36,RefDim!$A:$A,0))</f>
        <v>TEXT</v>
      </c>
      <c r="G36" t="s">
        <v>741</v>
      </c>
      <c r="H36">
        <v>2</v>
      </c>
      <c r="I36" s="6" t="str">
        <f t="shared" si="1"/>
        <v>dim4_1_2</v>
      </c>
    </row>
    <row r="37" spans="1:9" x14ac:dyDescent="0.3">
      <c r="A37" t="s">
        <v>781</v>
      </c>
      <c r="B37" t="s">
        <v>129</v>
      </c>
      <c r="C37">
        <v>0</v>
      </c>
      <c r="D37" t="s">
        <v>326</v>
      </c>
      <c r="E37" t="b">
        <v>0</v>
      </c>
      <c r="F37" s="6" t="str">
        <f>INDEX(RefDim!$B:$B,MATCH($D37,RefDim!$A:$A,0))</f>
        <v>TEXT</v>
      </c>
      <c r="G37" t="s">
        <v>742</v>
      </c>
      <c r="H37">
        <v>3</v>
      </c>
      <c r="I37" s="6" t="str">
        <f t="shared" si="1"/>
        <v>dim4_1_3</v>
      </c>
    </row>
    <row r="38" spans="1:9" x14ac:dyDescent="0.3">
      <c r="A38" t="s">
        <v>780</v>
      </c>
      <c r="B38" t="s">
        <v>129</v>
      </c>
      <c r="C38">
        <v>0</v>
      </c>
      <c r="D38" t="s">
        <v>327</v>
      </c>
      <c r="E38" t="b">
        <v>0</v>
      </c>
      <c r="F38" s="6" t="str">
        <f>INDEX(RefDim!$B:$B,MATCH($D38,RefDim!$A:$A,0))</f>
        <v>TEXT</v>
      </c>
      <c r="G38" t="s">
        <v>743</v>
      </c>
      <c r="H38">
        <v>4</v>
      </c>
      <c r="I38" s="6" t="str">
        <f t="shared" si="1"/>
        <v>dim4_2_1</v>
      </c>
    </row>
    <row r="39" spans="1:9" x14ac:dyDescent="0.3">
      <c r="A39" t="s">
        <v>779</v>
      </c>
      <c r="B39" t="s">
        <v>129</v>
      </c>
      <c r="C39">
        <v>0</v>
      </c>
      <c r="D39" t="s">
        <v>327</v>
      </c>
      <c r="E39" t="b">
        <v>0</v>
      </c>
      <c r="F39" s="6" t="str">
        <f>INDEX(RefDim!$B:$B,MATCH($D39,RefDim!$A:$A,0))</f>
        <v>TEXT</v>
      </c>
      <c r="G39" t="s">
        <v>744</v>
      </c>
      <c r="H39">
        <v>5</v>
      </c>
      <c r="I39" s="6" t="str">
        <f t="shared" si="1"/>
        <v>dim4_2_2</v>
      </c>
    </row>
    <row r="40" spans="1:9" x14ac:dyDescent="0.3">
      <c r="A40" t="s">
        <v>778</v>
      </c>
      <c r="B40" t="s">
        <v>129</v>
      </c>
      <c r="C40">
        <v>0</v>
      </c>
      <c r="D40" t="s">
        <v>327</v>
      </c>
      <c r="E40" t="b">
        <v>0</v>
      </c>
      <c r="F40" s="6" t="str">
        <f>INDEX(RefDim!$B:$B,MATCH($D40,RefDim!$A:$A,0))</f>
        <v>TEXT</v>
      </c>
      <c r="G40" t="s">
        <v>745</v>
      </c>
      <c r="H40">
        <v>6</v>
      </c>
      <c r="I40" s="6" t="str">
        <f t="shared" si="1"/>
        <v>dim4_2_3</v>
      </c>
    </row>
    <row r="41" spans="1:9" x14ac:dyDescent="0.3">
      <c r="A41" t="s">
        <v>777</v>
      </c>
      <c r="B41" t="s">
        <v>129</v>
      </c>
      <c r="C41">
        <v>0</v>
      </c>
      <c r="D41" t="s">
        <v>328</v>
      </c>
      <c r="E41" t="b">
        <v>0</v>
      </c>
      <c r="F41" s="6" t="str">
        <f>INDEX(RefDim!$B:$B,MATCH($D41,RefDim!$A:$A,0))</f>
        <v>TEXT</v>
      </c>
      <c r="G41" t="s">
        <v>746</v>
      </c>
      <c r="H41">
        <v>7</v>
      </c>
      <c r="I41" s="6" t="str">
        <f t="shared" si="1"/>
        <v>dim4_3_1</v>
      </c>
    </row>
    <row r="42" spans="1:9" x14ac:dyDescent="0.3">
      <c r="A42" t="s">
        <v>776</v>
      </c>
      <c r="B42" t="s">
        <v>129</v>
      </c>
      <c r="C42">
        <v>0</v>
      </c>
      <c r="D42" t="s">
        <v>328</v>
      </c>
      <c r="E42" t="b">
        <v>0</v>
      </c>
      <c r="F42" s="6" t="str">
        <f>INDEX(RefDim!$B:$B,MATCH($D42,RefDim!$A:$A,0))</f>
        <v>TEXT</v>
      </c>
      <c r="G42" t="s">
        <v>747</v>
      </c>
      <c r="H42">
        <v>8</v>
      </c>
      <c r="I42" s="6" t="str">
        <f t="shared" si="1"/>
        <v>dim4_3_2</v>
      </c>
    </row>
    <row r="43" spans="1:9" x14ac:dyDescent="0.3">
      <c r="A43" t="s">
        <v>775</v>
      </c>
      <c r="B43" t="s">
        <v>129</v>
      </c>
      <c r="C43">
        <v>0</v>
      </c>
      <c r="D43" t="s">
        <v>328</v>
      </c>
      <c r="E43" t="b">
        <v>0</v>
      </c>
      <c r="F43" s="6" t="str">
        <f>INDEX(RefDim!$B:$B,MATCH($D43,RefDim!$A:$A,0))</f>
        <v>TEXT</v>
      </c>
      <c r="G43" t="s">
        <v>748</v>
      </c>
      <c r="H43">
        <v>9</v>
      </c>
      <c r="I43" s="6" t="str">
        <f t="shared" si="1"/>
        <v>dim4_3_3</v>
      </c>
    </row>
    <row r="44" spans="1:9" x14ac:dyDescent="0.3">
      <c r="A44" t="s">
        <v>774</v>
      </c>
      <c r="B44" t="s">
        <v>129</v>
      </c>
      <c r="C44">
        <v>0</v>
      </c>
      <c r="D44" t="s">
        <v>657</v>
      </c>
      <c r="E44" t="b">
        <v>0</v>
      </c>
      <c r="F44" s="6" t="str">
        <f>INDEX(RefDim!$B:$B,MATCH($D44,RefDim!$A:$A,0))</f>
        <v>TEXT</v>
      </c>
      <c r="G44" t="s">
        <v>749</v>
      </c>
      <c r="H44">
        <v>10</v>
      </c>
      <c r="I44" s="6" t="str">
        <f t="shared" si="1"/>
        <v>dim4_4_1</v>
      </c>
    </row>
    <row r="45" spans="1:9" x14ac:dyDescent="0.3">
      <c r="A45" t="s">
        <v>773</v>
      </c>
      <c r="B45" t="s">
        <v>129</v>
      </c>
      <c r="C45">
        <v>0</v>
      </c>
      <c r="D45" t="s">
        <v>657</v>
      </c>
      <c r="E45" t="b">
        <v>0</v>
      </c>
      <c r="F45" s="6" t="str">
        <f>INDEX(RefDim!$B:$B,MATCH($D45,RefDim!$A:$A,0))</f>
        <v>TEXT</v>
      </c>
      <c r="G45" t="s">
        <v>750</v>
      </c>
      <c r="H45">
        <v>11</v>
      </c>
      <c r="I45" s="6" t="str">
        <f t="shared" si="1"/>
        <v>dim4_4_2</v>
      </c>
    </row>
    <row r="46" spans="1:9" x14ac:dyDescent="0.3">
      <c r="A46" t="s">
        <v>772</v>
      </c>
      <c r="B46" t="s">
        <v>133</v>
      </c>
      <c r="C46">
        <v>0</v>
      </c>
      <c r="D46" t="s">
        <v>326</v>
      </c>
      <c r="E46" t="b">
        <v>0</v>
      </c>
      <c r="F46" s="6" t="str">
        <f>INDEX(RefDim!$B:$B,MATCH($D46,RefDim!$A:$A,0))</f>
        <v>TEXT</v>
      </c>
      <c r="G46" t="s">
        <v>751</v>
      </c>
      <c r="H46">
        <v>1</v>
      </c>
      <c r="I46" s="6" t="str">
        <f t="shared" si="1"/>
        <v>dim5_1_1</v>
      </c>
    </row>
    <row r="47" spans="1:9" x14ac:dyDescent="0.3">
      <c r="A47" t="s">
        <v>771</v>
      </c>
      <c r="B47" t="s">
        <v>133</v>
      </c>
      <c r="C47">
        <v>0</v>
      </c>
      <c r="D47" t="s">
        <v>326</v>
      </c>
      <c r="E47" t="b">
        <v>0</v>
      </c>
      <c r="F47" s="6" t="str">
        <f>INDEX(RefDim!$B:$B,MATCH($D47,RefDim!$A:$A,0))</f>
        <v>TEXT</v>
      </c>
      <c r="G47" t="s">
        <v>752</v>
      </c>
      <c r="H47">
        <v>2</v>
      </c>
      <c r="I47" s="6" t="str">
        <f t="shared" si="1"/>
        <v>dim5_1_2</v>
      </c>
    </row>
    <row r="48" spans="1:9" x14ac:dyDescent="0.3">
      <c r="A48" t="s">
        <v>770</v>
      </c>
      <c r="B48" t="s">
        <v>133</v>
      </c>
      <c r="C48">
        <v>0</v>
      </c>
      <c r="D48" t="s">
        <v>326</v>
      </c>
      <c r="E48" t="b">
        <v>0</v>
      </c>
      <c r="F48" s="6" t="str">
        <f>INDEX(RefDim!$B:$B,MATCH($D48,RefDim!$A:$A,0))</f>
        <v>TEXT</v>
      </c>
      <c r="G48" t="s">
        <v>753</v>
      </c>
      <c r="H48">
        <v>3</v>
      </c>
      <c r="I48" s="6" t="str">
        <f t="shared" si="1"/>
        <v>dim5_1_3</v>
      </c>
    </row>
    <row r="49" spans="1:9" x14ac:dyDescent="0.3">
      <c r="A49" t="s">
        <v>769</v>
      </c>
      <c r="B49" t="s">
        <v>133</v>
      </c>
      <c r="C49">
        <v>0</v>
      </c>
      <c r="D49" t="s">
        <v>327</v>
      </c>
      <c r="E49" t="b">
        <v>0</v>
      </c>
      <c r="F49" s="6" t="str">
        <f>INDEX(RefDim!$B:$B,MATCH($D49,RefDim!$A:$A,0))</f>
        <v>TEXT</v>
      </c>
      <c r="G49" t="s">
        <v>754</v>
      </c>
      <c r="H49">
        <v>4</v>
      </c>
      <c r="I49" s="6" t="str">
        <f t="shared" si="1"/>
        <v>dim5_2_1</v>
      </c>
    </row>
    <row r="50" spans="1:9" x14ac:dyDescent="0.3">
      <c r="A50" t="s">
        <v>768</v>
      </c>
      <c r="B50" t="s">
        <v>133</v>
      </c>
      <c r="C50">
        <v>0</v>
      </c>
      <c r="D50" t="s">
        <v>327</v>
      </c>
      <c r="E50" t="b">
        <v>0</v>
      </c>
      <c r="F50" s="6" t="str">
        <f>INDEX(RefDim!$B:$B,MATCH($D50,RefDim!$A:$A,0))</f>
        <v>TEXT</v>
      </c>
      <c r="G50" t="s">
        <v>755</v>
      </c>
      <c r="H50">
        <v>5</v>
      </c>
      <c r="I50" s="6" t="str">
        <f t="shared" si="1"/>
        <v>dim5_2_2</v>
      </c>
    </row>
    <row r="51" spans="1:9" x14ac:dyDescent="0.3">
      <c r="A51" t="s">
        <v>767</v>
      </c>
      <c r="B51" t="s">
        <v>133</v>
      </c>
      <c r="C51">
        <v>0</v>
      </c>
      <c r="D51" t="s">
        <v>327</v>
      </c>
      <c r="E51" t="b">
        <v>0</v>
      </c>
      <c r="F51" s="6" t="str">
        <f>INDEX(RefDim!$B:$B,MATCH($D51,RefDim!$A:$A,0))</f>
        <v>TEXT</v>
      </c>
      <c r="G51" t="s">
        <v>756</v>
      </c>
      <c r="H51">
        <v>6</v>
      </c>
      <c r="I51" s="6" t="str">
        <f t="shared" si="1"/>
        <v>dim5_2_3</v>
      </c>
    </row>
    <row r="52" spans="1:9" x14ac:dyDescent="0.3">
      <c r="A52" t="s">
        <v>766</v>
      </c>
      <c r="B52" t="s">
        <v>133</v>
      </c>
      <c r="C52">
        <v>0</v>
      </c>
      <c r="D52" t="s">
        <v>328</v>
      </c>
      <c r="E52" t="b">
        <v>0</v>
      </c>
      <c r="F52" s="6" t="str">
        <f>INDEX(RefDim!$B:$B,MATCH($D52,RefDim!$A:$A,0))</f>
        <v>TEXT</v>
      </c>
      <c r="G52" t="s">
        <v>757</v>
      </c>
      <c r="H52">
        <v>7</v>
      </c>
      <c r="I52" s="6" t="str">
        <f t="shared" si="1"/>
        <v>dim5_3_1</v>
      </c>
    </row>
    <row r="53" spans="1:9" x14ac:dyDescent="0.3">
      <c r="A53" t="s">
        <v>765</v>
      </c>
      <c r="B53" t="s">
        <v>133</v>
      </c>
      <c r="C53">
        <v>0</v>
      </c>
      <c r="D53" t="s">
        <v>328</v>
      </c>
      <c r="E53" t="b">
        <v>0</v>
      </c>
      <c r="F53" s="6" t="str">
        <f>INDEX(RefDim!$B:$B,MATCH($D53,RefDim!$A:$A,0))</f>
        <v>TEXT</v>
      </c>
      <c r="G53" t="s">
        <v>758</v>
      </c>
      <c r="H53">
        <v>8</v>
      </c>
      <c r="I53" s="6" t="str">
        <f t="shared" si="1"/>
        <v>dim5_3_2</v>
      </c>
    </row>
    <row r="54" spans="1:9" x14ac:dyDescent="0.3">
      <c r="A54" t="s">
        <v>764</v>
      </c>
      <c r="B54" t="s">
        <v>133</v>
      </c>
      <c r="C54">
        <v>0</v>
      </c>
      <c r="D54" t="s">
        <v>328</v>
      </c>
      <c r="E54" t="b">
        <v>0</v>
      </c>
      <c r="F54" s="6" t="str">
        <f>INDEX(RefDim!$B:$B,MATCH($D54,RefDim!$A:$A,0))</f>
        <v>TEXT</v>
      </c>
      <c r="G54" t="s">
        <v>759</v>
      </c>
      <c r="H54">
        <v>9</v>
      </c>
      <c r="I54" s="6" t="str">
        <f t="shared" si="1"/>
        <v>dim5_3_3</v>
      </c>
    </row>
    <row r="55" spans="1:9" x14ac:dyDescent="0.3">
      <c r="A55" t="s">
        <v>763</v>
      </c>
      <c r="B55" t="s">
        <v>133</v>
      </c>
      <c r="C55">
        <v>0</v>
      </c>
      <c r="D55" t="s">
        <v>657</v>
      </c>
      <c r="E55" t="b">
        <v>0</v>
      </c>
      <c r="F55" s="6" t="str">
        <f>INDEX(RefDim!$B:$B,MATCH($D55,RefDim!$A:$A,0))</f>
        <v>TEXT</v>
      </c>
      <c r="G55" t="s">
        <v>760</v>
      </c>
      <c r="H55">
        <v>10</v>
      </c>
      <c r="I55" s="6" t="str">
        <f t="shared" si="1"/>
        <v>dim5_4_1</v>
      </c>
    </row>
    <row r="56" spans="1:9" x14ac:dyDescent="0.3">
      <c r="A56" t="s">
        <v>762</v>
      </c>
      <c r="B56" t="s">
        <v>133</v>
      </c>
      <c r="C56">
        <v>0</v>
      </c>
      <c r="D56" t="s">
        <v>657</v>
      </c>
      <c r="E56" t="b">
        <v>0</v>
      </c>
      <c r="F56" s="6" t="str">
        <f>INDEX(RefDim!$B:$B,MATCH($D56,RefDim!$A:$A,0))</f>
        <v>TEXT</v>
      </c>
      <c r="G56" t="s">
        <v>761</v>
      </c>
      <c r="H56">
        <v>11</v>
      </c>
      <c r="I56" s="6" t="str">
        <f t="shared" si="1"/>
        <v>dim5_4_2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56"/>
  <sheetViews>
    <sheetView topLeftCell="B1" workbookViewId="0">
      <selection activeCell="S1" sqref="A1:W11"/>
    </sheetView>
  </sheetViews>
  <sheetFormatPr defaultColWidth="8.6640625" defaultRowHeight="14.4" x14ac:dyDescent="0.3"/>
  <cols>
    <col min="1" max="1" width="35.6640625" bestFit="1" customWidth="1"/>
    <col min="2" max="2" width="35.44140625" bestFit="1" customWidth="1"/>
    <col min="3" max="3" width="35.88671875" bestFit="1" customWidth="1"/>
    <col min="4" max="5" width="29.88671875" style="6" bestFit="1" customWidth="1"/>
    <col min="6" max="6" width="35.33203125" bestFit="1" customWidth="1"/>
    <col min="7" max="7" width="18.44140625" style="6" bestFit="1" customWidth="1"/>
    <col min="8" max="8" width="38.6640625" style="6" bestFit="1" customWidth="1"/>
    <col min="9" max="9" width="4.77734375" bestFit="1" customWidth="1"/>
    <col min="10" max="10" width="4.6640625" bestFit="1" customWidth="1"/>
    <col min="11" max="11" width="10" bestFit="1" customWidth="1"/>
    <col min="12" max="12" width="9.44140625" bestFit="1" customWidth="1"/>
    <col min="13" max="13" width="9.6640625" bestFit="1" customWidth="1"/>
    <col min="14" max="14" width="12.44140625" bestFit="1" customWidth="1"/>
    <col min="15" max="15" width="13" bestFit="1" customWidth="1"/>
    <col min="16" max="16" width="10.109375" bestFit="1" customWidth="1"/>
    <col min="17" max="17" width="10.6640625" bestFit="1" customWidth="1"/>
    <col min="18" max="18" width="7" bestFit="1" customWidth="1"/>
    <col min="19" max="19" width="31.33203125" bestFit="1" customWidth="1"/>
    <col min="20" max="20" width="19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267</v>
      </c>
      <c r="C1" s="1" t="s">
        <v>820</v>
      </c>
      <c r="D1" s="10" t="s">
        <v>821</v>
      </c>
      <c r="E1" s="10" t="s">
        <v>822</v>
      </c>
      <c r="F1" s="1" t="s">
        <v>818</v>
      </c>
      <c r="G1" s="10" t="s">
        <v>819</v>
      </c>
      <c r="H1" s="10" t="s">
        <v>270</v>
      </c>
      <c r="I1" s="1" t="s">
        <v>83</v>
      </c>
      <c r="J1" s="1" t="s">
        <v>271</v>
      </c>
      <c r="K1" s="1" t="s">
        <v>80</v>
      </c>
      <c r="L1" s="1" t="s">
        <v>272</v>
      </c>
      <c r="M1" s="1" t="s">
        <v>273</v>
      </c>
      <c r="N1" s="1" t="s">
        <v>274</v>
      </c>
      <c r="O1" s="1" t="s">
        <v>275</v>
      </c>
      <c r="P1" s="1" t="s">
        <v>276</v>
      </c>
      <c r="Q1" s="1" t="s">
        <v>277</v>
      </c>
      <c r="R1" s="1" t="s">
        <v>278</v>
      </c>
      <c r="S1" s="1" t="s">
        <v>829</v>
      </c>
      <c r="T1" s="1" t="s">
        <v>279</v>
      </c>
      <c r="U1" s="1" t="s">
        <v>280</v>
      </c>
    </row>
    <row r="2" spans="1:21" x14ac:dyDescent="0.3">
      <c r="A2" t="s">
        <v>138</v>
      </c>
      <c r="B2" t="s">
        <v>117</v>
      </c>
      <c r="C2" t="s">
        <v>816</v>
      </c>
      <c r="D2" s="6" t="str">
        <f>INDEX(Dim!$F:$F,MATCH($C2,Dim!$A:$A,0))</f>
        <v>TEXT</v>
      </c>
      <c r="E2" s="6" t="str">
        <f>INDEX(Dim!$G:$G,MATCH($C2,Dim!$A:$A,0))</f>
        <v>1_1_1</v>
      </c>
      <c r="F2" t="s">
        <v>281</v>
      </c>
      <c r="G2" s="6" t="str">
        <f>INDEX(RefCol!$H:$H,MATCH($F2,RefCol!$A:$A,0))</f>
        <v>TEXT</v>
      </c>
      <c r="H2" s="6" t="str">
        <f t="shared" ref="H2:H33" si="0">"col"&amp;$E2&amp;"_"&amp;$I2&amp;"_"&amp;$G2</f>
        <v>col1_1_1_1_TEXT</v>
      </c>
      <c r="I2">
        <v>1</v>
      </c>
      <c r="U2" t="s">
        <v>282</v>
      </c>
    </row>
    <row r="3" spans="1:21" x14ac:dyDescent="0.3">
      <c r="A3" t="s">
        <v>141</v>
      </c>
      <c r="B3" t="s">
        <v>117</v>
      </c>
      <c r="C3" t="s">
        <v>815</v>
      </c>
      <c r="D3" s="6" t="str">
        <f>INDEX(Dim!$F:$F,MATCH($C3,Dim!$A:$A,0))</f>
        <v>TEXT</v>
      </c>
      <c r="E3" s="6" t="str">
        <f>INDEX(Dim!$G:$G,MATCH($C3,Dim!$A:$A,0))</f>
        <v>1_1_2</v>
      </c>
      <c r="F3" t="s">
        <v>283</v>
      </c>
      <c r="G3" s="6" t="str">
        <f>INDEX(RefCol!$H:$H,MATCH($F3,RefCol!$A:$A,0))</f>
        <v>TEXT</v>
      </c>
      <c r="H3" s="6" t="str">
        <f t="shared" si="0"/>
        <v>col1_1_2_1_TEXT</v>
      </c>
      <c r="I3">
        <v>1</v>
      </c>
      <c r="U3" t="s">
        <v>282</v>
      </c>
    </row>
    <row r="4" spans="1:21" x14ac:dyDescent="0.3">
      <c r="A4" t="s">
        <v>144</v>
      </c>
      <c r="B4" t="s">
        <v>117</v>
      </c>
      <c r="C4" t="s">
        <v>814</v>
      </c>
      <c r="D4" s="6" t="str">
        <f>INDEX(Dim!$F:$F,MATCH($C4,Dim!$A:$A,0))</f>
        <v>TEXT</v>
      </c>
      <c r="E4" s="6" t="str">
        <f>INDEX(Dim!$G:$G,MATCH($C4,Dim!$A:$A,0))</f>
        <v>1_1_3</v>
      </c>
      <c r="F4" t="s">
        <v>284</v>
      </c>
      <c r="G4" s="6" t="str">
        <f>INDEX(RefCol!$H:$H,MATCH($F4,RefCol!$A:$A,0))</f>
        <v>TEXT</v>
      </c>
      <c r="H4" s="6" t="str">
        <f t="shared" si="0"/>
        <v>col1_1_3_1_TEXT</v>
      </c>
      <c r="I4">
        <v>1</v>
      </c>
      <c r="U4" t="s">
        <v>282</v>
      </c>
    </row>
    <row r="5" spans="1:21" x14ac:dyDescent="0.3">
      <c r="A5" t="s">
        <v>147</v>
      </c>
      <c r="B5" t="s">
        <v>117</v>
      </c>
      <c r="C5" t="s">
        <v>813</v>
      </c>
      <c r="D5" s="6" t="str">
        <f>INDEX(Dim!$F:$F,MATCH($C5,Dim!$A:$A,0))</f>
        <v>TEXT</v>
      </c>
      <c r="E5" s="6" t="str">
        <f>INDEX(Dim!$G:$G,MATCH($C5,Dim!$A:$A,0))</f>
        <v>1_2_1</v>
      </c>
      <c r="F5" t="s">
        <v>285</v>
      </c>
      <c r="G5" s="6" t="str">
        <f>INDEX(RefCol!$H:$H,MATCH($F5,RefCol!$A:$A,0))</f>
        <v>TEXT</v>
      </c>
      <c r="H5" s="6" t="str">
        <f t="shared" si="0"/>
        <v>col1_2_1_1_TEXT</v>
      </c>
      <c r="I5">
        <v>1</v>
      </c>
      <c r="U5" t="s">
        <v>282</v>
      </c>
    </row>
    <row r="6" spans="1:21" x14ac:dyDescent="0.3">
      <c r="A6" t="s">
        <v>150</v>
      </c>
      <c r="B6" t="s">
        <v>117</v>
      </c>
      <c r="C6" t="s">
        <v>812</v>
      </c>
      <c r="D6" s="6" t="str">
        <f>INDEX(Dim!$F:$F,MATCH($C6,Dim!$A:$A,0))</f>
        <v>TEXT</v>
      </c>
      <c r="E6" s="6" t="str">
        <f>INDEX(Dim!$G:$G,MATCH($C6,Dim!$A:$A,0))</f>
        <v>1_2_2</v>
      </c>
      <c r="F6" t="s">
        <v>286</v>
      </c>
      <c r="G6" s="6" t="str">
        <f>INDEX(RefCol!$H:$H,MATCH($F6,RefCol!$A:$A,0))</f>
        <v>TEXT</v>
      </c>
      <c r="H6" s="6" t="str">
        <f t="shared" si="0"/>
        <v>col1_2_2_1_TEXT</v>
      </c>
      <c r="I6">
        <v>1</v>
      </c>
      <c r="U6" t="s">
        <v>282</v>
      </c>
    </row>
    <row r="7" spans="1:21" x14ac:dyDescent="0.3">
      <c r="A7" t="s">
        <v>153</v>
      </c>
      <c r="B7" t="s">
        <v>117</v>
      </c>
      <c r="C7" t="s">
        <v>811</v>
      </c>
      <c r="D7" s="6" t="str">
        <f>INDEX(Dim!$F:$F,MATCH($C7,Dim!$A:$A,0))</f>
        <v>TEXT</v>
      </c>
      <c r="E7" s="6" t="str">
        <f>INDEX(Dim!$G:$G,MATCH($C7,Dim!$A:$A,0))</f>
        <v>1_2_3</v>
      </c>
      <c r="F7" t="s">
        <v>287</v>
      </c>
      <c r="G7" s="6" t="str">
        <f>INDEX(RefCol!$H:$H,MATCH($F7,RefCol!$A:$A,0))</f>
        <v>TEXT</v>
      </c>
      <c r="H7" s="6" t="str">
        <f t="shared" si="0"/>
        <v>col1_2_3_1_TEXT</v>
      </c>
      <c r="I7">
        <v>1</v>
      </c>
      <c r="U7" t="s">
        <v>282</v>
      </c>
    </row>
    <row r="8" spans="1:21" x14ac:dyDescent="0.3">
      <c r="A8" t="s">
        <v>156</v>
      </c>
      <c r="B8" t="s">
        <v>117</v>
      </c>
      <c r="C8" t="s">
        <v>810</v>
      </c>
      <c r="D8" s="6" t="str">
        <f>INDEX(Dim!$F:$F,MATCH($C8,Dim!$A:$A,0))</f>
        <v>TEXT</v>
      </c>
      <c r="E8" s="6" t="str">
        <f>INDEX(Dim!$G:$G,MATCH($C8,Dim!$A:$A,0))</f>
        <v>1_3_1</v>
      </c>
      <c r="F8" t="s">
        <v>288</v>
      </c>
      <c r="G8" s="6" t="str">
        <f>INDEX(RefCol!$H:$H,MATCH($F8,RefCol!$A:$A,0))</f>
        <v>TEXT</v>
      </c>
      <c r="H8" s="6" t="str">
        <f t="shared" si="0"/>
        <v>col1_3_1_1_TEXT</v>
      </c>
      <c r="I8">
        <v>1</v>
      </c>
      <c r="U8" t="s">
        <v>282</v>
      </c>
    </row>
    <row r="9" spans="1:21" x14ac:dyDescent="0.3">
      <c r="A9" t="s">
        <v>159</v>
      </c>
      <c r="B9" t="s">
        <v>117</v>
      </c>
      <c r="C9" t="s">
        <v>809</v>
      </c>
      <c r="D9" s="6" t="str">
        <f>INDEX(Dim!$F:$F,MATCH($C9,Dim!$A:$A,0))</f>
        <v>TEXT</v>
      </c>
      <c r="E9" s="6" t="str">
        <f>INDEX(Dim!$G:$G,MATCH($C9,Dim!$A:$A,0))</f>
        <v>1_3_2</v>
      </c>
      <c r="F9" t="s">
        <v>289</v>
      </c>
      <c r="G9" s="6" t="str">
        <f>INDEX(RefCol!$H:$H,MATCH($F9,RefCol!$A:$A,0))</f>
        <v>TEXT</v>
      </c>
      <c r="H9" s="6" t="str">
        <f t="shared" si="0"/>
        <v>col1_3_2_1_TEXT</v>
      </c>
      <c r="I9">
        <v>1</v>
      </c>
      <c r="U9" t="s">
        <v>282</v>
      </c>
    </row>
    <row r="10" spans="1:21" x14ac:dyDescent="0.3">
      <c r="A10" t="s">
        <v>162</v>
      </c>
      <c r="B10" t="s">
        <v>117</v>
      </c>
      <c r="C10" t="s">
        <v>808</v>
      </c>
      <c r="D10" s="6" t="str">
        <f>INDEX(Dim!$F:$F,MATCH($C10,Dim!$A:$A,0))</f>
        <v>TEXT</v>
      </c>
      <c r="E10" s="6" t="str">
        <f>INDEX(Dim!$G:$G,MATCH($C10,Dim!$A:$A,0))</f>
        <v>1_3_3</v>
      </c>
      <c r="F10" t="s">
        <v>290</v>
      </c>
      <c r="G10" s="6" t="str">
        <f>INDEX(RefCol!$H:$H,MATCH($F10,RefCol!$A:$A,0))</f>
        <v>TEXT</v>
      </c>
      <c r="H10" s="6" t="str">
        <f t="shared" si="0"/>
        <v>col1_3_3_1_TEXT</v>
      </c>
      <c r="I10">
        <v>1</v>
      </c>
      <c r="U10" t="s">
        <v>282</v>
      </c>
    </row>
    <row r="11" spans="1:21" x14ac:dyDescent="0.3">
      <c r="A11" t="s">
        <v>665</v>
      </c>
      <c r="B11" t="s">
        <v>117</v>
      </c>
      <c r="C11" t="s">
        <v>807</v>
      </c>
      <c r="D11" s="6" t="str">
        <f>INDEX(Dim!$F:$F,MATCH($C11,Dim!$A:$A,0))</f>
        <v>TEXT</v>
      </c>
      <c r="E11" s="6" t="str">
        <f>INDEX(Dim!$G:$G,MATCH($C11,Dim!$A:$A,0))</f>
        <v>1_4_1</v>
      </c>
      <c r="F11" t="s">
        <v>656</v>
      </c>
      <c r="G11" s="6" t="str">
        <f>INDEX(RefCol!$H:$H,MATCH($F11,RefCol!$A:$A,0))</f>
        <v>GENETIC_READS</v>
      </c>
      <c r="H11" s="6" t="str">
        <f t="shared" si="0"/>
        <v>col1_4_1_1_GENETIC_READS</v>
      </c>
      <c r="I11">
        <v>1</v>
      </c>
      <c r="U11" t="s">
        <v>282</v>
      </c>
    </row>
    <row r="12" spans="1:21" x14ac:dyDescent="0.3">
      <c r="A12" t="s">
        <v>664</v>
      </c>
      <c r="B12" t="s">
        <v>117</v>
      </c>
      <c r="C12" t="s">
        <v>806</v>
      </c>
      <c r="D12" s="6" t="str">
        <f>INDEX(Dim!$F:$F,MATCH($C12,Dim!$A:$A,0))</f>
        <v>TEXT</v>
      </c>
      <c r="E12" s="6" t="str">
        <f>INDEX(Dim!$G:$G,MATCH($C12,Dim!$A:$A,0))</f>
        <v>1_4_2</v>
      </c>
      <c r="F12" t="s">
        <v>655</v>
      </c>
      <c r="G12" s="6" t="str">
        <f>INDEX(RefCol!$H:$H,MATCH($F12,RefCol!$A:$A,0))</f>
        <v>GENETIC_SEQUENCE</v>
      </c>
      <c r="H12" s="6" t="str">
        <f t="shared" si="0"/>
        <v>col1_4_2_1_GENETIC_SEQUENCE</v>
      </c>
      <c r="I12">
        <v>1</v>
      </c>
      <c r="U12" t="s">
        <v>282</v>
      </c>
    </row>
    <row r="13" spans="1:21" x14ac:dyDescent="0.3">
      <c r="A13" t="s">
        <v>164</v>
      </c>
      <c r="B13" t="s">
        <v>121</v>
      </c>
      <c r="C13" t="s">
        <v>805</v>
      </c>
      <c r="D13" s="6" t="str">
        <f>INDEX(Dim!$F:$F,MATCH($C13,Dim!$A:$A,0))</f>
        <v>TEXT</v>
      </c>
      <c r="E13" s="6" t="str">
        <f>INDEX(Dim!$G:$G,MATCH($C13,Dim!$A:$A,0))</f>
        <v>2_1_1</v>
      </c>
      <c r="F13" t="s">
        <v>281</v>
      </c>
      <c r="G13" s="6" t="str">
        <f>INDEX(RefCol!$H:$H,MATCH($F13,RefCol!$A:$A,0))</f>
        <v>TEXT</v>
      </c>
      <c r="H13" s="6" t="str">
        <f t="shared" si="0"/>
        <v>col2_1_1_1_TEXT</v>
      </c>
      <c r="I13">
        <v>1</v>
      </c>
      <c r="U13" t="s">
        <v>282</v>
      </c>
    </row>
    <row r="14" spans="1:21" x14ac:dyDescent="0.3">
      <c r="A14" t="s">
        <v>167</v>
      </c>
      <c r="B14" t="s">
        <v>121</v>
      </c>
      <c r="C14" t="s">
        <v>804</v>
      </c>
      <c r="D14" s="6" t="str">
        <f>INDEX(Dim!$F:$F,MATCH($C14,Dim!$A:$A,0))</f>
        <v>TEXT</v>
      </c>
      <c r="E14" s="6" t="str">
        <f>INDEX(Dim!$G:$G,MATCH($C14,Dim!$A:$A,0))</f>
        <v>2_1_2</v>
      </c>
      <c r="F14" t="s">
        <v>283</v>
      </c>
      <c r="G14" s="6" t="str">
        <f>INDEX(RefCol!$H:$H,MATCH($F14,RefCol!$A:$A,0))</f>
        <v>TEXT</v>
      </c>
      <c r="H14" s="6" t="str">
        <f t="shared" si="0"/>
        <v>col2_1_2_1_TEXT</v>
      </c>
      <c r="I14">
        <v>1</v>
      </c>
      <c r="U14" t="s">
        <v>282</v>
      </c>
    </row>
    <row r="15" spans="1:21" x14ac:dyDescent="0.3">
      <c r="A15" t="s">
        <v>170</v>
      </c>
      <c r="B15" t="s">
        <v>121</v>
      </c>
      <c r="C15" t="s">
        <v>803</v>
      </c>
      <c r="D15" s="6" t="str">
        <f>INDEX(Dim!$F:$F,MATCH($C15,Dim!$A:$A,0))</f>
        <v>TEXT</v>
      </c>
      <c r="E15" s="6" t="str">
        <f>INDEX(Dim!$G:$G,MATCH($C15,Dim!$A:$A,0))</f>
        <v>2_1_3</v>
      </c>
      <c r="F15" t="s">
        <v>284</v>
      </c>
      <c r="G15" s="6" t="str">
        <f>INDEX(RefCol!$H:$H,MATCH($F15,RefCol!$A:$A,0))</f>
        <v>TEXT</v>
      </c>
      <c r="H15" s="6" t="str">
        <f t="shared" si="0"/>
        <v>col2_1_3_1_TEXT</v>
      </c>
      <c r="I15">
        <v>1</v>
      </c>
      <c r="U15" t="s">
        <v>282</v>
      </c>
    </row>
    <row r="16" spans="1:21" x14ac:dyDescent="0.3">
      <c r="A16" t="s">
        <v>173</v>
      </c>
      <c r="B16" t="s">
        <v>121</v>
      </c>
      <c r="C16" t="s">
        <v>802</v>
      </c>
      <c r="D16" s="6" t="str">
        <f>INDEX(Dim!$F:$F,MATCH($C16,Dim!$A:$A,0))</f>
        <v>TEXT</v>
      </c>
      <c r="E16" s="6" t="str">
        <f>INDEX(Dim!$G:$G,MATCH($C16,Dim!$A:$A,0))</f>
        <v>2_2_1</v>
      </c>
      <c r="F16" t="s">
        <v>285</v>
      </c>
      <c r="G16" s="6" t="str">
        <f>INDEX(RefCol!$H:$H,MATCH($F16,RefCol!$A:$A,0))</f>
        <v>TEXT</v>
      </c>
      <c r="H16" s="6" t="str">
        <f t="shared" si="0"/>
        <v>col2_2_1_1_TEXT</v>
      </c>
      <c r="I16">
        <v>1</v>
      </c>
      <c r="U16" t="s">
        <v>282</v>
      </c>
    </row>
    <row r="17" spans="1:21" x14ac:dyDescent="0.3">
      <c r="A17" t="s">
        <v>176</v>
      </c>
      <c r="B17" t="s">
        <v>121</v>
      </c>
      <c r="C17" t="s">
        <v>801</v>
      </c>
      <c r="D17" s="6" t="str">
        <f>INDEX(Dim!$F:$F,MATCH($C17,Dim!$A:$A,0))</f>
        <v>TEXT</v>
      </c>
      <c r="E17" s="6" t="str">
        <f>INDEX(Dim!$G:$G,MATCH($C17,Dim!$A:$A,0))</f>
        <v>2_2_2</v>
      </c>
      <c r="F17" t="s">
        <v>286</v>
      </c>
      <c r="G17" s="6" t="str">
        <f>INDEX(RefCol!$H:$H,MATCH($F17,RefCol!$A:$A,0))</f>
        <v>TEXT</v>
      </c>
      <c r="H17" s="6" t="str">
        <f t="shared" si="0"/>
        <v>col2_2_2_1_TEXT</v>
      </c>
      <c r="I17">
        <v>1</v>
      </c>
      <c r="U17" t="s">
        <v>282</v>
      </c>
    </row>
    <row r="18" spans="1:21" x14ac:dyDescent="0.3">
      <c r="A18" t="s">
        <v>179</v>
      </c>
      <c r="B18" t="s">
        <v>121</v>
      </c>
      <c r="C18" t="s">
        <v>800</v>
      </c>
      <c r="D18" s="6" t="str">
        <f>INDEX(Dim!$F:$F,MATCH($C18,Dim!$A:$A,0))</f>
        <v>TEXT</v>
      </c>
      <c r="E18" s="6" t="str">
        <f>INDEX(Dim!$G:$G,MATCH($C18,Dim!$A:$A,0))</f>
        <v>2_2_3</v>
      </c>
      <c r="F18" t="s">
        <v>287</v>
      </c>
      <c r="G18" s="6" t="str">
        <f>INDEX(RefCol!$H:$H,MATCH($F18,RefCol!$A:$A,0))</f>
        <v>TEXT</v>
      </c>
      <c r="H18" s="6" t="str">
        <f t="shared" si="0"/>
        <v>col2_2_3_1_TEXT</v>
      </c>
      <c r="I18">
        <v>1</v>
      </c>
      <c r="U18" t="s">
        <v>282</v>
      </c>
    </row>
    <row r="19" spans="1:21" x14ac:dyDescent="0.3">
      <c r="A19" t="s">
        <v>182</v>
      </c>
      <c r="B19" t="s">
        <v>121</v>
      </c>
      <c r="C19" t="s">
        <v>799</v>
      </c>
      <c r="D19" s="6" t="str">
        <f>INDEX(Dim!$F:$F,MATCH($C19,Dim!$A:$A,0))</f>
        <v>TEXT</v>
      </c>
      <c r="E19" s="6" t="str">
        <f>INDEX(Dim!$G:$G,MATCH($C19,Dim!$A:$A,0))</f>
        <v>2_3_1</v>
      </c>
      <c r="F19" t="s">
        <v>288</v>
      </c>
      <c r="G19" s="6" t="str">
        <f>INDEX(RefCol!$H:$H,MATCH($F19,RefCol!$A:$A,0))</f>
        <v>TEXT</v>
      </c>
      <c r="H19" s="6" t="str">
        <f t="shared" si="0"/>
        <v>col2_3_1_1_TEXT</v>
      </c>
      <c r="I19">
        <v>1</v>
      </c>
      <c r="U19" t="s">
        <v>282</v>
      </c>
    </row>
    <row r="20" spans="1:21" x14ac:dyDescent="0.3">
      <c r="A20" t="s">
        <v>185</v>
      </c>
      <c r="B20" t="s">
        <v>121</v>
      </c>
      <c r="C20" t="s">
        <v>798</v>
      </c>
      <c r="D20" s="6" t="str">
        <f>INDEX(Dim!$F:$F,MATCH($C20,Dim!$A:$A,0))</f>
        <v>TEXT</v>
      </c>
      <c r="E20" s="6" t="str">
        <f>INDEX(Dim!$G:$G,MATCH($C20,Dim!$A:$A,0))</f>
        <v>2_3_2</v>
      </c>
      <c r="F20" t="s">
        <v>289</v>
      </c>
      <c r="G20" s="6" t="str">
        <f>INDEX(RefCol!$H:$H,MATCH($F20,RefCol!$A:$A,0))</f>
        <v>TEXT</v>
      </c>
      <c r="H20" s="6" t="str">
        <f t="shared" si="0"/>
        <v>col2_3_2_1_TEXT</v>
      </c>
      <c r="I20">
        <v>1</v>
      </c>
      <c r="U20" t="s">
        <v>282</v>
      </c>
    </row>
    <row r="21" spans="1:21" x14ac:dyDescent="0.3">
      <c r="A21" t="s">
        <v>188</v>
      </c>
      <c r="B21" t="s">
        <v>121</v>
      </c>
      <c r="C21" t="s">
        <v>797</v>
      </c>
      <c r="D21" s="6" t="str">
        <f>INDEX(Dim!$F:$F,MATCH($C21,Dim!$A:$A,0))</f>
        <v>TEXT</v>
      </c>
      <c r="E21" s="6" t="str">
        <f>INDEX(Dim!$G:$G,MATCH($C21,Dim!$A:$A,0))</f>
        <v>2_3_3</v>
      </c>
      <c r="F21" t="s">
        <v>290</v>
      </c>
      <c r="G21" s="6" t="str">
        <f>INDEX(RefCol!$H:$H,MATCH($F21,RefCol!$A:$A,0))</f>
        <v>TEXT</v>
      </c>
      <c r="H21" s="6" t="str">
        <f t="shared" si="0"/>
        <v>col2_3_3_1_TEXT</v>
      </c>
      <c r="I21">
        <v>1</v>
      </c>
      <c r="U21" t="s">
        <v>282</v>
      </c>
    </row>
    <row r="22" spans="1:21" x14ac:dyDescent="0.3">
      <c r="A22" t="s">
        <v>673</v>
      </c>
      <c r="B22" t="s">
        <v>121</v>
      </c>
      <c r="C22" t="s">
        <v>796</v>
      </c>
      <c r="D22" s="6" t="str">
        <f>INDEX(Dim!$F:$F,MATCH($C22,Dim!$A:$A,0))</f>
        <v>TEXT</v>
      </c>
      <c r="E22" s="6" t="str">
        <f>INDEX(Dim!$G:$G,MATCH($C22,Dim!$A:$A,0))</f>
        <v>2_4_1</v>
      </c>
      <c r="F22" t="s">
        <v>656</v>
      </c>
      <c r="G22" s="6" t="str">
        <f>INDEX(RefCol!$H:$H,MATCH($F22,RefCol!$A:$A,0))</f>
        <v>GENETIC_READS</v>
      </c>
      <c r="H22" s="6" t="str">
        <f t="shared" si="0"/>
        <v>col2_4_1_1_GENETIC_READS</v>
      </c>
      <c r="I22">
        <v>1</v>
      </c>
      <c r="U22" t="s">
        <v>282</v>
      </c>
    </row>
    <row r="23" spans="1:21" x14ac:dyDescent="0.3">
      <c r="A23" t="s">
        <v>672</v>
      </c>
      <c r="B23" t="s">
        <v>121</v>
      </c>
      <c r="C23" t="s">
        <v>795</v>
      </c>
      <c r="D23" s="6" t="str">
        <f>INDEX(Dim!$F:$F,MATCH($C23,Dim!$A:$A,0))</f>
        <v>TEXT</v>
      </c>
      <c r="E23" s="6" t="str">
        <f>INDEX(Dim!$G:$G,MATCH($C23,Dim!$A:$A,0))</f>
        <v>2_4_2</v>
      </c>
      <c r="F23" t="s">
        <v>655</v>
      </c>
      <c r="G23" s="6" t="str">
        <f>INDEX(RefCol!$H:$H,MATCH($F23,RefCol!$A:$A,0))</f>
        <v>GENETIC_SEQUENCE</v>
      </c>
      <c r="H23" s="6" t="str">
        <f t="shared" si="0"/>
        <v>col2_4_2_1_GENETIC_SEQUENCE</v>
      </c>
      <c r="I23">
        <v>1</v>
      </c>
      <c r="U23" t="s">
        <v>282</v>
      </c>
    </row>
    <row r="24" spans="1:21" x14ac:dyDescent="0.3">
      <c r="A24" t="s">
        <v>190</v>
      </c>
      <c r="B24" t="s">
        <v>125</v>
      </c>
      <c r="C24" t="s">
        <v>794</v>
      </c>
      <c r="D24" s="6" t="str">
        <f>INDEX(Dim!$F:$F,MATCH($C24,Dim!$A:$A,0))</f>
        <v>TEXT</v>
      </c>
      <c r="E24" s="6" t="str">
        <f>INDEX(Dim!$G:$G,MATCH($C24,Dim!$A:$A,0))</f>
        <v>3_1_1</v>
      </c>
      <c r="F24" t="s">
        <v>281</v>
      </c>
      <c r="G24" s="6" t="str">
        <f>INDEX(RefCol!$H:$H,MATCH($F24,RefCol!$A:$A,0))</f>
        <v>TEXT</v>
      </c>
      <c r="H24" s="6" t="str">
        <f t="shared" si="0"/>
        <v>col3_1_1_1_TEXT</v>
      </c>
      <c r="I24">
        <v>1</v>
      </c>
      <c r="U24" t="s">
        <v>282</v>
      </c>
    </row>
    <row r="25" spans="1:21" x14ac:dyDescent="0.3">
      <c r="A25" t="s">
        <v>193</v>
      </c>
      <c r="B25" t="s">
        <v>125</v>
      </c>
      <c r="C25" t="s">
        <v>793</v>
      </c>
      <c r="D25" s="6" t="str">
        <f>INDEX(Dim!$F:$F,MATCH($C25,Dim!$A:$A,0))</f>
        <v>TEXT</v>
      </c>
      <c r="E25" s="6" t="str">
        <f>INDEX(Dim!$G:$G,MATCH($C25,Dim!$A:$A,0))</f>
        <v>3_1_2</v>
      </c>
      <c r="F25" t="s">
        <v>283</v>
      </c>
      <c r="G25" s="6" t="str">
        <f>INDEX(RefCol!$H:$H,MATCH($F25,RefCol!$A:$A,0))</f>
        <v>TEXT</v>
      </c>
      <c r="H25" s="6" t="str">
        <f t="shared" si="0"/>
        <v>col3_1_2_1_TEXT</v>
      </c>
      <c r="I25">
        <v>1</v>
      </c>
      <c r="U25" t="s">
        <v>282</v>
      </c>
    </row>
    <row r="26" spans="1:21" x14ac:dyDescent="0.3">
      <c r="A26" t="s">
        <v>196</v>
      </c>
      <c r="B26" t="s">
        <v>125</v>
      </c>
      <c r="C26" t="s">
        <v>792</v>
      </c>
      <c r="D26" s="6" t="str">
        <f>INDEX(Dim!$F:$F,MATCH($C26,Dim!$A:$A,0))</f>
        <v>TEXT</v>
      </c>
      <c r="E26" s="6" t="str">
        <f>INDEX(Dim!$G:$G,MATCH($C26,Dim!$A:$A,0))</f>
        <v>3_1_3</v>
      </c>
      <c r="F26" t="s">
        <v>284</v>
      </c>
      <c r="G26" s="6" t="str">
        <f>INDEX(RefCol!$H:$H,MATCH($F26,RefCol!$A:$A,0))</f>
        <v>TEXT</v>
      </c>
      <c r="H26" s="6" t="str">
        <f t="shared" si="0"/>
        <v>col3_1_3_1_TEXT</v>
      </c>
      <c r="I26">
        <v>1</v>
      </c>
      <c r="U26" t="s">
        <v>282</v>
      </c>
    </row>
    <row r="27" spans="1:21" x14ac:dyDescent="0.3">
      <c r="A27" t="s">
        <v>199</v>
      </c>
      <c r="B27" t="s">
        <v>125</v>
      </c>
      <c r="C27" t="s">
        <v>791</v>
      </c>
      <c r="D27" s="6" t="str">
        <f>INDEX(Dim!$F:$F,MATCH($C27,Dim!$A:$A,0))</f>
        <v>TEXT</v>
      </c>
      <c r="E27" s="6" t="str">
        <f>INDEX(Dim!$G:$G,MATCH($C27,Dim!$A:$A,0))</f>
        <v>3_2_1</v>
      </c>
      <c r="F27" t="s">
        <v>285</v>
      </c>
      <c r="G27" s="6" t="str">
        <f>INDEX(RefCol!$H:$H,MATCH($F27,RefCol!$A:$A,0))</f>
        <v>TEXT</v>
      </c>
      <c r="H27" s="6" t="str">
        <f t="shared" si="0"/>
        <v>col3_2_1_1_TEXT</v>
      </c>
      <c r="I27">
        <v>1</v>
      </c>
      <c r="U27" t="s">
        <v>282</v>
      </c>
    </row>
    <row r="28" spans="1:21" x14ac:dyDescent="0.3">
      <c r="A28" t="s">
        <v>202</v>
      </c>
      <c r="B28" t="s">
        <v>125</v>
      </c>
      <c r="C28" t="s">
        <v>790</v>
      </c>
      <c r="D28" s="6" t="str">
        <f>INDEX(Dim!$F:$F,MATCH($C28,Dim!$A:$A,0))</f>
        <v>TEXT</v>
      </c>
      <c r="E28" s="6" t="str">
        <f>INDEX(Dim!$G:$G,MATCH($C28,Dim!$A:$A,0))</f>
        <v>3_2_2</v>
      </c>
      <c r="F28" t="s">
        <v>286</v>
      </c>
      <c r="G28" s="6" t="str">
        <f>INDEX(RefCol!$H:$H,MATCH($F28,RefCol!$A:$A,0))</f>
        <v>TEXT</v>
      </c>
      <c r="H28" s="6" t="str">
        <f t="shared" si="0"/>
        <v>col3_2_2_1_TEXT</v>
      </c>
      <c r="I28">
        <v>1</v>
      </c>
      <c r="U28" t="s">
        <v>282</v>
      </c>
    </row>
    <row r="29" spans="1:21" x14ac:dyDescent="0.3">
      <c r="A29" t="s">
        <v>205</v>
      </c>
      <c r="B29" t="s">
        <v>125</v>
      </c>
      <c r="C29" t="s">
        <v>789</v>
      </c>
      <c r="D29" s="6" t="str">
        <f>INDEX(Dim!$F:$F,MATCH($C29,Dim!$A:$A,0))</f>
        <v>TEXT</v>
      </c>
      <c r="E29" s="6" t="str">
        <f>INDEX(Dim!$G:$G,MATCH($C29,Dim!$A:$A,0))</f>
        <v>3_2_3</v>
      </c>
      <c r="F29" t="s">
        <v>287</v>
      </c>
      <c r="G29" s="6" t="str">
        <f>INDEX(RefCol!$H:$H,MATCH($F29,RefCol!$A:$A,0))</f>
        <v>TEXT</v>
      </c>
      <c r="H29" s="6" t="str">
        <f t="shared" si="0"/>
        <v>col3_2_3_1_TEXT</v>
      </c>
      <c r="I29">
        <v>1</v>
      </c>
      <c r="U29" t="s">
        <v>282</v>
      </c>
    </row>
    <row r="30" spans="1:21" x14ac:dyDescent="0.3">
      <c r="A30" t="s">
        <v>208</v>
      </c>
      <c r="B30" t="s">
        <v>125</v>
      </c>
      <c r="C30" t="s">
        <v>788</v>
      </c>
      <c r="D30" s="6" t="str">
        <f>INDEX(Dim!$F:$F,MATCH($C30,Dim!$A:$A,0))</f>
        <v>TEXT</v>
      </c>
      <c r="E30" s="6" t="str">
        <f>INDEX(Dim!$G:$G,MATCH($C30,Dim!$A:$A,0))</f>
        <v>3_3_1</v>
      </c>
      <c r="F30" t="s">
        <v>288</v>
      </c>
      <c r="G30" s="6" t="str">
        <f>INDEX(RefCol!$H:$H,MATCH($F30,RefCol!$A:$A,0))</f>
        <v>TEXT</v>
      </c>
      <c r="H30" s="6" t="str">
        <f t="shared" si="0"/>
        <v>col3_3_1_1_TEXT</v>
      </c>
      <c r="I30">
        <v>1</v>
      </c>
      <c r="U30" t="s">
        <v>282</v>
      </c>
    </row>
    <row r="31" spans="1:21" x14ac:dyDescent="0.3">
      <c r="A31" t="s">
        <v>211</v>
      </c>
      <c r="B31" t="s">
        <v>125</v>
      </c>
      <c r="C31" t="s">
        <v>787</v>
      </c>
      <c r="D31" s="6" t="str">
        <f>INDEX(Dim!$F:$F,MATCH($C31,Dim!$A:$A,0))</f>
        <v>TEXT</v>
      </c>
      <c r="E31" s="6" t="str">
        <f>INDEX(Dim!$G:$G,MATCH($C31,Dim!$A:$A,0))</f>
        <v>3_3_2</v>
      </c>
      <c r="F31" t="s">
        <v>289</v>
      </c>
      <c r="G31" s="6" t="str">
        <f>INDEX(RefCol!$H:$H,MATCH($F31,RefCol!$A:$A,0))</f>
        <v>TEXT</v>
      </c>
      <c r="H31" s="6" t="str">
        <f t="shared" si="0"/>
        <v>col3_3_2_1_TEXT</v>
      </c>
      <c r="I31">
        <v>1</v>
      </c>
      <c r="U31" t="s">
        <v>282</v>
      </c>
    </row>
    <row r="32" spans="1:21" x14ac:dyDescent="0.3">
      <c r="A32" t="s">
        <v>214</v>
      </c>
      <c r="B32" t="s">
        <v>125</v>
      </c>
      <c r="C32" t="s">
        <v>786</v>
      </c>
      <c r="D32" s="6" t="str">
        <f>INDEX(Dim!$F:$F,MATCH($C32,Dim!$A:$A,0))</f>
        <v>TEXT</v>
      </c>
      <c r="E32" s="6" t="str">
        <f>INDEX(Dim!$G:$G,MATCH($C32,Dim!$A:$A,0))</f>
        <v>3_3_3</v>
      </c>
      <c r="F32" t="s">
        <v>290</v>
      </c>
      <c r="G32" s="6" t="str">
        <f>INDEX(RefCol!$H:$H,MATCH($F32,RefCol!$A:$A,0))</f>
        <v>TEXT</v>
      </c>
      <c r="H32" s="6" t="str">
        <f t="shared" si="0"/>
        <v>col3_3_3_1_TEXT</v>
      </c>
      <c r="I32">
        <v>1</v>
      </c>
      <c r="U32" t="s">
        <v>282</v>
      </c>
    </row>
    <row r="33" spans="1:21" x14ac:dyDescent="0.3">
      <c r="A33" t="s">
        <v>671</v>
      </c>
      <c r="B33" t="s">
        <v>125</v>
      </c>
      <c r="C33" t="s">
        <v>785</v>
      </c>
      <c r="D33" s="6" t="str">
        <f>INDEX(Dim!$F:$F,MATCH($C33,Dim!$A:$A,0))</f>
        <v>TEXT</v>
      </c>
      <c r="E33" s="6" t="str">
        <f>INDEX(Dim!$G:$G,MATCH($C33,Dim!$A:$A,0))</f>
        <v>3_4_1</v>
      </c>
      <c r="F33" t="s">
        <v>656</v>
      </c>
      <c r="G33" s="6" t="str">
        <f>INDEX(RefCol!$H:$H,MATCH($F33,RefCol!$A:$A,0))</f>
        <v>GENETIC_READS</v>
      </c>
      <c r="H33" s="6" t="str">
        <f t="shared" si="0"/>
        <v>col3_4_1_1_GENETIC_READS</v>
      </c>
      <c r="I33">
        <v>1</v>
      </c>
      <c r="U33" t="s">
        <v>282</v>
      </c>
    </row>
    <row r="34" spans="1:21" x14ac:dyDescent="0.3">
      <c r="A34" t="s">
        <v>670</v>
      </c>
      <c r="B34" t="s">
        <v>125</v>
      </c>
      <c r="C34" t="s">
        <v>784</v>
      </c>
      <c r="D34" s="6" t="str">
        <f>INDEX(Dim!$F:$F,MATCH($C34,Dim!$A:$A,0))</f>
        <v>TEXT</v>
      </c>
      <c r="E34" s="6" t="str">
        <f>INDEX(Dim!$G:$G,MATCH($C34,Dim!$A:$A,0))</f>
        <v>3_4_2</v>
      </c>
      <c r="F34" t="s">
        <v>655</v>
      </c>
      <c r="G34" s="6" t="str">
        <f>INDEX(RefCol!$H:$H,MATCH($F34,RefCol!$A:$A,0))</f>
        <v>GENETIC_SEQUENCE</v>
      </c>
      <c r="H34" s="6" t="str">
        <f t="shared" ref="H34:H56" si="1">"col"&amp;$E34&amp;"_"&amp;$I34&amp;"_"&amp;$G34</f>
        <v>col3_4_2_1_GENETIC_SEQUENCE</v>
      </c>
      <c r="I34">
        <v>1</v>
      </c>
      <c r="U34" t="s">
        <v>282</v>
      </c>
    </row>
    <row r="35" spans="1:21" x14ac:dyDescent="0.3">
      <c r="A35" t="s">
        <v>216</v>
      </c>
      <c r="B35" t="s">
        <v>129</v>
      </c>
      <c r="C35" t="s">
        <v>783</v>
      </c>
      <c r="D35" s="6" t="str">
        <f>INDEX(Dim!$F:$F,MATCH($C35,Dim!$A:$A,0))</f>
        <v>TEXT</v>
      </c>
      <c r="E35" s="6" t="str">
        <f>INDEX(Dim!$G:$G,MATCH($C35,Dim!$A:$A,0))</f>
        <v>4_1_1</v>
      </c>
      <c r="F35" t="s">
        <v>281</v>
      </c>
      <c r="G35" s="6" t="str">
        <f>INDEX(RefCol!$H:$H,MATCH($F35,RefCol!$A:$A,0))</f>
        <v>TEXT</v>
      </c>
      <c r="H35" s="6" t="str">
        <f t="shared" si="1"/>
        <v>col4_1_1_1_TEXT</v>
      </c>
      <c r="I35">
        <v>1</v>
      </c>
      <c r="U35" t="s">
        <v>282</v>
      </c>
    </row>
    <row r="36" spans="1:21" x14ac:dyDescent="0.3">
      <c r="A36" t="s">
        <v>219</v>
      </c>
      <c r="B36" t="s">
        <v>129</v>
      </c>
      <c r="C36" t="s">
        <v>782</v>
      </c>
      <c r="D36" s="6" t="str">
        <f>INDEX(Dim!$F:$F,MATCH($C36,Dim!$A:$A,0))</f>
        <v>TEXT</v>
      </c>
      <c r="E36" s="6" t="str">
        <f>INDEX(Dim!$G:$G,MATCH($C36,Dim!$A:$A,0))</f>
        <v>4_1_2</v>
      </c>
      <c r="F36" t="s">
        <v>283</v>
      </c>
      <c r="G36" s="6" t="str">
        <f>INDEX(RefCol!$H:$H,MATCH($F36,RefCol!$A:$A,0))</f>
        <v>TEXT</v>
      </c>
      <c r="H36" s="6" t="str">
        <f t="shared" si="1"/>
        <v>col4_1_2_1_TEXT</v>
      </c>
      <c r="I36">
        <v>1</v>
      </c>
      <c r="U36" t="s">
        <v>282</v>
      </c>
    </row>
    <row r="37" spans="1:21" x14ac:dyDescent="0.3">
      <c r="A37" t="s">
        <v>222</v>
      </c>
      <c r="B37" t="s">
        <v>129</v>
      </c>
      <c r="C37" t="s">
        <v>781</v>
      </c>
      <c r="D37" s="6" t="str">
        <f>INDEX(Dim!$F:$F,MATCH($C37,Dim!$A:$A,0))</f>
        <v>TEXT</v>
      </c>
      <c r="E37" s="6" t="str">
        <f>INDEX(Dim!$G:$G,MATCH($C37,Dim!$A:$A,0))</f>
        <v>4_1_3</v>
      </c>
      <c r="F37" t="s">
        <v>284</v>
      </c>
      <c r="G37" s="6" t="str">
        <f>INDEX(RefCol!$H:$H,MATCH($F37,RefCol!$A:$A,0))</f>
        <v>TEXT</v>
      </c>
      <c r="H37" s="6" t="str">
        <f t="shared" si="1"/>
        <v>col4_1_3_1_TEXT</v>
      </c>
      <c r="I37">
        <v>1</v>
      </c>
      <c r="U37" t="s">
        <v>282</v>
      </c>
    </row>
    <row r="38" spans="1:21" x14ac:dyDescent="0.3">
      <c r="A38" t="s">
        <v>225</v>
      </c>
      <c r="B38" t="s">
        <v>129</v>
      </c>
      <c r="C38" t="s">
        <v>780</v>
      </c>
      <c r="D38" s="6" t="str">
        <f>INDEX(Dim!$F:$F,MATCH($C38,Dim!$A:$A,0))</f>
        <v>TEXT</v>
      </c>
      <c r="E38" s="6" t="str">
        <f>INDEX(Dim!$G:$G,MATCH($C38,Dim!$A:$A,0))</f>
        <v>4_2_1</v>
      </c>
      <c r="F38" t="s">
        <v>285</v>
      </c>
      <c r="G38" s="6" t="str">
        <f>INDEX(RefCol!$H:$H,MATCH($F38,RefCol!$A:$A,0))</f>
        <v>TEXT</v>
      </c>
      <c r="H38" s="6" t="str">
        <f t="shared" si="1"/>
        <v>col4_2_1_1_TEXT</v>
      </c>
      <c r="I38">
        <v>1</v>
      </c>
      <c r="U38" t="s">
        <v>282</v>
      </c>
    </row>
    <row r="39" spans="1:21" x14ac:dyDescent="0.3">
      <c r="A39" t="s">
        <v>228</v>
      </c>
      <c r="B39" t="s">
        <v>129</v>
      </c>
      <c r="C39" t="s">
        <v>779</v>
      </c>
      <c r="D39" s="6" t="str">
        <f>INDEX(Dim!$F:$F,MATCH($C39,Dim!$A:$A,0))</f>
        <v>TEXT</v>
      </c>
      <c r="E39" s="6" t="str">
        <f>INDEX(Dim!$G:$G,MATCH($C39,Dim!$A:$A,0))</f>
        <v>4_2_2</v>
      </c>
      <c r="F39" t="s">
        <v>286</v>
      </c>
      <c r="G39" s="6" t="str">
        <f>INDEX(RefCol!$H:$H,MATCH($F39,RefCol!$A:$A,0))</f>
        <v>TEXT</v>
      </c>
      <c r="H39" s="6" t="str">
        <f t="shared" si="1"/>
        <v>col4_2_2_1_TEXT</v>
      </c>
      <c r="I39">
        <v>1</v>
      </c>
      <c r="U39" t="s">
        <v>282</v>
      </c>
    </row>
    <row r="40" spans="1:21" x14ac:dyDescent="0.3">
      <c r="A40" t="s">
        <v>231</v>
      </c>
      <c r="B40" t="s">
        <v>129</v>
      </c>
      <c r="C40" t="s">
        <v>778</v>
      </c>
      <c r="D40" s="6" t="str">
        <f>INDEX(Dim!$F:$F,MATCH($C40,Dim!$A:$A,0))</f>
        <v>TEXT</v>
      </c>
      <c r="E40" s="6" t="str">
        <f>INDEX(Dim!$G:$G,MATCH($C40,Dim!$A:$A,0))</f>
        <v>4_2_3</v>
      </c>
      <c r="F40" t="s">
        <v>287</v>
      </c>
      <c r="G40" s="6" t="str">
        <f>INDEX(RefCol!$H:$H,MATCH($F40,RefCol!$A:$A,0))</f>
        <v>TEXT</v>
      </c>
      <c r="H40" s="6" t="str">
        <f t="shared" si="1"/>
        <v>col4_2_3_1_TEXT</v>
      </c>
      <c r="I40">
        <v>1</v>
      </c>
      <c r="U40" t="s">
        <v>282</v>
      </c>
    </row>
    <row r="41" spans="1:21" x14ac:dyDescent="0.3">
      <c r="A41" t="s">
        <v>234</v>
      </c>
      <c r="B41" t="s">
        <v>129</v>
      </c>
      <c r="C41" t="s">
        <v>777</v>
      </c>
      <c r="D41" s="6" t="str">
        <f>INDEX(Dim!$F:$F,MATCH($C41,Dim!$A:$A,0))</f>
        <v>TEXT</v>
      </c>
      <c r="E41" s="6" t="str">
        <f>INDEX(Dim!$G:$G,MATCH($C41,Dim!$A:$A,0))</f>
        <v>4_3_1</v>
      </c>
      <c r="F41" t="s">
        <v>288</v>
      </c>
      <c r="G41" s="6" t="str">
        <f>INDEX(RefCol!$H:$H,MATCH($F41,RefCol!$A:$A,0))</f>
        <v>TEXT</v>
      </c>
      <c r="H41" s="6" t="str">
        <f t="shared" si="1"/>
        <v>col4_3_1_1_TEXT</v>
      </c>
      <c r="I41">
        <v>1</v>
      </c>
      <c r="U41" t="s">
        <v>282</v>
      </c>
    </row>
    <row r="42" spans="1:21" x14ac:dyDescent="0.3">
      <c r="A42" t="s">
        <v>237</v>
      </c>
      <c r="B42" t="s">
        <v>129</v>
      </c>
      <c r="C42" t="s">
        <v>776</v>
      </c>
      <c r="D42" s="6" t="str">
        <f>INDEX(Dim!$F:$F,MATCH($C42,Dim!$A:$A,0))</f>
        <v>TEXT</v>
      </c>
      <c r="E42" s="6" t="str">
        <f>INDEX(Dim!$G:$G,MATCH($C42,Dim!$A:$A,0))</f>
        <v>4_3_2</v>
      </c>
      <c r="F42" t="s">
        <v>289</v>
      </c>
      <c r="G42" s="6" t="str">
        <f>INDEX(RefCol!$H:$H,MATCH($F42,RefCol!$A:$A,0))</f>
        <v>TEXT</v>
      </c>
      <c r="H42" s="6" t="str">
        <f t="shared" si="1"/>
        <v>col4_3_2_1_TEXT</v>
      </c>
      <c r="I42">
        <v>1</v>
      </c>
      <c r="U42" t="s">
        <v>282</v>
      </c>
    </row>
    <row r="43" spans="1:21" x14ac:dyDescent="0.3">
      <c r="A43" t="s">
        <v>240</v>
      </c>
      <c r="B43" t="s">
        <v>129</v>
      </c>
      <c r="C43" t="s">
        <v>775</v>
      </c>
      <c r="D43" s="6" t="str">
        <f>INDEX(Dim!$F:$F,MATCH($C43,Dim!$A:$A,0))</f>
        <v>TEXT</v>
      </c>
      <c r="E43" s="6" t="str">
        <f>INDEX(Dim!$G:$G,MATCH($C43,Dim!$A:$A,0))</f>
        <v>4_3_3</v>
      </c>
      <c r="F43" t="s">
        <v>290</v>
      </c>
      <c r="G43" s="6" t="str">
        <f>INDEX(RefCol!$H:$H,MATCH($F43,RefCol!$A:$A,0))</f>
        <v>TEXT</v>
      </c>
      <c r="H43" s="6" t="str">
        <f t="shared" si="1"/>
        <v>col4_3_3_1_TEXT</v>
      </c>
      <c r="I43">
        <v>1</v>
      </c>
      <c r="U43" t="s">
        <v>282</v>
      </c>
    </row>
    <row r="44" spans="1:21" x14ac:dyDescent="0.3">
      <c r="A44" t="s">
        <v>669</v>
      </c>
      <c r="B44" t="s">
        <v>129</v>
      </c>
      <c r="C44" t="s">
        <v>774</v>
      </c>
      <c r="D44" s="6" t="str">
        <f>INDEX(Dim!$F:$F,MATCH($C44,Dim!$A:$A,0))</f>
        <v>TEXT</v>
      </c>
      <c r="E44" s="6" t="str">
        <f>INDEX(Dim!$G:$G,MATCH($C44,Dim!$A:$A,0))</f>
        <v>4_4_1</v>
      </c>
      <c r="F44" t="s">
        <v>656</v>
      </c>
      <c r="G44" s="6" t="str">
        <f>INDEX(RefCol!$H:$H,MATCH($F44,RefCol!$A:$A,0))</f>
        <v>GENETIC_READS</v>
      </c>
      <c r="H44" s="6" t="str">
        <f t="shared" si="1"/>
        <v>col4_4_1_1_GENETIC_READS</v>
      </c>
      <c r="I44">
        <v>1</v>
      </c>
      <c r="U44" t="s">
        <v>282</v>
      </c>
    </row>
    <row r="45" spans="1:21" x14ac:dyDescent="0.3">
      <c r="A45" t="s">
        <v>668</v>
      </c>
      <c r="B45" t="s">
        <v>129</v>
      </c>
      <c r="C45" t="s">
        <v>773</v>
      </c>
      <c r="D45" s="6" t="str">
        <f>INDEX(Dim!$F:$F,MATCH($C45,Dim!$A:$A,0))</f>
        <v>TEXT</v>
      </c>
      <c r="E45" s="6" t="str">
        <f>INDEX(Dim!$G:$G,MATCH($C45,Dim!$A:$A,0))</f>
        <v>4_4_2</v>
      </c>
      <c r="F45" t="s">
        <v>655</v>
      </c>
      <c r="G45" s="6" t="str">
        <f>INDEX(RefCol!$H:$H,MATCH($F45,RefCol!$A:$A,0))</f>
        <v>GENETIC_SEQUENCE</v>
      </c>
      <c r="H45" s="6" t="str">
        <f t="shared" si="1"/>
        <v>col4_4_2_1_GENETIC_SEQUENCE</v>
      </c>
      <c r="I45">
        <v>1</v>
      </c>
      <c r="U45" t="s">
        <v>282</v>
      </c>
    </row>
    <row r="46" spans="1:21" x14ac:dyDescent="0.3">
      <c r="A46" t="s">
        <v>242</v>
      </c>
      <c r="B46" t="s">
        <v>133</v>
      </c>
      <c r="C46" t="s">
        <v>772</v>
      </c>
      <c r="D46" s="6" t="str">
        <f>INDEX(Dim!$F:$F,MATCH($C46,Dim!$A:$A,0))</f>
        <v>TEXT</v>
      </c>
      <c r="E46" s="6" t="str">
        <f>INDEX(Dim!$G:$G,MATCH($C46,Dim!$A:$A,0))</f>
        <v>5_1_1</v>
      </c>
      <c r="F46" t="s">
        <v>281</v>
      </c>
      <c r="G46" s="6" t="str">
        <f>INDEX(RefCol!$H:$H,MATCH($F46,RefCol!$A:$A,0))</f>
        <v>TEXT</v>
      </c>
      <c r="H46" s="6" t="str">
        <f t="shared" si="1"/>
        <v>col5_1_1_1_TEXT</v>
      </c>
      <c r="I46">
        <v>1</v>
      </c>
      <c r="U46" t="s">
        <v>282</v>
      </c>
    </row>
    <row r="47" spans="1:21" x14ac:dyDescent="0.3">
      <c r="A47" t="s">
        <v>245</v>
      </c>
      <c r="B47" t="s">
        <v>133</v>
      </c>
      <c r="C47" t="s">
        <v>771</v>
      </c>
      <c r="D47" s="6" t="str">
        <f>INDEX(Dim!$F:$F,MATCH($C47,Dim!$A:$A,0))</f>
        <v>TEXT</v>
      </c>
      <c r="E47" s="6" t="str">
        <f>INDEX(Dim!$G:$G,MATCH($C47,Dim!$A:$A,0))</f>
        <v>5_1_2</v>
      </c>
      <c r="F47" t="s">
        <v>283</v>
      </c>
      <c r="G47" s="6" t="str">
        <f>INDEX(RefCol!$H:$H,MATCH($F47,RefCol!$A:$A,0))</f>
        <v>TEXT</v>
      </c>
      <c r="H47" s="6" t="str">
        <f t="shared" si="1"/>
        <v>col5_1_2_1_TEXT</v>
      </c>
      <c r="I47">
        <v>1</v>
      </c>
      <c r="U47" t="s">
        <v>282</v>
      </c>
    </row>
    <row r="48" spans="1:21" x14ac:dyDescent="0.3">
      <c r="A48" t="s">
        <v>248</v>
      </c>
      <c r="B48" t="s">
        <v>133</v>
      </c>
      <c r="C48" t="s">
        <v>770</v>
      </c>
      <c r="D48" s="6" t="str">
        <f>INDEX(Dim!$F:$F,MATCH($C48,Dim!$A:$A,0))</f>
        <v>TEXT</v>
      </c>
      <c r="E48" s="6" t="str">
        <f>INDEX(Dim!$G:$G,MATCH($C48,Dim!$A:$A,0))</f>
        <v>5_1_3</v>
      </c>
      <c r="F48" t="s">
        <v>284</v>
      </c>
      <c r="G48" s="6" t="str">
        <f>INDEX(RefCol!$H:$H,MATCH($F48,RefCol!$A:$A,0))</f>
        <v>TEXT</v>
      </c>
      <c r="H48" s="6" t="str">
        <f t="shared" si="1"/>
        <v>col5_1_3_1_TEXT</v>
      </c>
      <c r="I48">
        <v>1</v>
      </c>
      <c r="U48" t="s">
        <v>282</v>
      </c>
    </row>
    <row r="49" spans="1:21" x14ac:dyDescent="0.3">
      <c r="A49" t="s">
        <v>251</v>
      </c>
      <c r="B49" t="s">
        <v>133</v>
      </c>
      <c r="C49" t="s">
        <v>769</v>
      </c>
      <c r="D49" s="6" t="str">
        <f>INDEX(Dim!$F:$F,MATCH($C49,Dim!$A:$A,0))</f>
        <v>TEXT</v>
      </c>
      <c r="E49" s="6" t="str">
        <f>INDEX(Dim!$G:$G,MATCH($C49,Dim!$A:$A,0))</f>
        <v>5_2_1</v>
      </c>
      <c r="F49" t="s">
        <v>285</v>
      </c>
      <c r="G49" s="6" t="str">
        <f>INDEX(RefCol!$H:$H,MATCH($F49,RefCol!$A:$A,0))</f>
        <v>TEXT</v>
      </c>
      <c r="H49" s="6" t="str">
        <f t="shared" si="1"/>
        <v>col5_2_1_1_TEXT</v>
      </c>
      <c r="I49">
        <v>1</v>
      </c>
      <c r="U49" t="s">
        <v>282</v>
      </c>
    </row>
    <row r="50" spans="1:21" x14ac:dyDescent="0.3">
      <c r="A50" t="s">
        <v>254</v>
      </c>
      <c r="B50" t="s">
        <v>133</v>
      </c>
      <c r="C50" t="s">
        <v>768</v>
      </c>
      <c r="D50" s="6" t="str">
        <f>INDEX(Dim!$F:$F,MATCH($C50,Dim!$A:$A,0))</f>
        <v>TEXT</v>
      </c>
      <c r="E50" s="6" t="str">
        <f>INDEX(Dim!$G:$G,MATCH($C50,Dim!$A:$A,0))</f>
        <v>5_2_2</v>
      </c>
      <c r="F50" t="s">
        <v>286</v>
      </c>
      <c r="G50" s="6" t="str">
        <f>INDEX(RefCol!$H:$H,MATCH($F50,RefCol!$A:$A,0))</f>
        <v>TEXT</v>
      </c>
      <c r="H50" s="6" t="str">
        <f t="shared" si="1"/>
        <v>col5_2_2_1_TEXT</v>
      </c>
      <c r="I50">
        <v>1</v>
      </c>
      <c r="U50" t="s">
        <v>282</v>
      </c>
    </row>
    <row r="51" spans="1:21" x14ac:dyDescent="0.3">
      <c r="A51" t="s">
        <v>257</v>
      </c>
      <c r="B51" t="s">
        <v>133</v>
      </c>
      <c r="C51" t="s">
        <v>767</v>
      </c>
      <c r="D51" s="6" t="str">
        <f>INDEX(Dim!$F:$F,MATCH($C51,Dim!$A:$A,0))</f>
        <v>TEXT</v>
      </c>
      <c r="E51" s="6" t="str">
        <f>INDEX(Dim!$G:$G,MATCH($C51,Dim!$A:$A,0))</f>
        <v>5_2_3</v>
      </c>
      <c r="F51" t="s">
        <v>287</v>
      </c>
      <c r="G51" s="6" t="str">
        <f>INDEX(RefCol!$H:$H,MATCH($F51,RefCol!$A:$A,0))</f>
        <v>TEXT</v>
      </c>
      <c r="H51" s="6" t="str">
        <f t="shared" si="1"/>
        <v>col5_2_3_1_TEXT</v>
      </c>
      <c r="I51">
        <v>1</v>
      </c>
      <c r="U51" t="s">
        <v>282</v>
      </c>
    </row>
    <row r="52" spans="1:21" x14ac:dyDescent="0.3">
      <c r="A52" t="s">
        <v>260</v>
      </c>
      <c r="B52" t="s">
        <v>133</v>
      </c>
      <c r="C52" t="s">
        <v>766</v>
      </c>
      <c r="D52" s="6" t="str">
        <f>INDEX(Dim!$F:$F,MATCH($C52,Dim!$A:$A,0))</f>
        <v>TEXT</v>
      </c>
      <c r="E52" s="6" t="str">
        <f>INDEX(Dim!$G:$G,MATCH($C52,Dim!$A:$A,0))</f>
        <v>5_3_1</v>
      </c>
      <c r="F52" t="s">
        <v>288</v>
      </c>
      <c r="G52" s="6" t="str">
        <f>INDEX(RefCol!$H:$H,MATCH($F52,RefCol!$A:$A,0))</f>
        <v>TEXT</v>
      </c>
      <c r="H52" s="6" t="str">
        <f t="shared" si="1"/>
        <v>col5_3_1_1_TEXT</v>
      </c>
      <c r="I52">
        <v>1</v>
      </c>
      <c r="U52" t="s">
        <v>282</v>
      </c>
    </row>
    <row r="53" spans="1:21" x14ac:dyDescent="0.3">
      <c r="A53" t="s">
        <v>263</v>
      </c>
      <c r="B53" t="s">
        <v>133</v>
      </c>
      <c r="C53" t="s">
        <v>765</v>
      </c>
      <c r="D53" s="6" t="str">
        <f>INDEX(Dim!$F:$F,MATCH($C53,Dim!$A:$A,0))</f>
        <v>TEXT</v>
      </c>
      <c r="E53" s="6" t="str">
        <f>INDEX(Dim!$G:$G,MATCH($C53,Dim!$A:$A,0))</f>
        <v>5_3_2</v>
      </c>
      <c r="F53" t="s">
        <v>289</v>
      </c>
      <c r="G53" s="6" t="str">
        <f>INDEX(RefCol!$H:$H,MATCH($F53,RefCol!$A:$A,0))</f>
        <v>TEXT</v>
      </c>
      <c r="H53" s="6" t="str">
        <f t="shared" si="1"/>
        <v>col5_3_2_1_TEXT</v>
      </c>
      <c r="I53">
        <v>1</v>
      </c>
      <c r="U53" t="s">
        <v>282</v>
      </c>
    </row>
    <row r="54" spans="1:21" x14ac:dyDescent="0.3">
      <c r="A54" t="s">
        <v>266</v>
      </c>
      <c r="B54" t="s">
        <v>133</v>
      </c>
      <c r="C54" t="s">
        <v>764</v>
      </c>
      <c r="D54" s="6" t="str">
        <f>INDEX(Dim!$F:$F,MATCH($C54,Dim!$A:$A,0))</f>
        <v>TEXT</v>
      </c>
      <c r="E54" s="6" t="str">
        <f>INDEX(Dim!$G:$G,MATCH($C54,Dim!$A:$A,0))</f>
        <v>5_3_3</v>
      </c>
      <c r="F54" t="s">
        <v>290</v>
      </c>
      <c r="G54" s="6" t="str">
        <f>INDEX(RefCol!$H:$H,MATCH($F54,RefCol!$A:$A,0))</f>
        <v>TEXT</v>
      </c>
      <c r="H54" s="6" t="str">
        <f t="shared" si="1"/>
        <v>col5_3_3_1_TEXT</v>
      </c>
      <c r="I54">
        <v>1</v>
      </c>
      <c r="U54" t="s">
        <v>282</v>
      </c>
    </row>
    <row r="55" spans="1:21" x14ac:dyDescent="0.3">
      <c r="A55" t="s">
        <v>667</v>
      </c>
      <c r="B55" t="s">
        <v>133</v>
      </c>
      <c r="C55" t="s">
        <v>763</v>
      </c>
      <c r="D55" s="6" t="str">
        <f>INDEX(Dim!$F:$F,MATCH($C55,Dim!$A:$A,0))</f>
        <v>TEXT</v>
      </c>
      <c r="E55" s="6" t="str">
        <f>INDEX(Dim!$G:$G,MATCH($C55,Dim!$A:$A,0))</f>
        <v>5_4_1</v>
      </c>
      <c r="F55" t="s">
        <v>656</v>
      </c>
      <c r="G55" s="6" t="str">
        <f>INDEX(RefCol!$H:$H,MATCH($F55,RefCol!$A:$A,0))</f>
        <v>GENETIC_READS</v>
      </c>
      <c r="H55" s="6" t="str">
        <f t="shared" si="1"/>
        <v>col5_4_1_1_GENETIC_READS</v>
      </c>
      <c r="I55">
        <v>1</v>
      </c>
      <c r="U55" t="s">
        <v>282</v>
      </c>
    </row>
    <row r="56" spans="1:21" x14ac:dyDescent="0.3">
      <c r="A56" t="s">
        <v>666</v>
      </c>
      <c r="B56" t="s">
        <v>133</v>
      </c>
      <c r="C56" t="s">
        <v>762</v>
      </c>
      <c r="D56" s="6" t="str">
        <f>INDEX(Dim!$F:$F,MATCH($C56,Dim!$A:$A,0))</f>
        <v>TEXT</v>
      </c>
      <c r="E56" s="6" t="str">
        <f>INDEX(Dim!$G:$G,MATCH($C56,Dim!$A:$A,0))</f>
        <v>5_4_2</v>
      </c>
      <c r="F56" t="s">
        <v>655</v>
      </c>
      <c r="G56" s="6" t="str">
        <f>INDEX(RefCol!$H:$H,MATCH($F56,RefCol!$A:$A,0))</f>
        <v>GENETIC_SEQUENCE</v>
      </c>
      <c r="H56" s="6" t="str">
        <f t="shared" si="1"/>
        <v>col5_4_2_1_GENETIC_SEQUENCE</v>
      </c>
      <c r="I56">
        <v>1</v>
      </c>
      <c r="U56" t="s">
        <v>282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zoomScale="110" zoomScaleNormal="110" workbookViewId="0">
      <pane ySplit="1" topLeftCell="A55" activePane="bottomLeft" state="frozen"/>
      <selection pane="bottomLeft" activeCell="B54" sqref="B54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664062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664062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664062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664062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664062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473</v>
      </c>
      <c r="B1" t="s">
        <v>587</v>
      </c>
      <c r="C1" t="s">
        <v>0</v>
      </c>
      <c r="D1" t="s">
        <v>476</v>
      </c>
      <c r="E1" s="6" t="s">
        <v>582</v>
      </c>
      <c r="F1" t="s">
        <v>474</v>
      </c>
      <c r="G1" s="19" t="s">
        <v>482</v>
      </c>
      <c r="H1" s="6" t="s">
        <v>547</v>
      </c>
      <c r="I1" s="6" t="s">
        <v>551</v>
      </c>
      <c r="J1" s="6" t="s">
        <v>548</v>
      </c>
      <c r="K1" s="6" t="s">
        <v>556</v>
      </c>
      <c r="L1" s="6" t="s">
        <v>483</v>
      </c>
      <c r="M1" s="6" t="s">
        <v>484</v>
      </c>
      <c r="N1" s="6" t="s">
        <v>550</v>
      </c>
      <c r="O1" s="6" t="s">
        <v>557</v>
      </c>
      <c r="P1" s="6" t="s">
        <v>485</v>
      </c>
      <c r="Q1" s="6" t="s">
        <v>486</v>
      </c>
      <c r="R1" t="s">
        <v>475</v>
      </c>
      <c r="S1" t="s">
        <v>477</v>
      </c>
      <c r="T1" s="6" t="s">
        <v>543</v>
      </c>
      <c r="U1" s="6" t="s">
        <v>546</v>
      </c>
      <c r="V1" t="s">
        <v>478</v>
      </c>
      <c r="W1" t="s">
        <v>479</v>
      </c>
      <c r="X1" s="6" t="s">
        <v>558</v>
      </c>
      <c r="Y1" t="s">
        <v>480</v>
      </c>
      <c r="Z1" t="s">
        <v>481</v>
      </c>
      <c r="AA1" t="s">
        <v>830</v>
      </c>
      <c r="AB1" t="s">
        <v>831</v>
      </c>
      <c r="AC1" s="6" t="s">
        <v>832</v>
      </c>
      <c r="AD1" s="6" t="s">
        <v>833</v>
      </c>
      <c r="AE1" s="6" t="s">
        <v>834</v>
      </c>
      <c r="AF1" s="6" t="s">
        <v>835</v>
      </c>
      <c r="AG1" s="6" t="s">
        <v>836</v>
      </c>
      <c r="AH1" t="s">
        <v>837</v>
      </c>
      <c r="AI1" t="s">
        <v>838</v>
      </c>
      <c r="AJ1" s="6" t="s">
        <v>839</v>
      </c>
      <c r="AK1" s="6" t="s">
        <v>840</v>
      </c>
      <c r="AL1" s="6" t="s">
        <v>841</v>
      </c>
      <c r="AM1" s="6" t="s">
        <v>842</v>
      </c>
      <c r="AN1" s="6" t="s">
        <v>843</v>
      </c>
      <c r="AO1" t="s">
        <v>844</v>
      </c>
      <c r="AP1" t="s">
        <v>845</v>
      </c>
      <c r="AQ1" s="6" t="s">
        <v>846</v>
      </c>
      <c r="AR1" s="6" t="s">
        <v>847</v>
      </c>
      <c r="AS1" s="6" t="s">
        <v>848</v>
      </c>
      <c r="AT1" s="6" t="s">
        <v>849</v>
      </c>
      <c r="AU1" s="6" t="s">
        <v>850</v>
      </c>
    </row>
    <row r="2" spans="1:47" x14ac:dyDescent="0.3">
      <c r="A2">
        <v>1</v>
      </c>
      <c r="B2" t="b">
        <v>1</v>
      </c>
      <c r="C2" t="s">
        <v>490</v>
      </c>
      <c r="D2" t="s">
        <v>588</v>
      </c>
      <c r="E2" s="6" t="str">
        <f>INDEX(User!$D:$D,MATCH($D2,User!$A:$A,0))</f>
        <v>root1_1</v>
      </c>
      <c r="F2" t="s">
        <v>544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489</v>
      </c>
      <c r="S2" t="s">
        <v>117</v>
      </c>
      <c r="T2" s="6" t="str">
        <f>INDEX(CaseType!$B:$B,MATCH($S2,CaseType!$A:$A,0))</f>
        <v>case_type1</v>
      </c>
      <c r="U2" s="6" t="b">
        <f>AND(IF($AA2="",TRUE,$S2=INDEX(Col!$B:$B,MATCH($AA2,Col!$A:$A,0))),IF($AH2="",TRUE,$S2=INDEX(Col!$B:$B,MATCH($AH2,Col!$A:$A,0))),IF($AO2="",TRUE,$S2=INDEX(Col!$B:$B,MATCH($AO2,Col!$A:$A,0))))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138</v>
      </c>
      <c r="AB2" t="s">
        <v>545</v>
      </c>
      <c r="AC2" s="6" t="str">
        <f>IF($AA2="","",INDEX(Col!$H:$H,MATCH($AA2,Col!$A:$A,0)))</f>
        <v>col1_1_1_1_TEXT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IF($AA2="",TRUE,IF($N2="",FALSE,IF(INDIRECT("UserAccessCasePolicy!K"&amp;$N2)="",FALSE,NOT(ISNA(MATCH(INDIRECT("UserAccessCasePolicy!K"&amp;$N2)&amp;"|"&amp;$AA2,ColSetMember!$H:$H,0))))))</f>
        <v>0</v>
      </c>
      <c r="AJ2" s="6" t="str">
        <f>IF($AH2="","",INDEX(Col!$H:$H,MATCH($AH2,Col!$A:$A,0)))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IF($AH2="",TRUE,IF($N2="",FALSE,IF(INDIRECT("UserAccessCasePolicy!K"&amp;$N2)="",FALSE,NOT(ISNA(MATCH(INDIRECT("UserAccessCasePolicy!K"&amp;$N2)&amp;"|"&amp;$AH2,ColSetMember!$H:$H,0))))))</f>
        <v>1</v>
      </c>
      <c r="AQ2" s="6" t="str">
        <f>IF($AO2="","",INDEX(Col!$H:$H,MATCH($AO2,Col!$A:$A,0)))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IF($AO2="",TRUE,IF($N2="",FALSE,IF(INDIRECT("UserAccessCasePolicy!K"&amp;$N2)="",FALSE,NOT(ISNA(MATCH(INDIRECT("UserAccessCasePolicy!K"&amp;$N2)&amp;"|"&amp;$AO2,ColSetMember!$H:$H,0))))))</f>
        <v>1</v>
      </c>
    </row>
    <row r="3" spans="1:47" x14ac:dyDescent="0.3">
      <c r="A3">
        <v>2</v>
      </c>
      <c r="B3" t="b">
        <v>1</v>
      </c>
      <c r="C3" t="s">
        <v>488</v>
      </c>
      <c r="D3" t="s">
        <v>337</v>
      </c>
      <c r="E3" s="6" t="str">
        <f>INDEX(User!$D:$D,MATCH($D3,User!$A:$A,0))</f>
        <v>app_admin1_1</v>
      </c>
      <c r="F3" t="s">
        <v>544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487</v>
      </c>
      <c r="S3" t="s">
        <v>117</v>
      </c>
      <c r="T3" s="6" t="str">
        <f>INDEX(CaseType!$B:$B,MATCH($S3,CaseType!$A:$A,0))</f>
        <v>case_type1</v>
      </c>
      <c r="U3" s="6" t="b">
        <f>AND(IF($AA3="",TRUE,$S3=INDEX(Col!$B:$B,MATCH($AA3,Col!$A:$A,0))),IF($AH3="",TRUE,$S3=INDEX(Col!$B:$B,MATCH($AH3,Col!$A:$A,0))),IF($AO3="",TRUE,$S3=INDEX(Col!$B:$B,MATCH($AO3,Col!$A:$A,0))))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138</v>
      </c>
      <c r="AB3" t="s">
        <v>545</v>
      </c>
      <c r="AC3" s="6" t="str">
        <f>IF($AA3="","",INDEX(Col!$H:$H,MATCH($AA3,Col!$A:$A,0)))</f>
        <v>col1_1_1_1_TEXT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IF($AA3="",TRUE,IF($N3="",FALSE,IF(INDIRECT("UserAccessCasePolicy!K"&amp;$N3)="",FALSE,NOT(ISNA(MATCH(INDIRECT("UserAccessCasePolicy!K"&amp;$N3)&amp;"|"&amp;$AA3,ColSetMember!$H:$H,0))))))</f>
        <v>0</v>
      </c>
      <c r="AJ3" s="6" t="str">
        <f>IF($AH3="","",INDEX(Col!$H:$H,MATCH($AH3,Col!$A:$A,0)))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IF($AH3="",TRUE,IF($N3="",FALSE,IF(INDIRECT("UserAccessCasePolicy!K"&amp;$N3)="",FALSE,NOT(ISNA(MATCH(INDIRECT("UserAccessCasePolicy!K"&amp;$N3)&amp;"|"&amp;$AH3,ColSetMember!$H:$H,0))))))</f>
        <v>1</v>
      </c>
      <c r="AQ3" s="6" t="str">
        <f>IF($AO3="","",INDEX(Col!$H:$H,MATCH($AO3,Col!$A:$A,0)))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IF($AO3="",TRUE,IF($N3="",FALSE,IF(INDIRECT("UserAccessCasePolicy!K"&amp;$N3)="",FALSE,NOT(ISNA(MATCH(INDIRECT("UserAccessCasePolicy!K"&amp;$N3)&amp;"|"&amp;$AO3,ColSetMember!$H:$H,0))))))</f>
        <v>1</v>
      </c>
    </row>
    <row r="4" spans="1:47" x14ac:dyDescent="0.3">
      <c r="A4">
        <v>3</v>
      </c>
      <c r="B4" t="b">
        <v>1</v>
      </c>
      <c r="C4" t="s">
        <v>491</v>
      </c>
      <c r="D4" t="s">
        <v>339</v>
      </c>
      <c r="E4" s="6" t="str">
        <f>INDEX(User!$D:$D,MATCH($D4,User!$A:$A,0))</f>
        <v>refdata_admin1_1</v>
      </c>
      <c r="F4" t="s">
        <v>544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517</v>
      </c>
      <c r="S4" t="s">
        <v>117</v>
      </c>
      <c r="T4" s="6" t="str">
        <f>INDEX(CaseType!$B:$B,MATCH($S4,CaseType!$A:$A,0))</f>
        <v>case_type1</v>
      </c>
      <c r="U4" s="6" t="b">
        <f>AND(IF($AA4="",TRUE,$S4=INDEX(Col!$B:$B,MATCH($AA4,Col!$A:$A,0))),IF($AH4="",TRUE,$S4=INDEX(Col!$B:$B,MATCH($AH4,Col!$A:$A,0))),IF($AO4="",TRUE,$S4=INDEX(Col!$B:$B,MATCH($AO4,Col!$A:$A,0))))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138</v>
      </c>
      <c r="AB4" t="s">
        <v>545</v>
      </c>
      <c r="AC4" s="6" t="str">
        <f>IF($AA4="","",INDEX(Col!$H:$H,MATCH($AA4,Col!$A:$A,0)))</f>
        <v>col1_1_1_1_TEXT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IF($AA4="",TRUE,IF($N4="",FALSE,IF(INDIRECT("UserAccessCasePolicy!K"&amp;$N4)="",FALSE,NOT(ISNA(MATCH(INDIRECT("UserAccessCasePolicy!K"&amp;$N4)&amp;"|"&amp;$AA4,ColSetMember!$H:$H,0))))))</f>
        <v>0</v>
      </c>
      <c r="AJ4" s="6" t="str">
        <f>IF($AH4="","",INDEX(Col!$H:$H,MATCH($AH4,Col!$A:$A,0)))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IF($AH4="",TRUE,IF($N4="",FALSE,IF(INDIRECT("UserAccessCasePolicy!K"&amp;$N4)="",FALSE,NOT(ISNA(MATCH(INDIRECT("UserAccessCasePolicy!K"&amp;$N4)&amp;"|"&amp;$AH4,ColSetMember!$H:$H,0))))))</f>
        <v>1</v>
      </c>
      <c r="AQ4" s="6" t="str">
        <f>IF($AO4="","",INDEX(Col!$H:$H,MATCH($AO4,Col!$A:$A,0)))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IF($AO4="",TRUE,IF($N4="",FALSE,IF(INDIRECT("UserAccessCasePolicy!K"&amp;$N4)="",FALSE,NOT(ISNA(MATCH(INDIRECT("UserAccessCasePolicy!K"&amp;$N4)&amp;"|"&amp;$AO4,ColSetMember!$H:$H,0))))))</f>
        <v>1</v>
      </c>
    </row>
    <row r="5" spans="1:47" x14ac:dyDescent="0.3">
      <c r="A5">
        <v>4</v>
      </c>
      <c r="B5" t="b">
        <v>1</v>
      </c>
      <c r="C5" t="s">
        <v>574</v>
      </c>
      <c r="D5" t="s">
        <v>44</v>
      </c>
      <c r="E5" s="6" t="str">
        <f>INDEX(User!$D:$D,MATCH($D5,User!$A:$A,0))</f>
        <v>org_admin1_1</v>
      </c>
      <c r="F5" t="s">
        <v>544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578</v>
      </c>
      <c r="S5" t="s">
        <v>117</v>
      </c>
      <c r="T5" s="6" t="str">
        <f>INDEX(CaseType!$B:$B,MATCH($S5,CaseType!$A:$A,0))</f>
        <v>case_type1</v>
      </c>
      <c r="U5" s="6" t="b">
        <f>AND(IF($AA5="",TRUE,$S5=INDEX(Col!$B:$B,MATCH($AA5,Col!$A:$A,0))),IF($AH5="",TRUE,$S5=INDEX(Col!$B:$B,MATCH($AH5,Col!$A:$A,0))),IF($AO5="",TRUE,$S5=INDEX(Col!$B:$B,MATCH($AO5,Col!$A:$A,0))))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138</v>
      </c>
      <c r="AB5" t="s">
        <v>545</v>
      </c>
      <c r="AC5" s="6" t="str">
        <f>IF($AA5="","",INDEX(Col!$H:$H,MATCH($AA5,Col!$A:$A,0)))</f>
        <v>col1_1_1_1_TEXT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IF($AA5="",TRUE,IF($N5="",FALSE,IF(INDIRECT("UserAccessCasePolicy!K"&amp;$N5)="",FALSE,NOT(ISNA(MATCH(INDIRECT("UserAccessCasePolicy!K"&amp;$N5)&amp;"|"&amp;$AA5,ColSetMember!$H:$H,0))))))</f>
        <v>0</v>
      </c>
      <c r="AJ5" s="6" t="str">
        <f>IF($AH5="","",INDEX(Col!$H:$H,MATCH($AH5,Col!$A:$A,0)))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IF($AH5="",TRUE,IF($N5="",FALSE,IF(INDIRECT("UserAccessCasePolicy!K"&amp;$N5)="",FALSE,NOT(ISNA(MATCH(INDIRECT("UserAccessCasePolicy!K"&amp;$N5)&amp;"|"&amp;$AH5,ColSetMember!$H:$H,0))))))</f>
        <v>1</v>
      </c>
      <c r="AQ5" s="6" t="str">
        <f>IF($AO5="","",INDEX(Col!$H:$H,MATCH($AO5,Col!$A:$A,0)))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IF($AO5="",TRUE,IF($N5="",FALSE,IF(INDIRECT("UserAccessCasePolicy!K"&amp;$N5)="",FALSE,NOT(ISNA(MATCH(INDIRECT("UserAccessCasePolicy!K"&amp;$N5)&amp;"|"&amp;$AO5,ColSetMember!$H:$H,0))))))</f>
        <v>1</v>
      </c>
    </row>
    <row r="6" spans="1:47" x14ac:dyDescent="0.3">
      <c r="A6">
        <v>5</v>
      </c>
      <c r="B6" t="b">
        <v>1</v>
      </c>
      <c r="C6" t="s">
        <v>575</v>
      </c>
      <c r="D6" t="s">
        <v>10</v>
      </c>
      <c r="E6" s="6" t="str">
        <f>INDEX(User!$D:$D,MATCH($D6,User!$A:$A,0))</f>
        <v>org_user1_1</v>
      </c>
      <c r="F6" t="s">
        <v>544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579</v>
      </c>
      <c r="S6" t="s">
        <v>117</v>
      </c>
      <c r="T6" s="6" t="str">
        <f>INDEX(CaseType!$B:$B,MATCH($S6,CaseType!$A:$A,0))</f>
        <v>case_type1</v>
      </c>
      <c r="U6" s="6" t="b">
        <f>AND(IF($AA6="",TRUE,$S6=INDEX(Col!$B:$B,MATCH($AA6,Col!$A:$A,0))),IF($AH6="",TRUE,$S6=INDEX(Col!$B:$B,MATCH($AH6,Col!$A:$A,0))),IF($AO6="",TRUE,$S6=INDEX(Col!$B:$B,MATCH($AO6,Col!$A:$A,0))))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138</v>
      </c>
      <c r="AB6" t="s">
        <v>545</v>
      </c>
      <c r="AC6" s="6" t="str">
        <f>IF($AA6="","",INDEX(Col!$H:$H,MATCH($AA6,Col!$A:$A,0)))</f>
        <v>col1_1_1_1_TEXT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IF($AA6="",TRUE,IF($N6="",FALSE,IF(INDIRECT("UserAccessCasePolicy!K"&amp;$N6)="",FALSE,NOT(ISNA(MATCH(INDIRECT("UserAccessCasePolicy!K"&amp;$N6)&amp;"|"&amp;$AA6,ColSetMember!$H:$H,0))))))</f>
        <v>1</v>
      </c>
      <c r="AJ6" s="6" t="str">
        <f>IF($AH6="","",INDEX(Col!$H:$H,MATCH($AH6,Col!$A:$A,0)))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IF($AH6="",TRUE,IF($N6="",FALSE,IF(INDIRECT("UserAccessCasePolicy!K"&amp;$N6)="",FALSE,NOT(ISNA(MATCH(INDIRECT("UserAccessCasePolicy!K"&amp;$N6)&amp;"|"&amp;$AH6,ColSetMember!$H:$H,0))))))</f>
        <v>1</v>
      </c>
      <c r="AQ6" s="6" t="str">
        <f>IF($AO6="","",INDEX(Col!$H:$H,MATCH($AO6,Col!$A:$A,0)))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IF($AO6="",TRUE,IF($N6="",FALSE,IF(INDIRECT("UserAccessCasePolicy!K"&amp;$N6)="",FALSE,NOT(ISNA(MATCH(INDIRECT("UserAccessCasePolicy!K"&amp;$N6)&amp;"|"&amp;$AO6,ColSetMember!$H:$H,0))))))</f>
        <v>1</v>
      </c>
    </row>
    <row r="7" spans="1:47" x14ac:dyDescent="0.3">
      <c r="A7">
        <v>6</v>
      </c>
      <c r="B7" t="b">
        <v>1</v>
      </c>
      <c r="C7" t="s">
        <v>576</v>
      </c>
      <c r="D7" t="s">
        <v>588</v>
      </c>
      <c r="E7" s="6" t="str">
        <f>INDEX(User!$D:$D,MATCH($D7,User!$A:$A,0))</f>
        <v>root1_1</v>
      </c>
      <c r="F7" t="s">
        <v>586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580</v>
      </c>
      <c r="S7" t="s">
        <v>117</v>
      </c>
      <c r="T7" s="6" t="str">
        <f>INDEX(CaseType!$B:$B,MATCH($S7,CaseType!$A:$A,0))</f>
        <v>case_type1</v>
      </c>
      <c r="U7" s="6" t="b">
        <f>AND(IF($AA7="",TRUE,$S7=INDEX(Col!$B:$B,MATCH($AA7,Col!$A:$A,0))),IF($AH7="",TRUE,$S7=INDEX(Col!$B:$B,MATCH($AH7,Col!$A:$A,0))),IF($AO7="",TRUE,$S7=INDEX(Col!$B:$B,MATCH($AO7,Col!$A:$A,0))))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138</v>
      </c>
      <c r="AB7" t="s">
        <v>545</v>
      </c>
      <c r="AC7" s="6" t="str">
        <f>IF($AA7="","",INDEX(Col!$H:$H,MATCH($AA7,Col!$A:$A,0)))</f>
        <v>col1_1_1_1_TEXT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IF($AA7="",TRUE,IF($N7="",FALSE,IF(INDIRECT("UserAccessCasePolicy!K"&amp;$N7)="",FALSE,NOT(ISNA(MATCH(INDIRECT("UserAccessCasePolicy!K"&amp;$N7)&amp;"|"&amp;$AA7,ColSetMember!$H:$H,0))))))</f>
        <v>0</v>
      </c>
      <c r="AJ7" s="6" t="str">
        <f>IF($AH7="","",INDEX(Col!$H:$H,MATCH($AH7,Col!$A:$A,0)))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IF($AH7="",TRUE,IF($N7="",FALSE,IF(INDIRECT("UserAccessCasePolicy!K"&amp;$N7)="",FALSE,NOT(ISNA(MATCH(INDIRECT("UserAccessCasePolicy!K"&amp;$N7)&amp;"|"&amp;$AH7,ColSetMember!$H:$H,0))))))</f>
        <v>1</v>
      </c>
      <c r="AQ7" s="6" t="str">
        <f>IF($AO7="","",INDEX(Col!$H:$H,MATCH($AO7,Col!$A:$A,0)))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IF($AO7="",TRUE,IF($N7="",FALSE,IF(INDIRECT("UserAccessCasePolicy!K"&amp;$N7)="",FALSE,NOT(ISNA(MATCH(INDIRECT("UserAccessCasePolicy!K"&amp;$N7)&amp;"|"&amp;$AO7,ColSetMember!$H:$H,0))))))</f>
        <v>1</v>
      </c>
    </row>
    <row r="8" spans="1:47" x14ac:dyDescent="0.3">
      <c r="A8">
        <v>7</v>
      </c>
      <c r="B8" t="b">
        <v>1</v>
      </c>
      <c r="C8" t="s">
        <v>577</v>
      </c>
      <c r="D8" t="s">
        <v>337</v>
      </c>
      <c r="E8" s="6" t="str">
        <f>INDEX(User!$D:$D,MATCH($D8,User!$A:$A,0))</f>
        <v>app_admin1_1</v>
      </c>
      <c r="F8" t="s">
        <v>586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581</v>
      </c>
      <c r="S8" t="s">
        <v>117</v>
      </c>
      <c r="T8" s="6" t="str">
        <f>INDEX(CaseType!$B:$B,MATCH($S8,CaseType!$A:$A,0))</f>
        <v>case_type1</v>
      </c>
      <c r="U8" s="6" t="b">
        <f>AND(IF($AA8="",TRUE,$S8=INDEX(Col!$B:$B,MATCH($AA8,Col!$A:$A,0))),IF($AH8="",TRUE,$S8=INDEX(Col!$B:$B,MATCH($AH8,Col!$A:$A,0))),IF($AO8="",TRUE,$S8=INDEX(Col!$B:$B,MATCH($AO8,Col!$A:$A,0))))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138</v>
      </c>
      <c r="AB8" t="s">
        <v>545</v>
      </c>
      <c r="AC8" s="6" t="str">
        <f>IF($AA8="","",INDEX(Col!$H:$H,MATCH($AA8,Col!$A:$A,0)))</f>
        <v>col1_1_1_1_TEXT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IF($AA8="",TRUE,IF($N8="",FALSE,IF(INDIRECT("UserAccessCasePolicy!K"&amp;$N8)="",FALSE,NOT(ISNA(MATCH(INDIRECT("UserAccessCasePolicy!K"&amp;$N8)&amp;"|"&amp;$AA8,ColSetMember!$H:$H,0))))))</f>
        <v>0</v>
      </c>
      <c r="AJ8" s="6" t="str">
        <f>IF($AH8="","",INDEX(Col!$H:$H,MATCH($AH8,Col!$A:$A,0)))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IF($AH8="",TRUE,IF($N8="",FALSE,IF(INDIRECT("UserAccessCasePolicy!K"&amp;$N8)="",FALSE,NOT(ISNA(MATCH(INDIRECT("UserAccessCasePolicy!K"&amp;$N8)&amp;"|"&amp;$AH8,ColSetMember!$H:$H,0))))))</f>
        <v>1</v>
      </c>
      <c r="AQ8" s="6" t="str">
        <f>IF($AO8="","",INDEX(Col!$H:$H,MATCH($AO8,Col!$A:$A,0)))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IF($AO8="",TRUE,IF($N8="",FALSE,IF(INDIRECT("UserAccessCasePolicy!K"&amp;$N8)="",FALSE,NOT(ISNA(MATCH(INDIRECT("UserAccessCasePolicy!K"&amp;$N8)&amp;"|"&amp;$AO8,ColSetMember!$H:$H,0))))))</f>
        <v>1</v>
      </c>
    </row>
    <row r="9" spans="1:47" x14ac:dyDescent="0.3">
      <c r="A9">
        <v>8</v>
      </c>
      <c r="B9" t="b">
        <v>1</v>
      </c>
      <c r="C9" t="s">
        <v>492</v>
      </c>
      <c r="D9" t="s">
        <v>44</v>
      </c>
      <c r="E9" s="6" t="str">
        <f>INDEX(User!$D:$D,MATCH($D9,User!$A:$A,0))</f>
        <v>org_admin1_1</v>
      </c>
      <c r="F9" t="s">
        <v>586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518</v>
      </c>
      <c r="S9" t="s">
        <v>117</v>
      </c>
      <c r="T9" s="6" t="str">
        <f>INDEX(CaseType!$B:$B,MATCH($S9,CaseType!$A:$A,0))</f>
        <v>case_type1</v>
      </c>
      <c r="U9" s="6" t="b">
        <f>AND(IF($AA9="",TRUE,$S9=INDEX(Col!$B:$B,MATCH($AA9,Col!$A:$A,0))),IF($AH9="",TRUE,$S9=INDEX(Col!$B:$B,MATCH($AH9,Col!$A:$A,0))),IF($AO9="",TRUE,$S9=INDEX(Col!$B:$B,MATCH($AO9,Col!$A:$A,0))))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138</v>
      </c>
      <c r="AB9" t="s">
        <v>545</v>
      </c>
      <c r="AC9" s="6" t="str">
        <f>IF($AA9="","",INDEX(Col!$H:$H,MATCH($AA9,Col!$A:$A,0)))</f>
        <v>col1_1_1_1_TEXT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IF($AA9="",TRUE,IF($N9="",FALSE,IF(INDIRECT("UserAccessCasePolicy!K"&amp;$N9)="",FALSE,NOT(ISNA(MATCH(INDIRECT("UserAccessCasePolicy!K"&amp;$N9)&amp;"|"&amp;$AA9,ColSetMember!$H:$H,0))))))</f>
        <v>0</v>
      </c>
      <c r="AJ9" s="6" t="str">
        <f>IF($AH9="","",INDEX(Col!$H:$H,MATCH($AH9,Col!$A:$A,0)))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IF($AH9="",TRUE,IF($N9="",FALSE,IF(INDIRECT("UserAccessCasePolicy!K"&amp;$N9)="",FALSE,NOT(ISNA(MATCH(INDIRECT("UserAccessCasePolicy!K"&amp;$N9)&amp;"|"&amp;$AH9,ColSetMember!$H:$H,0))))))</f>
        <v>1</v>
      </c>
      <c r="AQ9" s="6" t="str">
        <f>IF($AO9="","",INDEX(Col!$H:$H,MATCH($AO9,Col!$A:$A,0)))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IF($AO9="",TRUE,IF($N9="",FALSE,IF(INDIRECT("UserAccessCasePolicy!K"&amp;$N9)="",FALSE,NOT(ISNA(MATCH(INDIRECT("UserAccessCasePolicy!K"&amp;$N9)&amp;"|"&amp;$AO9,ColSetMember!$H:$H,0))))))</f>
        <v>1</v>
      </c>
    </row>
    <row r="10" spans="1:47" x14ac:dyDescent="0.3">
      <c r="A10">
        <v>9</v>
      </c>
      <c r="B10" t="b">
        <v>1</v>
      </c>
      <c r="C10" t="s">
        <v>493</v>
      </c>
      <c r="D10" t="s">
        <v>47</v>
      </c>
      <c r="E10" s="6" t="str">
        <f>INDEX(User!$D:$D,MATCH($D10,User!$A:$A,0))</f>
        <v>org_admin2_1</v>
      </c>
      <c r="F10" t="s">
        <v>586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519</v>
      </c>
      <c r="S10" t="s">
        <v>117</v>
      </c>
      <c r="T10" s="6" t="str">
        <f>INDEX(CaseType!$B:$B,MATCH($S10,CaseType!$A:$A,0))</f>
        <v>case_type1</v>
      </c>
      <c r="U10" s="6" t="b">
        <f>AND(IF($AA10="",TRUE,$S10=INDEX(Col!$B:$B,MATCH($AA10,Col!$A:$A,0))),IF($AH10="",TRUE,$S10=INDEX(Col!$B:$B,MATCH($AH10,Col!$A:$A,0))),IF($AO10="",TRUE,$S10=INDEX(Col!$B:$B,MATCH($AO10,Col!$A:$A,0))))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138</v>
      </c>
      <c r="AB10" t="s">
        <v>545</v>
      </c>
      <c r="AC10" s="6" t="str">
        <f>IF($AA10="","",INDEX(Col!$H:$H,MATCH($AA10,Col!$A:$A,0)))</f>
        <v>col1_1_1_1_TEXT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IF($AA10="",TRUE,IF($N10="",FALSE,IF(INDIRECT("UserAccessCasePolicy!K"&amp;$N10)="",FALSE,NOT(ISNA(MATCH(INDIRECT("UserAccessCasePolicy!K"&amp;$N10)&amp;"|"&amp;$AA10,ColSetMember!$H:$H,0))))))</f>
        <v>0</v>
      </c>
      <c r="AJ10" s="6" t="str">
        <f>IF($AH10="","",INDEX(Col!$H:$H,MATCH($AH10,Col!$A:$A,0)))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IF($AH10="",TRUE,IF($N10="",FALSE,IF(INDIRECT("UserAccessCasePolicy!K"&amp;$N10)="",FALSE,NOT(ISNA(MATCH(INDIRECT("UserAccessCasePolicy!K"&amp;$N10)&amp;"|"&amp;$AH10,ColSetMember!$H:$H,0))))))</f>
        <v>1</v>
      </c>
      <c r="AQ10" s="6" t="str">
        <f>IF($AO10="","",INDEX(Col!$H:$H,MATCH($AO10,Col!$A:$A,0)))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IF($AO10="",TRUE,IF($N10="",FALSE,IF(INDIRECT("UserAccessCasePolicy!K"&amp;$N10)="",FALSE,NOT(ISNA(MATCH(INDIRECT("UserAccessCasePolicy!K"&amp;$N10)&amp;"|"&amp;$AO10,ColSetMember!$H:$H,0))))))</f>
        <v>1</v>
      </c>
    </row>
    <row r="11" spans="1:47" x14ac:dyDescent="0.3">
      <c r="A11">
        <v>10</v>
      </c>
      <c r="B11" t="b">
        <v>1</v>
      </c>
      <c r="C11" t="s">
        <v>494</v>
      </c>
      <c r="D11" t="s">
        <v>50</v>
      </c>
      <c r="E11" s="6" t="str">
        <f>INDEX(User!$D:$D,MATCH($D11,User!$A:$A,0))</f>
        <v>org_admin3_1</v>
      </c>
      <c r="F11" t="s">
        <v>586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520</v>
      </c>
      <c r="S11" t="s">
        <v>117</v>
      </c>
      <c r="T11" s="6" t="str">
        <f>INDEX(CaseType!$B:$B,MATCH($S11,CaseType!$A:$A,0))</f>
        <v>case_type1</v>
      </c>
      <c r="U11" s="6" t="b">
        <f>AND(IF($AA11="",TRUE,$S11=INDEX(Col!$B:$B,MATCH($AA11,Col!$A:$A,0))),IF($AH11="",TRUE,$S11=INDEX(Col!$B:$B,MATCH($AH11,Col!$A:$A,0))),IF($AO11="",TRUE,$S11=INDEX(Col!$B:$B,MATCH($AO11,Col!$A:$A,0))))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138</v>
      </c>
      <c r="AB11" t="s">
        <v>545</v>
      </c>
      <c r="AC11" s="6" t="str">
        <f>IF($AA11="","",INDEX(Col!$H:$H,MATCH($AA11,Col!$A:$A,0)))</f>
        <v>col1_1_1_1_TEXT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IF($AA11="",TRUE,IF($N11="",FALSE,IF(INDIRECT("UserAccessCasePolicy!K"&amp;$N11)="",FALSE,NOT(ISNA(MATCH(INDIRECT("UserAccessCasePolicy!K"&amp;$N11)&amp;"|"&amp;$AA11,ColSetMember!$H:$H,0))))))</f>
        <v>0</v>
      </c>
      <c r="AJ11" s="6" t="str">
        <f>IF($AH11="","",INDEX(Col!$H:$H,MATCH($AH11,Col!$A:$A,0)))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IF($AH11="",TRUE,IF($N11="",FALSE,IF(INDIRECT("UserAccessCasePolicy!K"&amp;$N11)="",FALSE,NOT(ISNA(MATCH(INDIRECT("UserAccessCasePolicy!K"&amp;$N11)&amp;"|"&amp;$AH11,ColSetMember!$H:$H,0))))))</f>
        <v>1</v>
      </c>
      <c r="AQ11" s="6" t="str">
        <f>IF($AO11="","",INDEX(Col!$H:$H,MATCH($AO11,Col!$A:$A,0)))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IF($AO11="",TRUE,IF($N11="",FALSE,IF(INDIRECT("UserAccessCasePolicy!K"&amp;$N11)="",FALSE,NOT(ISNA(MATCH(INDIRECT("UserAccessCasePolicy!K"&amp;$N11)&amp;"|"&amp;$AO11,ColSetMember!$H:$H,0))))))</f>
        <v>1</v>
      </c>
    </row>
    <row r="12" spans="1:47" x14ac:dyDescent="0.3">
      <c r="A12">
        <v>11</v>
      </c>
      <c r="B12" t="b">
        <v>1</v>
      </c>
      <c r="C12" t="s">
        <v>495</v>
      </c>
      <c r="D12" t="s">
        <v>53</v>
      </c>
      <c r="E12" s="6" t="str">
        <f>INDEX(User!$D:$D,MATCH($D12,User!$A:$A,0))</f>
        <v>org_admin4_1</v>
      </c>
      <c r="F12" t="s">
        <v>586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521</v>
      </c>
      <c r="S12" t="s">
        <v>117</v>
      </c>
      <c r="T12" s="6" t="str">
        <f>INDEX(CaseType!$B:$B,MATCH($S12,CaseType!$A:$A,0))</f>
        <v>case_type1</v>
      </c>
      <c r="U12" s="6" t="b">
        <f>AND(IF($AA12="",TRUE,$S12=INDEX(Col!$B:$B,MATCH($AA12,Col!$A:$A,0))),IF($AH12="",TRUE,$S12=INDEX(Col!$B:$B,MATCH($AH12,Col!$A:$A,0))),IF($AO12="",TRUE,$S12=INDEX(Col!$B:$B,MATCH($AO12,Col!$A:$A,0))))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138</v>
      </c>
      <c r="AB12" t="s">
        <v>545</v>
      </c>
      <c r="AC12" s="6" t="str">
        <f>IF($AA12="","",INDEX(Col!$H:$H,MATCH($AA12,Col!$A:$A,0)))</f>
        <v>col1_1_1_1_TEXT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IF($AA12="",TRUE,IF($N12="",FALSE,IF(INDIRECT("UserAccessCasePolicy!K"&amp;$N12)="",FALSE,NOT(ISNA(MATCH(INDIRECT("UserAccessCasePolicy!K"&amp;$N12)&amp;"|"&amp;$AA12,ColSetMember!$H:$H,0))))))</f>
        <v>0</v>
      </c>
      <c r="AJ12" s="6" t="str">
        <f>IF($AH12="","",INDEX(Col!$H:$H,MATCH($AH12,Col!$A:$A,0)))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IF($AH12="",TRUE,IF($N12="",FALSE,IF(INDIRECT("UserAccessCasePolicy!K"&amp;$N12)="",FALSE,NOT(ISNA(MATCH(INDIRECT("UserAccessCasePolicy!K"&amp;$N12)&amp;"|"&amp;$AH12,ColSetMember!$H:$H,0))))))</f>
        <v>1</v>
      </c>
      <c r="AQ12" s="6" t="str">
        <f>IF($AO12="","",INDEX(Col!$H:$H,MATCH($AO12,Col!$A:$A,0)))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IF($AO12="",TRUE,IF($N12="",FALSE,IF(INDIRECT("UserAccessCasePolicy!K"&amp;$N12)="",FALSE,NOT(ISNA(MATCH(INDIRECT("UserAccessCasePolicy!K"&amp;$N12)&amp;"|"&amp;$AO12,ColSetMember!$H:$H,0))))))</f>
        <v>1</v>
      </c>
    </row>
    <row r="13" spans="1:47" x14ac:dyDescent="0.3">
      <c r="A13">
        <v>12</v>
      </c>
      <c r="B13" t="b">
        <v>1</v>
      </c>
      <c r="C13" t="s">
        <v>496</v>
      </c>
      <c r="D13" t="s">
        <v>56</v>
      </c>
      <c r="E13" s="6" t="str">
        <f>INDEX(User!$D:$D,MATCH($D13,User!$A:$A,0))</f>
        <v>org_admin5_1</v>
      </c>
      <c r="F13" t="s">
        <v>586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522</v>
      </c>
      <c r="S13" t="s">
        <v>117</v>
      </c>
      <c r="T13" s="6" t="str">
        <f>INDEX(CaseType!$B:$B,MATCH($S13,CaseType!$A:$A,0))</f>
        <v>case_type1</v>
      </c>
      <c r="U13" s="6" t="b">
        <f>AND(IF($AA13="",TRUE,$S13=INDEX(Col!$B:$B,MATCH($AA13,Col!$A:$A,0))),IF($AH13="",TRUE,$S13=INDEX(Col!$B:$B,MATCH($AH13,Col!$A:$A,0))),IF($AO13="",TRUE,$S13=INDEX(Col!$B:$B,MATCH($AO13,Col!$A:$A,0))))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138</v>
      </c>
      <c r="AB13" t="s">
        <v>545</v>
      </c>
      <c r="AC13" s="6" t="str">
        <f>IF($AA13="","",INDEX(Col!$H:$H,MATCH($AA13,Col!$A:$A,0)))</f>
        <v>col1_1_1_1_TEXT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IF($AA13="",TRUE,IF($N13="",FALSE,IF(INDIRECT("UserAccessCasePolicy!K"&amp;$N13)="",FALSE,NOT(ISNA(MATCH(INDIRECT("UserAccessCasePolicy!K"&amp;$N13)&amp;"|"&amp;$AA13,ColSetMember!$H:$H,0))))))</f>
        <v>0</v>
      </c>
      <c r="AJ13" s="6" t="str">
        <f>IF($AH13="","",INDEX(Col!$H:$H,MATCH($AH13,Col!$A:$A,0)))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IF($AH13="",TRUE,IF($N13="",FALSE,IF(INDIRECT("UserAccessCasePolicy!K"&amp;$N13)="",FALSE,NOT(ISNA(MATCH(INDIRECT("UserAccessCasePolicy!K"&amp;$N13)&amp;"|"&amp;$AH13,ColSetMember!$H:$H,0))))))</f>
        <v>1</v>
      </c>
      <c r="AQ13" s="6" t="str">
        <f>IF($AO13="","",INDEX(Col!$H:$H,MATCH($AO13,Col!$A:$A,0)))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IF($AO13="",TRUE,IF($N13="",FALSE,IF(INDIRECT("UserAccessCasePolicy!K"&amp;$N13)="",FALSE,NOT(ISNA(MATCH(INDIRECT("UserAccessCasePolicy!K"&amp;$N13)&amp;"|"&amp;$AO13,ColSetMember!$H:$H,0))))))</f>
        <v>1</v>
      </c>
    </row>
    <row r="14" spans="1:47" x14ac:dyDescent="0.3">
      <c r="A14">
        <v>13</v>
      </c>
      <c r="B14" t="b">
        <v>1</v>
      </c>
      <c r="C14" t="s">
        <v>497</v>
      </c>
      <c r="D14" t="s">
        <v>10</v>
      </c>
      <c r="E14" s="6" t="str">
        <f>INDEX(User!$D:$D,MATCH($D14,User!$A:$A,0))</f>
        <v>org_user1_1</v>
      </c>
      <c r="F14" t="s">
        <v>586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523</v>
      </c>
      <c r="S14" t="s">
        <v>117</v>
      </c>
      <c r="T14" s="6" t="str">
        <f>INDEX(CaseType!$B:$B,MATCH($S14,CaseType!$A:$A,0))</f>
        <v>case_type1</v>
      </c>
      <c r="U14" s="6" t="b">
        <f>AND(IF($AA14="",TRUE,$S14=INDEX(Col!$B:$B,MATCH($AA14,Col!$A:$A,0))),IF($AH14="",TRUE,$S14=INDEX(Col!$B:$B,MATCH($AH14,Col!$A:$A,0))),IF($AO14="",TRUE,$S14=INDEX(Col!$B:$B,MATCH($AO14,Col!$A:$A,0))))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138</v>
      </c>
      <c r="AB14" t="s">
        <v>545</v>
      </c>
      <c r="AC14" s="6" t="str">
        <f>IF($AA14="","",INDEX(Col!$H:$H,MATCH($AA14,Col!$A:$A,0)))</f>
        <v>col1_1_1_1_TEXT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IF($AA14="",TRUE,IF($N14="",FALSE,IF(INDIRECT("UserAccessCasePolicy!K"&amp;$N14)="",FALSE,NOT(ISNA(MATCH(INDIRECT("UserAccessCasePolicy!K"&amp;$N14)&amp;"|"&amp;$AA14,ColSetMember!$H:$H,0))))))</f>
        <v>1</v>
      </c>
      <c r="AJ14" s="6" t="str">
        <f>IF($AH14="","",INDEX(Col!$H:$H,MATCH($AH14,Col!$A:$A,0)))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IF($AH14="",TRUE,IF($N14="",FALSE,IF(INDIRECT("UserAccessCasePolicy!K"&amp;$N14)="",FALSE,NOT(ISNA(MATCH(INDIRECT("UserAccessCasePolicy!K"&amp;$N14)&amp;"|"&amp;$AH14,ColSetMember!$H:$H,0))))))</f>
        <v>1</v>
      </c>
      <c r="AQ14" s="6" t="str">
        <f>IF($AO14="","",INDEX(Col!$H:$H,MATCH($AO14,Col!$A:$A,0)))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IF($AO14="",TRUE,IF($N14="",FALSE,IF(INDIRECT("UserAccessCasePolicy!K"&amp;$N14)="",FALSE,NOT(ISNA(MATCH(INDIRECT("UserAccessCasePolicy!K"&amp;$N14)&amp;"|"&amp;$AO14,ColSetMember!$H:$H,0))))))</f>
        <v>1</v>
      </c>
    </row>
    <row r="15" spans="1:47" x14ac:dyDescent="0.3">
      <c r="A15">
        <v>14</v>
      </c>
      <c r="B15" t="b">
        <v>1</v>
      </c>
      <c r="C15" t="s">
        <v>498</v>
      </c>
      <c r="D15" t="s">
        <v>12</v>
      </c>
      <c r="E15" s="6" t="str">
        <f>INDEX(User!$D:$D,MATCH($D15,User!$A:$A,0))</f>
        <v>org_user1_2</v>
      </c>
      <c r="F15" t="s">
        <v>586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524</v>
      </c>
      <c r="S15" t="s">
        <v>117</v>
      </c>
      <c r="T15" s="6" t="str">
        <f>INDEX(CaseType!$B:$B,MATCH($S15,CaseType!$A:$A,0))</f>
        <v>case_type1</v>
      </c>
      <c r="U15" s="6" t="b">
        <f>AND(IF($AA15="",TRUE,$S15=INDEX(Col!$B:$B,MATCH($AA15,Col!$A:$A,0))),IF($AH15="",TRUE,$S15=INDEX(Col!$B:$B,MATCH($AH15,Col!$A:$A,0))),IF($AO15="",TRUE,$S15=INDEX(Col!$B:$B,MATCH($AO15,Col!$A:$A,0))))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138</v>
      </c>
      <c r="AB15" t="s">
        <v>545</v>
      </c>
      <c r="AC15" s="6" t="str">
        <f>IF($AA15="","",INDEX(Col!$H:$H,MATCH($AA15,Col!$A:$A,0)))</f>
        <v>col1_1_1_1_TEXT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IF($AA15="",TRUE,IF($N15="",FALSE,IF(INDIRECT("UserAccessCasePolicy!K"&amp;$N15)="",FALSE,NOT(ISNA(MATCH(INDIRECT("UserAccessCasePolicy!K"&amp;$N15)&amp;"|"&amp;$AA15,ColSetMember!$H:$H,0))))))</f>
        <v>0</v>
      </c>
      <c r="AJ15" s="6" t="str">
        <f>IF($AH15="","",INDEX(Col!$H:$H,MATCH($AH15,Col!$A:$A,0)))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IF($AH15="",TRUE,IF($N15="",FALSE,IF(INDIRECT("UserAccessCasePolicy!K"&amp;$N15)="",FALSE,NOT(ISNA(MATCH(INDIRECT("UserAccessCasePolicy!K"&amp;$N15)&amp;"|"&amp;$AH15,ColSetMember!$H:$H,0))))))</f>
        <v>1</v>
      </c>
      <c r="AQ15" s="6" t="str">
        <f>IF($AO15="","",INDEX(Col!$H:$H,MATCH($AO15,Col!$A:$A,0)))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IF($AO15="",TRUE,IF($N15="",FALSE,IF(INDIRECT("UserAccessCasePolicy!K"&amp;$N15)="",FALSE,NOT(ISNA(MATCH(INDIRECT("UserAccessCasePolicy!K"&amp;$N15)&amp;"|"&amp;$AO15,ColSetMember!$H:$H,0))))))</f>
        <v>1</v>
      </c>
    </row>
    <row r="16" spans="1:47" x14ac:dyDescent="0.3">
      <c r="A16">
        <v>15</v>
      </c>
      <c r="B16" t="b">
        <v>1</v>
      </c>
      <c r="C16" t="s">
        <v>499</v>
      </c>
      <c r="D16" t="s">
        <v>13</v>
      </c>
      <c r="E16" s="6" t="str">
        <f>INDEX(User!$D:$D,MATCH($D16,User!$A:$A,0))</f>
        <v>org_user1_3</v>
      </c>
      <c r="F16" t="s">
        <v>586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525</v>
      </c>
      <c r="S16" t="s">
        <v>117</v>
      </c>
      <c r="T16" s="6" t="str">
        <f>INDEX(CaseType!$B:$B,MATCH($S16,CaseType!$A:$A,0))</f>
        <v>case_type1</v>
      </c>
      <c r="U16" s="6" t="b">
        <f>AND(IF($AA16="",TRUE,$S16=INDEX(Col!$B:$B,MATCH($AA16,Col!$A:$A,0))),IF($AH16="",TRUE,$S16=INDEX(Col!$B:$B,MATCH($AH16,Col!$A:$A,0))),IF($AO16="",TRUE,$S16=INDEX(Col!$B:$B,MATCH($AO16,Col!$A:$A,0))))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138</v>
      </c>
      <c r="AB16" t="s">
        <v>545</v>
      </c>
      <c r="AC16" s="6" t="str">
        <f>IF($AA16="","",INDEX(Col!$H:$H,MATCH($AA16,Col!$A:$A,0)))</f>
        <v>col1_1_1_1_TEXT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IF($AA16="",TRUE,IF($N16="",FALSE,IF(INDIRECT("UserAccessCasePolicy!K"&amp;$N16)="",FALSE,NOT(ISNA(MATCH(INDIRECT("UserAccessCasePolicy!K"&amp;$N16)&amp;"|"&amp;$AA16,ColSetMember!$H:$H,0))))))</f>
        <v>0</v>
      </c>
      <c r="AJ16" s="6" t="str">
        <f>IF($AH16="","",INDEX(Col!$H:$H,MATCH($AH16,Col!$A:$A,0)))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IF($AH16="",TRUE,IF($N16="",FALSE,IF(INDIRECT("UserAccessCasePolicy!K"&amp;$N16)="",FALSE,NOT(ISNA(MATCH(INDIRECT("UserAccessCasePolicy!K"&amp;$N16)&amp;"|"&amp;$AH16,ColSetMember!$H:$H,0))))))</f>
        <v>1</v>
      </c>
      <c r="AQ16" s="6" t="str">
        <f>IF($AO16="","",INDEX(Col!$H:$H,MATCH($AO16,Col!$A:$A,0)))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IF($AO16="",TRUE,IF($N16="",FALSE,IF(INDIRECT("UserAccessCasePolicy!K"&amp;$N16)="",FALSE,NOT(ISNA(MATCH(INDIRECT("UserAccessCasePolicy!K"&amp;$N16)&amp;"|"&amp;$AO16,ColSetMember!$H:$H,0))))))</f>
        <v>1</v>
      </c>
    </row>
    <row r="17" spans="1:47" x14ac:dyDescent="0.3">
      <c r="A17">
        <v>16</v>
      </c>
      <c r="B17" t="b">
        <v>1</v>
      </c>
      <c r="C17" t="s">
        <v>500</v>
      </c>
      <c r="D17" t="s">
        <v>14</v>
      </c>
      <c r="E17" s="6" t="str">
        <f>INDEX(User!$D:$D,MATCH($D17,User!$A:$A,0))</f>
        <v>org_user1_4</v>
      </c>
      <c r="F17" t="s">
        <v>586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526</v>
      </c>
      <c r="S17" t="s">
        <v>117</v>
      </c>
      <c r="T17" s="6" t="str">
        <f>INDEX(CaseType!$B:$B,MATCH($S17,CaseType!$A:$A,0))</f>
        <v>case_type1</v>
      </c>
      <c r="U17" s="6" t="b">
        <f>AND(IF($AA17="",TRUE,$S17=INDEX(Col!$B:$B,MATCH($AA17,Col!$A:$A,0))),IF($AH17="",TRUE,$S17=INDEX(Col!$B:$B,MATCH($AH17,Col!$A:$A,0))),IF($AO17="",TRUE,$S17=INDEX(Col!$B:$B,MATCH($AO17,Col!$A:$A,0))))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138</v>
      </c>
      <c r="AB17" t="s">
        <v>545</v>
      </c>
      <c r="AC17" s="6" t="str">
        <f>IF($AA17="","",INDEX(Col!$H:$H,MATCH($AA17,Col!$A:$A,0)))</f>
        <v>col1_1_1_1_TEXT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IF($AA17="",TRUE,IF($N17="",FALSE,IF(INDIRECT("UserAccessCasePolicy!K"&amp;$N17)="",FALSE,NOT(ISNA(MATCH(INDIRECT("UserAccessCasePolicy!K"&amp;$N17)&amp;"|"&amp;$AA17,ColSetMember!$H:$H,0))))))</f>
        <v>0</v>
      </c>
      <c r="AJ17" s="6" t="str">
        <f>IF($AH17="","",INDEX(Col!$H:$H,MATCH($AH17,Col!$A:$A,0)))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IF($AH17="",TRUE,IF($N17="",FALSE,IF(INDIRECT("UserAccessCasePolicy!K"&amp;$N17)="",FALSE,NOT(ISNA(MATCH(INDIRECT("UserAccessCasePolicy!K"&amp;$N17)&amp;"|"&amp;$AH17,ColSetMember!$H:$H,0))))))</f>
        <v>1</v>
      </c>
      <c r="AQ17" s="6" t="str">
        <f>IF($AO17="","",INDEX(Col!$H:$H,MATCH($AO17,Col!$A:$A,0)))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IF($AO17="",TRUE,IF($N17="",FALSE,IF(INDIRECT("UserAccessCasePolicy!K"&amp;$N17)="",FALSE,NOT(ISNA(MATCH(INDIRECT("UserAccessCasePolicy!K"&amp;$N17)&amp;"|"&amp;$AO17,ColSetMember!$H:$H,0))))))</f>
        <v>1</v>
      </c>
    </row>
    <row r="18" spans="1:47" x14ac:dyDescent="0.3">
      <c r="A18">
        <v>17</v>
      </c>
      <c r="B18" t="b">
        <v>1</v>
      </c>
      <c r="C18" t="s">
        <v>501</v>
      </c>
      <c r="D18" t="s">
        <v>16</v>
      </c>
      <c r="E18" s="6" t="str">
        <f>INDEX(User!$D:$D,MATCH($D18,User!$A:$A,0))</f>
        <v>org_user2_1</v>
      </c>
      <c r="F18" t="s">
        <v>586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527</v>
      </c>
      <c r="S18" t="s">
        <v>117</v>
      </c>
      <c r="T18" s="6" t="str">
        <f>INDEX(CaseType!$B:$B,MATCH($S18,CaseType!$A:$A,0))</f>
        <v>case_type1</v>
      </c>
      <c r="U18" s="6" t="b">
        <f>AND(IF($AA18="",TRUE,$S18=INDEX(Col!$B:$B,MATCH($AA18,Col!$A:$A,0))),IF($AH18="",TRUE,$S18=INDEX(Col!$B:$B,MATCH($AH18,Col!$A:$A,0))),IF($AO18="",TRUE,$S18=INDEX(Col!$B:$B,MATCH($AO18,Col!$A:$A,0))))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138</v>
      </c>
      <c r="AB18" t="s">
        <v>545</v>
      </c>
      <c r="AC18" s="6" t="str">
        <f>IF($AA18="","",INDEX(Col!$H:$H,MATCH($AA18,Col!$A:$A,0)))</f>
        <v>col1_1_1_1_TEXT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IF($AA18="",TRUE,IF($N18="",FALSE,IF(INDIRECT("UserAccessCasePolicy!K"&amp;$N18)="",FALSE,NOT(ISNA(MATCH(INDIRECT("UserAccessCasePolicy!K"&amp;$N18)&amp;"|"&amp;$AA18,ColSetMember!$H:$H,0))))))</f>
        <v>0</v>
      </c>
      <c r="AJ18" s="6" t="str">
        <f>IF($AH18="","",INDEX(Col!$H:$H,MATCH($AH18,Col!$A:$A,0)))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IF($AH18="",TRUE,IF($N18="",FALSE,IF(INDIRECT("UserAccessCasePolicy!K"&amp;$N18)="",FALSE,NOT(ISNA(MATCH(INDIRECT("UserAccessCasePolicy!K"&amp;$N18)&amp;"|"&amp;$AH18,ColSetMember!$H:$H,0))))))</f>
        <v>1</v>
      </c>
      <c r="AQ18" s="6" t="str">
        <f>IF($AO18="","",INDEX(Col!$H:$H,MATCH($AO18,Col!$A:$A,0)))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IF($AO18="",TRUE,IF($N18="",FALSE,IF(INDIRECT("UserAccessCasePolicy!K"&amp;$N18)="",FALSE,NOT(ISNA(MATCH(INDIRECT("UserAccessCasePolicy!K"&amp;$N18)&amp;"|"&amp;$AO18,ColSetMember!$H:$H,0))))))</f>
        <v>1</v>
      </c>
    </row>
    <row r="19" spans="1:47" x14ac:dyDescent="0.3">
      <c r="A19">
        <v>18</v>
      </c>
      <c r="B19" t="b">
        <v>1</v>
      </c>
      <c r="C19" t="s">
        <v>502</v>
      </c>
      <c r="D19" t="s">
        <v>18</v>
      </c>
      <c r="E19" s="6" t="str">
        <f>INDEX(User!$D:$D,MATCH($D19,User!$A:$A,0))</f>
        <v>org_user2_2</v>
      </c>
      <c r="F19" t="s">
        <v>586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528</v>
      </c>
      <c r="S19" t="s">
        <v>117</v>
      </c>
      <c r="T19" s="6" t="str">
        <f>INDEX(CaseType!$B:$B,MATCH($S19,CaseType!$A:$A,0))</f>
        <v>case_type1</v>
      </c>
      <c r="U19" s="6" t="b">
        <f>AND(IF($AA19="",TRUE,$S19=INDEX(Col!$B:$B,MATCH($AA19,Col!$A:$A,0))),IF($AH19="",TRUE,$S19=INDEX(Col!$B:$B,MATCH($AH19,Col!$A:$A,0))),IF($AO19="",TRUE,$S19=INDEX(Col!$B:$B,MATCH($AO19,Col!$A:$A,0))))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138</v>
      </c>
      <c r="AB19" t="s">
        <v>545</v>
      </c>
      <c r="AC19" s="6" t="str">
        <f>IF($AA19="","",INDEX(Col!$H:$H,MATCH($AA19,Col!$A:$A,0)))</f>
        <v>col1_1_1_1_TEXT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IF($AA19="",TRUE,IF($N19="",FALSE,IF(INDIRECT("UserAccessCasePolicy!K"&amp;$N19)="",FALSE,NOT(ISNA(MATCH(INDIRECT("UserAccessCasePolicy!K"&amp;$N19)&amp;"|"&amp;$AA19,ColSetMember!$H:$H,0))))))</f>
        <v>0</v>
      </c>
      <c r="AJ19" s="6" t="str">
        <f>IF($AH19="","",INDEX(Col!$H:$H,MATCH($AH19,Col!$A:$A,0)))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IF($AH19="",TRUE,IF($N19="",FALSE,IF(INDIRECT("UserAccessCasePolicy!K"&amp;$N19)="",FALSE,NOT(ISNA(MATCH(INDIRECT("UserAccessCasePolicy!K"&amp;$N19)&amp;"|"&amp;$AH19,ColSetMember!$H:$H,0))))))</f>
        <v>1</v>
      </c>
      <c r="AQ19" s="6" t="str">
        <f>IF($AO19="","",INDEX(Col!$H:$H,MATCH($AO19,Col!$A:$A,0)))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IF($AO19="",TRUE,IF($N19="",FALSE,IF(INDIRECT("UserAccessCasePolicy!K"&amp;$N19)="",FALSE,NOT(ISNA(MATCH(INDIRECT("UserAccessCasePolicy!K"&amp;$N19)&amp;"|"&amp;$AO19,ColSetMember!$H:$H,0))))))</f>
        <v>1</v>
      </c>
    </row>
    <row r="20" spans="1:47" x14ac:dyDescent="0.3">
      <c r="A20">
        <v>19</v>
      </c>
      <c r="B20" t="b">
        <v>1</v>
      </c>
      <c r="C20" t="s">
        <v>503</v>
      </c>
      <c r="D20" t="s">
        <v>19</v>
      </c>
      <c r="E20" s="6" t="str">
        <f>INDEX(User!$D:$D,MATCH($D20,User!$A:$A,0))</f>
        <v>org_user2_3</v>
      </c>
      <c r="F20" t="s">
        <v>586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529</v>
      </c>
      <c r="S20" t="s">
        <v>117</v>
      </c>
      <c r="T20" s="6" t="str">
        <f>INDEX(CaseType!$B:$B,MATCH($S20,CaseType!$A:$A,0))</f>
        <v>case_type1</v>
      </c>
      <c r="U20" s="6" t="b">
        <f>AND(IF($AA20="",TRUE,$S20=INDEX(Col!$B:$B,MATCH($AA20,Col!$A:$A,0))),IF($AH20="",TRUE,$S20=INDEX(Col!$B:$B,MATCH($AH20,Col!$A:$A,0))),IF($AO20="",TRUE,$S20=INDEX(Col!$B:$B,MATCH($AO20,Col!$A:$A,0))))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138</v>
      </c>
      <c r="AB20" t="s">
        <v>545</v>
      </c>
      <c r="AC20" s="6" t="str">
        <f>IF($AA20="","",INDEX(Col!$H:$H,MATCH($AA20,Col!$A:$A,0)))</f>
        <v>col1_1_1_1_TEXT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IF($AA20="",TRUE,IF($N20="",FALSE,IF(INDIRECT("UserAccessCasePolicy!K"&amp;$N20)="",FALSE,NOT(ISNA(MATCH(INDIRECT("UserAccessCasePolicy!K"&amp;$N20)&amp;"|"&amp;$AA20,ColSetMember!$H:$H,0))))))</f>
        <v>0</v>
      </c>
      <c r="AJ20" s="6" t="str">
        <f>IF($AH20="","",INDEX(Col!$H:$H,MATCH($AH20,Col!$A:$A,0)))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IF($AH20="",TRUE,IF($N20="",FALSE,IF(INDIRECT("UserAccessCasePolicy!K"&amp;$N20)="",FALSE,NOT(ISNA(MATCH(INDIRECT("UserAccessCasePolicy!K"&amp;$N20)&amp;"|"&amp;$AH20,ColSetMember!$H:$H,0))))))</f>
        <v>1</v>
      </c>
      <c r="AQ20" s="6" t="str">
        <f>IF($AO20="","",INDEX(Col!$H:$H,MATCH($AO20,Col!$A:$A,0)))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IF($AO20="",TRUE,IF($N20="",FALSE,IF(INDIRECT("UserAccessCasePolicy!K"&amp;$N20)="",FALSE,NOT(ISNA(MATCH(INDIRECT("UserAccessCasePolicy!K"&amp;$N20)&amp;"|"&amp;$AO20,ColSetMember!$H:$H,0))))))</f>
        <v>1</v>
      </c>
    </row>
    <row r="21" spans="1:47" x14ac:dyDescent="0.3">
      <c r="A21">
        <v>20</v>
      </c>
      <c r="B21" t="b">
        <v>1</v>
      </c>
      <c r="C21" t="s">
        <v>504</v>
      </c>
      <c r="D21" t="s">
        <v>20</v>
      </c>
      <c r="E21" s="6" t="str">
        <f>INDEX(User!$D:$D,MATCH($D21,User!$A:$A,0))</f>
        <v>org_user2_4</v>
      </c>
      <c r="F21" t="s">
        <v>586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530</v>
      </c>
      <c r="S21" t="s">
        <v>117</v>
      </c>
      <c r="T21" s="6" t="str">
        <f>INDEX(CaseType!$B:$B,MATCH($S21,CaseType!$A:$A,0))</f>
        <v>case_type1</v>
      </c>
      <c r="U21" s="6" t="b">
        <f>AND(IF($AA21="",TRUE,$S21=INDEX(Col!$B:$B,MATCH($AA21,Col!$A:$A,0))),IF($AH21="",TRUE,$S21=INDEX(Col!$B:$B,MATCH($AH21,Col!$A:$A,0))),IF($AO21="",TRUE,$S21=INDEX(Col!$B:$B,MATCH($AO21,Col!$A:$A,0))))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138</v>
      </c>
      <c r="AB21" t="s">
        <v>545</v>
      </c>
      <c r="AC21" s="6" t="str">
        <f>IF($AA21="","",INDEX(Col!$H:$H,MATCH($AA21,Col!$A:$A,0)))</f>
        <v>col1_1_1_1_TEXT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IF($AA21="",TRUE,IF($N21="",FALSE,IF(INDIRECT("UserAccessCasePolicy!K"&amp;$N21)="",FALSE,NOT(ISNA(MATCH(INDIRECT("UserAccessCasePolicy!K"&amp;$N21)&amp;"|"&amp;$AA21,ColSetMember!$H:$H,0))))))</f>
        <v>0</v>
      </c>
      <c r="AJ21" s="6" t="str">
        <f>IF($AH21="","",INDEX(Col!$H:$H,MATCH($AH21,Col!$A:$A,0)))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IF($AH21="",TRUE,IF($N21="",FALSE,IF(INDIRECT("UserAccessCasePolicy!K"&amp;$N21)="",FALSE,NOT(ISNA(MATCH(INDIRECT("UserAccessCasePolicy!K"&amp;$N21)&amp;"|"&amp;$AH21,ColSetMember!$H:$H,0))))))</f>
        <v>1</v>
      </c>
      <c r="AQ21" s="6" t="str">
        <f>IF($AO21="","",INDEX(Col!$H:$H,MATCH($AO21,Col!$A:$A,0)))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IF($AO21="",TRUE,IF($N21="",FALSE,IF(INDIRECT("UserAccessCasePolicy!K"&amp;$N21)="",FALSE,NOT(ISNA(MATCH(INDIRECT("UserAccessCasePolicy!K"&amp;$N21)&amp;"|"&amp;$AO21,ColSetMember!$H:$H,0))))))</f>
        <v>1</v>
      </c>
    </row>
    <row r="22" spans="1:47" x14ac:dyDescent="0.3">
      <c r="A22">
        <v>21</v>
      </c>
      <c r="B22" t="b">
        <v>1</v>
      </c>
      <c r="C22" t="s">
        <v>505</v>
      </c>
      <c r="D22" t="s">
        <v>22</v>
      </c>
      <c r="E22" s="6" t="str">
        <f>INDEX(User!$D:$D,MATCH($D22,User!$A:$A,0))</f>
        <v>org_user3_1</v>
      </c>
      <c r="F22" t="s">
        <v>586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531</v>
      </c>
      <c r="S22" t="s">
        <v>117</v>
      </c>
      <c r="T22" s="6" t="str">
        <f>INDEX(CaseType!$B:$B,MATCH($S22,CaseType!$A:$A,0))</f>
        <v>case_type1</v>
      </c>
      <c r="U22" s="6" t="b">
        <f>AND(IF($AA22="",TRUE,$S22=INDEX(Col!$B:$B,MATCH($AA22,Col!$A:$A,0))),IF($AH22="",TRUE,$S22=INDEX(Col!$B:$B,MATCH($AH22,Col!$A:$A,0))),IF($AO22="",TRUE,$S22=INDEX(Col!$B:$B,MATCH($AO22,Col!$A:$A,0))))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138</v>
      </c>
      <c r="AB22" t="s">
        <v>545</v>
      </c>
      <c r="AC22" s="6" t="str">
        <f>IF($AA22="","",INDEX(Col!$H:$H,MATCH($AA22,Col!$A:$A,0)))</f>
        <v>col1_1_1_1_TEXT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IF($AA22="",TRUE,IF($N22="",FALSE,IF(INDIRECT("UserAccessCasePolicy!K"&amp;$N22)="",FALSE,NOT(ISNA(MATCH(INDIRECT("UserAccessCasePolicy!K"&amp;$N22)&amp;"|"&amp;$AA22,ColSetMember!$H:$H,0))))))</f>
        <v>0</v>
      </c>
      <c r="AJ22" s="6" t="str">
        <f>IF($AH22="","",INDEX(Col!$H:$H,MATCH($AH22,Col!$A:$A,0)))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IF($AH22="",TRUE,IF($N22="",FALSE,IF(INDIRECT("UserAccessCasePolicy!K"&amp;$N22)="",FALSE,NOT(ISNA(MATCH(INDIRECT("UserAccessCasePolicy!K"&amp;$N22)&amp;"|"&amp;$AH22,ColSetMember!$H:$H,0))))))</f>
        <v>1</v>
      </c>
      <c r="AQ22" s="6" t="str">
        <f>IF($AO22="","",INDEX(Col!$H:$H,MATCH($AO22,Col!$A:$A,0)))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IF($AO22="",TRUE,IF($N22="",FALSE,IF(INDIRECT("UserAccessCasePolicy!K"&amp;$N22)="",FALSE,NOT(ISNA(MATCH(INDIRECT("UserAccessCasePolicy!K"&amp;$N22)&amp;"|"&amp;$AO22,ColSetMember!$H:$H,0))))))</f>
        <v>1</v>
      </c>
    </row>
    <row r="23" spans="1:47" x14ac:dyDescent="0.3">
      <c r="A23">
        <v>22</v>
      </c>
      <c r="B23" t="b">
        <v>1</v>
      </c>
      <c r="C23" t="s">
        <v>506</v>
      </c>
      <c r="D23" t="s">
        <v>24</v>
      </c>
      <c r="E23" s="6" t="str">
        <f>INDEX(User!$D:$D,MATCH($D23,User!$A:$A,0))</f>
        <v>org_user3_2</v>
      </c>
      <c r="F23" t="s">
        <v>586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532</v>
      </c>
      <c r="S23" t="s">
        <v>117</v>
      </c>
      <c r="T23" s="6" t="str">
        <f>INDEX(CaseType!$B:$B,MATCH($S23,CaseType!$A:$A,0))</f>
        <v>case_type1</v>
      </c>
      <c r="U23" s="6" t="b">
        <f>AND(IF($AA23="",TRUE,$S23=INDEX(Col!$B:$B,MATCH($AA23,Col!$A:$A,0))),IF($AH23="",TRUE,$S23=INDEX(Col!$B:$B,MATCH($AH23,Col!$A:$A,0))),IF($AO23="",TRUE,$S23=INDEX(Col!$B:$B,MATCH($AO23,Col!$A:$A,0))))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138</v>
      </c>
      <c r="AB23" t="s">
        <v>545</v>
      </c>
      <c r="AC23" s="6" t="str">
        <f>IF($AA23="","",INDEX(Col!$H:$H,MATCH($AA23,Col!$A:$A,0)))</f>
        <v>col1_1_1_1_TEXT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IF($AA23="",TRUE,IF($N23="",FALSE,IF(INDIRECT("UserAccessCasePolicy!K"&amp;$N23)="",FALSE,NOT(ISNA(MATCH(INDIRECT("UserAccessCasePolicy!K"&amp;$N23)&amp;"|"&amp;$AA23,ColSetMember!$H:$H,0))))))</f>
        <v>0</v>
      </c>
      <c r="AJ23" s="6" t="str">
        <f>IF($AH23="","",INDEX(Col!$H:$H,MATCH($AH23,Col!$A:$A,0)))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IF($AH23="",TRUE,IF($N23="",FALSE,IF(INDIRECT("UserAccessCasePolicy!K"&amp;$N23)="",FALSE,NOT(ISNA(MATCH(INDIRECT("UserAccessCasePolicy!K"&amp;$N23)&amp;"|"&amp;$AH23,ColSetMember!$H:$H,0))))))</f>
        <v>1</v>
      </c>
      <c r="AQ23" s="6" t="str">
        <f>IF($AO23="","",INDEX(Col!$H:$H,MATCH($AO23,Col!$A:$A,0)))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IF($AO23="",TRUE,IF($N23="",FALSE,IF(INDIRECT("UserAccessCasePolicy!K"&amp;$N23)="",FALSE,NOT(ISNA(MATCH(INDIRECT("UserAccessCasePolicy!K"&amp;$N23)&amp;"|"&amp;$AO23,ColSetMember!$H:$H,0))))))</f>
        <v>1</v>
      </c>
    </row>
    <row r="24" spans="1:47" x14ac:dyDescent="0.3">
      <c r="A24">
        <v>23</v>
      </c>
      <c r="B24" t="b">
        <v>1</v>
      </c>
      <c r="C24" t="s">
        <v>507</v>
      </c>
      <c r="D24" t="s">
        <v>25</v>
      </c>
      <c r="E24" s="6" t="str">
        <f>INDEX(User!$D:$D,MATCH($D24,User!$A:$A,0))</f>
        <v>org_user3_3</v>
      </c>
      <c r="F24" t="s">
        <v>586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533</v>
      </c>
      <c r="S24" t="s">
        <v>117</v>
      </c>
      <c r="T24" s="6" t="str">
        <f>INDEX(CaseType!$B:$B,MATCH($S24,CaseType!$A:$A,0))</f>
        <v>case_type1</v>
      </c>
      <c r="U24" s="6" t="b">
        <f>AND(IF($AA24="",TRUE,$S24=INDEX(Col!$B:$B,MATCH($AA24,Col!$A:$A,0))),IF($AH24="",TRUE,$S24=INDEX(Col!$B:$B,MATCH($AH24,Col!$A:$A,0))),IF($AO24="",TRUE,$S24=INDEX(Col!$B:$B,MATCH($AO24,Col!$A:$A,0))))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138</v>
      </c>
      <c r="AB24" t="s">
        <v>545</v>
      </c>
      <c r="AC24" s="6" t="str">
        <f>IF($AA24="","",INDEX(Col!$H:$H,MATCH($AA24,Col!$A:$A,0)))</f>
        <v>col1_1_1_1_TEXT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IF($AA24="",TRUE,IF($N24="",FALSE,IF(INDIRECT("UserAccessCasePolicy!K"&amp;$N24)="",FALSE,NOT(ISNA(MATCH(INDIRECT("UserAccessCasePolicy!K"&amp;$N24)&amp;"|"&amp;$AA24,ColSetMember!$H:$H,0))))))</f>
        <v>0</v>
      </c>
      <c r="AJ24" s="6" t="str">
        <f>IF($AH24="","",INDEX(Col!$H:$H,MATCH($AH24,Col!$A:$A,0)))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IF($AH24="",TRUE,IF($N24="",FALSE,IF(INDIRECT("UserAccessCasePolicy!K"&amp;$N24)="",FALSE,NOT(ISNA(MATCH(INDIRECT("UserAccessCasePolicy!K"&amp;$N24)&amp;"|"&amp;$AH24,ColSetMember!$H:$H,0))))))</f>
        <v>1</v>
      </c>
      <c r="AQ24" s="6" t="str">
        <f>IF($AO24="","",INDEX(Col!$H:$H,MATCH($AO24,Col!$A:$A,0)))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IF($AO24="",TRUE,IF($N24="",FALSE,IF(INDIRECT("UserAccessCasePolicy!K"&amp;$N24)="",FALSE,NOT(ISNA(MATCH(INDIRECT("UserAccessCasePolicy!K"&amp;$N24)&amp;"|"&amp;$AO24,ColSetMember!$H:$H,0))))))</f>
        <v>1</v>
      </c>
    </row>
    <row r="25" spans="1:47" x14ac:dyDescent="0.3">
      <c r="A25">
        <v>24</v>
      </c>
      <c r="B25" t="b">
        <v>1</v>
      </c>
      <c r="C25" t="s">
        <v>508</v>
      </c>
      <c r="D25" t="s">
        <v>26</v>
      </c>
      <c r="E25" s="6" t="str">
        <f>INDEX(User!$D:$D,MATCH($D25,User!$A:$A,0))</f>
        <v>org_user3_4</v>
      </c>
      <c r="F25" t="s">
        <v>586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534</v>
      </c>
      <c r="S25" t="s">
        <v>117</v>
      </c>
      <c r="T25" s="6" t="str">
        <f>INDEX(CaseType!$B:$B,MATCH($S25,CaseType!$A:$A,0))</f>
        <v>case_type1</v>
      </c>
      <c r="U25" s="6" t="b">
        <f>AND(IF($AA25="",TRUE,$S25=INDEX(Col!$B:$B,MATCH($AA25,Col!$A:$A,0))),IF($AH25="",TRUE,$S25=INDEX(Col!$B:$B,MATCH($AH25,Col!$A:$A,0))),IF($AO25="",TRUE,$S25=INDEX(Col!$B:$B,MATCH($AO25,Col!$A:$A,0))))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138</v>
      </c>
      <c r="AB25" t="s">
        <v>545</v>
      </c>
      <c r="AC25" s="6" t="str">
        <f>IF($AA25="","",INDEX(Col!$H:$H,MATCH($AA25,Col!$A:$A,0)))</f>
        <v>col1_1_1_1_TEXT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IF($AA25="",TRUE,IF($N25="",FALSE,IF(INDIRECT("UserAccessCasePolicy!K"&amp;$N25)="",FALSE,NOT(ISNA(MATCH(INDIRECT("UserAccessCasePolicy!K"&amp;$N25)&amp;"|"&amp;$AA25,ColSetMember!$H:$H,0))))))</f>
        <v>0</v>
      </c>
      <c r="AJ25" s="6" t="str">
        <f>IF($AH25="","",INDEX(Col!$H:$H,MATCH($AH25,Col!$A:$A,0)))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IF($AH25="",TRUE,IF($N25="",FALSE,IF(INDIRECT("UserAccessCasePolicy!K"&amp;$N25)="",FALSE,NOT(ISNA(MATCH(INDIRECT("UserAccessCasePolicy!K"&amp;$N25)&amp;"|"&amp;$AH25,ColSetMember!$H:$H,0))))))</f>
        <v>1</v>
      </c>
      <c r="AQ25" s="6" t="str">
        <f>IF($AO25="","",INDEX(Col!$H:$H,MATCH($AO25,Col!$A:$A,0)))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IF($AO25="",TRUE,IF($N25="",FALSE,IF(INDIRECT("UserAccessCasePolicy!K"&amp;$N25)="",FALSE,NOT(ISNA(MATCH(INDIRECT("UserAccessCasePolicy!K"&amp;$N25)&amp;"|"&amp;$AO25,ColSetMember!$H:$H,0))))))</f>
        <v>1</v>
      </c>
    </row>
    <row r="26" spans="1:47" x14ac:dyDescent="0.3">
      <c r="A26">
        <v>25</v>
      </c>
      <c r="B26" t="b">
        <v>1</v>
      </c>
      <c r="C26" t="s">
        <v>509</v>
      </c>
      <c r="D26" t="s">
        <v>28</v>
      </c>
      <c r="E26" s="6" t="str">
        <f>INDEX(User!$D:$D,MATCH($D26,User!$A:$A,0))</f>
        <v>org_user4_1</v>
      </c>
      <c r="F26" t="s">
        <v>586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535</v>
      </c>
      <c r="S26" t="s">
        <v>117</v>
      </c>
      <c r="T26" s="6" t="str">
        <f>INDEX(CaseType!$B:$B,MATCH($S26,CaseType!$A:$A,0))</f>
        <v>case_type1</v>
      </c>
      <c r="U26" s="6" t="b">
        <f>AND(IF($AA26="",TRUE,$S26=INDEX(Col!$B:$B,MATCH($AA26,Col!$A:$A,0))),IF($AH26="",TRUE,$S26=INDEX(Col!$B:$B,MATCH($AH26,Col!$A:$A,0))),IF($AO26="",TRUE,$S26=INDEX(Col!$B:$B,MATCH($AO26,Col!$A:$A,0))))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138</v>
      </c>
      <c r="AB26" t="s">
        <v>545</v>
      </c>
      <c r="AC26" s="6" t="str">
        <f>IF($AA26="","",INDEX(Col!$H:$H,MATCH($AA26,Col!$A:$A,0)))</f>
        <v>col1_1_1_1_TEXT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IF($AA26="",TRUE,IF($N26="",FALSE,IF(INDIRECT("UserAccessCasePolicy!K"&amp;$N26)="",FALSE,NOT(ISNA(MATCH(INDIRECT("UserAccessCasePolicy!K"&amp;$N26)&amp;"|"&amp;$AA26,ColSetMember!$H:$H,0))))))</f>
        <v>0</v>
      </c>
      <c r="AJ26" s="6" t="str">
        <f>IF($AH26="","",INDEX(Col!$H:$H,MATCH($AH26,Col!$A:$A,0)))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IF($AH26="",TRUE,IF($N26="",FALSE,IF(INDIRECT("UserAccessCasePolicy!K"&amp;$N26)="",FALSE,NOT(ISNA(MATCH(INDIRECT("UserAccessCasePolicy!K"&amp;$N26)&amp;"|"&amp;$AH26,ColSetMember!$H:$H,0))))))</f>
        <v>1</v>
      </c>
      <c r="AQ26" s="6" t="str">
        <f>IF($AO26="","",INDEX(Col!$H:$H,MATCH($AO26,Col!$A:$A,0)))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IF($AO26="",TRUE,IF($N26="",FALSE,IF(INDIRECT("UserAccessCasePolicy!K"&amp;$N26)="",FALSE,NOT(ISNA(MATCH(INDIRECT("UserAccessCasePolicy!K"&amp;$N26)&amp;"|"&amp;$AO26,ColSetMember!$H:$H,0))))))</f>
        <v>1</v>
      </c>
    </row>
    <row r="27" spans="1:47" x14ac:dyDescent="0.3">
      <c r="A27">
        <v>26</v>
      </c>
      <c r="B27" t="b">
        <v>1</v>
      </c>
      <c r="C27" t="s">
        <v>510</v>
      </c>
      <c r="D27" t="s">
        <v>30</v>
      </c>
      <c r="E27" s="6" t="str">
        <f>INDEX(User!$D:$D,MATCH($D27,User!$A:$A,0))</f>
        <v>org_user4_2</v>
      </c>
      <c r="F27" t="s">
        <v>586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536</v>
      </c>
      <c r="S27" t="s">
        <v>117</v>
      </c>
      <c r="T27" s="6" t="str">
        <f>INDEX(CaseType!$B:$B,MATCH($S27,CaseType!$A:$A,0))</f>
        <v>case_type1</v>
      </c>
      <c r="U27" s="6" t="b">
        <f>AND(IF($AA27="",TRUE,$S27=INDEX(Col!$B:$B,MATCH($AA27,Col!$A:$A,0))),IF($AH27="",TRUE,$S27=INDEX(Col!$B:$B,MATCH($AH27,Col!$A:$A,0))),IF($AO27="",TRUE,$S27=INDEX(Col!$B:$B,MATCH($AO27,Col!$A:$A,0))))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138</v>
      </c>
      <c r="AB27" t="s">
        <v>545</v>
      </c>
      <c r="AC27" s="6" t="str">
        <f>IF($AA27="","",INDEX(Col!$H:$H,MATCH($AA27,Col!$A:$A,0)))</f>
        <v>col1_1_1_1_TEXT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IF($AA27="",TRUE,IF($N27="",FALSE,IF(INDIRECT("UserAccessCasePolicy!K"&amp;$N27)="",FALSE,NOT(ISNA(MATCH(INDIRECT("UserAccessCasePolicy!K"&amp;$N27)&amp;"|"&amp;$AA27,ColSetMember!$H:$H,0))))))</f>
        <v>0</v>
      </c>
      <c r="AJ27" s="6" t="str">
        <f>IF($AH27="","",INDEX(Col!$H:$H,MATCH($AH27,Col!$A:$A,0)))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IF($AH27="",TRUE,IF($N27="",FALSE,IF(INDIRECT("UserAccessCasePolicy!K"&amp;$N27)="",FALSE,NOT(ISNA(MATCH(INDIRECT("UserAccessCasePolicy!K"&amp;$N27)&amp;"|"&amp;$AH27,ColSetMember!$H:$H,0))))))</f>
        <v>1</v>
      </c>
      <c r="AQ27" s="6" t="str">
        <f>IF($AO27="","",INDEX(Col!$H:$H,MATCH($AO27,Col!$A:$A,0)))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IF($AO27="",TRUE,IF($N27="",FALSE,IF(INDIRECT("UserAccessCasePolicy!K"&amp;$N27)="",FALSE,NOT(ISNA(MATCH(INDIRECT("UserAccessCasePolicy!K"&amp;$N27)&amp;"|"&amp;$AO27,ColSetMember!$H:$H,0))))))</f>
        <v>1</v>
      </c>
    </row>
    <row r="28" spans="1:47" x14ac:dyDescent="0.3">
      <c r="A28">
        <v>27</v>
      </c>
      <c r="B28" t="b">
        <v>1</v>
      </c>
      <c r="C28" t="s">
        <v>511</v>
      </c>
      <c r="D28" t="s">
        <v>31</v>
      </c>
      <c r="E28" s="6" t="str">
        <f>INDEX(User!$D:$D,MATCH($D28,User!$A:$A,0))</f>
        <v>org_user4_3</v>
      </c>
      <c r="F28" t="s">
        <v>586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537</v>
      </c>
      <c r="S28" t="s">
        <v>117</v>
      </c>
      <c r="T28" s="6" t="str">
        <f>INDEX(CaseType!$B:$B,MATCH($S28,CaseType!$A:$A,0))</f>
        <v>case_type1</v>
      </c>
      <c r="U28" s="6" t="b">
        <f>AND(IF($AA28="",TRUE,$S28=INDEX(Col!$B:$B,MATCH($AA28,Col!$A:$A,0))),IF($AH28="",TRUE,$S28=INDEX(Col!$B:$B,MATCH($AH28,Col!$A:$A,0))),IF($AO28="",TRUE,$S28=INDEX(Col!$B:$B,MATCH($AO28,Col!$A:$A,0))))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138</v>
      </c>
      <c r="AB28" t="s">
        <v>545</v>
      </c>
      <c r="AC28" s="6" t="str">
        <f>IF($AA28="","",INDEX(Col!$H:$H,MATCH($AA28,Col!$A:$A,0)))</f>
        <v>col1_1_1_1_TEXT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IF($AA28="",TRUE,IF($N28="",FALSE,IF(INDIRECT("UserAccessCasePolicy!K"&amp;$N28)="",FALSE,NOT(ISNA(MATCH(INDIRECT("UserAccessCasePolicy!K"&amp;$N28)&amp;"|"&amp;$AA28,ColSetMember!$H:$H,0))))))</f>
        <v>0</v>
      </c>
      <c r="AJ28" s="6" t="str">
        <f>IF($AH28="","",INDEX(Col!$H:$H,MATCH($AH28,Col!$A:$A,0)))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IF($AH28="",TRUE,IF($N28="",FALSE,IF(INDIRECT("UserAccessCasePolicy!K"&amp;$N28)="",FALSE,NOT(ISNA(MATCH(INDIRECT("UserAccessCasePolicy!K"&amp;$N28)&amp;"|"&amp;$AH28,ColSetMember!$H:$H,0))))))</f>
        <v>1</v>
      </c>
      <c r="AQ28" s="6" t="str">
        <f>IF($AO28="","",INDEX(Col!$H:$H,MATCH($AO28,Col!$A:$A,0)))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IF($AO28="",TRUE,IF($N28="",FALSE,IF(INDIRECT("UserAccessCasePolicy!K"&amp;$N28)="",FALSE,NOT(ISNA(MATCH(INDIRECT("UserAccessCasePolicy!K"&amp;$N28)&amp;"|"&amp;$AO28,ColSetMember!$H:$H,0))))))</f>
        <v>1</v>
      </c>
    </row>
    <row r="29" spans="1:47" x14ac:dyDescent="0.3">
      <c r="A29">
        <v>28</v>
      </c>
      <c r="B29" t="b">
        <v>1</v>
      </c>
      <c r="C29" t="s">
        <v>512</v>
      </c>
      <c r="D29" t="s">
        <v>32</v>
      </c>
      <c r="E29" s="6" t="str">
        <f>INDEX(User!$D:$D,MATCH($D29,User!$A:$A,0))</f>
        <v>org_user4_4</v>
      </c>
      <c r="F29" t="s">
        <v>586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538</v>
      </c>
      <c r="S29" t="s">
        <v>117</v>
      </c>
      <c r="T29" s="6" t="str">
        <f>INDEX(CaseType!$B:$B,MATCH($S29,CaseType!$A:$A,0))</f>
        <v>case_type1</v>
      </c>
      <c r="U29" s="6" t="b">
        <f>AND(IF($AA29="",TRUE,$S29=INDEX(Col!$B:$B,MATCH($AA29,Col!$A:$A,0))),IF($AH29="",TRUE,$S29=INDEX(Col!$B:$B,MATCH($AH29,Col!$A:$A,0))),IF($AO29="",TRUE,$S29=INDEX(Col!$B:$B,MATCH($AO29,Col!$A:$A,0))))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138</v>
      </c>
      <c r="AB29" t="s">
        <v>545</v>
      </c>
      <c r="AC29" s="6" t="str">
        <f>IF($AA29="","",INDEX(Col!$H:$H,MATCH($AA29,Col!$A:$A,0)))</f>
        <v>col1_1_1_1_TEXT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IF($AA29="",TRUE,IF($N29="",FALSE,IF(INDIRECT("UserAccessCasePolicy!K"&amp;$N29)="",FALSE,NOT(ISNA(MATCH(INDIRECT("UserAccessCasePolicy!K"&amp;$N29)&amp;"|"&amp;$AA29,ColSetMember!$H:$H,0))))))</f>
        <v>0</v>
      </c>
      <c r="AJ29" s="6" t="str">
        <f>IF($AH29="","",INDEX(Col!$H:$H,MATCH($AH29,Col!$A:$A,0)))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IF($AH29="",TRUE,IF($N29="",FALSE,IF(INDIRECT("UserAccessCasePolicy!K"&amp;$N29)="",FALSE,NOT(ISNA(MATCH(INDIRECT("UserAccessCasePolicy!K"&amp;$N29)&amp;"|"&amp;$AH29,ColSetMember!$H:$H,0))))))</f>
        <v>1</v>
      </c>
      <c r="AQ29" s="6" t="str">
        <f>IF($AO29="","",INDEX(Col!$H:$H,MATCH($AO29,Col!$A:$A,0)))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IF($AO29="",TRUE,IF($N29="",FALSE,IF(INDIRECT("UserAccessCasePolicy!K"&amp;$N29)="",FALSE,NOT(ISNA(MATCH(INDIRECT("UserAccessCasePolicy!K"&amp;$N29)&amp;"|"&amp;$AO29,ColSetMember!$H:$H,0))))))</f>
        <v>1</v>
      </c>
    </row>
    <row r="30" spans="1:47" x14ac:dyDescent="0.3">
      <c r="A30">
        <v>29</v>
      </c>
      <c r="B30" t="b">
        <v>1</v>
      </c>
      <c r="C30" t="s">
        <v>513</v>
      </c>
      <c r="D30" t="s">
        <v>34</v>
      </c>
      <c r="E30" s="6" t="str">
        <f>INDEX(User!$D:$D,MATCH($D30,User!$A:$A,0))</f>
        <v>org_user5_1</v>
      </c>
      <c r="F30" t="s">
        <v>586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539</v>
      </c>
      <c r="S30" t="s">
        <v>117</v>
      </c>
      <c r="T30" s="6" t="str">
        <f>INDEX(CaseType!$B:$B,MATCH($S30,CaseType!$A:$A,0))</f>
        <v>case_type1</v>
      </c>
      <c r="U30" s="6" t="b">
        <f>AND(IF($AA30="",TRUE,$S30=INDEX(Col!$B:$B,MATCH($AA30,Col!$A:$A,0))),IF($AH30="",TRUE,$S30=INDEX(Col!$B:$B,MATCH($AH30,Col!$A:$A,0))),IF($AO30="",TRUE,$S30=INDEX(Col!$B:$B,MATCH($AO30,Col!$A:$A,0))))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138</v>
      </c>
      <c r="AB30" t="s">
        <v>545</v>
      </c>
      <c r="AC30" s="6" t="str">
        <f>IF($AA30="","",INDEX(Col!$H:$H,MATCH($AA30,Col!$A:$A,0)))</f>
        <v>col1_1_1_1_TEXT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IF($AA30="",TRUE,IF($N30="",FALSE,IF(INDIRECT("UserAccessCasePolicy!K"&amp;$N30)="",FALSE,NOT(ISNA(MATCH(INDIRECT("UserAccessCasePolicy!K"&amp;$N30)&amp;"|"&amp;$AA30,ColSetMember!$H:$H,0))))))</f>
        <v>0</v>
      </c>
      <c r="AJ30" s="6" t="str">
        <f>IF($AH30="","",INDEX(Col!$H:$H,MATCH($AH30,Col!$A:$A,0)))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IF($AH30="",TRUE,IF($N30="",FALSE,IF(INDIRECT("UserAccessCasePolicy!K"&amp;$N30)="",FALSE,NOT(ISNA(MATCH(INDIRECT("UserAccessCasePolicy!K"&amp;$N30)&amp;"|"&amp;$AH30,ColSetMember!$H:$H,0))))))</f>
        <v>1</v>
      </c>
      <c r="AQ30" s="6" t="str">
        <f>IF($AO30="","",INDEX(Col!$H:$H,MATCH($AO30,Col!$A:$A,0)))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IF($AO30="",TRUE,IF($N30="",FALSE,IF(INDIRECT("UserAccessCasePolicy!K"&amp;$N30)="",FALSE,NOT(ISNA(MATCH(INDIRECT("UserAccessCasePolicy!K"&amp;$N30)&amp;"|"&amp;$AO30,ColSetMember!$H:$H,0))))))</f>
        <v>1</v>
      </c>
    </row>
    <row r="31" spans="1:47" x14ac:dyDescent="0.3">
      <c r="A31">
        <v>30</v>
      </c>
      <c r="B31" t="b">
        <v>1</v>
      </c>
      <c r="C31" t="s">
        <v>514</v>
      </c>
      <c r="D31" t="s">
        <v>36</v>
      </c>
      <c r="E31" s="6" t="str">
        <f>INDEX(User!$D:$D,MATCH($D31,User!$A:$A,0))</f>
        <v>org_user5_2</v>
      </c>
      <c r="F31" t="s">
        <v>586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540</v>
      </c>
      <c r="S31" t="s">
        <v>117</v>
      </c>
      <c r="T31" s="6" t="str">
        <f>INDEX(CaseType!$B:$B,MATCH($S31,CaseType!$A:$A,0))</f>
        <v>case_type1</v>
      </c>
      <c r="U31" s="6" t="b">
        <f>AND(IF($AA31="",TRUE,$S31=INDEX(Col!$B:$B,MATCH($AA31,Col!$A:$A,0))),IF($AH31="",TRUE,$S31=INDEX(Col!$B:$B,MATCH($AH31,Col!$A:$A,0))),IF($AO31="",TRUE,$S31=INDEX(Col!$B:$B,MATCH($AO31,Col!$A:$A,0))))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138</v>
      </c>
      <c r="AB31" t="s">
        <v>545</v>
      </c>
      <c r="AC31" s="6" t="str">
        <f>IF($AA31="","",INDEX(Col!$H:$H,MATCH($AA31,Col!$A:$A,0)))</f>
        <v>col1_1_1_1_TEXT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IF($AA31="",TRUE,IF($N31="",FALSE,IF(INDIRECT("UserAccessCasePolicy!K"&amp;$N31)="",FALSE,NOT(ISNA(MATCH(INDIRECT("UserAccessCasePolicy!K"&amp;$N31)&amp;"|"&amp;$AA31,ColSetMember!$H:$H,0))))))</f>
        <v>0</v>
      </c>
      <c r="AJ31" s="6" t="str">
        <f>IF($AH31="","",INDEX(Col!$H:$H,MATCH($AH31,Col!$A:$A,0)))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IF($AH31="",TRUE,IF($N31="",FALSE,IF(INDIRECT("UserAccessCasePolicy!K"&amp;$N31)="",FALSE,NOT(ISNA(MATCH(INDIRECT("UserAccessCasePolicy!K"&amp;$N31)&amp;"|"&amp;$AH31,ColSetMember!$H:$H,0))))))</f>
        <v>1</v>
      </c>
      <c r="AQ31" s="6" t="str">
        <f>IF($AO31="","",INDEX(Col!$H:$H,MATCH($AO31,Col!$A:$A,0)))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IF($AO31="",TRUE,IF($N31="",FALSE,IF(INDIRECT("UserAccessCasePolicy!K"&amp;$N31)="",FALSE,NOT(ISNA(MATCH(INDIRECT("UserAccessCasePolicy!K"&amp;$N31)&amp;"|"&amp;$AO31,ColSetMember!$H:$H,0))))))</f>
        <v>1</v>
      </c>
    </row>
    <row r="32" spans="1:47" x14ac:dyDescent="0.3">
      <c r="A32">
        <v>31</v>
      </c>
      <c r="B32" t="b">
        <v>1</v>
      </c>
      <c r="C32" t="s">
        <v>515</v>
      </c>
      <c r="D32" t="s">
        <v>37</v>
      </c>
      <c r="E32" s="6" t="str">
        <f>INDEX(User!$D:$D,MATCH($D32,User!$A:$A,0))</f>
        <v>org_user5_3</v>
      </c>
      <c r="F32" t="s">
        <v>586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541</v>
      </c>
      <c r="S32" t="s">
        <v>117</v>
      </c>
      <c r="T32" s="6" t="str">
        <f>INDEX(CaseType!$B:$B,MATCH($S32,CaseType!$A:$A,0))</f>
        <v>case_type1</v>
      </c>
      <c r="U32" s="6" t="b">
        <f>AND(IF($AA32="",TRUE,$S32=INDEX(Col!$B:$B,MATCH($AA32,Col!$A:$A,0))),IF($AH32="",TRUE,$S32=INDEX(Col!$B:$B,MATCH($AH32,Col!$A:$A,0))),IF($AO32="",TRUE,$S32=INDEX(Col!$B:$B,MATCH($AO32,Col!$A:$A,0))))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138</v>
      </c>
      <c r="AB32" t="s">
        <v>545</v>
      </c>
      <c r="AC32" s="6" t="str">
        <f>IF($AA32="","",INDEX(Col!$H:$H,MATCH($AA32,Col!$A:$A,0)))</f>
        <v>col1_1_1_1_TEXT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IF($AA32="",TRUE,IF($N32="",FALSE,IF(INDIRECT("UserAccessCasePolicy!K"&amp;$N32)="",FALSE,NOT(ISNA(MATCH(INDIRECT("UserAccessCasePolicy!K"&amp;$N32)&amp;"|"&amp;$AA32,ColSetMember!$H:$H,0))))))</f>
        <v>0</v>
      </c>
      <c r="AJ32" s="6" t="str">
        <f>IF($AH32="","",INDEX(Col!$H:$H,MATCH($AH32,Col!$A:$A,0)))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IF($AH32="",TRUE,IF($N32="",FALSE,IF(INDIRECT("UserAccessCasePolicy!K"&amp;$N32)="",FALSE,NOT(ISNA(MATCH(INDIRECT("UserAccessCasePolicy!K"&amp;$N32)&amp;"|"&amp;$AH32,ColSetMember!$H:$H,0))))))</f>
        <v>1</v>
      </c>
      <c r="AQ32" s="6" t="str">
        <f>IF($AO32="","",INDEX(Col!$H:$H,MATCH($AO32,Col!$A:$A,0)))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IF($AO32="",TRUE,IF($N32="",FALSE,IF(INDIRECT("UserAccessCasePolicy!K"&amp;$N32)="",FALSE,NOT(ISNA(MATCH(INDIRECT("UserAccessCasePolicy!K"&amp;$N32)&amp;"|"&amp;$AO32,ColSetMember!$H:$H,0))))))</f>
        <v>1</v>
      </c>
    </row>
    <row r="33" spans="1:47" x14ac:dyDescent="0.3">
      <c r="A33">
        <v>32</v>
      </c>
      <c r="B33" t="b">
        <v>1</v>
      </c>
      <c r="C33" t="s">
        <v>516</v>
      </c>
      <c r="D33" t="s">
        <v>38</v>
      </c>
      <c r="E33" s="6" t="str">
        <f>INDEX(User!$D:$D,MATCH($D33,User!$A:$A,0))</f>
        <v>org_user5_4</v>
      </c>
      <c r="F33" t="s">
        <v>586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542</v>
      </c>
      <c r="S33" t="s">
        <v>117</v>
      </c>
      <c r="T33" s="6" t="str">
        <f>INDEX(CaseType!$B:$B,MATCH($S33,CaseType!$A:$A,0))</f>
        <v>case_type1</v>
      </c>
      <c r="U33" s="6" t="b">
        <f>AND(IF($AA33="",TRUE,$S33=INDEX(Col!$B:$B,MATCH($AA33,Col!$A:$A,0))),IF($AH33="",TRUE,$S33=INDEX(Col!$B:$B,MATCH($AH33,Col!$A:$A,0))),IF($AO33="",TRUE,$S33=INDEX(Col!$B:$B,MATCH($AO33,Col!$A:$A,0))))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138</v>
      </c>
      <c r="AB33" t="s">
        <v>545</v>
      </c>
      <c r="AC33" s="6" t="str">
        <f>IF($AA33="","",INDEX(Col!$H:$H,MATCH($AA33,Col!$A:$A,0)))</f>
        <v>col1_1_1_1_TEXT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IF($AA33="",TRUE,IF($N33="",FALSE,IF(INDIRECT("UserAccessCasePolicy!K"&amp;$N33)="",FALSE,NOT(ISNA(MATCH(INDIRECT("UserAccessCasePolicy!K"&amp;$N33)&amp;"|"&amp;$AA33,ColSetMember!$H:$H,0))))))</f>
        <v>0</v>
      </c>
      <c r="AJ33" s="6" t="str">
        <f>IF($AH33="","",INDEX(Col!$H:$H,MATCH($AH33,Col!$A:$A,0)))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IF($AH33="",TRUE,IF($N33="",FALSE,IF(INDIRECT("UserAccessCasePolicy!K"&amp;$N33)="",FALSE,NOT(ISNA(MATCH(INDIRECT("UserAccessCasePolicy!K"&amp;$N33)&amp;"|"&amp;$AH33,ColSetMember!$H:$H,0))))))</f>
        <v>1</v>
      </c>
      <c r="AQ33" s="6" t="str">
        <f>IF($AO33="","",INDEX(Col!$H:$H,MATCH($AO33,Col!$A:$A,0)))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IF($AO33="",TRUE,IF($N33="",FALSE,IF(INDIRECT("UserAccessCasePolicy!K"&amp;$N33)="",FALSE,NOT(ISNA(MATCH(INDIRECT("UserAccessCasePolicy!K"&amp;$N33)&amp;"|"&amp;$AO33,ColSetMember!$H:$H,0))))))</f>
        <v>1</v>
      </c>
    </row>
    <row r="34" spans="1:47" ht="18.75" customHeight="1" x14ac:dyDescent="0.3">
      <c r="A34">
        <v>33</v>
      </c>
      <c r="B34" t="b">
        <v>1</v>
      </c>
      <c r="C34" t="s">
        <v>589</v>
      </c>
      <c r="D34" t="s">
        <v>10</v>
      </c>
      <c r="E34" s="6" t="str">
        <f>INDEX(User!$D:$D,MATCH($D34,User!$A:$A,0))</f>
        <v>org_user1_1</v>
      </c>
      <c r="F34" t="s">
        <v>586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590</v>
      </c>
      <c r="S34" t="s">
        <v>117</v>
      </c>
      <c r="T34" s="6" t="str">
        <f>INDEX(CaseType!$B:$B,MATCH($S34,CaseType!$A:$A,0))</f>
        <v>case_type1</v>
      </c>
      <c r="U34" s="6" t="b">
        <f>AND(IF($AA34="",TRUE,$S34=INDEX(Col!$B:$B,MATCH($AA34,Col!$A:$A,0))),IF($AH34="",TRUE,$S34=INDEX(Col!$B:$B,MATCH($AH34,Col!$A:$A,0))),IF($AO34="",TRUE,$S34=INDEX(Col!$B:$B,MATCH($AO34,Col!$A:$A,0))))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138</v>
      </c>
      <c r="AB34" t="s">
        <v>545</v>
      </c>
      <c r="AC34" s="6" t="str">
        <f>IF($AA34="","",INDEX(Col!$H:$H,MATCH($AA34,Col!$A:$A,0)))</f>
        <v>col1_1_1_1_TEXT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IF($AA34="",TRUE,IF($N34="",FALSE,IF(INDIRECT("UserAccessCasePolicy!K"&amp;$N34)="",FALSE,NOT(ISNA(MATCH(INDIRECT("UserAccessCasePolicy!K"&amp;$N34)&amp;"|"&amp;$AA34,ColSetMember!$H:$H,0))))))</f>
        <v>1</v>
      </c>
      <c r="AH34" t="s">
        <v>138</v>
      </c>
      <c r="AI34" t="s">
        <v>639</v>
      </c>
      <c r="AJ34" s="6" t="str">
        <f>IF($AH34="","",INDEX(Col!$H:$H,MATCH($AH34,Col!$A:$A,0)))</f>
        <v>col1_1_1_1_TEXT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IF($AH34="",TRUE,IF($N34="",FALSE,IF(INDIRECT("UserAccessCasePolicy!K"&amp;$N34)="",FALSE,NOT(ISNA(MATCH(INDIRECT("UserAccessCasePolicy!K"&amp;$N34)&amp;"|"&amp;$AH34,ColSetMember!$H:$H,0))))))</f>
        <v>1</v>
      </c>
      <c r="AO34" t="s">
        <v>138</v>
      </c>
      <c r="AP34" t="s">
        <v>591</v>
      </c>
      <c r="AQ34" s="6" t="str">
        <f>IF($AO34="","",INDEX(Col!$H:$H,MATCH($AO34,Col!$A:$A,0)))</f>
        <v>col1_1_1_1_TEXT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IF($AO34="",TRUE,IF($N34="",FALSE,IF(INDIRECT("UserAccessCasePolicy!K"&amp;$N34)="",FALSE,NOT(ISNA(MATCH(INDIRECT("UserAccessCasePolicy!K"&amp;$N34)&amp;"|"&amp;$AO34,ColSetMember!$H:$H,0))))))</f>
        <v>1</v>
      </c>
    </row>
    <row r="35" spans="1:47" ht="18.75" customHeight="1" x14ac:dyDescent="0.3">
      <c r="A35">
        <v>34</v>
      </c>
      <c r="B35" t="b">
        <v>1</v>
      </c>
      <c r="C35" t="s">
        <v>592</v>
      </c>
      <c r="D35" t="s">
        <v>12</v>
      </c>
      <c r="E35" s="6" t="str">
        <f>INDEX(User!$D:$D,MATCH($D35,User!$A:$A,0))</f>
        <v>org_user1_2</v>
      </c>
      <c r="F35" t="s">
        <v>586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590</v>
      </c>
      <c r="S35" t="s">
        <v>117</v>
      </c>
      <c r="T35" s="6" t="str">
        <f>INDEX(CaseType!$B:$B,MATCH($S35,CaseType!$A:$A,0))</f>
        <v>case_type1</v>
      </c>
      <c r="U35" s="6" t="b">
        <f>AND(IF($AA35="",TRUE,$S35=INDEX(Col!$B:$B,MATCH($AA35,Col!$A:$A,0))),IF($AH35="",TRUE,$S35=INDEX(Col!$B:$B,MATCH($AH35,Col!$A:$A,0))),IF($AO35="",TRUE,$S35=INDEX(Col!$B:$B,MATCH($AO35,Col!$A:$A,0))))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138</v>
      </c>
      <c r="AB35" t="s">
        <v>545</v>
      </c>
      <c r="AC35" s="6" t="str">
        <f>IF($AA35="","",INDEX(Col!$H:$H,MATCH($AA35,Col!$A:$A,0)))</f>
        <v>col1_1_1_1_TEXT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IF($AA35="",TRUE,IF($N35="",FALSE,IF(INDIRECT("UserAccessCasePolicy!K"&amp;$N35)="",FALSE,NOT(ISNA(MATCH(INDIRECT("UserAccessCasePolicy!K"&amp;$N35)&amp;"|"&amp;$AA35,ColSetMember!$H:$H,0))))))</f>
        <v>0</v>
      </c>
      <c r="AI35" s="11" t="s">
        <v>648</v>
      </c>
      <c r="AJ35" s="6" t="str">
        <f>IF($AH35="","",INDEX(Col!$H:$H,MATCH($AH35,Col!$A:$A,0)))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IF($AH35="",TRUE,IF($N35="",FALSE,IF(INDIRECT("UserAccessCasePolicy!K"&amp;$N35)="",FALSE,NOT(ISNA(MATCH(INDIRECT("UserAccessCasePolicy!K"&amp;$N35)&amp;"|"&amp;$AH35,ColSetMember!$H:$H,0))))))</f>
        <v>1</v>
      </c>
      <c r="AQ35" s="6" t="str">
        <f>IF($AO35="","",INDEX(Col!$H:$H,MATCH($AO35,Col!$A:$A,0)))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IF($AO35="",TRUE,IF($N35="",FALSE,IF(INDIRECT("UserAccessCasePolicy!K"&amp;$N35)="",FALSE,NOT(ISNA(MATCH(INDIRECT("UserAccessCasePolicy!K"&amp;$N35)&amp;"|"&amp;$AO35,ColSetMember!$H:$H,0))))))</f>
        <v>1</v>
      </c>
    </row>
    <row r="36" spans="1:47" ht="18.75" customHeight="1" x14ac:dyDescent="0.3">
      <c r="A36">
        <v>35</v>
      </c>
      <c r="B36" t="b">
        <v>1</v>
      </c>
      <c r="C36" t="s">
        <v>593</v>
      </c>
      <c r="D36" t="s">
        <v>13</v>
      </c>
      <c r="E36" s="6" t="str">
        <f>INDEX(User!$D:$D,MATCH($D36,User!$A:$A,0))</f>
        <v>org_user1_3</v>
      </c>
      <c r="F36" t="s">
        <v>586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590</v>
      </c>
      <c r="S36" t="s">
        <v>117</v>
      </c>
      <c r="T36" s="6" t="str">
        <f>INDEX(CaseType!$B:$B,MATCH($S36,CaseType!$A:$A,0))</f>
        <v>case_type1</v>
      </c>
      <c r="U36" s="6" t="b">
        <f>AND(IF($AA36="",TRUE,$S36=INDEX(Col!$B:$B,MATCH($AA36,Col!$A:$A,0))),IF($AH36="",TRUE,$S36=INDEX(Col!$B:$B,MATCH($AH36,Col!$A:$A,0))),IF($AO36="",TRUE,$S36=INDEX(Col!$B:$B,MATCH($AO36,Col!$A:$A,0))))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138</v>
      </c>
      <c r="AB36" t="s">
        <v>545</v>
      </c>
      <c r="AC36" s="6" t="str">
        <f>IF($AA36="","",INDEX(Col!$H:$H,MATCH($AA36,Col!$A:$A,0)))</f>
        <v>col1_1_1_1_TEXT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IF($AA36="",TRUE,IF($N36="",FALSE,IF(INDIRECT("UserAccessCasePolicy!K"&amp;$N36)="",FALSE,NOT(ISNA(MATCH(INDIRECT("UserAccessCasePolicy!K"&amp;$N36)&amp;"|"&amp;$AA36,ColSetMember!$H:$H,0))))))</f>
        <v>0</v>
      </c>
      <c r="AI36" s="11" t="s">
        <v>647</v>
      </c>
      <c r="AJ36" s="6" t="str">
        <f>IF($AH36="","",INDEX(Col!$H:$H,MATCH($AH36,Col!$A:$A,0)))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IF($AH36="",TRUE,IF($N36="",FALSE,IF(INDIRECT("UserAccessCasePolicy!K"&amp;$N36)="",FALSE,NOT(ISNA(MATCH(INDIRECT("UserAccessCasePolicy!K"&amp;$N36)&amp;"|"&amp;$AH36,ColSetMember!$H:$H,0))))))</f>
        <v>1</v>
      </c>
      <c r="AQ36" s="6" t="str">
        <f>IF($AO36="","",INDEX(Col!$H:$H,MATCH($AO36,Col!$A:$A,0)))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IF($AO36="",TRUE,IF($N36="",FALSE,IF(INDIRECT("UserAccessCasePolicy!K"&amp;$N36)="",FALSE,NOT(ISNA(MATCH(INDIRECT("UserAccessCasePolicy!K"&amp;$N36)&amp;"|"&amp;$AO36,ColSetMember!$H:$H,0))))))</f>
        <v>1</v>
      </c>
    </row>
    <row r="37" spans="1:47" ht="18.75" customHeight="1" x14ac:dyDescent="0.3">
      <c r="A37">
        <v>36</v>
      </c>
      <c r="B37" t="b">
        <v>1</v>
      </c>
      <c r="C37" t="s">
        <v>594</v>
      </c>
      <c r="D37" t="s">
        <v>14</v>
      </c>
      <c r="E37" s="6" t="str">
        <f>INDEX(User!$D:$D,MATCH($D37,User!$A:$A,0))</f>
        <v>org_user1_4</v>
      </c>
      <c r="F37" t="s">
        <v>586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590</v>
      </c>
      <c r="S37" t="s">
        <v>117</v>
      </c>
      <c r="T37" s="6" t="str">
        <f>INDEX(CaseType!$B:$B,MATCH($S37,CaseType!$A:$A,0))</f>
        <v>case_type1</v>
      </c>
      <c r="U37" s="6" t="b">
        <f>AND(IF($AA37="",TRUE,$S37=INDEX(Col!$B:$B,MATCH($AA37,Col!$A:$A,0))),IF($AH37="",TRUE,$S37=INDEX(Col!$B:$B,MATCH($AH37,Col!$A:$A,0))),IF($AO37="",TRUE,$S37=INDEX(Col!$B:$B,MATCH($AO37,Col!$A:$A,0))))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138</v>
      </c>
      <c r="AB37" t="s">
        <v>545</v>
      </c>
      <c r="AC37" s="6" t="str">
        <f>IF($AA37="","",INDEX(Col!$H:$H,MATCH($AA37,Col!$A:$A,0)))</f>
        <v>col1_1_1_1_TEXT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IF($AA37="",TRUE,IF($N37="",FALSE,IF(INDIRECT("UserAccessCasePolicy!K"&amp;$N37)="",FALSE,NOT(ISNA(MATCH(INDIRECT("UserAccessCasePolicy!K"&amp;$N37)&amp;"|"&amp;$AA37,ColSetMember!$H:$H,0))))))</f>
        <v>0</v>
      </c>
      <c r="AI37" t="s">
        <v>640</v>
      </c>
      <c r="AJ37" s="6" t="str">
        <f>IF($AH37="","",INDEX(Col!$H:$H,MATCH($AH37,Col!$A:$A,0)))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IF($AH37="",TRUE,IF($N37="",FALSE,IF(INDIRECT("UserAccessCasePolicy!K"&amp;$N37)="",FALSE,NOT(ISNA(MATCH(INDIRECT("UserAccessCasePolicy!K"&amp;$N37)&amp;"|"&amp;$AH37,ColSetMember!$H:$H,0))))))</f>
        <v>1</v>
      </c>
      <c r="AQ37" s="6" t="str">
        <f>IF($AO37="","",INDEX(Col!$H:$H,MATCH($AO37,Col!$A:$A,0)))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IF($AO37="",TRUE,IF($N37="",FALSE,IF(INDIRECT("UserAccessCasePolicy!K"&amp;$N37)="",FALSE,NOT(ISNA(MATCH(INDIRECT("UserAccessCasePolicy!K"&amp;$N37)&amp;"|"&amp;$AO37,ColSetMember!$H:$H,0))))))</f>
        <v>1</v>
      </c>
    </row>
    <row r="38" spans="1:47" ht="18.75" customHeight="1" x14ac:dyDescent="0.3">
      <c r="A38">
        <v>37</v>
      </c>
      <c r="B38" t="b">
        <v>1</v>
      </c>
      <c r="C38" t="s">
        <v>595</v>
      </c>
      <c r="D38" t="s">
        <v>16</v>
      </c>
      <c r="E38" s="6" t="str">
        <f>INDEX(User!$D:$D,MATCH($D38,User!$A:$A,0))</f>
        <v>org_user2_1</v>
      </c>
      <c r="F38" t="s">
        <v>586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590</v>
      </c>
      <c r="S38" t="s">
        <v>117</v>
      </c>
      <c r="T38" s="6" t="str">
        <f>INDEX(CaseType!$B:$B,MATCH($S38,CaseType!$A:$A,0))</f>
        <v>case_type1</v>
      </c>
      <c r="U38" s="6" t="b">
        <f>AND(IF($AA38="",TRUE,$S38=INDEX(Col!$B:$B,MATCH($AA38,Col!$A:$A,0))),IF($AH38="",TRUE,$S38=INDEX(Col!$B:$B,MATCH($AH38,Col!$A:$A,0))),IF($AO38="",TRUE,$S38=INDEX(Col!$B:$B,MATCH($AO38,Col!$A:$A,0))))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138</v>
      </c>
      <c r="AB38" t="s">
        <v>545</v>
      </c>
      <c r="AC38" s="6" t="str">
        <f>IF($AA38="","",INDEX(Col!$H:$H,MATCH($AA38,Col!$A:$A,0)))</f>
        <v>col1_1_1_1_TEXT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IF($AA38="",TRUE,IF($N38="",FALSE,IF(INDIRECT("UserAccessCasePolicy!K"&amp;$N38)="",FALSE,NOT(ISNA(MATCH(INDIRECT("UserAccessCasePolicy!K"&amp;$N38)&amp;"|"&amp;$AA38,ColSetMember!$H:$H,0))))))</f>
        <v>0</v>
      </c>
      <c r="AI38" t="s">
        <v>641</v>
      </c>
      <c r="AJ38" s="6" t="str">
        <f>IF($AH38="","",INDEX(Col!$H:$H,MATCH($AH38,Col!$A:$A,0)))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IF($AH38="",TRUE,IF($N38="",FALSE,IF(INDIRECT("UserAccessCasePolicy!K"&amp;$N38)="",FALSE,NOT(ISNA(MATCH(INDIRECT("UserAccessCasePolicy!K"&amp;$N38)&amp;"|"&amp;$AH38,ColSetMember!$H:$H,0))))))</f>
        <v>1</v>
      </c>
      <c r="AQ38" s="6" t="str">
        <f>IF($AO38="","",INDEX(Col!$H:$H,MATCH($AO38,Col!$A:$A,0)))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IF($AO38="",TRUE,IF($N38="",FALSE,IF(INDIRECT("UserAccessCasePolicy!K"&amp;$N38)="",FALSE,NOT(ISNA(MATCH(INDIRECT("UserAccessCasePolicy!K"&amp;$N38)&amp;"|"&amp;$AO38,ColSetMember!$H:$H,0))))))</f>
        <v>1</v>
      </c>
    </row>
    <row r="39" spans="1:47" ht="18.75" customHeight="1" x14ac:dyDescent="0.3">
      <c r="A39">
        <v>38</v>
      </c>
      <c r="B39" t="b">
        <v>1</v>
      </c>
      <c r="C39" t="s">
        <v>596</v>
      </c>
      <c r="D39" t="s">
        <v>18</v>
      </c>
      <c r="E39" s="6" t="str">
        <f>INDEX(User!$D:$D,MATCH($D39,User!$A:$A,0))</f>
        <v>org_user2_2</v>
      </c>
      <c r="F39" t="s">
        <v>586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590</v>
      </c>
      <c r="S39" t="s">
        <v>117</v>
      </c>
      <c r="T39" s="6" t="str">
        <f>INDEX(CaseType!$B:$B,MATCH($S39,CaseType!$A:$A,0))</f>
        <v>case_type1</v>
      </c>
      <c r="U39" s="6" t="b">
        <f>AND(IF($AA39="",TRUE,$S39=INDEX(Col!$B:$B,MATCH($AA39,Col!$A:$A,0))),IF($AH39="",TRUE,$S39=INDEX(Col!$B:$B,MATCH($AH39,Col!$A:$A,0))),IF($AO39="",TRUE,$S39=INDEX(Col!$B:$B,MATCH($AO39,Col!$A:$A,0))))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138</v>
      </c>
      <c r="AB39" t="s">
        <v>545</v>
      </c>
      <c r="AC39" s="6" t="str">
        <f>IF($AA39="","",INDEX(Col!$H:$H,MATCH($AA39,Col!$A:$A,0)))</f>
        <v>col1_1_1_1_TEXT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IF($AA39="",TRUE,IF($N39="",FALSE,IF(INDIRECT("UserAccessCasePolicy!K"&amp;$N39)="",FALSE,NOT(ISNA(MATCH(INDIRECT("UserAccessCasePolicy!K"&amp;$N39)&amp;"|"&amp;$AA39,ColSetMember!$H:$H,0))))))</f>
        <v>0</v>
      </c>
      <c r="AI39" t="s">
        <v>642</v>
      </c>
      <c r="AJ39" s="6" t="str">
        <f>IF($AH39="","",INDEX(Col!$H:$H,MATCH($AH39,Col!$A:$A,0)))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IF($AH39="",TRUE,IF($N39="",FALSE,IF(INDIRECT("UserAccessCasePolicy!K"&amp;$N39)="",FALSE,NOT(ISNA(MATCH(INDIRECT("UserAccessCasePolicy!K"&amp;$N39)&amp;"|"&amp;$AH39,ColSetMember!$H:$H,0))))))</f>
        <v>1</v>
      </c>
      <c r="AQ39" s="6" t="str">
        <f>IF($AO39="","",INDEX(Col!$H:$H,MATCH($AO39,Col!$A:$A,0)))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IF($AO39="",TRUE,IF($N39="",FALSE,IF(INDIRECT("UserAccessCasePolicy!K"&amp;$N39)="",FALSE,NOT(ISNA(MATCH(INDIRECT("UserAccessCasePolicy!K"&amp;$N39)&amp;"|"&amp;$AO39,ColSetMember!$H:$H,0))))))</f>
        <v>1</v>
      </c>
    </row>
    <row r="40" spans="1:47" ht="18.75" customHeight="1" x14ac:dyDescent="0.3">
      <c r="A40">
        <v>39</v>
      </c>
      <c r="B40" t="b">
        <v>1</v>
      </c>
      <c r="C40" t="s">
        <v>597</v>
      </c>
      <c r="D40" t="s">
        <v>19</v>
      </c>
      <c r="E40" s="6" t="str">
        <f>INDEX(User!$D:$D,MATCH($D40,User!$A:$A,0))</f>
        <v>org_user2_3</v>
      </c>
      <c r="F40" t="s">
        <v>586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590</v>
      </c>
      <c r="S40" t="s">
        <v>117</v>
      </c>
      <c r="T40" s="6" t="str">
        <f>INDEX(CaseType!$B:$B,MATCH($S40,CaseType!$A:$A,0))</f>
        <v>case_type1</v>
      </c>
      <c r="U40" s="6" t="b">
        <f>AND(IF($AA40="",TRUE,$S40=INDEX(Col!$B:$B,MATCH($AA40,Col!$A:$A,0))),IF($AH40="",TRUE,$S40=INDEX(Col!$B:$B,MATCH($AH40,Col!$A:$A,0))),IF($AO40="",TRUE,$S40=INDEX(Col!$B:$B,MATCH($AO40,Col!$A:$A,0))))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138</v>
      </c>
      <c r="AB40" t="s">
        <v>545</v>
      </c>
      <c r="AC40" s="6" t="str">
        <f>IF($AA40="","",INDEX(Col!$H:$H,MATCH($AA40,Col!$A:$A,0)))</f>
        <v>col1_1_1_1_TEXT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IF($AA40="",TRUE,IF($N40="",FALSE,IF(INDIRECT("UserAccessCasePolicy!K"&amp;$N40)="",FALSE,NOT(ISNA(MATCH(INDIRECT("UserAccessCasePolicy!K"&amp;$N40)&amp;"|"&amp;$AA40,ColSetMember!$H:$H,0))))))</f>
        <v>0</v>
      </c>
      <c r="AI40" t="s">
        <v>642</v>
      </c>
      <c r="AJ40" s="6" t="str">
        <f>IF($AH40="","",INDEX(Col!$H:$H,MATCH($AH40,Col!$A:$A,0)))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IF($AH40="",TRUE,IF($N40="",FALSE,IF(INDIRECT("UserAccessCasePolicy!K"&amp;$N40)="",FALSE,NOT(ISNA(MATCH(INDIRECT("UserAccessCasePolicy!K"&amp;$N40)&amp;"|"&amp;$AH40,ColSetMember!$H:$H,0))))))</f>
        <v>1</v>
      </c>
      <c r="AQ40" s="6" t="str">
        <f>IF($AO40="","",INDEX(Col!$H:$H,MATCH($AO40,Col!$A:$A,0)))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IF($AO40="",TRUE,IF($N40="",FALSE,IF(INDIRECT("UserAccessCasePolicy!K"&amp;$N40)="",FALSE,NOT(ISNA(MATCH(INDIRECT("UserAccessCasePolicy!K"&amp;$N40)&amp;"|"&amp;$AO40,ColSetMember!$H:$H,0))))))</f>
        <v>1</v>
      </c>
    </row>
    <row r="41" spans="1:47" ht="18.75" customHeight="1" x14ac:dyDescent="0.3">
      <c r="A41">
        <v>40</v>
      </c>
      <c r="B41" t="b">
        <v>1</v>
      </c>
      <c r="C41" t="s">
        <v>598</v>
      </c>
      <c r="D41" t="s">
        <v>20</v>
      </c>
      <c r="E41" s="6" t="str">
        <f>INDEX(User!$D:$D,MATCH($D41,User!$A:$A,0))</f>
        <v>org_user2_4</v>
      </c>
      <c r="F41" t="s">
        <v>586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590</v>
      </c>
      <c r="S41" t="s">
        <v>117</v>
      </c>
      <c r="T41" s="6" t="str">
        <f>INDEX(CaseType!$B:$B,MATCH($S41,CaseType!$A:$A,0))</f>
        <v>case_type1</v>
      </c>
      <c r="U41" s="6" t="b">
        <f>AND(IF($AA41="",TRUE,$S41=INDEX(Col!$B:$B,MATCH($AA41,Col!$A:$A,0))),IF($AH41="",TRUE,$S41=INDEX(Col!$B:$B,MATCH($AH41,Col!$A:$A,0))),IF($AO41="",TRUE,$S41=INDEX(Col!$B:$B,MATCH($AO41,Col!$A:$A,0))))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138</v>
      </c>
      <c r="AB41" t="s">
        <v>545</v>
      </c>
      <c r="AC41" s="6" t="str">
        <f>IF($AA41="","",INDEX(Col!$H:$H,MATCH($AA41,Col!$A:$A,0)))</f>
        <v>col1_1_1_1_TEXT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IF($AA41="",TRUE,IF($N41="",FALSE,IF(INDIRECT("UserAccessCasePolicy!K"&amp;$N41)="",FALSE,NOT(ISNA(MATCH(INDIRECT("UserAccessCasePolicy!K"&amp;$N41)&amp;"|"&amp;$AA41,ColSetMember!$H:$H,0))))))</f>
        <v>0</v>
      </c>
      <c r="AI41" t="s">
        <v>643</v>
      </c>
      <c r="AJ41" s="6" t="str">
        <f>IF($AH41="","",INDEX(Col!$H:$H,MATCH($AH41,Col!$A:$A,0)))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IF($AH41="",TRUE,IF($N41="",FALSE,IF(INDIRECT("UserAccessCasePolicy!K"&amp;$N41)="",FALSE,NOT(ISNA(MATCH(INDIRECT("UserAccessCasePolicy!K"&amp;$N41)&amp;"|"&amp;$AH41,ColSetMember!$H:$H,0))))))</f>
        <v>1</v>
      </c>
      <c r="AQ41" s="6" t="str">
        <f>IF($AO41="","",INDEX(Col!$H:$H,MATCH($AO41,Col!$A:$A,0)))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IF($AO41="",TRUE,IF($N41="",FALSE,IF(INDIRECT("UserAccessCasePolicy!K"&amp;$N41)="",FALSE,NOT(ISNA(MATCH(INDIRECT("UserAccessCasePolicy!K"&amp;$N41)&amp;"|"&amp;$AO41,ColSetMember!$H:$H,0))))))</f>
        <v>1</v>
      </c>
    </row>
    <row r="42" spans="1:47" ht="18.75" customHeight="1" x14ac:dyDescent="0.3">
      <c r="A42">
        <v>41</v>
      </c>
      <c r="B42" t="b">
        <v>1</v>
      </c>
      <c r="C42" t="s">
        <v>599</v>
      </c>
      <c r="D42" t="s">
        <v>22</v>
      </c>
      <c r="E42" s="6" t="str">
        <f>INDEX(User!$D:$D,MATCH($D42,User!$A:$A,0))</f>
        <v>org_user3_1</v>
      </c>
      <c r="F42" t="s">
        <v>586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590</v>
      </c>
      <c r="S42" t="s">
        <v>117</v>
      </c>
      <c r="T42" s="6" t="str">
        <f>INDEX(CaseType!$B:$B,MATCH($S42,CaseType!$A:$A,0))</f>
        <v>case_type1</v>
      </c>
      <c r="U42" s="6" t="b">
        <f>AND(IF($AA42="",TRUE,$S42=INDEX(Col!$B:$B,MATCH($AA42,Col!$A:$A,0))),IF($AH42="",TRUE,$S42=INDEX(Col!$B:$B,MATCH($AH42,Col!$A:$A,0))),IF($AO42="",TRUE,$S42=INDEX(Col!$B:$B,MATCH($AO42,Col!$A:$A,0))))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138</v>
      </c>
      <c r="AB42" t="s">
        <v>545</v>
      </c>
      <c r="AC42" s="6" t="str">
        <f>IF($AA42="","",INDEX(Col!$H:$H,MATCH($AA42,Col!$A:$A,0)))</f>
        <v>col1_1_1_1_TEXT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IF($AA42="",TRUE,IF($N42="",FALSE,IF(INDIRECT("UserAccessCasePolicy!K"&amp;$N42)="",FALSE,NOT(ISNA(MATCH(INDIRECT("UserAccessCasePolicy!K"&amp;$N42)&amp;"|"&amp;$AA42,ColSetMember!$H:$H,0))))))</f>
        <v>0</v>
      </c>
      <c r="AI42" t="s">
        <v>644</v>
      </c>
      <c r="AJ42" s="6" t="str">
        <f>IF($AH42="","",INDEX(Col!$H:$H,MATCH($AH42,Col!$A:$A,0)))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IF($AH42="",TRUE,IF($N42="",FALSE,IF(INDIRECT("UserAccessCasePolicy!K"&amp;$N42)="",FALSE,NOT(ISNA(MATCH(INDIRECT("UserAccessCasePolicy!K"&amp;$N42)&amp;"|"&amp;$AH42,ColSetMember!$H:$H,0))))))</f>
        <v>1</v>
      </c>
      <c r="AQ42" s="6" t="str">
        <f>IF($AO42="","",INDEX(Col!$H:$H,MATCH($AO42,Col!$A:$A,0)))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IF($AO42="",TRUE,IF($N42="",FALSE,IF(INDIRECT("UserAccessCasePolicy!K"&amp;$N42)="",FALSE,NOT(ISNA(MATCH(INDIRECT("UserAccessCasePolicy!K"&amp;$N42)&amp;"|"&amp;$AO42,ColSetMember!$H:$H,0))))))</f>
        <v>1</v>
      </c>
    </row>
    <row r="43" spans="1:47" ht="18.75" customHeight="1" x14ac:dyDescent="0.3">
      <c r="A43">
        <v>42</v>
      </c>
      <c r="B43" t="b">
        <v>1</v>
      </c>
      <c r="C43" t="s">
        <v>600</v>
      </c>
      <c r="D43" t="s">
        <v>24</v>
      </c>
      <c r="E43" s="6" t="str">
        <f>INDEX(User!$D:$D,MATCH($D43,User!$A:$A,0))</f>
        <v>org_user3_2</v>
      </c>
      <c r="F43" t="s">
        <v>586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590</v>
      </c>
      <c r="S43" t="s">
        <v>117</v>
      </c>
      <c r="T43" s="6" t="str">
        <f>INDEX(CaseType!$B:$B,MATCH($S43,CaseType!$A:$A,0))</f>
        <v>case_type1</v>
      </c>
      <c r="U43" s="6" t="b">
        <f>AND(IF($AA43="",TRUE,$S43=INDEX(Col!$B:$B,MATCH($AA43,Col!$A:$A,0))),IF($AH43="",TRUE,$S43=INDEX(Col!$B:$B,MATCH($AH43,Col!$A:$A,0))),IF($AO43="",TRUE,$S43=INDEX(Col!$B:$B,MATCH($AO43,Col!$A:$A,0))))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138</v>
      </c>
      <c r="AB43" t="s">
        <v>545</v>
      </c>
      <c r="AC43" s="6" t="str">
        <f>IF($AA43="","",INDEX(Col!$H:$H,MATCH($AA43,Col!$A:$A,0)))</f>
        <v>col1_1_1_1_TEXT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IF($AA43="",TRUE,IF($N43="",FALSE,IF(INDIRECT("UserAccessCasePolicy!K"&amp;$N43)="",FALSE,NOT(ISNA(MATCH(INDIRECT("UserAccessCasePolicy!K"&amp;$N43)&amp;"|"&amp;$AA43,ColSetMember!$H:$H,0))))))</f>
        <v>0</v>
      </c>
      <c r="AI43" t="s">
        <v>645</v>
      </c>
      <c r="AJ43" s="6" t="str">
        <f>IF($AH43="","",INDEX(Col!$H:$H,MATCH($AH43,Col!$A:$A,0)))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IF($AH43="",TRUE,IF($N43="",FALSE,IF(INDIRECT("UserAccessCasePolicy!K"&amp;$N43)="",FALSE,NOT(ISNA(MATCH(INDIRECT("UserAccessCasePolicy!K"&amp;$N43)&amp;"|"&amp;$AH43,ColSetMember!$H:$H,0))))))</f>
        <v>1</v>
      </c>
      <c r="AQ43" s="6" t="str">
        <f>IF($AO43="","",INDEX(Col!$H:$H,MATCH($AO43,Col!$A:$A,0)))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IF($AO43="",TRUE,IF($N43="",FALSE,IF(INDIRECT("UserAccessCasePolicy!K"&amp;$N43)="",FALSE,NOT(ISNA(MATCH(INDIRECT("UserAccessCasePolicy!K"&amp;$N43)&amp;"|"&amp;$AO43,ColSetMember!$H:$H,0))))))</f>
        <v>1</v>
      </c>
    </row>
    <row r="44" spans="1:47" ht="18.75" customHeight="1" x14ac:dyDescent="0.3">
      <c r="A44">
        <v>43</v>
      </c>
      <c r="B44" t="b">
        <v>1</v>
      </c>
      <c r="C44" t="s">
        <v>601</v>
      </c>
      <c r="D44" t="s">
        <v>25</v>
      </c>
      <c r="E44" s="6" t="str">
        <f>INDEX(User!$D:$D,MATCH($D44,User!$A:$A,0))</f>
        <v>org_user3_3</v>
      </c>
      <c r="F44" t="s">
        <v>586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590</v>
      </c>
      <c r="S44" t="s">
        <v>117</v>
      </c>
      <c r="T44" s="6" t="str">
        <f>INDEX(CaseType!$B:$B,MATCH($S44,CaseType!$A:$A,0))</f>
        <v>case_type1</v>
      </c>
      <c r="U44" s="6" t="b">
        <f>AND(IF($AA44="",TRUE,$S44=INDEX(Col!$B:$B,MATCH($AA44,Col!$A:$A,0))),IF($AH44="",TRUE,$S44=INDEX(Col!$B:$B,MATCH($AH44,Col!$A:$A,0))),IF($AO44="",TRUE,$S44=INDEX(Col!$B:$B,MATCH($AO44,Col!$A:$A,0))))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138</v>
      </c>
      <c r="AB44" t="s">
        <v>545</v>
      </c>
      <c r="AC44" s="6" t="str">
        <f>IF($AA44="","",INDEX(Col!$H:$H,MATCH($AA44,Col!$A:$A,0)))</f>
        <v>col1_1_1_1_TEXT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IF($AA44="",TRUE,IF($N44="",FALSE,IF(INDIRECT("UserAccessCasePolicy!K"&amp;$N44)="",FALSE,NOT(ISNA(MATCH(INDIRECT("UserAccessCasePolicy!K"&amp;$N44)&amp;"|"&amp;$AA44,ColSetMember!$H:$H,0))))))</f>
        <v>0</v>
      </c>
      <c r="AJ44" s="6" t="str">
        <f>IF($AH44="","",INDEX(Col!$H:$H,MATCH($AH44,Col!$A:$A,0)))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IF($AH44="",TRUE,IF($N44="",FALSE,IF(INDIRECT("UserAccessCasePolicy!K"&amp;$N44)="",FALSE,NOT(ISNA(MATCH(INDIRECT("UserAccessCasePolicy!K"&amp;$N44)&amp;"|"&amp;$AH44,ColSetMember!$H:$H,0))))))</f>
        <v>1</v>
      </c>
      <c r="AQ44" s="6" t="str">
        <f>IF($AO44="","",INDEX(Col!$H:$H,MATCH($AO44,Col!$A:$A,0)))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IF($AO44="",TRUE,IF($N44="",FALSE,IF(INDIRECT("UserAccessCasePolicy!K"&amp;$N44)="",FALSE,NOT(ISNA(MATCH(INDIRECT("UserAccessCasePolicy!K"&amp;$N44)&amp;"|"&amp;$AO44,ColSetMember!$H:$H,0))))))</f>
        <v>1</v>
      </c>
    </row>
    <row r="45" spans="1:47" ht="18.75" customHeight="1" x14ac:dyDescent="0.3">
      <c r="A45">
        <v>44</v>
      </c>
      <c r="B45" t="b">
        <v>1</v>
      </c>
      <c r="C45" t="s">
        <v>602</v>
      </c>
      <c r="D45" t="s">
        <v>26</v>
      </c>
      <c r="E45" s="6" t="str">
        <f>INDEX(User!$D:$D,MATCH($D45,User!$A:$A,0))</f>
        <v>org_user3_4</v>
      </c>
      <c r="F45" t="s">
        <v>586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590</v>
      </c>
      <c r="S45" t="s">
        <v>117</v>
      </c>
      <c r="T45" s="6" t="str">
        <f>INDEX(CaseType!$B:$B,MATCH($S45,CaseType!$A:$A,0))</f>
        <v>case_type1</v>
      </c>
      <c r="U45" s="6" t="b">
        <f>AND(IF($AA45="",TRUE,$S45=INDEX(Col!$B:$B,MATCH($AA45,Col!$A:$A,0))),IF($AH45="",TRUE,$S45=INDEX(Col!$B:$B,MATCH($AH45,Col!$A:$A,0))),IF($AO45="",TRUE,$S45=INDEX(Col!$B:$B,MATCH($AO45,Col!$A:$A,0))))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138</v>
      </c>
      <c r="AB45" t="s">
        <v>545</v>
      </c>
      <c r="AC45" s="6" t="str">
        <f>IF($AA45="","",INDEX(Col!$H:$H,MATCH($AA45,Col!$A:$A,0)))</f>
        <v>col1_1_1_1_TEXT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IF($AA45="",TRUE,IF($N45="",FALSE,IF(INDIRECT("UserAccessCasePolicy!K"&amp;$N45)="",FALSE,NOT(ISNA(MATCH(INDIRECT("UserAccessCasePolicy!K"&amp;$N45)&amp;"|"&amp;$AA45,ColSetMember!$H:$H,0))))))</f>
        <v>0</v>
      </c>
      <c r="AJ45" s="6" t="str">
        <f>IF($AH45="","",INDEX(Col!$H:$H,MATCH($AH45,Col!$A:$A,0)))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IF($AH45="",TRUE,IF($N45="",FALSE,IF(INDIRECT("UserAccessCasePolicy!K"&amp;$N45)="",FALSE,NOT(ISNA(MATCH(INDIRECT("UserAccessCasePolicy!K"&amp;$N45)&amp;"|"&amp;$AH45,ColSetMember!$H:$H,0))))))</f>
        <v>1</v>
      </c>
      <c r="AQ45" s="6" t="str">
        <f>IF($AO45="","",INDEX(Col!$H:$H,MATCH($AO45,Col!$A:$A,0)))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IF($AO45="",TRUE,IF($N45="",FALSE,IF(INDIRECT("UserAccessCasePolicy!K"&amp;$N45)="",FALSE,NOT(ISNA(MATCH(INDIRECT("UserAccessCasePolicy!K"&amp;$N45)&amp;"|"&amp;$AO45,ColSetMember!$H:$H,0))))))</f>
        <v>1</v>
      </c>
    </row>
    <row r="46" spans="1:47" ht="18.75" customHeight="1" x14ac:dyDescent="0.3">
      <c r="A46">
        <v>45</v>
      </c>
      <c r="B46" t="b">
        <v>1</v>
      </c>
      <c r="C46" t="s">
        <v>603</v>
      </c>
      <c r="D46" t="s">
        <v>28</v>
      </c>
      <c r="E46" s="6" t="str">
        <f>INDEX(User!$D:$D,MATCH($D46,User!$A:$A,0))</f>
        <v>org_user4_1</v>
      </c>
      <c r="F46" t="s">
        <v>586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535</v>
      </c>
      <c r="S46" t="s">
        <v>117</v>
      </c>
      <c r="T46" s="6" t="str">
        <f>INDEX(CaseType!$B:$B,MATCH($S46,CaseType!$A:$A,0))</f>
        <v>case_type1</v>
      </c>
      <c r="U46" s="6" t="b">
        <f>AND(IF($AA46="",TRUE,$S46=INDEX(Col!$B:$B,MATCH($AA46,Col!$A:$A,0))),IF($AH46="",TRUE,$S46=INDEX(Col!$B:$B,MATCH($AH46,Col!$A:$A,0))),IF($AO46="",TRUE,$S46=INDEX(Col!$B:$B,MATCH($AO46,Col!$A:$A,0))))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138</v>
      </c>
      <c r="AB46" t="s">
        <v>545</v>
      </c>
      <c r="AC46" s="6" t="str">
        <f>IF($AA46="","",INDEX(Col!$H:$H,MATCH($AA46,Col!$A:$A,0)))</f>
        <v>col1_1_1_1_TEXT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IF($AA46="",TRUE,IF($N46="",FALSE,IF(INDIRECT("UserAccessCasePolicy!K"&amp;$N46)="",FALSE,NOT(ISNA(MATCH(INDIRECT("UserAccessCasePolicy!K"&amp;$N46)&amp;"|"&amp;$AA46,ColSetMember!$H:$H,0))))))</f>
        <v>0</v>
      </c>
      <c r="AJ46" s="6" t="str">
        <f>IF($AH46="","",INDEX(Col!$H:$H,MATCH($AH46,Col!$A:$A,0)))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IF($AH46="",TRUE,IF($N46="",FALSE,IF(INDIRECT("UserAccessCasePolicy!K"&amp;$N46)="",FALSE,NOT(ISNA(MATCH(INDIRECT("UserAccessCasePolicy!K"&amp;$N46)&amp;"|"&amp;$AH46,ColSetMember!$H:$H,0))))))</f>
        <v>1</v>
      </c>
      <c r="AP46" t="s">
        <v>604</v>
      </c>
      <c r="AQ46" s="6" t="str">
        <f>IF($AO46="","",INDEX(Col!$H:$H,MATCH($AO46,Col!$A:$A,0)))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IF($AO46="",TRUE,IF($N46="",FALSE,IF(INDIRECT("UserAccessCasePolicy!K"&amp;$N46)="",FALSE,NOT(ISNA(MATCH(INDIRECT("UserAccessCasePolicy!K"&amp;$N46)&amp;"|"&amp;$AO46,ColSetMember!$H:$H,0))))))</f>
        <v>1</v>
      </c>
    </row>
    <row r="47" spans="1:47" ht="18.75" customHeight="1" x14ac:dyDescent="0.3">
      <c r="A47">
        <v>46</v>
      </c>
      <c r="B47" t="b">
        <v>1</v>
      </c>
      <c r="C47" t="s">
        <v>605</v>
      </c>
      <c r="D47" t="s">
        <v>30</v>
      </c>
      <c r="E47" s="6" t="str">
        <f>INDEX(User!$D:$D,MATCH($D47,User!$A:$A,0))</f>
        <v>org_user4_2</v>
      </c>
      <c r="F47" t="s">
        <v>586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536</v>
      </c>
      <c r="S47" t="s">
        <v>117</v>
      </c>
      <c r="T47" s="6" t="str">
        <f>INDEX(CaseType!$B:$B,MATCH($S47,CaseType!$A:$A,0))</f>
        <v>case_type1</v>
      </c>
      <c r="U47" s="6" t="b">
        <f>AND(IF($AA47="",TRUE,$S47=INDEX(Col!$B:$B,MATCH($AA47,Col!$A:$A,0))),IF($AH47="",TRUE,$S47=INDEX(Col!$B:$B,MATCH($AH47,Col!$A:$A,0))),IF($AO47="",TRUE,$S47=INDEX(Col!$B:$B,MATCH($AO47,Col!$A:$A,0))))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138</v>
      </c>
      <c r="AB47" t="s">
        <v>545</v>
      </c>
      <c r="AC47" s="6" t="str">
        <f>IF($AA47="","",INDEX(Col!$H:$H,MATCH($AA47,Col!$A:$A,0)))</f>
        <v>col1_1_1_1_TEXT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IF($AA47="",TRUE,IF($N47="",FALSE,IF(INDIRECT("UserAccessCasePolicy!K"&amp;$N47)="",FALSE,NOT(ISNA(MATCH(INDIRECT("UserAccessCasePolicy!K"&amp;$N47)&amp;"|"&amp;$AA47,ColSetMember!$H:$H,0))))))</f>
        <v>0</v>
      </c>
      <c r="AJ47" s="6" t="str">
        <f>IF($AH47="","",INDEX(Col!$H:$H,MATCH($AH47,Col!$A:$A,0)))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IF($AH47="",TRUE,IF($N47="",FALSE,IF(INDIRECT("UserAccessCasePolicy!K"&amp;$N47)="",FALSE,NOT(ISNA(MATCH(INDIRECT("UserAccessCasePolicy!K"&amp;$N47)&amp;"|"&amp;$AH47,ColSetMember!$H:$H,0))))))</f>
        <v>1</v>
      </c>
      <c r="AP47" t="s">
        <v>604</v>
      </c>
      <c r="AQ47" s="6" t="str">
        <f>IF($AO47="","",INDEX(Col!$H:$H,MATCH($AO47,Col!$A:$A,0)))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IF($AO47="",TRUE,IF($N47="",FALSE,IF(INDIRECT("UserAccessCasePolicy!K"&amp;$N47)="",FALSE,NOT(ISNA(MATCH(INDIRECT("UserAccessCasePolicy!K"&amp;$N47)&amp;"|"&amp;$AO47,ColSetMember!$H:$H,0))))))</f>
        <v>1</v>
      </c>
    </row>
    <row r="48" spans="1:47" ht="18.75" customHeight="1" x14ac:dyDescent="0.3">
      <c r="A48">
        <v>47</v>
      </c>
      <c r="B48" t="b">
        <v>1</v>
      </c>
      <c r="C48" t="s">
        <v>606</v>
      </c>
      <c r="D48" t="s">
        <v>31</v>
      </c>
      <c r="E48" s="6" t="str">
        <f>INDEX(User!$D:$D,MATCH($D48,User!$A:$A,0))</f>
        <v>org_user4_3</v>
      </c>
      <c r="F48" t="s">
        <v>586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537</v>
      </c>
      <c r="S48" t="s">
        <v>117</v>
      </c>
      <c r="T48" s="6" t="str">
        <f>INDEX(CaseType!$B:$B,MATCH($S48,CaseType!$A:$A,0))</f>
        <v>case_type1</v>
      </c>
      <c r="U48" s="6" t="b">
        <f>AND(IF($AA48="",TRUE,$S48=INDEX(Col!$B:$B,MATCH($AA48,Col!$A:$A,0))),IF($AH48="",TRUE,$S48=INDEX(Col!$B:$B,MATCH($AH48,Col!$A:$A,0))),IF($AO48="",TRUE,$S48=INDEX(Col!$B:$B,MATCH($AO48,Col!$A:$A,0))))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138</v>
      </c>
      <c r="AB48" t="s">
        <v>545</v>
      </c>
      <c r="AC48" s="6" t="str">
        <f>IF($AA48="","",INDEX(Col!$H:$H,MATCH($AA48,Col!$A:$A,0)))</f>
        <v>col1_1_1_1_TEXT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IF($AA48="",TRUE,IF($N48="",FALSE,IF(INDIRECT("UserAccessCasePolicy!K"&amp;$N48)="",FALSE,NOT(ISNA(MATCH(INDIRECT("UserAccessCasePolicy!K"&amp;$N48)&amp;"|"&amp;$AA48,ColSetMember!$H:$H,0))))))</f>
        <v>0</v>
      </c>
      <c r="AJ48" s="6" t="str">
        <f>IF($AH48="","",INDEX(Col!$H:$H,MATCH($AH48,Col!$A:$A,0)))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IF($AH48="",TRUE,IF($N48="",FALSE,IF(INDIRECT("UserAccessCasePolicy!K"&amp;$N48)="",FALSE,NOT(ISNA(MATCH(INDIRECT("UserAccessCasePolicy!K"&amp;$N48)&amp;"|"&amp;$AH48,ColSetMember!$H:$H,0))))))</f>
        <v>1</v>
      </c>
      <c r="AP48" t="s">
        <v>604</v>
      </c>
      <c r="AQ48" s="6" t="str">
        <f>IF($AO48="","",INDEX(Col!$H:$H,MATCH($AO48,Col!$A:$A,0)))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IF($AO48="",TRUE,IF($N48="",FALSE,IF(INDIRECT("UserAccessCasePolicy!K"&amp;$N48)="",FALSE,NOT(ISNA(MATCH(INDIRECT("UserAccessCasePolicy!K"&amp;$N48)&amp;"|"&amp;$AO48,ColSetMember!$H:$H,0))))))</f>
        <v>1</v>
      </c>
    </row>
    <row r="49" spans="1:47" ht="18.75" customHeight="1" x14ac:dyDescent="0.3">
      <c r="A49">
        <v>48</v>
      </c>
      <c r="B49" t="b">
        <v>1</v>
      </c>
      <c r="C49" t="s">
        <v>607</v>
      </c>
      <c r="D49" t="s">
        <v>32</v>
      </c>
      <c r="E49" s="6" t="str">
        <f>INDEX(User!$D:$D,MATCH($D49,User!$A:$A,0))</f>
        <v>org_user4_4</v>
      </c>
      <c r="F49" t="s">
        <v>586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538</v>
      </c>
      <c r="S49" t="s">
        <v>117</v>
      </c>
      <c r="T49" s="6" t="str">
        <f>INDEX(CaseType!$B:$B,MATCH($S49,CaseType!$A:$A,0))</f>
        <v>case_type1</v>
      </c>
      <c r="U49" s="6" t="b">
        <f>AND(IF($AA49="",TRUE,$S49=INDEX(Col!$B:$B,MATCH($AA49,Col!$A:$A,0))),IF($AH49="",TRUE,$S49=INDEX(Col!$B:$B,MATCH($AH49,Col!$A:$A,0))),IF($AO49="",TRUE,$S49=INDEX(Col!$B:$B,MATCH($AO49,Col!$A:$A,0))))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138</v>
      </c>
      <c r="AB49" t="s">
        <v>545</v>
      </c>
      <c r="AC49" s="6" t="str">
        <f>IF($AA49="","",INDEX(Col!$H:$H,MATCH($AA49,Col!$A:$A,0)))</f>
        <v>col1_1_1_1_TEXT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IF($AA49="",TRUE,IF($N49="",FALSE,IF(INDIRECT("UserAccessCasePolicy!K"&amp;$N49)="",FALSE,NOT(ISNA(MATCH(INDIRECT("UserAccessCasePolicy!K"&amp;$N49)&amp;"|"&amp;$AA49,ColSetMember!$H:$H,0))))))</f>
        <v>0</v>
      </c>
      <c r="AJ49" s="6" t="str">
        <f>IF($AH49="","",INDEX(Col!$H:$H,MATCH($AH49,Col!$A:$A,0)))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IF($AH49="",TRUE,IF($N49="",FALSE,IF(INDIRECT("UserAccessCasePolicy!K"&amp;$N49)="",FALSE,NOT(ISNA(MATCH(INDIRECT("UserAccessCasePolicy!K"&amp;$N49)&amp;"|"&amp;$AH49,ColSetMember!$H:$H,0))))))</f>
        <v>1</v>
      </c>
      <c r="AP49" t="s">
        <v>604</v>
      </c>
      <c r="AQ49" s="6" t="str">
        <f>IF($AO49="","",INDEX(Col!$H:$H,MATCH($AO49,Col!$A:$A,0)))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IF($AO49="",TRUE,IF($N49="",FALSE,IF(INDIRECT("UserAccessCasePolicy!K"&amp;$N49)="",FALSE,NOT(ISNA(MATCH(INDIRECT("UserAccessCasePolicy!K"&amp;$N49)&amp;"|"&amp;$AO49,ColSetMember!$H:$H,0))))))</f>
        <v>1</v>
      </c>
    </row>
    <row r="50" spans="1:47" ht="18.75" customHeight="1" x14ac:dyDescent="0.3">
      <c r="A50">
        <v>49</v>
      </c>
      <c r="B50" t="b">
        <v>1</v>
      </c>
      <c r="C50" t="s">
        <v>608</v>
      </c>
      <c r="D50" t="s">
        <v>34</v>
      </c>
      <c r="E50" s="6" t="str">
        <f>INDEX(User!$D:$D,MATCH($D50,User!$A:$A,0))</f>
        <v>org_user5_1</v>
      </c>
      <c r="F50" t="s">
        <v>586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539</v>
      </c>
      <c r="S50" t="s">
        <v>117</v>
      </c>
      <c r="T50" s="6" t="str">
        <f>INDEX(CaseType!$B:$B,MATCH($S50,CaseType!$A:$A,0))</f>
        <v>case_type1</v>
      </c>
      <c r="U50" s="6" t="b">
        <f>AND(IF($AA50="",TRUE,$S50=INDEX(Col!$B:$B,MATCH($AA50,Col!$A:$A,0))),IF($AH50="",TRUE,$S50=INDEX(Col!$B:$B,MATCH($AH50,Col!$A:$A,0))),IF($AO50="",TRUE,$S50=INDEX(Col!$B:$B,MATCH($AO50,Col!$A:$A,0))))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138</v>
      </c>
      <c r="AB50" t="s">
        <v>545</v>
      </c>
      <c r="AC50" s="6" t="str">
        <f>IF($AA50="","",INDEX(Col!$H:$H,MATCH($AA50,Col!$A:$A,0)))</f>
        <v>col1_1_1_1_TEXT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IF($AA50="",TRUE,IF($N50="",FALSE,IF(INDIRECT("UserAccessCasePolicy!K"&amp;$N50)="",FALSE,NOT(ISNA(MATCH(INDIRECT("UserAccessCasePolicy!K"&amp;$N50)&amp;"|"&amp;$AA50,ColSetMember!$H:$H,0))))))</f>
        <v>0</v>
      </c>
      <c r="AJ50" s="6" t="str">
        <f>IF($AH50="","",INDEX(Col!$H:$H,MATCH($AH50,Col!$A:$A,0)))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IF($AH50="",TRUE,IF($N50="",FALSE,IF(INDIRECT("UserAccessCasePolicy!K"&amp;$N50)="",FALSE,NOT(ISNA(MATCH(INDIRECT("UserAccessCasePolicy!K"&amp;$N50)&amp;"|"&amp;$AH50,ColSetMember!$H:$H,0))))))</f>
        <v>1</v>
      </c>
      <c r="AP50" t="s">
        <v>609</v>
      </c>
      <c r="AQ50" s="6" t="str">
        <f>IF($AO50="","",INDEX(Col!$H:$H,MATCH($AO50,Col!$A:$A,0)))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IF($AO50="",TRUE,IF($N50="",FALSE,IF(INDIRECT("UserAccessCasePolicy!K"&amp;$N50)="",FALSE,NOT(ISNA(MATCH(INDIRECT("UserAccessCasePolicy!K"&amp;$N50)&amp;"|"&amp;$AO50,ColSetMember!$H:$H,0))))))</f>
        <v>1</v>
      </c>
    </row>
    <row r="51" spans="1:47" ht="18.75" customHeight="1" x14ac:dyDescent="0.3">
      <c r="A51">
        <v>50</v>
      </c>
      <c r="B51" t="b">
        <v>1</v>
      </c>
      <c r="C51" t="s">
        <v>610</v>
      </c>
      <c r="D51" t="s">
        <v>36</v>
      </c>
      <c r="E51" s="6" t="str">
        <f>INDEX(User!$D:$D,MATCH($D51,User!$A:$A,0))</f>
        <v>org_user5_2</v>
      </c>
      <c r="F51" t="s">
        <v>586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540</v>
      </c>
      <c r="S51" t="s">
        <v>117</v>
      </c>
      <c r="T51" s="6" t="str">
        <f>INDEX(CaseType!$B:$B,MATCH($S51,CaseType!$A:$A,0))</f>
        <v>case_type1</v>
      </c>
      <c r="U51" s="6" t="b">
        <f>AND(IF($AA51="",TRUE,$S51=INDEX(Col!$B:$B,MATCH($AA51,Col!$A:$A,0))),IF($AH51="",TRUE,$S51=INDEX(Col!$B:$B,MATCH($AH51,Col!$A:$A,0))),IF($AO51="",TRUE,$S51=INDEX(Col!$B:$B,MATCH($AO51,Col!$A:$A,0))))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138</v>
      </c>
      <c r="AB51" t="s">
        <v>545</v>
      </c>
      <c r="AC51" s="6" t="str">
        <f>IF($AA51="","",INDEX(Col!$H:$H,MATCH($AA51,Col!$A:$A,0)))</f>
        <v>col1_1_1_1_TEXT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IF($AA51="",TRUE,IF($N51="",FALSE,IF(INDIRECT("UserAccessCasePolicy!K"&amp;$N51)="",FALSE,NOT(ISNA(MATCH(INDIRECT("UserAccessCasePolicy!K"&amp;$N51)&amp;"|"&amp;$AA51,ColSetMember!$H:$H,0))))))</f>
        <v>0</v>
      </c>
      <c r="AJ51" s="6" t="str">
        <f>IF($AH51="","",INDEX(Col!$H:$H,MATCH($AH51,Col!$A:$A,0)))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IF($AH51="",TRUE,IF($N51="",FALSE,IF(INDIRECT("UserAccessCasePolicy!K"&amp;$N51)="",FALSE,NOT(ISNA(MATCH(INDIRECT("UserAccessCasePolicy!K"&amp;$N51)&amp;"|"&amp;$AH51,ColSetMember!$H:$H,0))))))</f>
        <v>1</v>
      </c>
      <c r="AP51" t="s">
        <v>609</v>
      </c>
      <c r="AQ51" s="6" t="str">
        <f>IF($AO51="","",INDEX(Col!$H:$H,MATCH($AO51,Col!$A:$A,0)))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IF($AO51="",TRUE,IF($N51="",FALSE,IF(INDIRECT("UserAccessCasePolicy!K"&amp;$N51)="",FALSE,NOT(ISNA(MATCH(INDIRECT("UserAccessCasePolicy!K"&amp;$N51)&amp;"|"&amp;$AO51,ColSetMember!$H:$H,0))))))</f>
        <v>1</v>
      </c>
    </row>
    <row r="52" spans="1:47" ht="18.75" customHeight="1" x14ac:dyDescent="0.3">
      <c r="A52">
        <v>51</v>
      </c>
      <c r="B52" t="b">
        <v>1</v>
      </c>
      <c r="C52" t="s">
        <v>611</v>
      </c>
      <c r="D52" t="s">
        <v>37</v>
      </c>
      <c r="E52" s="6" t="str">
        <f>INDEX(User!$D:$D,MATCH($D52,User!$A:$A,0))</f>
        <v>org_user5_3</v>
      </c>
      <c r="F52" t="s">
        <v>586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541</v>
      </c>
      <c r="S52" t="s">
        <v>117</v>
      </c>
      <c r="T52" s="6" t="str">
        <f>INDEX(CaseType!$B:$B,MATCH($S52,CaseType!$A:$A,0))</f>
        <v>case_type1</v>
      </c>
      <c r="U52" s="6" t="b">
        <f>AND(IF($AA52="",TRUE,$S52=INDEX(Col!$B:$B,MATCH($AA52,Col!$A:$A,0))),IF($AH52="",TRUE,$S52=INDEX(Col!$B:$B,MATCH($AH52,Col!$A:$A,0))),IF($AO52="",TRUE,$S52=INDEX(Col!$B:$B,MATCH($AO52,Col!$A:$A,0))))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138</v>
      </c>
      <c r="AB52" t="s">
        <v>545</v>
      </c>
      <c r="AC52" s="6" t="str">
        <f>IF($AA52="","",INDEX(Col!$H:$H,MATCH($AA52,Col!$A:$A,0)))</f>
        <v>col1_1_1_1_TEXT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IF($AA52="",TRUE,IF($N52="",FALSE,IF(INDIRECT("UserAccessCasePolicy!K"&amp;$N52)="",FALSE,NOT(ISNA(MATCH(INDIRECT("UserAccessCasePolicy!K"&amp;$N52)&amp;"|"&amp;$AA52,ColSetMember!$H:$H,0))))))</f>
        <v>0</v>
      </c>
      <c r="AJ52" s="6" t="str">
        <f>IF($AH52="","",INDEX(Col!$H:$H,MATCH($AH52,Col!$A:$A,0)))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IF($AH52="",TRUE,IF($N52="",FALSE,IF(INDIRECT("UserAccessCasePolicy!K"&amp;$N52)="",FALSE,NOT(ISNA(MATCH(INDIRECT("UserAccessCasePolicy!K"&amp;$N52)&amp;"|"&amp;$AH52,ColSetMember!$H:$H,0))))))</f>
        <v>1</v>
      </c>
      <c r="AP52" t="s">
        <v>609</v>
      </c>
      <c r="AQ52" s="6" t="str">
        <f>IF($AO52="","",INDEX(Col!$H:$H,MATCH($AO52,Col!$A:$A,0)))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IF($AO52="",TRUE,IF($N52="",FALSE,IF(INDIRECT("UserAccessCasePolicy!K"&amp;$N52)="",FALSE,NOT(ISNA(MATCH(INDIRECT("UserAccessCasePolicy!K"&amp;$N52)&amp;"|"&amp;$AO52,ColSetMember!$H:$H,0))))))</f>
        <v>1</v>
      </c>
    </row>
    <row r="53" spans="1:47" ht="18.75" customHeight="1" x14ac:dyDescent="0.3">
      <c r="A53">
        <v>52</v>
      </c>
      <c r="B53" t="b">
        <v>1</v>
      </c>
      <c r="C53" t="s">
        <v>612</v>
      </c>
      <c r="D53" t="s">
        <v>38</v>
      </c>
      <c r="E53" s="6" t="str">
        <f>INDEX(User!$D:$D,MATCH($D53,User!$A:$A,0))</f>
        <v>org_user5_4</v>
      </c>
      <c r="F53" t="s">
        <v>586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542</v>
      </c>
      <c r="S53" t="s">
        <v>117</v>
      </c>
      <c r="T53" s="6" t="str">
        <f>INDEX(CaseType!$B:$B,MATCH($S53,CaseType!$A:$A,0))</f>
        <v>case_type1</v>
      </c>
      <c r="U53" s="6" t="b">
        <f>AND(IF($AA53="",TRUE,$S53=INDEX(Col!$B:$B,MATCH($AA53,Col!$A:$A,0))),IF($AH53="",TRUE,$S53=INDEX(Col!$B:$B,MATCH($AH53,Col!$A:$A,0))),IF($AO53="",TRUE,$S53=INDEX(Col!$B:$B,MATCH($AO53,Col!$A:$A,0))))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138</v>
      </c>
      <c r="AB53" t="s">
        <v>545</v>
      </c>
      <c r="AC53" s="6" t="str">
        <f>IF($AA53="","",INDEX(Col!$H:$H,MATCH($AA53,Col!$A:$A,0)))</f>
        <v>col1_1_1_1_TEXT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IF($AA53="",TRUE,IF($N53="",FALSE,IF(INDIRECT("UserAccessCasePolicy!K"&amp;$N53)="",FALSE,NOT(ISNA(MATCH(INDIRECT("UserAccessCasePolicy!K"&amp;$N53)&amp;"|"&amp;$AA53,ColSetMember!$H:$H,0))))))</f>
        <v>0</v>
      </c>
      <c r="AJ53" s="6" t="str">
        <f>IF($AH53="","",INDEX(Col!$H:$H,MATCH($AH53,Col!$A:$A,0)))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IF($AH53="",TRUE,IF($N53="",FALSE,IF(INDIRECT("UserAccessCasePolicy!K"&amp;$N53)="",FALSE,NOT(ISNA(MATCH(INDIRECT("UserAccessCasePolicy!K"&amp;$N53)&amp;"|"&amp;$AH53,ColSetMember!$H:$H,0))))))</f>
        <v>1</v>
      </c>
      <c r="AP53" t="s">
        <v>609</v>
      </c>
      <c r="AQ53" s="6" t="str">
        <f>IF($AO53="","",INDEX(Col!$H:$H,MATCH($AO53,Col!$A:$A,0)))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IF($AO53="",TRUE,IF($N53="",FALSE,IF(INDIRECT("UserAccessCasePolicy!K"&amp;$N53)="",FALSE,NOT(ISNA(MATCH(INDIRECT("UserAccessCasePolicy!K"&amp;$N53)&amp;"|"&amp;$AO53,ColSetMember!$H:$H,0))))))</f>
        <v>1</v>
      </c>
    </row>
    <row r="54" spans="1:47" ht="18.75" customHeight="1" x14ac:dyDescent="0.3">
      <c r="A54">
        <v>53</v>
      </c>
      <c r="B54" t="b">
        <v>1</v>
      </c>
      <c r="C54" t="s">
        <v>613</v>
      </c>
      <c r="D54" t="s">
        <v>10</v>
      </c>
      <c r="E54" s="6" t="str">
        <f>INDEX(User!$D:$D,MATCH($D54,User!$A:$A,0))</f>
        <v>org_user1_1</v>
      </c>
      <c r="F54" t="s">
        <v>586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614</v>
      </c>
      <c r="S54" t="s">
        <v>121</v>
      </c>
      <c r="T54" s="6" t="str">
        <f>INDEX(CaseType!$B:$B,MATCH($S54,CaseType!$A:$A,0))</f>
        <v>case_type2</v>
      </c>
      <c r="U54" s="6" t="b">
        <f>AND(IF($AA54="",TRUE,$S54=INDEX(Col!$B:$B,MATCH($AA54,Col!$A:$A,0))),IF($AH54="",TRUE,$S54=INDEX(Col!$B:$B,MATCH($AH54,Col!$A:$A,0))),IF($AO54="",TRUE,$S54=INDEX(Col!$B:$B,MATCH($AO54,Col!$A:$A,0))))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138</v>
      </c>
      <c r="AB54" t="s">
        <v>545</v>
      </c>
      <c r="AC54" s="6" t="str">
        <f>IF($AA54="","",INDEX(Col!$H:$H,MATCH($AA54,Col!$A:$A,0)))</f>
        <v>col1_1_1_1_TEXT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IF($AA54="",TRUE,IF($N54="",FALSE,IF(INDIRECT("UserAccessCasePolicy!K"&amp;$N54)="",FALSE,NOT(ISNA(MATCH(INDIRECT("UserAccessCasePolicy!K"&amp;$N54)&amp;"|"&amp;$AA54,ColSetMember!$H:$H,0))))))</f>
        <v>1</v>
      </c>
      <c r="AH54" t="s">
        <v>138</v>
      </c>
      <c r="AI54" t="s">
        <v>646</v>
      </c>
      <c r="AJ54" s="6" t="str">
        <f>IF($AH54="","",INDEX(Col!$H:$H,MATCH($AH54,Col!$A:$A,0)))</f>
        <v>col1_1_1_1_TEXT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IF($AH54="",TRUE,IF($N54="",FALSE,IF(INDIRECT("UserAccessCasePolicy!K"&amp;$N54)="",FALSE,NOT(ISNA(MATCH(INDIRECT("UserAccessCasePolicy!K"&amp;$N54)&amp;"|"&amp;$AH54,ColSetMember!$H:$H,0))))))</f>
        <v>1</v>
      </c>
      <c r="AO54" t="s">
        <v>138</v>
      </c>
      <c r="AP54" t="s">
        <v>591</v>
      </c>
      <c r="AQ54" s="6" t="str">
        <f>IF($AO54="","",INDEX(Col!$H:$H,MATCH($AO54,Col!$A:$A,0)))</f>
        <v>col1_1_1_1_TEXT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IF($AO54="",TRUE,IF($N54="",FALSE,IF(INDIRECT("UserAccessCasePolicy!K"&amp;$N54)="",FALSE,NOT(ISNA(MATCH(INDIRECT("UserAccessCasePolicy!K"&amp;$N54)&amp;"|"&amp;$AO54,ColSetMember!$H:$H,0))))))</f>
        <v>1</v>
      </c>
    </row>
    <row r="55" spans="1:47" ht="18.75" customHeight="1" x14ac:dyDescent="0.3">
      <c r="A55">
        <v>54</v>
      </c>
      <c r="B55" t="b">
        <v>1</v>
      </c>
      <c r="C55" t="s">
        <v>615</v>
      </c>
      <c r="D55" t="s">
        <v>10</v>
      </c>
      <c r="E55" s="6" t="str">
        <f>INDEX(User!$D:$D,MATCH($D55,User!$A:$A,0))</f>
        <v>org_user1_1</v>
      </c>
      <c r="F55" t="s">
        <v>586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616</v>
      </c>
      <c r="S55" t="s">
        <v>125</v>
      </c>
      <c r="T55" s="6" t="str">
        <f>INDEX(CaseType!$B:$B,MATCH($S55,CaseType!$A:$A,0))</f>
        <v>case_type3</v>
      </c>
      <c r="U55" s="6" t="b">
        <f>AND(IF($AA55="",TRUE,$S55=INDEX(Col!$B:$B,MATCH($AA55,Col!$A:$A,0))),IF($AH55="",TRUE,$S55=INDEX(Col!$B:$B,MATCH($AH55,Col!$A:$A,0))),IF($AO55="",TRUE,$S55=INDEX(Col!$B:$B,MATCH($AO55,Col!$A:$A,0))))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141</v>
      </c>
      <c r="AB55" t="s">
        <v>545</v>
      </c>
      <c r="AC55" s="6" t="str">
        <f>IF($AA55="","",INDEX(Col!$H:$H,MATCH($AA55,Col!$A:$A,0)))</f>
        <v>col1_1_2_1_TEXT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IF($AA55="",TRUE,IF($N55="",FALSE,IF(INDIRECT("UserAccessCasePolicy!K"&amp;$N55)="",FALSE,NOT(ISNA(MATCH(INDIRECT("UserAccessCasePolicy!K"&amp;$N55)&amp;"|"&amp;$AA55,ColSetMember!$H:$H,0))))))</f>
        <v>0</v>
      </c>
      <c r="AH55" t="s">
        <v>141</v>
      </c>
      <c r="AI55" t="s">
        <v>647</v>
      </c>
      <c r="AJ55" s="6" t="str">
        <f>IF($AH55="","",INDEX(Col!$H:$H,MATCH($AH55,Col!$A:$A,0)))</f>
        <v>col1_1_2_1_TEXT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IF($AH55="",TRUE,IF($N55="",FALSE,IF(INDIRECT("UserAccessCasePolicy!K"&amp;$N55)="",FALSE,NOT(ISNA(MATCH(INDIRECT("UserAccessCasePolicy!K"&amp;$N55)&amp;"|"&amp;$AH55,ColSetMember!$H:$H,0))))))</f>
        <v>0</v>
      </c>
      <c r="AO55" t="s">
        <v>141</v>
      </c>
      <c r="AP55" t="s">
        <v>591</v>
      </c>
      <c r="AQ55" s="6" t="str">
        <f>IF($AO55="","",INDEX(Col!$H:$H,MATCH($AO55,Col!$A:$A,0)))</f>
        <v>col1_1_2_1_TEXT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IF($AO55="",TRUE,IF($N55="",FALSE,IF(INDIRECT("UserAccessCasePolicy!K"&amp;$N55)="",FALSE,NOT(ISNA(MATCH(INDIRECT("UserAccessCasePolicy!K"&amp;$N55)&amp;"|"&amp;$AO55,ColSetMember!$H:$H,0))))))</f>
        <v>0</v>
      </c>
    </row>
    <row r="56" spans="1:47" ht="18.75" customHeight="1" x14ac:dyDescent="0.3">
      <c r="A56">
        <v>55</v>
      </c>
      <c r="B56" t="b">
        <v>1</v>
      </c>
      <c r="C56" t="s">
        <v>617</v>
      </c>
      <c r="D56" t="s">
        <v>10</v>
      </c>
      <c r="E56" s="6" t="str">
        <f>INDEX(User!$D:$D,MATCH($D56,User!$A:$A,0))</f>
        <v>org_user1_1</v>
      </c>
      <c r="F56" t="s">
        <v>586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618</v>
      </c>
      <c r="S56" t="s">
        <v>129</v>
      </c>
      <c r="T56" s="6" t="str">
        <f>INDEX(CaseType!$B:$B,MATCH($S56,CaseType!$A:$A,0))</f>
        <v>case_type4</v>
      </c>
      <c r="U56" s="6" t="b">
        <f>AND(IF($AA56="",TRUE,$S56=INDEX(Col!$B:$B,MATCH($AA56,Col!$A:$A,0))),IF($AH56="",TRUE,$S56=INDEX(Col!$B:$B,MATCH($AH56,Col!$A:$A,0))),IF($AO56="",TRUE,$S56=INDEX(Col!$B:$B,MATCH($AO56,Col!$A:$A,0))))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144</v>
      </c>
      <c r="AB56" t="s">
        <v>545</v>
      </c>
      <c r="AC56" s="6" t="str">
        <f>IF($AA56="","",INDEX(Col!$H:$H,MATCH($AA56,Col!$A:$A,0)))</f>
        <v>col1_1_3_1_TEXT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IF($AA56="",TRUE,IF($N56="",FALSE,IF(INDIRECT("UserAccessCasePolicy!K"&amp;$N56)="",FALSE,NOT(ISNA(MATCH(INDIRECT("UserAccessCasePolicy!K"&amp;$N56)&amp;"|"&amp;$AA56,ColSetMember!$H:$H,0))))))</f>
        <v>0</v>
      </c>
      <c r="AH56" t="s">
        <v>144</v>
      </c>
      <c r="AI56" t="s">
        <v>647</v>
      </c>
      <c r="AJ56" s="6" t="str">
        <f>IF($AH56="","",INDEX(Col!$H:$H,MATCH($AH56,Col!$A:$A,0)))</f>
        <v>col1_1_3_1_TEXT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IF($AH56="",TRUE,IF($N56="",FALSE,IF(INDIRECT("UserAccessCasePolicy!K"&amp;$N56)="",FALSE,NOT(ISNA(MATCH(INDIRECT("UserAccessCasePolicy!K"&amp;$N56)&amp;"|"&amp;$AH56,ColSetMember!$H:$H,0))))))</f>
        <v>0</v>
      </c>
      <c r="AO56" t="s">
        <v>144</v>
      </c>
      <c r="AP56" t="s">
        <v>591</v>
      </c>
      <c r="AQ56" s="6" t="str">
        <f>IF($AO56="","",INDEX(Col!$H:$H,MATCH($AO56,Col!$A:$A,0)))</f>
        <v>col1_1_3_1_TEXT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IF($AO56="",TRUE,IF($N56="",FALSE,IF(INDIRECT("UserAccessCasePolicy!K"&amp;$N56)="",FALSE,NOT(ISNA(MATCH(INDIRECT("UserAccessCasePolicy!K"&amp;$N56)&amp;"|"&amp;$AO56,ColSetMember!$H:$H,0))))))</f>
        <v>0</v>
      </c>
    </row>
    <row r="57" spans="1:47" ht="18.75" customHeight="1" x14ac:dyDescent="0.3">
      <c r="A57">
        <v>56</v>
      </c>
      <c r="B57" t="b">
        <v>1</v>
      </c>
      <c r="C57" t="s">
        <v>619</v>
      </c>
      <c r="D57" t="s">
        <v>12</v>
      </c>
      <c r="E57" s="6" t="str">
        <f>INDEX(User!$D:$D,MATCH($D57,User!$A:$A,0))</f>
        <v>org_user1_2</v>
      </c>
      <c r="F57" t="s">
        <v>586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524</v>
      </c>
      <c r="S57" t="s">
        <v>121</v>
      </c>
      <c r="T57" s="6" t="str">
        <f>INDEX(CaseType!$B:$B,MATCH($S57,CaseType!$A:$A,0))</f>
        <v>case_type2</v>
      </c>
      <c r="U57" s="6" t="b">
        <f>AND(IF($AA57="",TRUE,$S57=INDEX(Col!$B:$B,MATCH($AA57,Col!$A:$A,0))),IF($AH57="",TRUE,$S57=INDEX(Col!$B:$B,MATCH($AH57,Col!$A:$A,0))),IF($AO57="",TRUE,$S57=INDEX(Col!$B:$B,MATCH($AO57,Col!$A:$A,0))))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138</v>
      </c>
      <c r="AB57" t="s">
        <v>545</v>
      </c>
      <c r="AC57" s="6" t="str">
        <f>IF($AA57="","",INDEX(Col!$H:$H,MATCH($AA57,Col!$A:$A,0)))</f>
        <v>col1_1_1_1_TEXT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IF($AA57="",TRUE,IF($N57="",FALSE,IF(INDIRECT("UserAccessCasePolicy!K"&amp;$N57)="",FALSE,NOT(ISNA(MATCH(INDIRECT("UserAccessCasePolicy!K"&amp;$N57)&amp;"|"&amp;$AA57,ColSetMember!$H:$H,0))))))</f>
        <v>0</v>
      </c>
      <c r="AJ57" s="6" t="str">
        <f>IF($AH57="","",INDEX(Col!$H:$H,MATCH($AH57,Col!$A:$A,0)))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IF($AH57="",TRUE,IF($N57="",FALSE,IF(INDIRECT("UserAccessCasePolicy!K"&amp;$N57)="",FALSE,NOT(ISNA(MATCH(INDIRECT("UserAccessCasePolicy!K"&amp;$N57)&amp;"|"&amp;$AH57,ColSetMember!$H:$H,0))))))</f>
        <v>1</v>
      </c>
      <c r="AO57" t="s">
        <v>141</v>
      </c>
      <c r="AP57" t="s">
        <v>609</v>
      </c>
      <c r="AQ57" s="6" t="str">
        <f>IF($AO57="","",INDEX(Col!$H:$H,MATCH($AO57,Col!$A:$A,0)))</f>
        <v>col1_1_2_1_TEXT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IF($AO57="",TRUE,IF($N57="",FALSE,IF(INDIRECT("UserAccessCasePolicy!K"&amp;$N57)="",FALSE,NOT(ISNA(MATCH(INDIRECT("UserAccessCasePolicy!K"&amp;$N57)&amp;"|"&amp;$AO57,ColSetMember!$H:$H,0))))))</f>
        <v>0</v>
      </c>
    </row>
    <row r="58" spans="1:47" ht="18.75" customHeight="1" x14ac:dyDescent="0.3">
      <c r="A58">
        <v>57</v>
      </c>
      <c r="B58" t="b">
        <v>1</v>
      </c>
      <c r="C58" t="s">
        <v>620</v>
      </c>
      <c r="D58" t="s">
        <v>12</v>
      </c>
      <c r="E58" s="6" t="str">
        <f>INDEX(User!$D:$D,MATCH($D58,User!$A:$A,0))</f>
        <v>org_user1_2</v>
      </c>
      <c r="F58" t="s">
        <v>586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524</v>
      </c>
      <c r="S58" t="s">
        <v>121</v>
      </c>
      <c r="T58" s="6" t="str">
        <f>INDEX(CaseType!$B:$B,MATCH($S58,CaseType!$A:$A,0))</f>
        <v>case_type2</v>
      </c>
      <c r="U58" s="6" t="b">
        <f>AND(IF($AA58="",TRUE,$S58=INDEX(Col!$B:$B,MATCH($AA58,Col!$A:$A,0))),IF($AH58="",TRUE,$S58=INDEX(Col!$B:$B,MATCH($AH58,Col!$A:$A,0))),IF($AO58="",TRUE,$S58=INDEX(Col!$B:$B,MATCH($AO58,Col!$A:$A,0))))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138</v>
      </c>
      <c r="AB58" t="s">
        <v>545</v>
      </c>
      <c r="AC58" s="6" t="str">
        <f>IF($AA58="","",INDEX(Col!$H:$H,MATCH($AA58,Col!$A:$A,0)))</f>
        <v>col1_1_1_1_TEXT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IF($AA58="",TRUE,IF($N58="",FALSE,IF(INDIRECT("UserAccessCasePolicy!K"&amp;$N58)="",FALSE,NOT(ISNA(MATCH(INDIRECT("UserAccessCasePolicy!K"&amp;$N58)&amp;"|"&amp;$AA58,ColSetMember!$H:$H,0))))))</f>
        <v>0</v>
      </c>
      <c r="AJ58" s="6" t="str">
        <f>IF($AH58="","",INDEX(Col!$H:$H,MATCH($AH58,Col!$A:$A,0)))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IF($AH58="",TRUE,IF($N58="",FALSE,IF(INDIRECT("UserAccessCasePolicy!K"&amp;$N58)="",FALSE,NOT(ISNA(MATCH(INDIRECT("UserAccessCasePolicy!K"&amp;$N58)&amp;"|"&amp;$AH58,ColSetMember!$H:$H,0))))))</f>
        <v>1</v>
      </c>
      <c r="AO58" t="s">
        <v>141</v>
      </c>
      <c r="AP58" t="s">
        <v>609</v>
      </c>
      <c r="AQ58" s="6" t="str">
        <f>IF($AO58="","",INDEX(Col!$H:$H,MATCH($AO58,Col!$A:$A,0)))</f>
        <v>col1_1_2_1_TEXT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IF($AO58="",TRUE,IF($N58="",FALSE,IF(INDIRECT("UserAccessCasePolicy!K"&amp;$N58)="",FALSE,NOT(ISNA(MATCH(INDIRECT("UserAccessCasePolicy!K"&amp;$N58)&amp;"|"&amp;$AO58,ColSetMember!$H:$H,0))))))</f>
        <v>0</v>
      </c>
    </row>
    <row r="59" spans="1:47" ht="18.75" customHeight="1" x14ac:dyDescent="0.3">
      <c r="A59">
        <v>58</v>
      </c>
      <c r="B59" t="b">
        <v>1</v>
      </c>
      <c r="C59" t="s">
        <v>621</v>
      </c>
      <c r="D59" t="s">
        <v>13</v>
      </c>
      <c r="E59" s="6" t="str">
        <f>INDEX(User!$D:$D,MATCH($D59,User!$A:$A,0))</f>
        <v>org_user1_3</v>
      </c>
      <c r="F59" t="s">
        <v>586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525</v>
      </c>
      <c r="S59" t="s">
        <v>117</v>
      </c>
      <c r="T59" s="6" t="str">
        <f>INDEX(CaseType!$B:$B,MATCH($S59,CaseType!$A:$A,0))</f>
        <v>case_type1</v>
      </c>
      <c r="U59" s="6" t="b">
        <f>AND(IF($AA59="",TRUE,$S59=INDEX(Col!$B:$B,MATCH($AA59,Col!$A:$A,0))),IF($AH59="",TRUE,$S59=INDEX(Col!$B:$B,MATCH($AH59,Col!$A:$A,0))),IF($AO59="",TRUE,$S59=INDEX(Col!$B:$B,MATCH($AO59,Col!$A:$A,0))))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138</v>
      </c>
      <c r="AB59" t="s">
        <v>545</v>
      </c>
      <c r="AC59" s="6" t="str">
        <f>IF($AA59="","",INDEX(Col!$H:$H,MATCH($AA59,Col!$A:$A,0)))</f>
        <v>col1_1_1_1_TEXT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IF($AA59="",TRUE,IF($N59="",FALSE,IF(INDIRECT("UserAccessCasePolicy!K"&amp;$N59)="",FALSE,NOT(ISNA(MATCH(INDIRECT("UserAccessCasePolicy!K"&amp;$N59)&amp;"|"&amp;$AA59,ColSetMember!$H:$H,0))))))</f>
        <v>0</v>
      </c>
      <c r="AJ59" s="6" t="str">
        <f>IF($AH59="","",INDEX(Col!$H:$H,MATCH($AH59,Col!$A:$A,0)))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IF($AH59="",TRUE,IF($N59="",FALSE,IF(INDIRECT("UserAccessCasePolicy!K"&amp;$N59)="",FALSE,NOT(ISNA(MATCH(INDIRECT("UserAccessCasePolicy!K"&amp;$N59)&amp;"|"&amp;$AH59,ColSetMember!$H:$H,0))))))</f>
        <v>1</v>
      </c>
      <c r="AO59" t="s">
        <v>147</v>
      </c>
      <c r="AP59" t="s">
        <v>622</v>
      </c>
      <c r="AQ59" s="6" t="str">
        <f>IF($AO59="","",INDEX(Col!$H:$H,MATCH($AO59,Col!$A:$A,0)))</f>
        <v>col1_2_1_1_TEXT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IF($AO59="",TRUE,IF($N59="",FALSE,IF(INDIRECT("UserAccessCasePolicy!K"&amp;$N59)="",FALSE,NOT(ISNA(MATCH(INDIRECT("UserAccessCasePolicy!K"&amp;$N59)&amp;"|"&amp;$AO59,ColSetMember!$H:$H,0))))))</f>
        <v>0</v>
      </c>
    </row>
    <row r="60" spans="1:47" ht="18.75" customHeight="1" x14ac:dyDescent="0.3">
      <c r="A60">
        <v>59</v>
      </c>
      <c r="B60" t="b">
        <v>1</v>
      </c>
      <c r="C60" t="s">
        <v>623</v>
      </c>
      <c r="D60" t="s">
        <v>22</v>
      </c>
      <c r="E60" s="6" t="str">
        <f>INDEX(User!$D:$D,MATCH($D60,User!$A:$A,0))</f>
        <v>org_user3_1</v>
      </c>
      <c r="F60" t="s">
        <v>586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590</v>
      </c>
      <c r="S60" t="s">
        <v>117</v>
      </c>
      <c r="T60" s="6" t="str">
        <f>INDEX(CaseType!$B:$B,MATCH($S60,CaseType!$A:$A,0))</f>
        <v>case_type1</v>
      </c>
      <c r="U60" s="6" t="b">
        <f>AND(IF($AA60="",TRUE,$S60=INDEX(Col!$B:$B,MATCH($AA60,Col!$A:$A,0))),IF($AH60="",TRUE,$S60=INDEX(Col!$B:$B,MATCH($AH60,Col!$A:$A,0))),IF($AO60="",TRUE,$S60=INDEX(Col!$B:$B,MATCH($AO60,Col!$A:$A,0))))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138</v>
      </c>
      <c r="AB60" t="s">
        <v>545</v>
      </c>
      <c r="AC60" s="6" t="str">
        <f>IF($AA60="","",INDEX(Col!$H:$H,MATCH($AA60,Col!$A:$A,0)))</f>
        <v>col1_1_1_1_TEXT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IF($AA60="",TRUE,IF($N60="",FALSE,IF(INDIRECT("UserAccessCasePolicy!K"&amp;$N60)="",FALSE,NOT(ISNA(MATCH(INDIRECT("UserAccessCasePolicy!K"&amp;$N60)&amp;"|"&amp;$AA60,ColSetMember!$H:$H,0))))))</f>
        <v>0</v>
      </c>
      <c r="AI60" t="s">
        <v>645</v>
      </c>
      <c r="AJ60" s="6" t="str">
        <f>IF($AH60="","",INDEX(Col!$H:$H,MATCH($AH60,Col!$A:$A,0)))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IF($AH60="",TRUE,IF($N60="",FALSE,IF(INDIRECT("UserAccessCasePolicy!K"&amp;$N60)="",FALSE,NOT(ISNA(MATCH(INDIRECT("UserAccessCasePolicy!K"&amp;$N60)&amp;"|"&amp;$AH60,ColSetMember!$H:$H,0))))))</f>
        <v>1</v>
      </c>
      <c r="AQ60" s="6" t="str">
        <f>IF($AO60="","",INDEX(Col!$H:$H,MATCH($AO60,Col!$A:$A,0)))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IF($AO60="",TRUE,IF($N60="",FALSE,IF(INDIRECT("UserAccessCasePolicy!K"&amp;$N60)="",FALSE,NOT(ISNA(MATCH(INDIRECT("UserAccessCasePolicy!K"&amp;$N60)&amp;"|"&amp;$AO60,ColSetMember!$H:$H,0))))))</f>
        <v>1</v>
      </c>
    </row>
    <row r="61" spans="1:47" ht="18.75" customHeight="1" x14ac:dyDescent="0.3">
      <c r="A61">
        <v>60</v>
      </c>
      <c r="B61" t="b">
        <v>1</v>
      </c>
      <c r="C61" t="s">
        <v>624</v>
      </c>
      <c r="D61" t="s">
        <v>24</v>
      </c>
      <c r="E61" s="6" t="str">
        <f>INDEX(User!$D:$D,MATCH($D61,User!$A:$A,0))</f>
        <v>org_user3_2</v>
      </c>
      <c r="F61" t="s">
        <v>586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590</v>
      </c>
      <c r="S61" t="s">
        <v>117</v>
      </c>
      <c r="T61" s="6" t="str">
        <f>INDEX(CaseType!$B:$B,MATCH($S61,CaseType!$A:$A,0))</f>
        <v>case_type1</v>
      </c>
      <c r="U61" s="6" t="b">
        <f>AND(IF($AA61="",TRUE,$S61=INDEX(Col!$B:$B,MATCH($AA61,Col!$A:$A,0))),IF($AH61="",TRUE,$S61=INDEX(Col!$B:$B,MATCH($AH61,Col!$A:$A,0))),IF($AO61="",TRUE,$S61=INDEX(Col!$B:$B,MATCH($AO61,Col!$A:$A,0))))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138</v>
      </c>
      <c r="AB61" t="s">
        <v>545</v>
      </c>
      <c r="AC61" s="6" t="str">
        <f>IF($AA61="","",INDEX(Col!$H:$H,MATCH($AA61,Col!$A:$A,0)))</f>
        <v>col1_1_1_1_TEXT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IF($AA61="",TRUE,IF($N61="",FALSE,IF(INDIRECT("UserAccessCasePolicy!K"&amp;$N61)="",FALSE,NOT(ISNA(MATCH(INDIRECT("UserAccessCasePolicy!K"&amp;$N61)&amp;"|"&amp;$AA61,ColSetMember!$H:$H,0))))))</f>
        <v>0</v>
      </c>
      <c r="AI61" t="s">
        <v>645</v>
      </c>
      <c r="AJ61" s="6" t="str">
        <f>IF($AH61="","",INDEX(Col!$H:$H,MATCH($AH61,Col!$A:$A,0)))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IF($AH61="",TRUE,IF($N61="",FALSE,IF(INDIRECT("UserAccessCasePolicy!K"&amp;$N61)="",FALSE,NOT(ISNA(MATCH(INDIRECT("UserAccessCasePolicy!K"&amp;$N61)&amp;"|"&amp;$AH61,ColSetMember!$H:$H,0))))))</f>
        <v>1</v>
      </c>
      <c r="AQ61" s="6" t="str">
        <f>IF($AO61="","",INDEX(Col!$H:$H,MATCH($AO61,Col!$A:$A,0)))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IF($AO61="",TRUE,IF($N61="",FALSE,IF(INDIRECT("UserAccessCasePolicy!K"&amp;$N61)="",FALSE,NOT(ISNA(MATCH(INDIRECT("UserAccessCasePolicy!K"&amp;$N61)&amp;"|"&amp;$AO61,ColSetMember!$H:$H,0))))))</f>
        <v>1</v>
      </c>
    </row>
    <row r="62" spans="1:47" ht="18.75" customHeight="1" x14ac:dyDescent="0.3">
      <c r="A62">
        <v>61</v>
      </c>
      <c r="B62" t="b">
        <v>1</v>
      </c>
      <c r="C62" t="s">
        <v>625</v>
      </c>
      <c r="D62" t="s">
        <v>25</v>
      </c>
      <c r="E62" s="6" t="str">
        <f>INDEX(User!$D:$D,MATCH($D62,User!$A:$A,0))</f>
        <v>org_user3_3</v>
      </c>
      <c r="F62" t="s">
        <v>586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590</v>
      </c>
      <c r="S62" t="s">
        <v>117</v>
      </c>
      <c r="T62" s="6" t="str">
        <f>INDEX(CaseType!$B:$B,MATCH($S62,CaseType!$A:$A,0))</f>
        <v>case_type1</v>
      </c>
      <c r="U62" s="6" t="b">
        <f>AND(IF($AA62="",TRUE,$S62=INDEX(Col!$B:$B,MATCH($AA62,Col!$A:$A,0))),IF($AH62="",TRUE,$S62=INDEX(Col!$B:$B,MATCH($AH62,Col!$A:$A,0))),IF($AO62="",TRUE,$S62=INDEX(Col!$B:$B,MATCH($AO62,Col!$A:$A,0))))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138</v>
      </c>
      <c r="AB62" t="s">
        <v>545</v>
      </c>
      <c r="AC62" s="6" t="str">
        <f>IF($AA62="","",INDEX(Col!$H:$H,MATCH($AA62,Col!$A:$A,0)))</f>
        <v>col1_1_1_1_TEXT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IF($AA62="",TRUE,IF($N62="",FALSE,IF(INDIRECT("UserAccessCasePolicy!K"&amp;$N62)="",FALSE,NOT(ISNA(MATCH(INDIRECT("UserAccessCasePolicy!K"&amp;$N62)&amp;"|"&amp;$AA62,ColSetMember!$H:$H,0))))))</f>
        <v>0</v>
      </c>
      <c r="AI62" t="s">
        <v>645</v>
      </c>
      <c r="AJ62" s="6" t="str">
        <f>IF($AH62="","",INDEX(Col!$H:$H,MATCH($AH62,Col!$A:$A,0)))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IF($AH62="",TRUE,IF($N62="",FALSE,IF(INDIRECT("UserAccessCasePolicy!K"&amp;$N62)="",FALSE,NOT(ISNA(MATCH(INDIRECT("UserAccessCasePolicy!K"&amp;$N62)&amp;"|"&amp;$AH62,ColSetMember!$H:$H,0))))))</f>
        <v>1</v>
      </c>
      <c r="AQ62" s="6" t="str">
        <f>IF($AO62="","",INDEX(Col!$H:$H,MATCH($AO62,Col!$A:$A,0)))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IF($AO62="",TRUE,IF($N62="",FALSE,IF(INDIRECT("UserAccessCasePolicy!K"&amp;$N62)="",FALSE,NOT(ISNA(MATCH(INDIRECT("UserAccessCasePolicy!K"&amp;$N62)&amp;"|"&amp;$AO62,ColSetMember!$H:$H,0))))))</f>
        <v>1</v>
      </c>
    </row>
    <row r="63" spans="1:47" ht="18.75" customHeight="1" x14ac:dyDescent="0.3">
      <c r="A63">
        <v>62</v>
      </c>
      <c r="B63" t="b">
        <v>1</v>
      </c>
      <c r="C63" t="s">
        <v>626</v>
      </c>
      <c r="D63" t="s">
        <v>26</v>
      </c>
      <c r="E63" s="6" t="str">
        <f>INDEX(User!$D:$D,MATCH($D63,User!$A:$A,0))</f>
        <v>org_user3_4</v>
      </c>
      <c r="F63" t="s">
        <v>586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590</v>
      </c>
      <c r="S63" t="s">
        <v>117</v>
      </c>
      <c r="T63" s="6" t="str">
        <f>INDEX(CaseType!$B:$B,MATCH($S63,CaseType!$A:$A,0))</f>
        <v>case_type1</v>
      </c>
      <c r="U63" s="6" t="b">
        <f>AND(IF($AA63="",TRUE,$S63=INDEX(Col!$B:$B,MATCH($AA63,Col!$A:$A,0))),IF($AH63="",TRUE,$S63=INDEX(Col!$B:$B,MATCH($AH63,Col!$A:$A,0))),IF($AO63="",TRUE,$S63=INDEX(Col!$B:$B,MATCH($AO63,Col!$A:$A,0))))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138</v>
      </c>
      <c r="AB63" t="s">
        <v>545</v>
      </c>
      <c r="AC63" s="6" t="str">
        <f>IF($AA63="","",INDEX(Col!$H:$H,MATCH($AA63,Col!$A:$A,0)))</f>
        <v>col1_1_1_1_TEXT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IF($AA63="",TRUE,IF($N63="",FALSE,IF(INDIRECT("UserAccessCasePolicy!K"&amp;$N63)="",FALSE,NOT(ISNA(MATCH(INDIRECT("UserAccessCasePolicy!K"&amp;$N63)&amp;"|"&amp;$AA63,ColSetMember!$H:$H,0))))))</f>
        <v>0</v>
      </c>
      <c r="AI63" t="s">
        <v>645</v>
      </c>
      <c r="AJ63" s="6" t="str">
        <f>IF($AH63="","",INDEX(Col!$H:$H,MATCH($AH63,Col!$A:$A,0)))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IF($AH63="",TRUE,IF($N63="",FALSE,IF(INDIRECT("UserAccessCasePolicy!K"&amp;$N63)="",FALSE,NOT(ISNA(MATCH(INDIRECT("UserAccessCasePolicy!K"&amp;$N63)&amp;"|"&amp;$AH63,ColSetMember!$H:$H,0))))))</f>
        <v>1</v>
      </c>
      <c r="AQ63" s="6" t="str">
        <f>IF($AO63="","",INDEX(Col!$H:$H,MATCH($AO63,Col!$A:$A,0)))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IF($AO63="",TRUE,IF($N63="",FALSE,IF(INDIRECT("UserAccessCasePolicy!K"&amp;$N63)="",FALSE,NOT(ISNA(MATCH(INDIRECT("UserAccessCasePolicy!K"&amp;$N63)&amp;"|"&amp;$AO63,ColSetMember!$H:$H,0))))))</f>
        <v>1</v>
      </c>
    </row>
    <row r="64" spans="1:47" ht="18.75" customHeight="1" x14ac:dyDescent="0.3">
      <c r="A64">
        <v>63</v>
      </c>
      <c r="B64" t="b">
        <v>1</v>
      </c>
      <c r="C64" t="s">
        <v>627</v>
      </c>
      <c r="D64" t="s">
        <v>28</v>
      </c>
      <c r="E64" s="6" t="str">
        <f>INDEX(User!$D:$D,MATCH($D64,User!$A:$A,0))</f>
        <v>org_user4_1</v>
      </c>
      <c r="F64" t="s">
        <v>586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535</v>
      </c>
      <c r="S64" t="s">
        <v>117</v>
      </c>
      <c r="T64" s="6" t="str">
        <f>INDEX(CaseType!$B:$B,MATCH($S64,CaseType!$A:$A,0))</f>
        <v>case_type1</v>
      </c>
      <c r="U64" s="6" t="b">
        <f>AND(IF($AA64="",TRUE,$S64=INDEX(Col!$B:$B,MATCH($AA64,Col!$A:$A,0))),IF($AH64="",TRUE,$S64=INDEX(Col!$B:$B,MATCH($AH64,Col!$A:$A,0))),IF($AO64="",TRUE,$S64=INDEX(Col!$B:$B,MATCH($AO64,Col!$A:$A,0))))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138</v>
      </c>
      <c r="AB64" t="s">
        <v>545</v>
      </c>
      <c r="AC64" s="6" t="str">
        <f>IF($AA64="","",INDEX(Col!$H:$H,MATCH($AA64,Col!$A:$A,0)))</f>
        <v>col1_1_1_1_TEXT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IF($AA64="",TRUE,IF($N64="",FALSE,IF(INDIRECT("UserAccessCasePolicy!K"&amp;$N64)="",FALSE,NOT(ISNA(MATCH(INDIRECT("UserAccessCasePolicy!K"&amp;$N64)&amp;"|"&amp;$AA64,ColSetMember!$H:$H,0))))))</f>
        <v>0</v>
      </c>
      <c r="AI64" t="s">
        <v>645</v>
      </c>
      <c r="AJ64" s="6" t="str">
        <f>IF($AH64="","",INDEX(Col!$H:$H,MATCH($AH64,Col!$A:$A,0)))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IF($AH64="",TRUE,IF($N64="",FALSE,IF(INDIRECT("UserAccessCasePolicy!K"&amp;$N64)="",FALSE,NOT(ISNA(MATCH(INDIRECT("UserAccessCasePolicy!K"&amp;$N64)&amp;"|"&amp;$AH64,ColSetMember!$H:$H,0))))))</f>
        <v>1</v>
      </c>
      <c r="AP64" t="s">
        <v>604</v>
      </c>
      <c r="AQ64" s="6" t="str">
        <f>IF($AO64="","",INDEX(Col!$H:$H,MATCH($AO64,Col!$A:$A,0)))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IF($AO64="",TRUE,IF($N64="",FALSE,IF(INDIRECT("UserAccessCasePolicy!K"&amp;$N64)="",FALSE,NOT(ISNA(MATCH(INDIRECT("UserAccessCasePolicy!K"&amp;$N64)&amp;"|"&amp;$AO64,ColSetMember!$H:$H,0))))))</f>
        <v>1</v>
      </c>
    </row>
    <row r="65" spans="1:47" ht="18.75" customHeight="1" x14ac:dyDescent="0.3">
      <c r="A65">
        <v>64</v>
      </c>
      <c r="B65" t="b">
        <v>1</v>
      </c>
      <c r="C65" t="s">
        <v>628</v>
      </c>
      <c r="D65" t="s">
        <v>30</v>
      </c>
      <c r="E65" s="6" t="str">
        <f>INDEX(User!$D:$D,MATCH($D65,User!$A:$A,0))</f>
        <v>org_user4_2</v>
      </c>
      <c r="F65" t="s">
        <v>586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536</v>
      </c>
      <c r="S65" t="s">
        <v>117</v>
      </c>
      <c r="T65" s="6" t="str">
        <f>INDEX(CaseType!$B:$B,MATCH($S65,CaseType!$A:$A,0))</f>
        <v>case_type1</v>
      </c>
      <c r="U65" s="6" t="b">
        <f>AND(IF($AA65="",TRUE,$S65=INDEX(Col!$B:$B,MATCH($AA65,Col!$A:$A,0))),IF($AH65="",TRUE,$S65=INDEX(Col!$B:$B,MATCH($AH65,Col!$A:$A,0))),IF($AO65="",TRUE,$S65=INDEX(Col!$B:$B,MATCH($AO65,Col!$A:$A,0))))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138</v>
      </c>
      <c r="AB65" t="s">
        <v>545</v>
      </c>
      <c r="AC65" s="6" t="str">
        <f>IF($AA65="","",INDEX(Col!$H:$H,MATCH($AA65,Col!$A:$A,0)))</f>
        <v>col1_1_1_1_TEXT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IF($AA65="",TRUE,IF($N65="",FALSE,IF(INDIRECT("UserAccessCasePolicy!K"&amp;$N65)="",FALSE,NOT(ISNA(MATCH(INDIRECT("UserAccessCasePolicy!K"&amp;$N65)&amp;"|"&amp;$AA65,ColSetMember!$H:$H,0))))))</f>
        <v>0</v>
      </c>
      <c r="AI65" t="s">
        <v>645</v>
      </c>
      <c r="AJ65" s="6" t="str">
        <f>IF($AH65="","",INDEX(Col!$H:$H,MATCH($AH65,Col!$A:$A,0)))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IF($AH65="",TRUE,IF($N65="",FALSE,IF(INDIRECT("UserAccessCasePolicy!K"&amp;$N65)="",FALSE,NOT(ISNA(MATCH(INDIRECT("UserAccessCasePolicy!K"&amp;$N65)&amp;"|"&amp;$AH65,ColSetMember!$H:$H,0))))))</f>
        <v>1</v>
      </c>
      <c r="AP65" t="s">
        <v>604</v>
      </c>
      <c r="AQ65" s="6" t="str">
        <f>IF($AO65="","",INDEX(Col!$H:$H,MATCH($AO65,Col!$A:$A,0)))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IF($AO65="",TRUE,IF($N65="",FALSE,IF(INDIRECT("UserAccessCasePolicy!K"&amp;$N65)="",FALSE,NOT(ISNA(MATCH(INDIRECT("UserAccessCasePolicy!K"&amp;$N65)&amp;"|"&amp;$AO65,ColSetMember!$H:$H,0))))))</f>
        <v>1</v>
      </c>
    </row>
    <row r="66" spans="1:47" ht="18.75" customHeight="1" x14ac:dyDescent="0.3">
      <c r="A66">
        <v>65</v>
      </c>
      <c r="B66" t="b">
        <v>1</v>
      </c>
      <c r="C66" t="s">
        <v>629</v>
      </c>
      <c r="D66" t="s">
        <v>31</v>
      </c>
      <c r="E66" s="6" t="str">
        <f>INDEX(User!$D:$D,MATCH($D66,User!$A:$A,0))</f>
        <v>org_user4_3</v>
      </c>
      <c r="F66" t="s">
        <v>586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537</v>
      </c>
      <c r="S66" t="s">
        <v>117</v>
      </c>
      <c r="T66" s="6" t="str">
        <f>INDEX(CaseType!$B:$B,MATCH($S66,CaseType!$A:$A,0))</f>
        <v>case_type1</v>
      </c>
      <c r="U66" s="6" t="b">
        <f>AND(IF($AA66="",TRUE,$S66=INDEX(Col!$B:$B,MATCH($AA66,Col!$A:$A,0))),IF($AH66="",TRUE,$S66=INDEX(Col!$B:$B,MATCH($AH66,Col!$A:$A,0))),IF($AO66="",TRUE,$S66=INDEX(Col!$B:$B,MATCH($AO66,Col!$A:$A,0))))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138</v>
      </c>
      <c r="AB66" t="s">
        <v>545</v>
      </c>
      <c r="AC66" s="6" t="str">
        <f>IF($AA66="","",INDEX(Col!$H:$H,MATCH($AA66,Col!$A:$A,0)))</f>
        <v>col1_1_1_1_TEXT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IF($AA66="",TRUE,IF($N66="",FALSE,IF(INDIRECT("UserAccessCasePolicy!K"&amp;$N66)="",FALSE,NOT(ISNA(MATCH(INDIRECT("UserAccessCasePolicy!K"&amp;$N66)&amp;"|"&amp;$AA66,ColSetMember!$H:$H,0))))))</f>
        <v>0</v>
      </c>
      <c r="AI66" t="s">
        <v>645</v>
      </c>
      <c r="AJ66" s="6" t="str">
        <f>IF($AH66="","",INDEX(Col!$H:$H,MATCH($AH66,Col!$A:$A,0)))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IF($AH66="",TRUE,IF($N66="",FALSE,IF(INDIRECT("UserAccessCasePolicy!K"&amp;$N66)="",FALSE,NOT(ISNA(MATCH(INDIRECT("UserAccessCasePolicy!K"&amp;$N66)&amp;"|"&amp;$AH66,ColSetMember!$H:$H,0))))))</f>
        <v>1</v>
      </c>
      <c r="AP66" t="s">
        <v>604</v>
      </c>
      <c r="AQ66" s="6" t="str">
        <f>IF($AO66="","",INDEX(Col!$H:$H,MATCH($AO66,Col!$A:$A,0)))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IF($AO66="",TRUE,IF($N66="",FALSE,IF(INDIRECT("UserAccessCasePolicy!K"&amp;$N66)="",FALSE,NOT(ISNA(MATCH(INDIRECT("UserAccessCasePolicy!K"&amp;$N66)&amp;"|"&amp;$AO66,ColSetMember!$H:$H,0))))))</f>
        <v>1</v>
      </c>
    </row>
    <row r="67" spans="1:47" ht="18.75" customHeight="1" x14ac:dyDescent="0.3">
      <c r="A67">
        <v>66</v>
      </c>
      <c r="B67" t="b">
        <v>1</v>
      </c>
      <c r="C67" t="s">
        <v>630</v>
      </c>
      <c r="D67" t="s">
        <v>32</v>
      </c>
      <c r="E67" s="6" t="str">
        <f>INDEX(User!$D:$D,MATCH($D67,User!$A:$A,0))</f>
        <v>org_user4_4</v>
      </c>
      <c r="F67" t="s">
        <v>586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538</v>
      </c>
      <c r="S67" t="s">
        <v>117</v>
      </c>
      <c r="T67" s="6" t="str">
        <f>INDEX(CaseType!$B:$B,MATCH($S67,CaseType!$A:$A,0))</f>
        <v>case_type1</v>
      </c>
      <c r="U67" s="6" t="b">
        <f>AND(IF($AA67="",TRUE,$S67=INDEX(Col!$B:$B,MATCH($AA67,Col!$A:$A,0))),IF($AH67="",TRUE,$S67=INDEX(Col!$B:$B,MATCH($AH67,Col!$A:$A,0))),IF($AO67="",TRUE,$S67=INDEX(Col!$B:$B,MATCH($AO67,Col!$A:$A,0))))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138</v>
      </c>
      <c r="AB67" t="s">
        <v>545</v>
      </c>
      <c r="AC67" s="6" t="str">
        <f>IF($AA67="","",INDEX(Col!$H:$H,MATCH($AA67,Col!$A:$A,0)))</f>
        <v>col1_1_1_1_TEXT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IF($AA67="",TRUE,IF($N67="",FALSE,IF(INDIRECT("UserAccessCasePolicy!K"&amp;$N67)="",FALSE,NOT(ISNA(MATCH(INDIRECT("UserAccessCasePolicy!K"&amp;$N67)&amp;"|"&amp;$AA67,ColSetMember!$H:$H,0))))))</f>
        <v>0</v>
      </c>
      <c r="AI67" t="s">
        <v>645</v>
      </c>
      <c r="AJ67" s="6" t="str">
        <f>IF($AH67="","",INDEX(Col!$H:$H,MATCH($AH67,Col!$A:$A,0)))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IF($AH67="",TRUE,IF($N67="",FALSE,IF(INDIRECT("UserAccessCasePolicy!K"&amp;$N67)="",FALSE,NOT(ISNA(MATCH(INDIRECT("UserAccessCasePolicy!K"&amp;$N67)&amp;"|"&amp;$AH67,ColSetMember!$H:$H,0))))))</f>
        <v>1</v>
      </c>
      <c r="AP67" t="s">
        <v>604</v>
      </c>
      <c r="AQ67" s="6" t="str">
        <f>IF($AO67="","",INDEX(Col!$H:$H,MATCH($AO67,Col!$A:$A,0)))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IF($AO67="",TRUE,IF($N67="",FALSE,IF(INDIRECT("UserAccessCasePolicy!K"&amp;$N67)="",FALSE,NOT(ISNA(MATCH(INDIRECT("UserAccessCasePolicy!K"&amp;$N67)&amp;"|"&amp;$AO67,ColSetMember!$H:$H,0))))))</f>
        <v>1</v>
      </c>
    </row>
    <row r="68" spans="1:47" ht="18.75" customHeight="1" x14ac:dyDescent="0.3">
      <c r="A68">
        <v>67</v>
      </c>
      <c r="B68" t="b">
        <v>1</v>
      </c>
      <c r="C68" t="s">
        <v>631</v>
      </c>
      <c r="D68" t="s">
        <v>34</v>
      </c>
      <c r="E68" s="6" t="str">
        <f>INDEX(User!$D:$D,MATCH($D68,User!$A:$A,0))</f>
        <v>org_user5_1</v>
      </c>
      <c r="F68" t="s">
        <v>586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539</v>
      </c>
      <c r="S68" t="s">
        <v>117</v>
      </c>
      <c r="T68" s="6" t="str">
        <f>INDEX(CaseType!$B:$B,MATCH($S68,CaseType!$A:$A,0))</f>
        <v>case_type1</v>
      </c>
      <c r="U68" s="6" t="b">
        <f>AND(IF($AA68="",TRUE,$S68=INDEX(Col!$B:$B,MATCH($AA68,Col!$A:$A,0))),IF($AH68="",TRUE,$S68=INDEX(Col!$B:$B,MATCH($AH68,Col!$A:$A,0))),IF($AO68="",TRUE,$S68=INDEX(Col!$B:$B,MATCH($AO68,Col!$A:$A,0))))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138</v>
      </c>
      <c r="AB68" t="s">
        <v>545</v>
      </c>
      <c r="AC68" s="6" t="str">
        <f>IF($AA68="","",INDEX(Col!$H:$H,MATCH($AA68,Col!$A:$A,0)))</f>
        <v>col1_1_1_1_TEXT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IF($AA68="",TRUE,IF($N68="",FALSE,IF(INDIRECT("UserAccessCasePolicy!K"&amp;$N68)="",FALSE,NOT(ISNA(MATCH(INDIRECT("UserAccessCasePolicy!K"&amp;$N68)&amp;"|"&amp;$AA68,ColSetMember!$H:$H,0))))))</f>
        <v>0</v>
      </c>
      <c r="AI68" t="s">
        <v>645</v>
      </c>
      <c r="AJ68" s="6" t="str">
        <f>IF($AH68="","",INDEX(Col!$H:$H,MATCH($AH68,Col!$A:$A,0)))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IF($AH68="",TRUE,IF($N68="",FALSE,IF(INDIRECT("UserAccessCasePolicy!K"&amp;$N68)="",FALSE,NOT(ISNA(MATCH(INDIRECT("UserAccessCasePolicy!K"&amp;$N68)&amp;"|"&amp;$AH68,ColSetMember!$H:$H,0))))))</f>
        <v>1</v>
      </c>
      <c r="AP68" t="s">
        <v>609</v>
      </c>
      <c r="AQ68" s="6" t="str">
        <f>IF($AO68="","",INDEX(Col!$H:$H,MATCH($AO68,Col!$A:$A,0)))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IF($AO68="",TRUE,IF($N68="",FALSE,IF(INDIRECT("UserAccessCasePolicy!K"&amp;$N68)="",FALSE,NOT(ISNA(MATCH(INDIRECT("UserAccessCasePolicy!K"&amp;$N68)&amp;"|"&amp;$AO68,ColSetMember!$H:$H,0))))))</f>
        <v>1</v>
      </c>
    </row>
    <row r="69" spans="1:47" ht="18.75" customHeight="1" x14ac:dyDescent="0.3">
      <c r="A69">
        <v>68</v>
      </c>
      <c r="B69" t="b">
        <v>1</v>
      </c>
      <c r="C69" t="s">
        <v>632</v>
      </c>
      <c r="D69" t="s">
        <v>36</v>
      </c>
      <c r="E69" s="6" t="str">
        <f>INDEX(User!$D:$D,MATCH($D69,User!$A:$A,0))</f>
        <v>org_user5_2</v>
      </c>
      <c r="F69" t="s">
        <v>586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540</v>
      </c>
      <c r="S69" t="s">
        <v>117</v>
      </c>
      <c r="T69" s="6" t="str">
        <f>INDEX(CaseType!$B:$B,MATCH($S69,CaseType!$A:$A,0))</f>
        <v>case_type1</v>
      </c>
      <c r="U69" s="6" t="b">
        <f>AND(IF($AA69="",TRUE,$S69=INDEX(Col!$B:$B,MATCH($AA69,Col!$A:$A,0))),IF($AH69="",TRUE,$S69=INDEX(Col!$B:$B,MATCH($AH69,Col!$A:$A,0))),IF($AO69="",TRUE,$S69=INDEX(Col!$B:$B,MATCH($AO69,Col!$A:$A,0))))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138</v>
      </c>
      <c r="AB69" t="s">
        <v>545</v>
      </c>
      <c r="AC69" s="6" t="str">
        <f>IF($AA69="","",INDEX(Col!$H:$H,MATCH($AA69,Col!$A:$A,0)))</f>
        <v>col1_1_1_1_TEXT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IF($AA69="",TRUE,IF($N69="",FALSE,IF(INDIRECT("UserAccessCasePolicy!K"&amp;$N69)="",FALSE,NOT(ISNA(MATCH(INDIRECT("UserAccessCasePolicy!K"&amp;$N69)&amp;"|"&amp;$AA69,ColSetMember!$H:$H,0))))))</f>
        <v>0</v>
      </c>
      <c r="AI69" t="s">
        <v>645</v>
      </c>
      <c r="AJ69" s="6" t="str">
        <f>IF($AH69="","",INDEX(Col!$H:$H,MATCH($AH69,Col!$A:$A,0)))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IF($AH69="",TRUE,IF($N69="",FALSE,IF(INDIRECT("UserAccessCasePolicy!K"&amp;$N69)="",FALSE,NOT(ISNA(MATCH(INDIRECT("UserAccessCasePolicy!K"&amp;$N69)&amp;"|"&amp;$AH69,ColSetMember!$H:$H,0))))))</f>
        <v>1</v>
      </c>
      <c r="AP69" t="s">
        <v>609</v>
      </c>
      <c r="AQ69" s="6" t="str">
        <f>IF($AO69="","",INDEX(Col!$H:$H,MATCH($AO69,Col!$A:$A,0)))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IF($AO69="",TRUE,IF($N69="",FALSE,IF(INDIRECT("UserAccessCasePolicy!K"&amp;$N69)="",FALSE,NOT(ISNA(MATCH(INDIRECT("UserAccessCasePolicy!K"&amp;$N69)&amp;"|"&amp;$AO69,ColSetMember!$H:$H,0))))))</f>
        <v>1</v>
      </c>
    </row>
    <row r="70" spans="1:47" ht="18.75" customHeight="1" x14ac:dyDescent="0.3">
      <c r="A70">
        <v>69</v>
      </c>
      <c r="B70" t="b">
        <v>1</v>
      </c>
      <c r="C70" t="s">
        <v>633</v>
      </c>
      <c r="D70" t="s">
        <v>37</v>
      </c>
      <c r="E70" s="6" t="str">
        <f>INDEX(User!$D:$D,MATCH($D70,User!$A:$A,0))</f>
        <v>org_user5_3</v>
      </c>
      <c r="F70" t="s">
        <v>586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541</v>
      </c>
      <c r="S70" t="s">
        <v>117</v>
      </c>
      <c r="T70" s="6" t="str">
        <f>INDEX(CaseType!$B:$B,MATCH($S70,CaseType!$A:$A,0))</f>
        <v>case_type1</v>
      </c>
      <c r="U70" s="6" t="b">
        <f>AND(IF($AA70="",TRUE,$S70=INDEX(Col!$B:$B,MATCH($AA70,Col!$A:$A,0))),IF($AH70="",TRUE,$S70=INDEX(Col!$B:$B,MATCH($AH70,Col!$A:$A,0))),IF($AO70="",TRUE,$S70=INDEX(Col!$B:$B,MATCH($AO70,Col!$A:$A,0))))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138</v>
      </c>
      <c r="AB70" t="s">
        <v>545</v>
      </c>
      <c r="AC70" s="6" t="str">
        <f>IF($AA70="","",INDEX(Col!$H:$H,MATCH($AA70,Col!$A:$A,0)))</f>
        <v>col1_1_1_1_TEXT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IF($AA70="",TRUE,IF($N70="",FALSE,IF(INDIRECT("UserAccessCasePolicy!K"&amp;$N70)="",FALSE,NOT(ISNA(MATCH(INDIRECT("UserAccessCasePolicy!K"&amp;$N70)&amp;"|"&amp;$AA70,ColSetMember!$H:$H,0))))))</f>
        <v>0</v>
      </c>
      <c r="AI70" t="s">
        <v>645</v>
      </c>
      <c r="AJ70" s="6" t="str">
        <f>IF($AH70="","",INDEX(Col!$H:$H,MATCH($AH70,Col!$A:$A,0)))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IF($AH70="",TRUE,IF($N70="",FALSE,IF(INDIRECT("UserAccessCasePolicy!K"&amp;$N70)="",FALSE,NOT(ISNA(MATCH(INDIRECT("UserAccessCasePolicy!K"&amp;$N70)&amp;"|"&amp;$AH70,ColSetMember!$H:$H,0))))))</f>
        <v>1</v>
      </c>
      <c r="AP70" t="s">
        <v>609</v>
      </c>
      <c r="AQ70" s="6" t="str">
        <f>IF($AO70="","",INDEX(Col!$H:$H,MATCH($AO70,Col!$A:$A,0)))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IF($AO70="",TRUE,IF($N70="",FALSE,IF(INDIRECT("UserAccessCasePolicy!K"&amp;$N70)="",FALSE,NOT(ISNA(MATCH(INDIRECT("UserAccessCasePolicy!K"&amp;$N70)&amp;"|"&amp;$AO70,ColSetMember!$H:$H,0))))))</f>
        <v>1</v>
      </c>
    </row>
    <row r="71" spans="1:47" ht="18.75" customHeight="1" x14ac:dyDescent="0.3">
      <c r="A71">
        <v>70</v>
      </c>
      <c r="B71" t="b">
        <v>1</v>
      </c>
      <c r="C71" t="s">
        <v>634</v>
      </c>
      <c r="D71" t="s">
        <v>38</v>
      </c>
      <c r="E71" s="6" t="str">
        <f>INDEX(User!$D:$D,MATCH($D71,User!$A:$A,0))</f>
        <v>org_user5_4</v>
      </c>
      <c r="F71" t="s">
        <v>586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542</v>
      </c>
      <c r="S71" t="s">
        <v>117</v>
      </c>
      <c r="T71" s="6" t="str">
        <f>INDEX(CaseType!$B:$B,MATCH($S71,CaseType!$A:$A,0))</f>
        <v>case_type1</v>
      </c>
      <c r="U71" s="6" t="b">
        <f>AND(IF($AA71="",TRUE,$S71=INDEX(Col!$B:$B,MATCH($AA71,Col!$A:$A,0))),IF($AH71="",TRUE,$S71=INDEX(Col!$B:$B,MATCH($AH71,Col!$A:$A,0))),IF($AO71="",TRUE,$S71=INDEX(Col!$B:$B,MATCH($AO71,Col!$A:$A,0))))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138</v>
      </c>
      <c r="AB71" t="s">
        <v>545</v>
      </c>
      <c r="AC71" s="6" t="str">
        <f>IF($AA71="","",INDEX(Col!$H:$H,MATCH($AA71,Col!$A:$A,0)))</f>
        <v>col1_1_1_1_TEXT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IF($AA71="",TRUE,IF($N71="",FALSE,IF(INDIRECT("UserAccessCasePolicy!K"&amp;$N71)="",FALSE,NOT(ISNA(MATCH(INDIRECT("UserAccessCasePolicy!K"&amp;$N71)&amp;"|"&amp;$AA71,ColSetMember!$H:$H,0))))))</f>
        <v>0</v>
      </c>
      <c r="AI71" t="s">
        <v>645</v>
      </c>
      <c r="AJ71" s="6" t="str">
        <f>IF($AH71="","",INDEX(Col!$H:$H,MATCH($AH71,Col!$A:$A,0)))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IF($AH71="",TRUE,IF($N71="",FALSE,IF(INDIRECT("UserAccessCasePolicy!K"&amp;$N71)="",FALSE,NOT(ISNA(MATCH(INDIRECT("UserAccessCasePolicy!K"&amp;$N71)&amp;"|"&amp;$AH71,ColSetMember!$H:$H,0))))))</f>
        <v>1</v>
      </c>
      <c r="AP71" t="s">
        <v>609</v>
      </c>
      <c r="AQ71" s="6" t="str">
        <f>IF($AO71="","",INDEX(Col!$H:$H,MATCH($AO71,Col!$A:$A,0)))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IF($AO71="",TRUE,IF($N71="",FALSE,IF(INDIRECT("UserAccessCasePolicy!K"&amp;$N71)="",FALSE,NOT(ISNA(MATCH(INDIRECT("UserAccessCasePolicy!K"&amp;$N71)&amp;"|"&amp;$AO71,ColSetMember!$H:$H,0))))))</f>
        <v>1</v>
      </c>
    </row>
    <row r="72" spans="1:47" ht="18.75" customHeight="1" x14ac:dyDescent="0.3">
      <c r="A72">
        <v>71</v>
      </c>
      <c r="B72" t="b">
        <v>1</v>
      </c>
      <c r="C72" t="s">
        <v>635</v>
      </c>
      <c r="D72" t="s">
        <v>16</v>
      </c>
      <c r="E72" s="6" t="str">
        <f>INDEX(User!$D:$D,MATCH($D72,User!$A:$A,0))</f>
        <v>org_user2_1</v>
      </c>
      <c r="F72" t="s">
        <v>586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590</v>
      </c>
      <c r="S72" t="s">
        <v>117</v>
      </c>
      <c r="T72" s="6" t="str">
        <f>INDEX(CaseType!$B:$B,MATCH($S72,CaseType!$A:$A,0))</f>
        <v>case_type1</v>
      </c>
      <c r="U72" s="6" t="b">
        <f>AND(IF($AA72="",TRUE,$S72=INDEX(Col!$B:$B,MATCH($AA72,Col!$A:$A,0))),IF($AH72="",TRUE,$S72=INDEX(Col!$B:$B,MATCH($AH72,Col!$A:$A,0))),IF($AO72="",TRUE,$S72=INDEX(Col!$B:$B,MATCH($AO72,Col!$A:$A,0))))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138</v>
      </c>
      <c r="AB72" t="s">
        <v>545</v>
      </c>
      <c r="AC72" s="6" t="str">
        <f>IF($AA72="","",INDEX(Col!$H:$H,MATCH($AA72,Col!$A:$A,0)))</f>
        <v>col1_1_1_1_TEXT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IF($AA72="",TRUE,IF($N72="",FALSE,IF(INDIRECT("UserAccessCasePolicy!K"&amp;$N72)="",FALSE,NOT(ISNA(MATCH(INDIRECT("UserAccessCasePolicy!K"&amp;$N72)&amp;"|"&amp;$AA72,ColSetMember!$H:$H,0))))))</f>
        <v>0</v>
      </c>
      <c r="AI72" t="s">
        <v>645</v>
      </c>
      <c r="AJ72" s="6" t="str">
        <f>IF($AH72="","",INDEX(Col!$H:$H,MATCH($AH72,Col!$A:$A,0)))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IF($AH72="",TRUE,IF($N72="",FALSE,IF(INDIRECT("UserAccessCasePolicy!K"&amp;$N72)="",FALSE,NOT(ISNA(MATCH(INDIRECT("UserAccessCasePolicy!K"&amp;$N72)&amp;"|"&amp;$AH72,ColSetMember!$H:$H,0))))))</f>
        <v>1</v>
      </c>
      <c r="AQ72" s="6" t="str">
        <f>IF($AO72="","",INDEX(Col!$H:$H,MATCH($AO72,Col!$A:$A,0)))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IF($AO72="",TRUE,IF($N72="",FALSE,IF(INDIRECT("UserAccessCasePolicy!K"&amp;$N72)="",FALSE,NOT(ISNA(MATCH(INDIRECT("UserAccessCasePolicy!K"&amp;$N72)&amp;"|"&amp;$AO72,ColSetMember!$H:$H,0))))))</f>
        <v>1</v>
      </c>
    </row>
    <row r="73" spans="1:47" ht="18.75" customHeight="1" x14ac:dyDescent="0.3">
      <c r="A73">
        <v>72</v>
      </c>
      <c r="B73" t="b">
        <v>1</v>
      </c>
      <c r="C73" t="s">
        <v>636</v>
      </c>
      <c r="D73" t="s">
        <v>18</v>
      </c>
      <c r="E73" s="6" t="str">
        <f>INDEX(User!$D:$D,MATCH($D73,User!$A:$A,0))</f>
        <v>org_user2_2</v>
      </c>
      <c r="F73" t="s">
        <v>586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590</v>
      </c>
      <c r="S73" t="s">
        <v>121</v>
      </c>
      <c r="T73" s="6" t="str">
        <f>INDEX(CaseType!$B:$B,MATCH($S73,CaseType!$A:$A,0))</f>
        <v>case_type2</v>
      </c>
      <c r="U73" s="6" t="b">
        <f>AND(IF($AA73="",TRUE,$S73=INDEX(Col!$B:$B,MATCH($AA73,Col!$A:$A,0))),IF($AH73="",TRUE,$S73=INDEX(Col!$B:$B,MATCH($AH73,Col!$A:$A,0))),IF($AO73="",TRUE,$S73=INDEX(Col!$B:$B,MATCH($AO73,Col!$A:$A,0))))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138</v>
      </c>
      <c r="AB73" t="s">
        <v>545</v>
      </c>
      <c r="AC73" s="6" t="str">
        <f>IF($AA73="","",INDEX(Col!$H:$H,MATCH($AA73,Col!$A:$A,0)))</f>
        <v>col1_1_1_1_TEXT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IF($AA73="",TRUE,IF($N73="",FALSE,IF(INDIRECT("UserAccessCasePolicy!K"&amp;$N73)="",FALSE,NOT(ISNA(MATCH(INDIRECT("UserAccessCasePolicy!K"&amp;$N73)&amp;"|"&amp;$AA73,ColSetMember!$H:$H,0))))))</f>
        <v>0</v>
      </c>
      <c r="AI73" t="s">
        <v>645</v>
      </c>
      <c r="AJ73" s="6" t="str">
        <f>IF($AH73="","",INDEX(Col!$H:$H,MATCH($AH73,Col!$A:$A,0)))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IF($AH73="",TRUE,IF($N73="",FALSE,IF(INDIRECT("UserAccessCasePolicy!K"&amp;$N73)="",FALSE,NOT(ISNA(MATCH(INDIRECT("UserAccessCasePolicy!K"&amp;$N73)&amp;"|"&amp;$AH73,ColSetMember!$H:$H,0))))))</f>
        <v>1</v>
      </c>
      <c r="AQ73" s="6" t="str">
        <f>IF($AO73="","",INDEX(Col!$H:$H,MATCH($AO73,Col!$A:$A,0)))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IF($AO73="",TRUE,IF($N73="",FALSE,IF(INDIRECT("UserAccessCasePolicy!K"&amp;$N73)="",FALSE,NOT(ISNA(MATCH(INDIRECT("UserAccessCasePolicy!K"&amp;$N73)&amp;"|"&amp;$AO73,ColSetMember!$H:$H,0))))))</f>
        <v>1</v>
      </c>
    </row>
    <row r="74" spans="1:47" ht="18.75" customHeight="1" x14ac:dyDescent="0.3">
      <c r="A74">
        <v>73</v>
      </c>
      <c r="B74" t="b">
        <v>1</v>
      </c>
      <c r="C74" t="s">
        <v>637</v>
      </c>
      <c r="D74" t="s">
        <v>19</v>
      </c>
      <c r="E74" s="6" t="str">
        <f>INDEX(User!$D:$D,MATCH($D74,User!$A:$A,0))</f>
        <v>org_user2_3</v>
      </c>
      <c r="F74" t="s">
        <v>586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541</v>
      </c>
      <c r="S74" t="s">
        <v>117</v>
      </c>
      <c r="T74" s="6" t="str">
        <f>INDEX(CaseType!$B:$B,MATCH($S74,CaseType!$A:$A,0))</f>
        <v>case_type1</v>
      </c>
      <c r="U74" s="6" t="b">
        <f>AND(IF($AA74="",TRUE,$S74=INDEX(Col!$B:$B,MATCH($AA74,Col!$A:$A,0))),IF($AH74="",TRUE,$S74=INDEX(Col!$B:$B,MATCH($AH74,Col!$A:$A,0))),IF($AO74="",TRUE,$S74=INDEX(Col!$B:$B,MATCH($AO74,Col!$A:$A,0))))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138</v>
      </c>
      <c r="AB74" t="s">
        <v>545</v>
      </c>
      <c r="AC74" s="6" t="str">
        <f>IF($AA74="","",INDEX(Col!$H:$H,MATCH($AA74,Col!$A:$A,0)))</f>
        <v>col1_1_1_1_TEXT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IF($AA74="",TRUE,IF($N74="",FALSE,IF(INDIRECT("UserAccessCasePolicy!K"&amp;$N74)="",FALSE,NOT(ISNA(MATCH(INDIRECT("UserAccessCasePolicy!K"&amp;$N74)&amp;"|"&amp;$AA74,ColSetMember!$H:$H,0))))))</f>
        <v>0</v>
      </c>
      <c r="AI74" t="s">
        <v>645</v>
      </c>
      <c r="AJ74" s="6" t="str">
        <f>IF($AH74="","",INDEX(Col!$H:$H,MATCH($AH74,Col!$A:$A,0)))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IF($AH74="",TRUE,IF($N74="",FALSE,IF(INDIRECT("UserAccessCasePolicy!K"&amp;$N74)="",FALSE,NOT(ISNA(MATCH(INDIRECT("UserAccessCasePolicy!K"&amp;$N74)&amp;"|"&amp;$AH74,ColSetMember!$H:$H,0))))))</f>
        <v>1</v>
      </c>
      <c r="AQ74" s="6" t="str">
        <f>IF($AO74="","",INDEX(Col!$H:$H,MATCH($AO74,Col!$A:$A,0)))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IF($AO74="",TRUE,IF($N74="",FALSE,IF(INDIRECT("UserAccessCasePolicy!K"&amp;$N74)="",FALSE,NOT(ISNA(MATCH(INDIRECT("UserAccessCasePolicy!K"&amp;$N74)&amp;"|"&amp;$AO74,ColSetMember!$H:$H,0))))))</f>
        <v>1</v>
      </c>
    </row>
    <row r="75" spans="1:47" x14ac:dyDescent="0.3">
      <c r="A75">
        <v>74</v>
      </c>
      <c r="B75" t="b">
        <v>1</v>
      </c>
      <c r="C75" t="s">
        <v>638</v>
      </c>
      <c r="D75" t="s">
        <v>20</v>
      </c>
      <c r="E75" s="6" t="str">
        <f>INDEX(User!$D:$D,MATCH($D75,User!$A:$A,0))</f>
        <v>org_user2_4</v>
      </c>
      <c r="F75" t="s">
        <v>586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541</v>
      </c>
      <c r="S75" t="s">
        <v>117</v>
      </c>
      <c r="T75" s="6" t="str">
        <f>INDEX(CaseType!$B:$B,MATCH($S75,CaseType!$A:$A,0))</f>
        <v>case_type1</v>
      </c>
      <c r="U75" s="6" t="b">
        <f>AND(IF($AA75="",TRUE,$S75=INDEX(Col!$B:$B,MATCH($AA75,Col!$A:$A,0))),IF($AH75="",TRUE,$S75=INDEX(Col!$B:$B,MATCH($AH75,Col!$A:$A,0))),IF($AO75="",TRUE,$S75=INDEX(Col!$B:$B,MATCH($AO75,Col!$A:$A,0))))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138</v>
      </c>
      <c r="AB75" t="s">
        <v>545</v>
      </c>
      <c r="AC75" s="6" t="str">
        <f>IF($AA75="","",INDEX(Col!$H:$H,MATCH($AA75,Col!$A:$A,0)))</f>
        <v>col1_1_1_1_TEXT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IF($AA75="",TRUE,IF($N75="",FALSE,IF(INDIRECT("UserAccessCasePolicy!K"&amp;$N75)="",FALSE,NOT(ISNA(MATCH(INDIRECT("UserAccessCasePolicy!K"&amp;$N75)&amp;"|"&amp;$AA75,ColSetMember!$H:$H,0))))))</f>
        <v>0</v>
      </c>
      <c r="AI75" t="s">
        <v>645</v>
      </c>
      <c r="AJ75" s="6" t="str">
        <f>IF($AH75="","",INDEX(Col!$H:$H,MATCH($AH75,Col!$A:$A,0)))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IF($AH75="",TRUE,IF($N75="",FALSE,IF(INDIRECT("UserAccessCasePolicy!K"&amp;$N75)="",FALSE,NOT(ISNA(MATCH(INDIRECT("UserAccessCasePolicy!K"&amp;$N75)&amp;"|"&amp;$AH75,ColSetMember!$H:$H,0))))))</f>
        <v>1</v>
      </c>
      <c r="AQ75" s="6" t="str">
        <f>IF($AO75="","",INDEX(Col!$H:$H,MATCH($AO75,Col!$A:$A,0)))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6"/>
  <sheetViews>
    <sheetView workbookViewId="0">
      <selection activeCell="B2" sqref="B2"/>
    </sheetView>
  </sheetViews>
  <sheetFormatPr defaultColWidth="8.664062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80</v>
      </c>
    </row>
    <row r="2" spans="1:3" x14ac:dyDescent="0.3">
      <c r="A2" t="s">
        <v>62</v>
      </c>
      <c r="B2" t="s">
        <v>851</v>
      </c>
      <c r="C2" t="s">
        <v>851</v>
      </c>
    </row>
    <row r="3" spans="1:3" x14ac:dyDescent="0.3">
      <c r="A3" t="s">
        <v>140</v>
      </c>
      <c r="B3" t="s">
        <v>852</v>
      </c>
      <c r="C3" t="s">
        <v>852</v>
      </c>
    </row>
    <row r="4" spans="1:3" x14ac:dyDescent="0.3">
      <c r="A4" t="s">
        <v>143</v>
      </c>
      <c r="B4" t="s">
        <v>853</v>
      </c>
      <c r="C4" t="s">
        <v>853</v>
      </c>
    </row>
    <row r="5" spans="1:3" x14ac:dyDescent="0.3">
      <c r="A5" t="s">
        <v>146</v>
      </c>
      <c r="B5" t="s">
        <v>854</v>
      </c>
      <c r="C5" t="s">
        <v>854</v>
      </c>
    </row>
    <row r="6" spans="1:3" x14ac:dyDescent="0.3">
      <c r="A6" t="s">
        <v>149</v>
      </c>
      <c r="B6" t="s">
        <v>855</v>
      </c>
      <c r="C6" t="s">
        <v>855</v>
      </c>
    </row>
    <row r="7" spans="1:3" x14ac:dyDescent="0.3">
      <c r="A7" t="s">
        <v>152</v>
      </c>
      <c r="B7" t="s">
        <v>856</v>
      </c>
      <c r="C7" t="s">
        <v>856</v>
      </c>
    </row>
    <row r="8" spans="1:3" x14ac:dyDescent="0.3">
      <c r="A8" t="s">
        <v>155</v>
      </c>
      <c r="B8" t="s">
        <v>857</v>
      </c>
      <c r="C8" t="s">
        <v>857</v>
      </c>
    </row>
    <row r="9" spans="1:3" x14ac:dyDescent="0.3">
      <c r="A9" t="s">
        <v>158</v>
      </c>
      <c r="B9" t="s">
        <v>858</v>
      </c>
      <c r="C9" t="s">
        <v>858</v>
      </c>
    </row>
    <row r="10" spans="1:3" x14ac:dyDescent="0.3">
      <c r="A10" t="s">
        <v>161</v>
      </c>
      <c r="B10" t="s">
        <v>859</v>
      </c>
      <c r="C10" t="s">
        <v>859</v>
      </c>
    </row>
    <row r="11" spans="1:3" x14ac:dyDescent="0.3">
      <c r="A11" t="s">
        <v>682</v>
      </c>
      <c r="B11" t="s">
        <v>860</v>
      </c>
      <c r="C11" t="s">
        <v>860</v>
      </c>
    </row>
    <row r="12" spans="1:3" x14ac:dyDescent="0.3">
      <c r="A12" t="s">
        <v>683</v>
      </c>
      <c r="B12" t="s">
        <v>861</v>
      </c>
      <c r="C12" t="s">
        <v>861</v>
      </c>
    </row>
    <row r="13" spans="1:3" x14ac:dyDescent="0.3">
      <c r="A13" t="s">
        <v>64</v>
      </c>
      <c r="B13" t="s">
        <v>862</v>
      </c>
      <c r="C13" t="s">
        <v>862</v>
      </c>
    </row>
    <row r="14" spans="1:3" x14ac:dyDescent="0.3">
      <c r="A14" t="s">
        <v>166</v>
      </c>
      <c r="B14" t="s">
        <v>863</v>
      </c>
      <c r="C14" t="s">
        <v>863</v>
      </c>
    </row>
    <row r="15" spans="1:3" x14ac:dyDescent="0.3">
      <c r="A15" t="s">
        <v>169</v>
      </c>
      <c r="B15" t="s">
        <v>864</v>
      </c>
      <c r="C15" t="s">
        <v>864</v>
      </c>
    </row>
    <row r="16" spans="1:3" x14ac:dyDescent="0.3">
      <c r="A16" t="s">
        <v>172</v>
      </c>
      <c r="B16" t="s">
        <v>865</v>
      </c>
      <c r="C16" t="s">
        <v>865</v>
      </c>
    </row>
    <row r="17" spans="1:3" x14ac:dyDescent="0.3">
      <c r="A17" t="s">
        <v>175</v>
      </c>
      <c r="B17" t="s">
        <v>866</v>
      </c>
      <c r="C17" t="s">
        <v>866</v>
      </c>
    </row>
    <row r="18" spans="1:3" x14ac:dyDescent="0.3">
      <c r="A18" t="s">
        <v>178</v>
      </c>
      <c r="B18" t="s">
        <v>867</v>
      </c>
      <c r="C18" t="s">
        <v>867</v>
      </c>
    </row>
    <row r="19" spans="1:3" x14ac:dyDescent="0.3">
      <c r="A19" t="s">
        <v>181</v>
      </c>
      <c r="B19" t="s">
        <v>868</v>
      </c>
      <c r="C19" t="s">
        <v>868</v>
      </c>
    </row>
    <row r="20" spans="1:3" x14ac:dyDescent="0.3">
      <c r="A20" t="s">
        <v>184</v>
      </c>
      <c r="B20" t="s">
        <v>869</v>
      </c>
      <c r="C20" t="s">
        <v>869</v>
      </c>
    </row>
    <row r="21" spans="1:3" x14ac:dyDescent="0.3">
      <c r="A21" t="s">
        <v>187</v>
      </c>
      <c r="B21" t="s">
        <v>870</v>
      </c>
      <c r="C21" t="s">
        <v>870</v>
      </c>
    </row>
    <row r="22" spans="1:3" x14ac:dyDescent="0.3">
      <c r="A22" t="s">
        <v>680</v>
      </c>
      <c r="B22" t="s">
        <v>871</v>
      </c>
      <c r="C22" t="s">
        <v>871</v>
      </c>
    </row>
    <row r="23" spans="1:3" x14ac:dyDescent="0.3">
      <c r="A23" t="s">
        <v>681</v>
      </c>
      <c r="B23" t="s">
        <v>872</v>
      </c>
      <c r="C23" t="s">
        <v>872</v>
      </c>
    </row>
    <row r="24" spans="1:3" x14ac:dyDescent="0.3">
      <c r="A24" t="s">
        <v>66</v>
      </c>
      <c r="B24" t="s">
        <v>873</v>
      </c>
      <c r="C24" t="s">
        <v>873</v>
      </c>
    </row>
    <row r="25" spans="1:3" x14ac:dyDescent="0.3">
      <c r="A25" t="s">
        <v>192</v>
      </c>
      <c r="B25" t="s">
        <v>874</v>
      </c>
      <c r="C25" t="s">
        <v>874</v>
      </c>
    </row>
    <row r="26" spans="1:3" x14ac:dyDescent="0.3">
      <c r="A26" t="s">
        <v>195</v>
      </c>
      <c r="B26" t="s">
        <v>875</v>
      </c>
      <c r="C26" t="s">
        <v>875</v>
      </c>
    </row>
    <row r="27" spans="1:3" x14ac:dyDescent="0.3">
      <c r="A27" t="s">
        <v>198</v>
      </c>
      <c r="B27" t="s">
        <v>876</v>
      </c>
      <c r="C27" t="s">
        <v>876</v>
      </c>
    </row>
    <row r="28" spans="1:3" x14ac:dyDescent="0.3">
      <c r="A28" t="s">
        <v>201</v>
      </c>
      <c r="B28" t="s">
        <v>877</v>
      </c>
      <c r="C28" t="s">
        <v>877</v>
      </c>
    </row>
    <row r="29" spans="1:3" x14ac:dyDescent="0.3">
      <c r="A29" t="s">
        <v>204</v>
      </c>
      <c r="B29" t="s">
        <v>878</v>
      </c>
      <c r="C29" t="s">
        <v>878</v>
      </c>
    </row>
    <row r="30" spans="1:3" x14ac:dyDescent="0.3">
      <c r="A30" t="s">
        <v>207</v>
      </c>
      <c r="B30" t="s">
        <v>879</v>
      </c>
      <c r="C30" t="s">
        <v>879</v>
      </c>
    </row>
    <row r="31" spans="1:3" x14ac:dyDescent="0.3">
      <c r="A31" t="s">
        <v>210</v>
      </c>
      <c r="B31" t="s">
        <v>880</v>
      </c>
      <c r="C31" t="s">
        <v>880</v>
      </c>
    </row>
    <row r="32" spans="1:3" x14ac:dyDescent="0.3">
      <c r="A32" t="s">
        <v>213</v>
      </c>
      <c r="B32" t="s">
        <v>881</v>
      </c>
      <c r="C32" t="s">
        <v>881</v>
      </c>
    </row>
    <row r="33" spans="1:3" x14ac:dyDescent="0.3">
      <c r="A33" t="s">
        <v>679</v>
      </c>
      <c r="B33" t="s">
        <v>882</v>
      </c>
      <c r="C33" t="s">
        <v>882</v>
      </c>
    </row>
    <row r="34" spans="1:3" x14ac:dyDescent="0.3">
      <c r="A34" t="s">
        <v>678</v>
      </c>
      <c r="B34" t="s">
        <v>883</v>
      </c>
      <c r="C34" t="s">
        <v>883</v>
      </c>
    </row>
    <row r="35" spans="1:3" x14ac:dyDescent="0.3">
      <c r="A35" t="s">
        <v>68</v>
      </c>
      <c r="B35" t="s">
        <v>884</v>
      </c>
      <c r="C35" t="s">
        <v>884</v>
      </c>
    </row>
    <row r="36" spans="1:3" x14ac:dyDescent="0.3">
      <c r="A36" t="s">
        <v>218</v>
      </c>
      <c r="B36" t="s">
        <v>885</v>
      </c>
      <c r="C36" t="s">
        <v>885</v>
      </c>
    </row>
    <row r="37" spans="1:3" x14ac:dyDescent="0.3">
      <c r="A37" t="s">
        <v>221</v>
      </c>
      <c r="B37" t="s">
        <v>886</v>
      </c>
      <c r="C37" t="s">
        <v>886</v>
      </c>
    </row>
    <row r="38" spans="1:3" x14ac:dyDescent="0.3">
      <c r="A38" t="s">
        <v>224</v>
      </c>
      <c r="B38" t="s">
        <v>887</v>
      </c>
      <c r="C38" t="s">
        <v>887</v>
      </c>
    </row>
    <row r="39" spans="1:3" x14ac:dyDescent="0.3">
      <c r="A39" t="s">
        <v>227</v>
      </c>
      <c r="B39" t="s">
        <v>888</v>
      </c>
      <c r="C39" t="s">
        <v>888</v>
      </c>
    </row>
    <row r="40" spans="1:3" x14ac:dyDescent="0.3">
      <c r="A40" t="s">
        <v>230</v>
      </c>
      <c r="B40" t="s">
        <v>889</v>
      </c>
      <c r="C40" t="s">
        <v>889</v>
      </c>
    </row>
    <row r="41" spans="1:3" x14ac:dyDescent="0.3">
      <c r="A41" t="s">
        <v>233</v>
      </c>
      <c r="B41" t="s">
        <v>890</v>
      </c>
      <c r="C41" t="s">
        <v>890</v>
      </c>
    </row>
    <row r="42" spans="1:3" x14ac:dyDescent="0.3">
      <c r="A42" t="s">
        <v>236</v>
      </c>
      <c r="B42" t="s">
        <v>891</v>
      </c>
      <c r="C42" t="s">
        <v>891</v>
      </c>
    </row>
    <row r="43" spans="1:3" x14ac:dyDescent="0.3">
      <c r="A43" t="s">
        <v>239</v>
      </c>
      <c r="B43" t="s">
        <v>892</v>
      </c>
      <c r="C43" t="s">
        <v>892</v>
      </c>
    </row>
    <row r="44" spans="1:3" x14ac:dyDescent="0.3">
      <c r="A44" t="s">
        <v>677</v>
      </c>
      <c r="B44" t="s">
        <v>893</v>
      </c>
      <c r="C44" t="s">
        <v>893</v>
      </c>
    </row>
    <row r="45" spans="1:3" x14ac:dyDescent="0.3">
      <c r="A45" t="s">
        <v>676</v>
      </c>
      <c r="B45" t="s">
        <v>894</v>
      </c>
      <c r="C45" t="s">
        <v>894</v>
      </c>
    </row>
    <row r="46" spans="1:3" x14ac:dyDescent="0.3">
      <c r="A46" t="s">
        <v>70</v>
      </c>
      <c r="B46" t="s">
        <v>895</v>
      </c>
      <c r="C46" t="s">
        <v>895</v>
      </c>
    </row>
    <row r="47" spans="1:3" x14ac:dyDescent="0.3">
      <c r="A47" t="s">
        <v>244</v>
      </c>
      <c r="B47" t="s">
        <v>896</v>
      </c>
      <c r="C47" t="s">
        <v>896</v>
      </c>
    </row>
    <row r="48" spans="1:3" x14ac:dyDescent="0.3">
      <c r="A48" t="s">
        <v>247</v>
      </c>
      <c r="B48" t="s">
        <v>897</v>
      </c>
      <c r="C48" t="s">
        <v>897</v>
      </c>
    </row>
    <row r="49" spans="1:3" x14ac:dyDescent="0.3">
      <c r="A49" t="s">
        <v>250</v>
      </c>
      <c r="B49" t="s">
        <v>898</v>
      </c>
      <c r="C49" t="s">
        <v>898</v>
      </c>
    </row>
    <row r="50" spans="1:3" x14ac:dyDescent="0.3">
      <c r="A50" t="s">
        <v>253</v>
      </c>
      <c r="B50" t="s">
        <v>899</v>
      </c>
      <c r="C50" t="s">
        <v>899</v>
      </c>
    </row>
    <row r="51" spans="1:3" x14ac:dyDescent="0.3">
      <c r="A51" t="s">
        <v>256</v>
      </c>
      <c r="B51" t="s">
        <v>900</v>
      </c>
      <c r="C51" t="s">
        <v>900</v>
      </c>
    </row>
    <row r="52" spans="1:3" x14ac:dyDescent="0.3">
      <c r="A52" t="s">
        <v>259</v>
      </c>
      <c r="B52" t="s">
        <v>901</v>
      </c>
      <c r="C52" t="s">
        <v>901</v>
      </c>
    </row>
    <row r="53" spans="1:3" x14ac:dyDescent="0.3">
      <c r="A53" t="s">
        <v>262</v>
      </c>
      <c r="B53" t="s">
        <v>902</v>
      </c>
      <c r="C53" t="s">
        <v>902</v>
      </c>
    </row>
    <row r="54" spans="1:3" x14ac:dyDescent="0.3">
      <c r="A54" t="s">
        <v>265</v>
      </c>
      <c r="B54" t="s">
        <v>903</v>
      </c>
      <c r="C54" t="s">
        <v>903</v>
      </c>
    </row>
    <row r="55" spans="1:3" x14ac:dyDescent="0.3">
      <c r="A55" t="s">
        <v>675</v>
      </c>
      <c r="B55" t="s">
        <v>904</v>
      </c>
      <c r="C55" t="s">
        <v>904</v>
      </c>
    </row>
    <row r="56" spans="1:3" x14ac:dyDescent="0.3">
      <c r="A56" t="s">
        <v>674</v>
      </c>
      <c r="B56" t="s">
        <v>905</v>
      </c>
      <c r="C56" t="s">
        <v>905</v>
      </c>
    </row>
  </sheetData>
  <phoneticPr fontId="4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6"/>
  <sheetViews>
    <sheetView workbookViewId="0">
      <selection activeCell="C2" sqref="C2"/>
    </sheetView>
  </sheetViews>
  <sheetFormatPr defaultColWidth="8.6640625" defaultRowHeight="14.4" x14ac:dyDescent="0.3"/>
  <cols>
    <col min="1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823</v>
      </c>
      <c r="C1" s="10" t="s">
        <v>824</v>
      </c>
      <c r="D1" s="1" t="s">
        <v>825</v>
      </c>
      <c r="E1" s="1" t="s">
        <v>826</v>
      </c>
      <c r="F1" s="10" t="s">
        <v>827</v>
      </c>
      <c r="G1" s="1" t="s">
        <v>828</v>
      </c>
      <c r="H1" s="16" t="s">
        <v>549</v>
      </c>
    </row>
    <row r="2" spans="1:8" x14ac:dyDescent="0.3">
      <c r="A2" t="s">
        <v>137</v>
      </c>
      <c r="B2" t="s">
        <v>62</v>
      </c>
      <c r="C2" s="6" t="str">
        <f>INDEX(ColSet!$B:$B,MATCH($B2,ColSet!$A:$A,0))</f>
        <v>col_set1_1_1</v>
      </c>
      <c r="E2" t="s">
        <v>138</v>
      </c>
      <c r="F2" s="6" t="str">
        <f>INDEX(Col!$H:$H,MATCH($E2,Col!$A:$A,0))</f>
        <v>col1_1_1_1_TEXT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139</v>
      </c>
      <c r="B3" t="s">
        <v>140</v>
      </c>
      <c r="C3" s="6" t="str">
        <f>INDEX(ColSet!$B:$B,MATCH($B3,ColSet!$A:$A,0))</f>
        <v>col_set1_1_2</v>
      </c>
      <c r="E3" t="s">
        <v>141</v>
      </c>
      <c r="F3" s="6" t="str">
        <f>INDEX(Col!$H:$H,MATCH($E3,Col!$A:$A,0))</f>
        <v>col1_1_2_1_TEXT</v>
      </c>
      <c r="H3" s="6" t="str">
        <f t="shared" ref="H3:H56" si="0">$B3&amp;"|"&amp;$E3</f>
        <v>0195d18c-1cc1-c475-eba4-c3df5aea8858|0195d18c-1cab-86f3-5faf-507bfa221cf6</v>
      </c>
    </row>
    <row r="4" spans="1:8" x14ac:dyDescent="0.3">
      <c r="A4" t="s">
        <v>142</v>
      </c>
      <c r="B4" t="s">
        <v>143</v>
      </c>
      <c r="C4" s="6" t="str">
        <f>INDEX(ColSet!$B:$B,MATCH($B4,ColSet!$A:$A,0))</f>
        <v>col_set1_1_3</v>
      </c>
      <c r="E4" t="s">
        <v>144</v>
      </c>
      <c r="F4" s="6" t="str">
        <f>INDEX(Col!$H:$H,MATCH($E4,Col!$A:$A,0))</f>
        <v>col1_1_3_1_TEXT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145</v>
      </c>
      <c r="B5" t="s">
        <v>146</v>
      </c>
      <c r="C5" s="6" t="str">
        <f>INDEX(ColSet!$B:$B,MATCH($B5,ColSet!$A:$A,0))</f>
        <v>col_set1_2_1</v>
      </c>
      <c r="E5" t="s">
        <v>147</v>
      </c>
      <c r="F5" s="6" t="str">
        <f>INDEX(Col!$H:$H,MATCH($E5,Col!$A:$A,0))</f>
        <v>col1_2_1_1_TEXT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148</v>
      </c>
      <c r="B6" t="s">
        <v>149</v>
      </c>
      <c r="C6" s="6" t="str">
        <f>INDEX(ColSet!$B:$B,MATCH($B6,ColSet!$A:$A,0))</f>
        <v>col_set1_2_2</v>
      </c>
      <c r="E6" t="s">
        <v>150</v>
      </c>
      <c r="F6" s="6" t="str">
        <f>INDEX(Col!$H:$H,MATCH($E6,Col!$A:$A,0))</f>
        <v>col1_2_2_1_TEXT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151</v>
      </c>
      <c r="B7" t="s">
        <v>152</v>
      </c>
      <c r="C7" s="6" t="str">
        <f>INDEX(ColSet!$B:$B,MATCH($B7,ColSet!$A:$A,0))</f>
        <v>col_set1_2_3</v>
      </c>
      <c r="E7" t="s">
        <v>153</v>
      </c>
      <c r="F7" s="6" t="str">
        <f>INDEX(Col!$H:$H,MATCH($E7,Col!$A:$A,0))</f>
        <v>col1_2_3_1_TEXT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154</v>
      </c>
      <c r="B8" t="s">
        <v>155</v>
      </c>
      <c r="C8" s="6" t="str">
        <f>INDEX(ColSet!$B:$B,MATCH($B8,ColSet!$A:$A,0))</f>
        <v>col_set1_3_1</v>
      </c>
      <c r="E8" t="s">
        <v>156</v>
      </c>
      <c r="F8" s="6" t="str">
        <f>INDEX(Col!$H:$H,MATCH($E8,Col!$A:$A,0))</f>
        <v>col1_3_1_1_TEXT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157</v>
      </c>
      <c r="B9" t="s">
        <v>158</v>
      </c>
      <c r="C9" s="6" t="str">
        <f>INDEX(ColSet!$B:$B,MATCH($B9,ColSet!$A:$A,0))</f>
        <v>col_set1_3_2</v>
      </c>
      <c r="E9" t="s">
        <v>159</v>
      </c>
      <c r="F9" s="6" t="str">
        <f>INDEX(Col!$H:$H,MATCH($E9,Col!$A:$A,0))</f>
        <v>col1_3_2_1_TEXT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160</v>
      </c>
      <c r="B10" t="s">
        <v>161</v>
      </c>
      <c r="C10" s="6" t="str">
        <f>INDEX(ColSet!$B:$B,MATCH($B10,ColSet!$A:$A,0))</f>
        <v>col_set1_3_3</v>
      </c>
      <c r="E10" t="s">
        <v>162</v>
      </c>
      <c r="F10" s="6" t="str">
        <f>INDEX(Col!$H:$H,MATCH($E10,Col!$A:$A,0))</f>
        <v>col1_3_3_1_TEXT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684</v>
      </c>
      <c r="B11" t="s">
        <v>682</v>
      </c>
      <c r="C11" s="6" t="str">
        <f>INDEX(ColSet!$B:$B,MATCH($B11,ColSet!$A:$A,0))</f>
        <v>col_set1_4_1</v>
      </c>
      <c r="E11" t="s">
        <v>665</v>
      </c>
      <c r="F11" s="6" t="str">
        <f>INDEX(Col!$H:$H,MATCH($E11,Col!$A:$A,0))</f>
        <v>col1_4_1_1_GENETIC_READS</v>
      </c>
      <c r="H11" s="6" t="str">
        <f t="shared" si="0"/>
        <v>019a8753-bed9-afc6-e887-8b50ddfd6962|019a8753-bed9-180c-d818-10c8aed7f4c5</v>
      </c>
    </row>
    <row r="12" spans="1:8" x14ac:dyDescent="0.3">
      <c r="A12" t="s">
        <v>685</v>
      </c>
      <c r="B12" t="s">
        <v>683</v>
      </c>
      <c r="C12" s="6" t="str">
        <f>INDEX(ColSet!$B:$B,MATCH($B12,ColSet!$A:$A,0))</f>
        <v>col_set1_4_2</v>
      </c>
      <c r="E12" t="s">
        <v>664</v>
      </c>
      <c r="F12" s="6" t="str">
        <f>INDEX(Col!$H:$H,MATCH($E12,Col!$A:$A,0))</f>
        <v>col1_4_2_1_GENETIC_SEQUENCE</v>
      </c>
      <c r="H12" s="6" t="str">
        <f t="shared" si="0"/>
        <v>019a8753-bed9-869e-506b-15ae88b8c755|019a8753-bed9-8a7b-7c82-adf57928fa72</v>
      </c>
    </row>
    <row r="13" spans="1:8" x14ac:dyDescent="0.3">
      <c r="A13" t="s">
        <v>163</v>
      </c>
      <c r="B13" t="s">
        <v>64</v>
      </c>
      <c r="C13" s="6" t="str">
        <f>INDEX(ColSet!$B:$B,MATCH($B13,ColSet!$A:$A,0))</f>
        <v>col_set2_1_1</v>
      </c>
      <c r="E13" t="s">
        <v>164</v>
      </c>
      <c r="F13" s="6" t="str">
        <f>INDEX(Col!$H:$H,MATCH($E13,Col!$A:$A,0))</f>
        <v>col2_1_1_1_TEXT</v>
      </c>
      <c r="H13" s="6" t="str">
        <f t="shared" si="0"/>
        <v>0195d18c-1cc6-a324-3f72-222014292515|0195d18c-1cad-37c6-0826-9671f313fb2b</v>
      </c>
    </row>
    <row r="14" spans="1:8" x14ac:dyDescent="0.3">
      <c r="A14" t="s">
        <v>165</v>
      </c>
      <c r="B14" t="s">
        <v>166</v>
      </c>
      <c r="C14" s="6" t="str">
        <f>INDEX(ColSet!$B:$B,MATCH($B14,ColSet!$A:$A,0))</f>
        <v>col_set2_1_2</v>
      </c>
      <c r="E14" t="s">
        <v>167</v>
      </c>
      <c r="F14" s="6" t="str">
        <f>INDEX(Col!$H:$H,MATCH($E14,Col!$A:$A,0))</f>
        <v>col2_1_2_1_TEXT</v>
      </c>
      <c r="H14" s="6" t="str">
        <f t="shared" si="0"/>
        <v>0195d18c-1cc7-243f-f4e7-3dbdfe691c71|0195d18c-1cad-5b48-8a72-25050cbf379e</v>
      </c>
    </row>
    <row r="15" spans="1:8" x14ac:dyDescent="0.3">
      <c r="A15" t="s">
        <v>168</v>
      </c>
      <c r="B15" t="s">
        <v>169</v>
      </c>
      <c r="C15" s="6" t="str">
        <f>INDEX(ColSet!$B:$B,MATCH($B15,ColSet!$A:$A,0))</f>
        <v>col_set2_1_3</v>
      </c>
      <c r="E15" t="s">
        <v>170</v>
      </c>
      <c r="F15" s="6" t="str">
        <f>INDEX(Col!$H:$H,MATCH($E15,Col!$A:$A,0))</f>
        <v>col2_1_3_1_TEXT</v>
      </c>
      <c r="H15" s="6" t="str">
        <f t="shared" si="0"/>
        <v>0195d18c-1cc7-60b4-b4e6-8ff7fabb2b09|0195d18c-1cad-e18e-a87d-8af6760d00e1</v>
      </c>
    </row>
    <row r="16" spans="1:8" x14ac:dyDescent="0.3">
      <c r="A16" t="s">
        <v>171</v>
      </c>
      <c r="B16" t="s">
        <v>172</v>
      </c>
      <c r="C16" s="6" t="str">
        <f>INDEX(ColSet!$B:$B,MATCH($B16,ColSet!$A:$A,0))</f>
        <v>col_set2_2_1</v>
      </c>
      <c r="E16" t="s">
        <v>173</v>
      </c>
      <c r="F16" s="6" t="str">
        <f>INDEX(Col!$H:$H,MATCH($E16,Col!$A:$A,0))</f>
        <v>col2_2_1_1_TEXT</v>
      </c>
      <c r="H16" s="6" t="str">
        <f t="shared" si="0"/>
        <v>0195d18c-1cc8-bcf2-c56f-04928f2e3635|0195d18c-1cad-9467-449f-6341c820b944</v>
      </c>
    </row>
    <row r="17" spans="1:8" x14ac:dyDescent="0.3">
      <c r="A17" t="s">
        <v>174</v>
      </c>
      <c r="B17" t="s">
        <v>175</v>
      </c>
      <c r="C17" s="6" t="str">
        <f>INDEX(ColSet!$B:$B,MATCH($B17,ColSet!$A:$A,0))</f>
        <v>col_set2_2_2</v>
      </c>
      <c r="E17" t="s">
        <v>176</v>
      </c>
      <c r="F17" s="6" t="str">
        <f>INDEX(Col!$H:$H,MATCH($E17,Col!$A:$A,0))</f>
        <v>col2_2_2_1_TEXT</v>
      </c>
      <c r="H17" s="6" t="str">
        <f t="shared" si="0"/>
        <v>0195d18c-1cc8-18f5-27a5-fd3874e6b78b|0195d18c-1cae-fcea-56fe-4577ada0491d</v>
      </c>
    </row>
    <row r="18" spans="1:8" x14ac:dyDescent="0.3">
      <c r="A18" t="s">
        <v>177</v>
      </c>
      <c r="B18" t="s">
        <v>178</v>
      </c>
      <c r="C18" s="6" t="str">
        <f>INDEX(ColSet!$B:$B,MATCH($B18,ColSet!$A:$A,0))</f>
        <v>col_set2_2_3</v>
      </c>
      <c r="E18" t="s">
        <v>179</v>
      </c>
      <c r="F18" s="6" t="str">
        <f>INDEX(Col!$H:$H,MATCH($E18,Col!$A:$A,0))</f>
        <v>col2_2_3_1_TEXT</v>
      </c>
      <c r="H18" s="6" t="str">
        <f t="shared" si="0"/>
        <v>0195d18c-1cc8-5a76-0a72-16117b0a5a5e|0195d18c-1cae-cdba-00d9-e8405172259e</v>
      </c>
    </row>
    <row r="19" spans="1:8" x14ac:dyDescent="0.3">
      <c r="A19" t="s">
        <v>180</v>
      </c>
      <c r="B19" t="s">
        <v>181</v>
      </c>
      <c r="C19" s="6" t="str">
        <f>INDEX(ColSet!$B:$B,MATCH($B19,ColSet!$A:$A,0))</f>
        <v>col_set2_3_1</v>
      </c>
      <c r="E19" t="s">
        <v>182</v>
      </c>
      <c r="F19" s="6" t="str">
        <f>INDEX(Col!$H:$H,MATCH($E19,Col!$A:$A,0))</f>
        <v>col2_3_1_1_TEXT</v>
      </c>
      <c r="H19" s="6" t="str">
        <f t="shared" si="0"/>
        <v>0195d18c-1cc9-7181-fd5b-078012e228f2|0195d18c-1cae-faa7-ac0d-22cce7d230ec</v>
      </c>
    </row>
    <row r="20" spans="1:8" x14ac:dyDescent="0.3">
      <c r="A20" t="s">
        <v>183</v>
      </c>
      <c r="B20" t="s">
        <v>184</v>
      </c>
      <c r="C20" s="6" t="str">
        <f>INDEX(ColSet!$B:$B,MATCH($B20,ColSet!$A:$A,0))</f>
        <v>col_set2_3_2</v>
      </c>
      <c r="E20" t="s">
        <v>185</v>
      </c>
      <c r="F20" s="6" t="str">
        <f>INDEX(Col!$H:$H,MATCH($E20,Col!$A:$A,0))</f>
        <v>col2_3_2_1_TEXT</v>
      </c>
      <c r="H20" s="6" t="str">
        <f t="shared" si="0"/>
        <v>0195d18c-1cc9-c61f-4e7e-a00189d3cc75|0195d18c-1cae-45ab-ca21-9cee527b9482</v>
      </c>
    </row>
    <row r="21" spans="1:8" x14ac:dyDescent="0.3">
      <c r="A21" t="s">
        <v>186</v>
      </c>
      <c r="B21" t="s">
        <v>187</v>
      </c>
      <c r="C21" s="6" t="str">
        <f>INDEX(ColSet!$B:$B,MATCH($B21,ColSet!$A:$A,0))</f>
        <v>col_set2_3_3</v>
      </c>
      <c r="E21" t="s">
        <v>188</v>
      </c>
      <c r="F21" s="6" t="str">
        <f>INDEX(Col!$H:$H,MATCH($E21,Col!$A:$A,0))</f>
        <v>col2_3_3_1_TEXT</v>
      </c>
      <c r="H21" s="6" t="str">
        <f t="shared" si="0"/>
        <v>0195d18c-1cca-878e-2110-0116e848541b|0195d18c-1caf-d364-c3b5-e73ba434270e</v>
      </c>
    </row>
    <row r="22" spans="1:8" x14ac:dyDescent="0.3">
      <c r="A22" t="s">
        <v>686</v>
      </c>
      <c r="B22" t="s">
        <v>680</v>
      </c>
      <c r="C22" s="6" t="str">
        <f>INDEX(ColSet!$B:$B,MATCH($B22,ColSet!$A:$A,0))</f>
        <v>col_set2_4_1</v>
      </c>
      <c r="E22" t="s">
        <v>673</v>
      </c>
      <c r="F22" s="6" t="str">
        <f>INDEX(Col!$H:$H,MATCH($E22,Col!$A:$A,0))</f>
        <v>col2_4_1_1_GENETIC_READS</v>
      </c>
      <c r="H22" s="6" t="str">
        <f t="shared" si="0"/>
        <v>019a8753-bed9-8f84-5827-8c0fedea4c3d|019a8753-bed9-10ef-cde6-dd672b6f1342</v>
      </c>
    </row>
    <row r="23" spans="1:8" x14ac:dyDescent="0.3">
      <c r="A23" t="s">
        <v>687</v>
      </c>
      <c r="B23" t="s">
        <v>681</v>
      </c>
      <c r="C23" s="6" t="str">
        <f>INDEX(ColSet!$B:$B,MATCH($B23,ColSet!$A:$A,0))</f>
        <v>col_set2_4_2</v>
      </c>
      <c r="E23" t="s">
        <v>672</v>
      </c>
      <c r="F23" s="6" t="str">
        <f>INDEX(Col!$H:$H,MATCH($E23,Col!$A:$A,0))</f>
        <v>col2_4_2_1_GENETIC_SEQUENCE</v>
      </c>
      <c r="H23" s="6" t="str">
        <f t="shared" si="0"/>
        <v>019a8753-bed9-2ec3-f155-116a4b0fe44d|019a8753-bed9-423c-9007-26ece8e894c8</v>
      </c>
    </row>
    <row r="24" spans="1:8" x14ac:dyDescent="0.3">
      <c r="A24" t="s">
        <v>189</v>
      </c>
      <c r="B24" t="s">
        <v>66</v>
      </c>
      <c r="C24" s="6" t="str">
        <f>INDEX(ColSet!$B:$B,MATCH($B24,ColSet!$A:$A,0))</f>
        <v>col_set3_1_1</v>
      </c>
      <c r="E24" t="s">
        <v>190</v>
      </c>
      <c r="F24" s="6" t="str">
        <f>INDEX(Col!$H:$H,MATCH($E24,Col!$A:$A,0))</f>
        <v>col3_1_1_1_TEXT</v>
      </c>
      <c r="H24" s="6" t="str">
        <f t="shared" si="0"/>
        <v>0195d18c-1cca-26c0-66df-979380a43b16|0195d18c-1caf-b3af-f64e-bd18810c4521</v>
      </c>
    </row>
    <row r="25" spans="1:8" x14ac:dyDescent="0.3">
      <c r="A25" t="s">
        <v>191</v>
      </c>
      <c r="B25" t="s">
        <v>192</v>
      </c>
      <c r="C25" s="6" t="str">
        <f>INDEX(ColSet!$B:$B,MATCH($B25,ColSet!$A:$A,0))</f>
        <v>col_set3_1_2</v>
      </c>
      <c r="E25" t="s">
        <v>193</v>
      </c>
      <c r="F25" s="6" t="str">
        <f>INDEX(Col!$H:$H,MATCH($E25,Col!$A:$A,0))</f>
        <v>col3_1_2_1_TEXT</v>
      </c>
      <c r="H25" s="6" t="str">
        <f t="shared" si="0"/>
        <v>0195d18c-1ccb-f06f-162f-a5dc745a5198|0195d18c-1caf-84ca-1737-a8f8788cd464</v>
      </c>
    </row>
    <row r="26" spans="1:8" x14ac:dyDescent="0.3">
      <c r="A26" t="s">
        <v>194</v>
      </c>
      <c r="B26" t="s">
        <v>195</v>
      </c>
      <c r="C26" s="6" t="str">
        <f>INDEX(ColSet!$B:$B,MATCH($B26,ColSet!$A:$A,0))</f>
        <v>col_set3_1_3</v>
      </c>
      <c r="E26" t="s">
        <v>196</v>
      </c>
      <c r="F26" s="6" t="str">
        <f>INDEX(Col!$H:$H,MATCH($E26,Col!$A:$A,0))</f>
        <v>col3_1_3_1_TEXT</v>
      </c>
      <c r="H26" s="6" t="str">
        <f t="shared" si="0"/>
        <v>0195d18c-1ccb-b068-d845-d61fb54721f1|0195d18c-1cb0-7655-a8bb-f656b1b8b72c</v>
      </c>
    </row>
    <row r="27" spans="1:8" x14ac:dyDescent="0.3">
      <c r="A27" t="s">
        <v>197</v>
      </c>
      <c r="B27" t="s">
        <v>198</v>
      </c>
      <c r="C27" s="6" t="str">
        <f>INDEX(ColSet!$B:$B,MATCH($B27,ColSet!$A:$A,0))</f>
        <v>col_set3_2_1</v>
      </c>
      <c r="E27" t="s">
        <v>199</v>
      </c>
      <c r="F27" s="6" t="str">
        <f>INDEX(Col!$H:$H,MATCH($E27,Col!$A:$A,0))</f>
        <v>col3_2_1_1_TEXT</v>
      </c>
      <c r="H27" s="6" t="str">
        <f t="shared" si="0"/>
        <v>0195d18c-1ccc-f754-4a4f-89cdc532a3be|0195d18c-1cb0-4c24-e2e8-b92cfc74f7cc</v>
      </c>
    </row>
    <row r="28" spans="1:8" x14ac:dyDescent="0.3">
      <c r="A28" t="s">
        <v>200</v>
      </c>
      <c r="B28" t="s">
        <v>201</v>
      </c>
      <c r="C28" s="6" t="str">
        <f>INDEX(ColSet!$B:$B,MATCH($B28,ColSet!$A:$A,0))</f>
        <v>col_set3_2_2</v>
      </c>
      <c r="E28" t="s">
        <v>202</v>
      </c>
      <c r="F28" s="6" t="str">
        <f>INDEX(Col!$H:$H,MATCH($E28,Col!$A:$A,0))</f>
        <v>col3_2_2_1_TEXT</v>
      </c>
      <c r="H28" s="6" t="str">
        <f t="shared" si="0"/>
        <v>0195d18c-1ccc-3f10-cc4e-636793b1e9dd|0195d18c-1cb0-8d34-e3f0-ab091b80ab8f</v>
      </c>
    </row>
    <row r="29" spans="1:8" x14ac:dyDescent="0.3">
      <c r="A29" t="s">
        <v>203</v>
      </c>
      <c r="B29" t="s">
        <v>204</v>
      </c>
      <c r="C29" s="6" t="str">
        <f>INDEX(ColSet!$B:$B,MATCH($B29,ColSet!$A:$A,0))</f>
        <v>col_set3_2_3</v>
      </c>
      <c r="E29" t="s">
        <v>205</v>
      </c>
      <c r="F29" s="6" t="str">
        <f>INDEX(Col!$H:$H,MATCH($E29,Col!$A:$A,0))</f>
        <v>col3_2_3_1_TEXT</v>
      </c>
      <c r="H29" s="6" t="str">
        <f t="shared" si="0"/>
        <v>0195d18c-1ccd-3f53-ad72-f2d3c667b246|0195d18c-1cb0-db51-ed28-2a4481c5f1ac</v>
      </c>
    </row>
    <row r="30" spans="1:8" x14ac:dyDescent="0.3">
      <c r="A30" t="s">
        <v>206</v>
      </c>
      <c r="B30" t="s">
        <v>207</v>
      </c>
      <c r="C30" s="6" t="str">
        <f>INDEX(ColSet!$B:$B,MATCH($B30,ColSet!$A:$A,0))</f>
        <v>col_set3_3_1</v>
      </c>
      <c r="E30" t="s">
        <v>208</v>
      </c>
      <c r="F30" s="6" t="str">
        <f>INDEX(Col!$H:$H,MATCH($E30,Col!$A:$A,0))</f>
        <v>col3_3_1_1_TEXT</v>
      </c>
      <c r="H30" s="6" t="str">
        <f t="shared" si="0"/>
        <v>0195d18c-1ccd-d664-179c-a1a90c3c886c|0195d18c-1cb1-b5d5-ee26-96c6a9678489</v>
      </c>
    </row>
    <row r="31" spans="1:8" x14ac:dyDescent="0.3">
      <c r="A31" t="s">
        <v>209</v>
      </c>
      <c r="B31" t="s">
        <v>210</v>
      </c>
      <c r="C31" s="6" t="str">
        <f>INDEX(ColSet!$B:$B,MATCH($B31,ColSet!$A:$A,0))</f>
        <v>col_set3_3_2</v>
      </c>
      <c r="E31" t="s">
        <v>211</v>
      </c>
      <c r="F31" s="6" t="str">
        <f>INDEX(Col!$H:$H,MATCH($E31,Col!$A:$A,0))</f>
        <v>col3_3_2_1_TEXT</v>
      </c>
      <c r="H31" s="6" t="str">
        <f t="shared" si="0"/>
        <v>0195d18c-1ccd-12ae-b807-5b71d1b4e1f1|0195d18c-1cb1-f7bb-aa5b-6f2c6f5d3696</v>
      </c>
    </row>
    <row r="32" spans="1:8" x14ac:dyDescent="0.3">
      <c r="A32" t="s">
        <v>212</v>
      </c>
      <c r="B32" t="s">
        <v>213</v>
      </c>
      <c r="C32" s="6" t="str">
        <f>INDEX(ColSet!$B:$B,MATCH($B32,ColSet!$A:$A,0))</f>
        <v>col_set3_3_3</v>
      </c>
      <c r="E32" t="s">
        <v>214</v>
      </c>
      <c r="F32" s="6" t="str">
        <f>INDEX(Col!$H:$H,MATCH($E32,Col!$A:$A,0))</f>
        <v>col3_3_3_1_TEXT</v>
      </c>
      <c r="H32" s="6" t="str">
        <f t="shared" si="0"/>
        <v>0195d18c-1cce-3516-017e-cf05c78d4433|0195d18c-1cb1-2097-fae7-ffcb7e109be5</v>
      </c>
    </row>
    <row r="33" spans="1:8" x14ac:dyDescent="0.3">
      <c r="A33" t="s">
        <v>688</v>
      </c>
      <c r="B33" t="s">
        <v>679</v>
      </c>
      <c r="C33" s="6" t="str">
        <f>INDEX(ColSet!$B:$B,MATCH($B33,ColSet!$A:$A,0))</f>
        <v>col_set3_4_1</v>
      </c>
      <c r="E33" t="s">
        <v>671</v>
      </c>
      <c r="F33" s="6" t="str">
        <f>INDEX(Col!$H:$H,MATCH($E33,Col!$A:$A,0))</f>
        <v>col3_4_1_1_GENETIC_READS</v>
      </c>
      <c r="H33" s="6" t="str">
        <f t="shared" si="0"/>
        <v>019a8753-bed9-c7d8-6072-9a0d42887e0f|019a8753-bed9-0ab7-4323-aa6aedd4c1cc</v>
      </c>
    </row>
    <row r="34" spans="1:8" x14ac:dyDescent="0.3">
      <c r="A34" t="s">
        <v>689</v>
      </c>
      <c r="B34" t="s">
        <v>678</v>
      </c>
      <c r="C34" s="6" t="str">
        <f>INDEX(ColSet!$B:$B,MATCH($B34,ColSet!$A:$A,0))</f>
        <v>col_set3_4_2</v>
      </c>
      <c r="E34" t="s">
        <v>670</v>
      </c>
      <c r="F34" s="6" t="str">
        <f>INDEX(Col!$H:$H,MATCH($E34,Col!$A:$A,0))</f>
        <v>col3_4_2_1_GENETIC_SEQUENCE</v>
      </c>
      <c r="H34" s="6" t="str">
        <f t="shared" si="0"/>
        <v>019a8753-bed9-9918-33cd-c862ad905516|019a8753-bed9-af63-b674-d9ae3c5f0a08</v>
      </c>
    </row>
    <row r="35" spans="1:8" x14ac:dyDescent="0.3">
      <c r="A35" t="s">
        <v>215</v>
      </c>
      <c r="B35" t="s">
        <v>68</v>
      </c>
      <c r="C35" s="6" t="str">
        <f>INDEX(ColSet!$B:$B,MATCH($B35,ColSet!$A:$A,0))</f>
        <v>col_set4_1_1</v>
      </c>
      <c r="E35" t="s">
        <v>216</v>
      </c>
      <c r="F35" s="6" t="str">
        <f>INDEX(Col!$H:$H,MATCH($E35,Col!$A:$A,0))</f>
        <v>col4_1_1_1_TEXT</v>
      </c>
      <c r="H35" s="6" t="str">
        <f t="shared" si="0"/>
        <v>0195d18c-1cce-585d-e95b-79f3fbfdd12b|0195d18c-1cb2-95e6-139d-1dbe7ffdd3d0</v>
      </c>
    </row>
    <row r="36" spans="1:8" x14ac:dyDescent="0.3">
      <c r="A36" t="s">
        <v>217</v>
      </c>
      <c r="B36" t="s">
        <v>218</v>
      </c>
      <c r="C36" s="6" t="str">
        <f>INDEX(ColSet!$B:$B,MATCH($B36,ColSet!$A:$A,0))</f>
        <v>col_set4_1_2</v>
      </c>
      <c r="E36" t="s">
        <v>219</v>
      </c>
      <c r="F36" s="6" t="str">
        <f>INDEX(Col!$H:$H,MATCH($E36,Col!$A:$A,0))</f>
        <v>col4_1_2_1_TEXT</v>
      </c>
      <c r="H36" s="6" t="str">
        <f t="shared" si="0"/>
        <v>0195d18c-1ccf-c9fa-4e69-800cfa6c5e86|0195d18c-1cb2-995c-625d-dfa62a674ff8</v>
      </c>
    </row>
    <row r="37" spans="1:8" x14ac:dyDescent="0.3">
      <c r="A37" t="s">
        <v>220</v>
      </c>
      <c r="B37" t="s">
        <v>221</v>
      </c>
      <c r="C37" s="6" t="str">
        <f>INDEX(ColSet!$B:$B,MATCH($B37,ColSet!$A:$A,0))</f>
        <v>col_set4_1_3</v>
      </c>
      <c r="E37" t="s">
        <v>222</v>
      </c>
      <c r="F37" s="6" t="str">
        <f>INDEX(Col!$H:$H,MATCH($E37,Col!$A:$A,0))</f>
        <v>col4_1_3_1_TEXT</v>
      </c>
      <c r="H37" s="6" t="str">
        <f t="shared" si="0"/>
        <v>0195d18c-1ccf-d319-afba-0f13f0d06256|0195d18c-1cb2-7a1f-c2f8-ce2096e4cbbc</v>
      </c>
    </row>
    <row r="38" spans="1:8" x14ac:dyDescent="0.3">
      <c r="A38" t="s">
        <v>223</v>
      </c>
      <c r="B38" t="s">
        <v>224</v>
      </c>
      <c r="C38" s="6" t="str">
        <f>INDEX(ColSet!$B:$B,MATCH($B38,ColSet!$A:$A,0))</f>
        <v>col_set4_2_1</v>
      </c>
      <c r="E38" t="s">
        <v>225</v>
      </c>
      <c r="F38" s="6" t="str">
        <f>INDEX(Col!$H:$H,MATCH($E38,Col!$A:$A,0))</f>
        <v>col4_2_1_1_TEXT</v>
      </c>
      <c r="H38" s="6" t="str">
        <f t="shared" si="0"/>
        <v>0195d18c-1cd0-951a-878d-5fe5fcd0015a|0195d18c-1cb3-b49c-ddc2-f5174414bfdc</v>
      </c>
    </row>
    <row r="39" spans="1:8" x14ac:dyDescent="0.3">
      <c r="A39" t="s">
        <v>226</v>
      </c>
      <c r="B39" t="s">
        <v>227</v>
      </c>
      <c r="C39" s="6" t="str">
        <f>INDEX(ColSet!$B:$B,MATCH($B39,ColSet!$A:$A,0))</f>
        <v>col_set4_2_2</v>
      </c>
      <c r="E39" t="s">
        <v>228</v>
      </c>
      <c r="F39" s="6" t="str">
        <f>INDEX(Col!$H:$H,MATCH($E39,Col!$A:$A,0))</f>
        <v>col4_2_2_1_TEXT</v>
      </c>
      <c r="H39" s="6" t="str">
        <f t="shared" si="0"/>
        <v>0195d18c-1cd0-0128-08ed-42804fabb534|0195d18c-1cb3-9495-0b74-a14fa0378944</v>
      </c>
    </row>
    <row r="40" spans="1:8" x14ac:dyDescent="0.3">
      <c r="A40" t="s">
        <v>229</v>
      </c>
      <c r="B40" t="s">
        <v>230</v>
      </c>
      <c r="C40" s="6" t="str">
        <f>INDEX(ColSet!$B:$B,MATCH($B40,ColSet!$A:$A,0))</f>
        <v>col_set4_2_3</v>
      </c>
      <c r="E40" t="s">
        <v>231</v>
      </c>
      <c r="F40" s="6" t="str">
        <f>INDEX(Col!$H:$H,MATCH($E40,Col!$A:$A,0))</f>
        <v>col4_2_3_1_TEXT</v>
      </c>
      <c r="H40" s="6" t="str">
        <f t="shared" si="0"/>
        <v>0195d18c-1cd1-9702-2218-87932d7bfde7|0195d18c-1cb3-7165-f2c8-1549624bce57</v>
      </c>
    </row>
    <row r="41" spans="1:8" x14ac:dyDescent="0.3">
      <c r="A41" t="s">
        <v>232</v>
      </c>
      <c r="B41" t="s">
        <v>233</v>
      </c>
      <c r="C41" s="6" t="str">
        <f>INDEX(ColSet!$B:$B,MATCH($B41,ColSet!$A:$A,0))</f>
        <v>col_set4_3_1</v>
      </c>
      <c r="E41" t="s">
        <v>234</v>
      </c>
      <c r="F41" s="6" t="str">
        <f>INDEX(Col!$H:$H,MATCH($E41,Col!$A:$A,0))</f>
        <v>col4_3_1_1_TEXT</v>
      </c>
      <c r="H41" s="6" t="str">
        <f t="shared" si="0"/>
        <v>0195d18c-1cd1-a4b4-2764-66bf69a9f28c|0195d18c-1cb4-62ef-acc3-d4754efbcff5</v>
      </c>
    </row>
    <row r="42" spans="1:8" x14ac:dyDescent="0.3">
      <c r="A42" t="s">
        <v>235</v>
      </c>
      <c r="B42" t="s">
        <v>236</v>
      </c>
      <c r="C42" s="6" t="str">
        <f>INDEX(ColSet!$B:$B,MATCH($B42,ColSet!$A:$A,0))</f>
        <v>col_set4_3_2</v>
      </c>
      <c r="E42" t="s">
        <v>237</v>
      </c>
      <c r="F42" s="6" t="str">
        <f>INDEX(Col!$H:$H,MATCH($E42,Col!$A:$A,0))</f>
        <v>col4_3_2_1_TEXT</v>
      </c>
      <c r="H42" s="6" t="str">
        <f t="shared" si="0"/>
        <v>0195d18c-1cd2-3359-f0c5-d09dfe10cbd9|0195d18c-1cb4-4080-ce72-0ae401b350e2</v>
      </c>
    </row>
    <row r="43" spans="1:8" x14ac:dyDescent="0.3">
      <c r="A43" t="s">
        <v>238</v>
      </c>
      <c r="B43" t="s">
        <v>239</v>
      </c>
      <c r="C43" s="6" t="str">
        <f>INDEX(ColSet!$B:$B,MATCH($B43,ColSet!$A:$A,0))</f>
        <v>col_set4_3_3</v>
      </c>
      <c r="E43" t="s">
        <v>240</v>
      </c>
      <c r="F43" s="6" t="str">
        <f>INDEX(Col!$H:$H,MATCH($E43,Col!$A:$A,0))</f>
        <v>col4_3_3_1_TEXT</v>
      </c>
      <c r="H43" s="6" t="str">
        <f t="shared" si="0"/>
        <v>0195d18c-1cd2-c028-2759-dfa197e2e6c0|0195d18c-1cb4-7eca-c0f5-e64333747c9b</v>
      </c>
    </row>
    <row r="44" spans="1:8" x14ac:dyDescent="0.3">
      <c r="A44" t="s">
        <v>691</v>
      </c>
      <c r="B44" t="s">
        <v>677</v>
      </c>
      <c r="C44" s="6" t="str">
        <f>INDEX(ColSet!$B:$B,MATCH($B44,ColSet!$A:$A,0))</f>
        <v>col_set4_4_1</v>
      </c>
      <c r="E44" t="s">
        <v>669</v>
      </c>
      <c r="F44" s="6" t="str">
        <f>INDEX(Col!$H:$H,MATCH($E44,Col!$A:$A,0))</f>
        <v>col4_4_1_1_GENETIC_READS</v>
      </c>
      <c r="H44" s="6" t="str">
        <f t="shared" si="0"/>
        <v>019a8753-bed9-eba4-fbce-8c553ccd262a|019a8753-bed9-9436-d94c-4e4ee8856951</v>
      </c>
    </row>
    <row r="45" spans="1:8" x14ac:dyDescent="0.3">
      <c r="A45" t="s">
        <v>690</v>
      </c>
      <c r="B45" t="s">
        <v>676</v>
      </c>
      <c r="C45" s="6" t="str">
        <f>INDEX(ColSet!$B:$B,MATCH($B45,ColSet!$A:$A,0))</f>
        <v>col_set4_4_2</v>
      </c>
      <c r="E45" t="s">
        <v>668</v>
      </c>
      <c r="F45" s="6" t="str">
        <f>INDEX(Col!$H:$H,MATCH($E45,Col!$A:$A,0))</f>
        <v>col4_4_2_1_GENETIC_SEQUENCE</v>
      </c>
      <c r="H45" s="6" t="str">
        <f t="shared" si="0"/>
        <v>019a8753-bed9-47cd-cf12-b0da18fd2588|019a8753-bed9-9857-f307-13b9f5a150d1</v>
      </c>
    </row>
    <row r="46" spans="1:8" x14ac:dyDescent="0.3">
      <c r="A46" t="s">
        <v>241</v>
      </c>
      <c r="B46" t="s">
        <v>70</v>
      </c>
      <c r="C46" s="6" t="str">
        <f>INDEX(ColSet!$B:$B,MATCH($B46,ColSet!$A:$A,0))</f>
        <v>col_set5_1_1</v>
      </c>
      <c r="E46" t="s">
        <v>242</v>
      </c>
      <c r="F46" s="6" t="str">
        <f>INDEX(Col!$H:$H,MATCH($E46,Col!$A:$A,0))</f>
        <v>col5_1_1_1_TEXT</v>
      </c>
      <c r="H46" s="6" t="str">
        <f t="shared" si="0"/>
        <v>0195d18c-1cd3-02c7-4a0d-80f544cc425a|0195d18c-1cb5-c3e7-b945-7d438ce70962</v>
      </c>
    </row>
    <row r="47" spans="1:8" x14ac:dyDescent="0.3">
      <c r="A47" t="s">
        <v>243</v>
      </c>
      <c r="B47" t="s">
        <v>244</v>
      </c>
      <c r="C47" s="6" t="str">
        <f>INDEX(ColSet!$B:$B,MATCH($B47,ColSet!$A:$A,0))</f>
        <v>col_set5_1_2</v>
      </c>
      <c r="E47" t="s">
        <v>245</v>
      </c>
      <c r="F47" s="6" t="str">
        <f>INDEX(Col!$H:$H,MATCH($E47,Col!$A:$A,0))</f>
        <v>col5_1_2_1_TEXT</v>
      </c>
      <c r="H47" s="6" t="str">
        <f t="shared" si="0"/>
        <v>0195d18c-1cd3-acd1-2f6c-f9db7a3cd290|0195d18c-1cb5-8fdb-b13a-19f20c06817d</v>
      </c>
    </row>
    <row r="48" spans="1:8" x14ac:dyDescent="0.3">
      <c r="A48" t="s">
        <v>246</v>
      </c>
      <c r="B48" t="s">
        <v>247</v>
      </c>
      <c r="C48" s="6" t="str">
        <f>INDEX(ColSet!$B:$B,MATCH($B48,ColSet!$A:$A,0))</f>
        <v>col_set5_1_3</v>
      </c>
      <c r="E48" t="s">
        <v>248</v>
      </c>
      <c r="F48" s="6" t="str">
        <f>INDEX(Col!$H:$H,MATCH($E48,Col!$A:$A,0))</f>
        <v>col5_1_3_1_TEXT</v>
      </c>
      <c r="H48" s="6" t="str">
        <f t="shared" si="0"/>
        <v>0195d18c-1cd4-44f9-ea4c-4ab401e03f8f|0195d18c-1cb5-5dbb-4903-872ca139254e</v>
      </c>
    </row>
    <row r="49" spans="1:8" x14ac:dyDescent="0.3">
      <c r="A49" t="s">
        <v>249</v>
      </c>
      <c r="B49" t="s">
        <v>250</v>
      </c>
      <c r="C49" s="6" t="str">
        <f>INDEX(ColSet!$B:$B,MATCH($B49,ColSet!$A:$A,0))</f>
        <v>col_set5_2_1</v>
      </c>
      <c r="E49" t="s">
        <v>251</v>
      </c>
      <c r="F49" s="6" t="str">
        <f>INDEX(Col!$H:$H,MATCH($E49,Col!$A:$A,0))</f>
        <v>col5_2_1_1_TEXT</v>
      </c>
      <c r="H49" s="6" t="str">
        <f t="shared" si="0"/>
        <v>0195d18c-1cd4-a35d-3e85-41eb9f24a911|0195d18c-1cb6-9ffa-e835-0b70cc4b0ae9</v>
      </c>
    </row>
    <row r="50" spans="1:8" x14ac:dyDescent="0.3">
      <c r="A50" t="s">
        <v>252</v>
      </c>
      <c r="B50" t="s">
        <v>253</v>
      </c>
      <c r="C50" s="6" t="str">
        <f>INDEX(ColSet!$B:$B,MATCH($B50,ColSet!$A:$A,0))</f>
        <v>col_set5_2_2</v>
      </c>
      <c r="E50" t="s">
        <v>254</v>
      </c>
      <c r="F50" s="6" t="str">
        <f>INDEX(Col!$H:$H,MATCH($E50,Col!$A:$A,0))</f>
        <v>col5_2_2_1_TEXT</v>
      </c>
      <c r="H50" s="6" t="str">
        <f t="shared" si="0"/>
        <v>0195d18c-1cd5-e8f4-76f8-56e13a8aec12|0195d18c-1cb6-a2b9-4827-77425c5ab615</v>
      </c>
    </row>
    <row r="51" spans="1:8" x14ac:dyDescent="0.3">
      <c r="A51" t="s">
        <v>255</v>
      </c>
      <c r="B51" t="s">
        <v>256</v>
      </c>
      <c r="C51" s="6" t="str">
        <f>INDEX(ColSet!$B:$B,MATCH($B51,ColSet!$A:$A,0))</f>
        <v>col_set5_2_3</v>
      </c>
      <c r="E51" t="s">
        <v>257</v>
      </c>
      <c r="F51" s="6" t="str">
        <f>INDEX(Col!$H:$H,MATCH($E51,Col!$A:$A,0))</f>
        <v>col5_2_3_1_TEXT</v>
      </c>
      <c r="H51" s="6" t="str">
        <f t="shared" si="0"/>
        <v>0195d18c-1cd6-da43-ec75-25feee641928|0195d18c-1cb6-04b0-5474-a6411b693a97</v>
      </c>
    </row>
    <row r="52" spans="1:8" x14ac:dyDescent="0.3">
      <c r="A52" t="s">
        <v>258</v>
      </c>
      <c r="B52" t="s">
        <v>259</v>
      </c>
      <c r="C52" s="6" t="str">
        <f>INDEX(ColSet!$B:$B,MATCH($B52,ColSet!$A:$A,0))</f>
        <v>col_set5_3_1</v>
      </c>
      <c r="E52" t="s">
        <v>260</v>
      </c>
      <c r="F52" s="6" t="str">
        <f>INDEX(Col!$H:$H,MATCH($E52,Col!$A:$A,0))</f>
        <v>col5_3_1_1_TEXT</v>
      </c>
      <c r="H52" s="6" t="str">
        <f t="shared" si="0"/>
        <v>0195d18c-1cd6-2f81-aefd-93fce854296f|0195d18c-1cb7-05e5-fd6b-6914a124e649</v>
      </c>
    </row>
    <row r="53" spans="1:8" x14ac:dyDescent="0.3">
      <c r="A53" t="s">
        <v>261</v>
      </c>
      <c r="B53" t="s">
        <v>262</v>
      </c>
      <c r="C53" s="6" t="str">
        <f>INDEX(ColSet!$B:$B,MATCH($B53,ColSet!$A:$A,0))</f>
        <v>col_set5_3_2</v>
      </c>
      <c r="E53" t="s">
        <v>263</v>
      </c>
      <c r="F53" s="6" t="str">
        <f>INDEX(Col!$H:$H,MATCH($E53,Col!$A:$A,0))</f>
        <v>col5_3_2_1_TEXT</v>
      </c>
      <c r="H53" s="6" t="str">
        <f t="shared" si="0"/>
        <v>0195d18c-1cd7-22bb-71ce-9110669bbfef|0195d18c-1cb7-44c6-2f56-594e12327604</v>
      </c>
    </row>
    <row r="54" spans="1:8" x14ac:dyDescent="0.3">
      <c r="A54" t="s">
        <v>264</v>
      </c>
      <c r="B54" t="s">
        <v>265</v>
      </c>
      <c r="C54" s="6" t="str">
        <f>INDEX(ColSet!$B:$B,MATCH($B54,ColSet!$A:$A,0))</f>
        <v>col_set5_3_3</v>
      </c>
      <c r="E54" t="s">
        <v>266</v>
      </c>
      <c r="F54" s="6" t="str">
        <f>INDEX(Col!$H:$H,MATCH($E54,Col!$A:$A,0))</f>
        <v>col5_3_3_1_TEXT</v>
      </c>
      <c r="H54" s="6" t="str">
        <f t="shared" si="0"/>
        <v>0195d18c-1cd7-b95b-ced6-589a63e3e6eb|0195d18c-1cb7-e7f7-a41d-bacd0f861a06</v>
      </c>
    </row>
    <row r="55" spans="1:8" x14ac:dyDescent="0.3">
      <c r="A55" t="s">
        <v>693</v>
      </c>
      <c r="B55" t="s">
        <v>675</v>
      </c>
      <c r="C55" s="6" t="str">
        <f>INDEX(ColSet!$B:$B,MATCH($B55,ColSet!$A:$A,0))</f>
        <v>col_set5_4_1</v>
      </c>
      <c r="E55" t="s">
        <v>667</v>
      </c>
      <c r="F55" s="6" t="str">
        <f>INDEX(Col!$H:$H,MATCH($E55,Col!$A:$A,0))</f>
        <v>col5_4_1_1_GENETIC_READS</v>
      </c>
      <c r="H55" s="6" t="str">
        <f t="shared" si="0"/>
        <v>019a8753-bed9-8d4b-cfe4-957f28881a67|019a8753-bed9-e6df-c1d5-00f9f7cf16f3</v>
      </c>
    </row>
    <row r="56" spans="1:8" x14ac:dyDescent="0.3">
      <c r="A56" t="s">
        <v>692</v>
      </c>
      <c r="B56" t="s">
        <v>674</v>
      </c>
      <c r="C56" s="6" t="str">
        <f>INDEX(ColSet!$B:$B,MATCH($B56,ColSet!$A:$A,0))</f>
        <v>col_set5_4_2</v>
      </c>
      <c r="E56" t="s">
        <v>666</v>
      </c>
      <c r="F56" s="6" t="str">
        <f>INDEX(Col!$H:$H,MATCH($E56,Col!$A:$A,0))</f>
        <v>col5_4_2_1_GENETIC_SEQUENCE</v>
      </c>
      <c r="H56" s="6" t="str">
        <f t="shared" si="0"/>
        <v>019a8753-bed9-b12e-cfb7-f4c9c62c8fc6|019a8753-bed9-991b-7f4f-683a81051e65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35.66406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443</v>
      </c>
      <c r="D1" s="7" t="s">
        <v>1</v>
      </c>
      <c r="E1" s="7" t="s">
        <v>442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J3" sqref="J3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6640625" bestFit="1" customWidth="1"/>
    <col min="11" max="11" width="30.33203125" bestFit="1" customWidth="1"/>
    <col min="12" max="12" width="35.6640625" customWidth="1"/>
    <col min="13" max="13" width="30.6640625" bestFit="1" customWidth="1"/>
    <col min="14" max="14" width="12.33203125" bestFit="1" customWidth="1"/>
    <col min="15" max="15" width="15.6640625" bestFit="1" customWidth="1"/>
    <col min="16" max="16" width="12.664062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447</v>
      </c>
      <c r="D1" s="7" t="s">
        <v>58</v>
      </c>
      <c r="E1" s="4" t="s">
        <v>448</v>
      </c>
      <c r="F1" s="7" t="s">
        <v>3</v>
      </c>
      <c r="G1" s="7" t="s">
        <v>449</v>
      </c>
      <c r="H1" s="7" t="s">
        <v>4</v>
      </c>
      <c r="I1" s="7" t="s">
        <v>5</v>
      </c>
      <c r="J1" s="7" t="s">
        <v>906</v>
      </c>
      <c r="K1" s="8" t="s">
        <v>907</v>
      </c>
      <c r="L1" s="7" t="s">
        <v>908</v>
      </c>
      <c r="M1" s="8" t="s">
        <v>909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450</v>
      </c>
      <c r="T1" s="4" t="s">
        <v>451</v>
      </c>
      <c r="U1" s="8" t="s">
        <v>452</v>
      </c>
      <c r="V1" s="8" t="s">
        <v>549</v>
      </c>
    </row>
    <row r="2" spans="1:22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62</v>
      </c>
      <c r="K2" s="4" t="str">
        <f>IF($J2="","",INDEX(ColSet!$B:$B,MATCH($J2,ColSet!$A:$A,0)))</f>
        <v>col_set1_1_1</v>
      </c>
      <c r="L2" t="s">
        <v>62</v>
      </c>
      <c r="M2" s="4" t="str">
        <f>IF($L2="","",INDEX(ColSet!$B:$B,MATCH($L2,ColSet!$A:$A,0)))</f>
        <v>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71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64</v>
      </c>
      <c r="K3" s="4" t="str">
        <f>IF($J3="","",INDEX(ColSet!$B:$B,MATCH($J3,ColSet!$A:$A,0)))</f>
        <v>col_set2_1_1</v>
      </c>
      <c r="L3" t="s">
        <v>64</v>
      </c>
      <c r="M3" s="4" t="str">
        <f>IF($L3="","",INDEX(ColSet!$B:$B,MATCH($L3,ColSet!$A:$A,0)))</f>
        <v>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72</v>
      </c>
      <c r="B4" t="s">
        <v>23</v>
      </c>
      <c r="C4" s="4" t="str">
        <f>INDEX(DataCollection!$B:$B,MATCH($B4,DataCollection!$A:$A,0))</f>
        <v>data_collection3</v>
      </c>
      <c r="D4" t="s">
        <v>65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66</v>
      </c>
      <c r="K4" s="4" t="str">
        <f>IF($J4="","",INDEX(ColSet!$B:$B,MATCH($J4,ColSet!$A:$A,0)))</f>
        <v>col_set3_1_1</v>
      </c>
      <c r="L4" t="s">
        <v>66</v>
      </c>
      <c r="M4" s="4" t="str">
        <f>IF($L4="","",INDEX(ColSet!$B:$B,MATCH($L4,ColSet!$A:$A,0)))</f>
        <v>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73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68</v>
      </c>
      <c r="K5" s="4" t="str">
        <f>IF($J5="","",INDEX(ColSet!$B:$B,MATCH($J5,ColSet!$A:$A,0)))</f>
        <v>col_set4_1_1</v>
      </c>
      <c r="L5" t="s">
        <v>68</v>
      </c>
      <c r="M5" s="4" t="str">
        <f>IF($L5="","",INDEX(ColSet!$B:$B,MATCH($L5,ColSet!$A:$A,0)))</f>
        <v>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74</v>
      </c>
      <c r="B6" t="s">
        <v>35</v>
      </c>
      <c r="C6" s="4" t="str">
        <f>INDEX(DataCollection!$B:$B,MATCH($B6,DataCollection!$A:$A,0))</f>
        <v>data_collection5</v>
      </c>
      <c r="D6" t="s">
        <v>69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70</v>
      </c>
      <c r="K6" s="4" t="str">
        <f>IF($J6="","",INDEX(ColSet!$B:$B,MATCH($J6,ColSet!$A:$A,0)))</f>
        <v>col_set5_1_1</v>
      </c>
      <c r="L6" t="s">
        <v>70</v>
      </c>
      <c r="M6" s="4" t="str">
        <f>IF($L6="","",INDEX(ColSet!$B:$B,MATCH($L6,ColSet!$A:$A,0)))</f>
        <v>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75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62</v>
      </c>
      <c r="K7" s="4" t="str">
        <f>IF($J7="","",INDEX(ColSet!$B:$B,MATCH($J7,ColSet!$A:$A,0)))</f>
        <v>col_set1_1_1</v>
      </c>
      <c r="M7" s="4" t="str">
        <f>IF($L7="","",INDEX(ColSet!$B:$B,MATCH($L7,ColSet!$A:$A,0)))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76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64</v>
      </c>
      <c r="K8" s="4" t="str">
        <f>IF($J8="","",INDEX(ColSet!$B:$B,MATCH($J8,ColSet!$A:$A,0)))</f>
        <v>col_set2_1_1</v>
      </c>
      <c r="M8" s="4" t="str">
        <f>IF($L8="","",INDEX(ColSet!$B:$B,MATCH($L8,ColSet!$A:$A,0)))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77</v>
      </c>
      <c r="B9" t="s">
        <v>27</v>
      </c>
      <c r="C9" s="4" t="str">
        <f>INDEX(DataCollection!$B:$B,MATCH($B9,DataCollection!$A:$A,0))</f>
        <v>data_collection8</v>
      </c>
      <c r="D9" t="s">
        <v>65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66</v>
      </c>
      <c r="K9" s="4" t="str">
        <f>IF($J9="","",INDEX(ColSet!$B:$B,MATCH($J9,ColSet!$A:$A,0)))</f>
        <v>col_set3_1_1</v>
      </c>
      <c r="M9" s="4" t="str">
        <f>IF($L9="","",INDEX(ColSet!$B:$B,MATCH($L9,ColSet!$A:$A,0)))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78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68</v>
      </c>
      <c r="K10" s="4" t="str">
        <f>IF($J10="","",INDEX(ColSet!$B:$B,MATCH($J10,ColSet!$A:$A,0)))</f>
        <v>col_set4_1_1</v>
      </c>
      <c r="M10" s="4" t="str">
        <f>IF($L10="","",INDEX(ColSet!$B:$B,MATCH($L10,ColSet!$A:$A,0)))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79</v>
      </c>
      <c r="B11" t="s">
        <v>39</v>
      </c>
      <c r="C11" s="4" t="str">
        <f>INDEX(DataCollection!$B:$B,MATCH($B11,DataCollection!$A:$A,0))</f>
        <v>data_collection10</v>
      </c>
      <c r="D11" t="s">
        <v>69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70</v>
      </c>
      <c r="K11" s="4" t="str">
        <f>IF($J11="","",INDEX(ColSet!$B:$B,MATCH($J11,ColSet!$A:$A,0)))</f>
        <v>col_set5_1_1</v>
      </c>
      <c r="M11" s="4" t="str">
        <f>IF($L11="","",INDEX(ColSet!$B:$B,MATCH($L11,ColSet!$A:$A,0)))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6640625" bestFit="1" customWidth="1"/>
    <col min="10" max="10" width="30.33203125" bestFit="1" customWidth="1"/>
    <col min="11" max="11" width="35.6640625" customWidth="1"/>
    <col min="12" max="12" width="30.6640625" bestFit="1" customWidth="1"/>
    <col min="13" max="13" width="12.33203125" bestFit="1" customWidth="1"/>
    <col min="14" max="14" width="15.6640625" bestFit="1" customWidth="1"/>
    <col min="15" max="15" width="12.664062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664062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447</v>
      </c>
      <c r="D1" s="7" t="s">
        <v>58</v>
      </c>
      <c r="E1" s="4" t="s">
        <v>448</v>
      </c>
      <c r="F1" s="7" t="s">
        <v>3</v>
      </c>
      <c r="G1" s="7" t="s">
        <v>4</v>
      </c>
      <c r="H1" s="7" t="s">
        <v>5</v>
      </c>
      <c r="I1" s="7" t="s">
        <v>906</v>
      </c>
      <c r="J1" s="8" t="s">
        <v>907</v>
      </c>
      <c r="K1" s="7" t="s">
        <v>908</v>
      </c>
      <c r="L1" s="8" t="s">
        <v>909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456</v>
      </c>
      <c r="R1" s="8" t="s">
        <v>457</v>
      </c>
      <c r="S1" s="4" t="s">
        <v>451</v>
      </c>
      <c r="T1" s="8" t="s">
        <v>452</v>
      </c>
      <c r="U1" s="7" t="s">
        <v>1</v>
      </c>
      <c r="V1" s="8" t="s">
        <v>453</v>
      </c>
      <c r="W1" s="15" t="s">
        <v>549</v>
      </c>
    </row>
    <row r="2" spans="1:23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62</v>
      </c>
      <c r="J2" s="4" t="str">
        <f>IF($I2="","",INDEX(ColSet!$B:$B,MATCH($I2,ColSet!$A:$A,0)))</f>
        <v>col_set1_1_1</v>
      </c>
      <c r="K2" t="s">
        <v>62</v>
      </c>
      <c r="L2" s="4" t="str">
        <f>IF($K2="","",INDEX(ColSet!$B:$B,MATCH($K2,ColSet!$A:$A,0)))</f>
        <v>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71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64</v>
      </c>
      <c r="J3" s="4" t="str">
        <f>IF($I3="","",INDEX(ColSet!$B:$B,MATCH($I3,ColSet!$A:$A,0)))</f>
        <v>col_set2_1_1</v>
      </c>
      <c r="K3" t="s">
        <v>64</v>
      </c>
      <c r="L3" s="4" t="str">
        <f>IF($K3="","",INDEX(ColSet!$B:$B,MATCH($K3,ColSet!$A:$A,0)))</f>
        <v>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72</v>
      </c>
      <c r="B4" t="s">
        <v>23</v>
      </c>
      <c r="C4" s="4" t="str">
        <f>INDEX(DataCollection!$B:$B,MATCH($B4,DataCollection!$A:$A,0))</f>
        <v>data_collection3</v>
      </c>
      <c r="D4" t="s">
        <v>65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66</v>
      </c>
      <c r="J4" s="4" t="str">
        <f>IF($I4="","",INDEX(ColSet!$B:$B,MATCH($I4,ColSet!$A:$A,0)))</f>
        <v>col_set3_1_1</v>
      </c>
      <c r="K4" t="s">
        <v>66</v>
      </c>
      <c r="L4" s="4" t="str">
        <f>IF($K4="","",INDEX(ColSet!$B:$B,MATCH($K4,ColSet!$A:$A,0)))</f>
        <v>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73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68</v>
      </c>
      <c r="J5" s="4" t="str">
        <f>IF($I5="","",INDEX(ColSet!$B:$B,MATCH($I5,ColSet!$A:$A,0)))</f>
        <v>col_set4_1_1</v>
      </c>
      <c r="K5" t="s">
        <v>68</v>
      </c>
      <c r="L5" s="4" t="str">
        <f>IF($K5="","",INDEX(ColSet!$B:$B,MATCH($K5,ColSet!$A:$A,0)))</f>
        <v>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74</v>
      </c>
      <c r="B6" t="s">
        <v>35</v>
      </c>
      <c r="C6" s="4" t="str">
        <f>INDEX(DataCollection!$B:$B,MATCH($B6,DataCollection!$A:$A,0))</f>
        <v>data_collection5</v>
      </c>
      <c r="D6" t="s">
        <v>69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70</v>
      </c>
      <c r="J6" s="4" t="str">
        <f>IF($I6="","",INDEX(ColSet!$B:$B,MATCH($I6,ColSet!$A:$A,0)))</f>
        <v>col_set5_1_1</v>
      </c>
      <c r="K6" t="s">
        <v>70</v>
      </c>
      <c r="L6" s="4" t="str">
        <f>IF($K6="","",INDEX(ColSet!$B:$B,MATCH($K6,ColSet!$A:$A,0)))</f>
        <v>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75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62</v>
      </c>
      <c r="J7" s="4" t="str">
        <f>IF($I7="","",INDEX(ColSet!$B:$B,MATCH($I7,ColSet!$A:$A,0)))</f>
        <v>col_set1_1_1</v>
      </c>
      <c r="K7" t="s">
        <v>62</v>
      </c>
      <c r="L7" s="4" t="str">
        <f>IF($K7="","",INDEX(ColSet!$B:$B,MATCH($K7,ColSet!$A:$A,0)))</f>
        <v>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76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64</v>
      </c>
      <c r="J8" s="4" t="str">
        <f>IF($I8="","",INDEX(ColSet!$B:$B,MATCH($I8,ColSet!$A:$A,0)))</f>
        <v>col_set2_1_1</v>
      </c>
      <c r="K8" t="s">
        <v>64</v>
      </c>
      <c r="L8" s="4" t="str">
        <f>IF($K8="","",INDEX(ColSet!$B:$B,MATCH($K8,ColSet!$A:$A,0)))</f>
        <v>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77</v>
      </c>
      <c r="B9" t="s">
        <v>27</v>
      </c>
      <c r="C9" s="4" t="str">
        <f>INDEX(DataCollection!$B:$B,MATCH($B9,DataCollection!$A:$A,0))</f>
        <v>data_collection8</v>
      </c>
      <c r="D9" t="s">
        <v>65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66</v>
      </c>
      <c r="J9" s="4" t="str">
        <f>IF($I9="","",INDEX(ColSet!$B:$B,MATCH($I9,ColSet!$A:$A,0)))</f>
        <v>col_set3_1_1</v>
      </c>
      <c r="K9" t="s">
        <v>66</v>
      </c>
      <c r="L9" s="4" t="str">
        <f>IF($K9="","",INDEX(ColSet!$B:$B,MATCH($K9,ColSet!$A:$A,0)))</f>
        <v>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78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68</v>
      </c>
      <c r="J10" s="4" t="str">
        <f>IF($I10="","",INDEX(ColSet!$B:$B,MATCH($I10,ColSet!$A:$A,0)))</f>
        <v>col_set4_1_1</v>
      </c>
      <c r="K10" t="s">
        <v>68</v>
      </c>
      <c r="L10" s="4" t="str">
        <f>IF($K10="","",INDEX(ColSet!$B:$B,MATCH($K10,ColSet!$A:$A,0)))</f>
        <v>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79</v>
      </c>
      <c r="B11" t="s">
        <v>39</v>
      </c>
      <c r="C11" s="4" t="str">
        <f>INDEX(DataCollection!$B:$B,MATCH($B11,DataCollection!$A:$A,0))</f>
        <v>data_collection10</v>
      </c>
      <c r="D11" t="s">
        <v>69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70</v>
      </c>
      <c r="J11" s="4" t="str">
        <f>IF($I11="","",INDEX(ColSet!$B:$B,MATCH($I11,ColSet!$A:$A,0)))</f>
        <v>col_set5_1_1</v>
      </c>
      <c r="K11" t="s">
        <v>70</v>
      </c>
      <c r="L11" s="4" t="str">
        <f>IF($K11="","",INDEX(ColSet!$B:$B,MATCH($K11,ColSet!$A:$A,0)))</f>
        <v>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447</v>
      </c>
      <c r="D1" t="s">
        <v>58</v>
      </c>
      <c r="E1" s="3" t="s">
        <v>448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383</v>
      </c>
      <c r="L1" s="3" t="s">
        <v>454</v>
      </c>
      <c r="M1" s="6" t="s">
        <v>456</v>
      </c>
      <c r="N1" s="3" t="s">
        <v>457</v>
      </c>
      <c r="O1" s="7" t="s">
        <v>1</v>
      </c>
      <c r="P1" s="8" t="s">
        <v>453</v>
      </c>
    </row>
    <row r="2" spans="1:16" x14ac:dyDescent="0.3">
      <c r="A2" t="s">
        <v>455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664062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447</v>
      </c>
      <c r="D1" t="s">
        <v>58</v>
      </c>
      <c r="E1" s="3" t="s">
        <v>448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383</v>
      </c>
      <c r="L1" s="3" t="s">
        <v>454</v>
      </c>
      <c r="M1" t="s">
        <v>41</v>
      </c>
      <c r="N1" s="3" t="s">
        <v>450</v>
      </c>
    </row>
    <row r="2" spans="1:14" x14ac:dyDescent="0.3">
      <c r="A2" t="s">
        <v>455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Organization</vt:lpstr>
      <vt:lpstr>DataCollection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Dim</vt:lpstr>
      <vt:lpstr>Col</vt:lpstr>
      <vt:lpstr>CaseCrudCommand</vt:lpstr>
      <vt:lpstr>ColSet</vt:lpstr>
      <vt:lpstr>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2026-03-14T08:45:15Z</dcterms:modified>
</cp:coreProperties>
</file>