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46C9948B-3BC4-47F4-B53C-6DB869600E45}" xr6:coauthVersionLast="47" xr6:coauthVersionMax="47" xr10:uidLastSave="{00000000-0000-0000-0000-000000000000}"/>
  <bookViews>
    <workbookView xWindow="2508" yWindow="2508" windowWidth="30960" windowHeight="12120" tabRatio="913" activeTab="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3" i="24" l="1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J33" i="24" s="1"/>
  <c r="N33" i="24"/>
  <c r="Q33" i="24" s="1" a="1"/>
  <c r="Q33" i="24" s="1"/>
  <c r="H34" i="24"/>
  <c r="J34" i="24" s="1"/>
  <c r="N34" i="24"/>
  <c r="H35" i="24"/>
  <c r="J35" i="24" s="1"/>
  <c r="N35" i="24"/>
  <c r="AG35" i="24" s="1" a="1"/>
  <c r="AG35" i="24" s="1"/>
  <c r="O35" i="24" a="1"/>
  <c r="O35" i="24" s="1"/>
  <c r="H36" i="24"/>
  <c r="J36" i="24" s="1"/>
  <c r="I36" i="24"/>
  <c r="N36" i="24"/>
  <c r="AF36" i="24" s="1" a="1"/>
  <c r="AF36" i="24" s="1"/>
  <c r="O36" i="24" a="1"/>
  <c r="O36" i="24" s="1"/>
  <c r="P36" i="24" a="1"/>
  <c r="P36" i="24" s="1"/>
  <c r="H37" i="24"/>
  <c r="J37" i="24" s="1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J38" i="24" s="1"/>
  <c r="N38" i="24"/>
  <c r="H39" i="24"/>
  <c r="J39" i="24" s="1"/>
  <c r="N39" i="24"/>
  <c r="P39" i="24" s="1" a="1"/>
  <c r="P39" i="24" s="1"/>
  <c r="H40" i="24"/>
  <c r="J40" i="24" s="1"/>
  <c r="N40" i="24"/>
  <c r="P40" i="24" s="1" a="1"/>
  <c r="P40" i="24" s="1"/>
  <c r="O40" i="24" a="1"/>
  <c r="O40" i="24" s="1"/>
  <c r="Q40" i="24" a="1"/>
  <c r="Q40" i="24" s="1"/>
  <c r="H41" i="24"/>
  <c r="J41" i="24" s="1"/>
  <c r="N41" i="24"/>
  <c r="P41" i="24" s="1" a="1"/>
  <c r="P41" i="24" s="1"/>
  <c r="H42" i="24"/>
  <c r="J42" i="24" s="1"/>
  <c r="N42" i="24"/>
  <c r="H43" i="24"/>
  <c r="J43" i="24" s="1"/>
  <c r="N43" i="24"/>
  <c r="P43" i="24" s="1" a="1"/>
  <c r="P43" i="24" s="1"/>
  <c r="O43" i="24" a="1"/>
  <c r="O43" i="24" s="1"/>
  <c r="Q43" i="24" a="1"/>
  <c r="Q43" i="24" s="1"/>
  <c r="H44" i="24"/>
  <c r="J44" i="24" s="1"/>
  <c r="N44" i="24"/>
  <c r="P44" i="24" s="1" a="1"/>
  <c r="P44" i="24" s="1"/>
  <c r="H45" i="24"/>
  <c r="J45" i="24" s="1"/>
  <c r="N45" i="24"/>
  <c r="P45" i="24" s="1" a="1"/>
  <c r="P45" i="24" s="1"/>
  <c r="O45" i="24" a="1"/>
  <c r="O45" i="24" s="1"/>
  <c r="Q45" i="24" a="1"/>
  <c r="Q45" i="24" s="1"/>
  <c r="H46" i="24"/>
  <c r="J46" i="24"/>
  <c r="N46" i="24"/>
  <c r="H47" i="24"/>
  <c r="I47" i="24"/>
  <c r="J47" i="24"/>
  <c r="N47" i="24"/>
  <c r="P47" i="24" s="1" a="1"/>
  <c r="P47" i="24" s="1"/>
  <c r="O47" i="24" a="1"/>
  <c r="O47" i="24" s="1"/>
  <c r="Q47" i="24" a="1"/>
  <c r="Q47" i="24" s="1"/>
  <c r="H48" i="24"/>
  <c r="J48" i="24" s="1"/>
  <c r="I48" i="24"/>
  <c r="N48" i="24"/>
  <c r="P48" i="24" s="1" a="1"/>
  <c r="P48" i="24" s="1"/>
  <c r="O48" i="24" a="1"/>
  <c r="O48" i="24" s="1"/>
  <c r="H49" i="24"/>
  <c r="J49" i="24"/>
  <c r="N49" i="24"/>
  <c r="P49" i="24" s="1" a="1"/>
  <c r="P49" i="24" s="1"/>
  <c r="O49" i="24" a="1"/>
  <c r="O49" i="24" s="1"/>
  <c r="Q49" i="24" a="1"/>
  <c r="Q49" i="24" s="1"/>
  <c r="H50" i="24"/>
  <c r="J50" i="24" s="1"/>
  <c r="I50" i="24"/>
  <c r="N50" i="24"/>
  <c r="H51" i="24"/>
  <c r="J51" i="24" s="1"/>
  <c r="N51" i="24"/>
  <c r="P51" i="24" s="1" a="1"/>
  <c r="P51" i="24" s="1"/>
  <c r="Q51" i="24" a="1"/>
  <c r="Q51" i="24" s="1"/>
  <c r="H52" i="24"/>
  <c r="J52" i="24" s="1"/>
  <c r="N52" i="24"/>
  <c r="P52" i="24" s="1" a="1"/>
  <c r="P52" i="24" s="1"/>
  <c r="H53" i="24"/>
  <c r="J53" i="24" s="1"/>
  <c r="N53" i="24"/>
  <c r="P53" i="24" s="1" a="1"/>
  <c r="P53" i="24" s="1"/>
  <c r="O53" i="24" a="1"/>
  <c r="O53" i="24" s="1"/>
  <c r="Q53" i="24" a="1"/>
  <c r="Q53" i="24" s="1"/>
  <c r="H54" i="24"/>
  <c r="I54" i="24"/>
  <c r="J54" i="24"/>
  <c r="N54" i="24"/>
  <c r="H55" i="24"/>
  <c r="J55" i="24"/>
  <c r="N55" i="24"/>
  <c r="H56" i="24"/>
  <c r="J56" i="24"/>
  <c r="K56" i="24" s="1" a="1"/>
  <c r="K56" i="24" s="1"/>
  <c r="L56" i="24" a="1"/>
  <c r="L56" i="24" s="1"/>
  <c r="N56" i="24"/>
  <c r="P56" i="24" s="1" a="1"/>
  <c r="P56" i="24" s="1"/>
  <c r="O56" i="24" a="1"/>
  <c r="O56" i="24" s="1"/>
  <c r="Q56" i="24" a="1"/>
  <c r="Q56" i="24" s="1"/>
  <c r="H57" i="24"/>
  <c r="I57" i="24"/>
  <c r="J57" i="24"/>
  <c r="N57" i="24"/>
  <c r="P57" i="24" s="1" a="1"/>
  <c r="P57" i="24" s="1"/>
  <c r="H58" i="24"/>
  <c r="J58" i="24" s="1"/>
  <c r="N58" i="24"/>
  <c r="Q58" i="24" s="1" a="1"/>
  <c r="Q58" i="24" s="1"/>
  <c r="H59" i="24"/>
  <c r="J59" i="24" s="1"/>
  <c r="I59" i="24"/>
  <c r="N59" i="24"/>
  <c r="P59" i="24" s="1" a="1"/>
  <c r="P59" i="24" s="1"/>
  <c r="Q59" i="24" a="1"/>
  <c r="Q59" i="24" s="1"/>
  <c r="H60" i="24"/>
  <c r="J60" i="24" s="1"/>
  <c r="N60" i="24"/>
  <c r="H61" i="24"/>
  <c r="J61" i="24" s="1"/>
  <c r="N61" i="24"/>
  <c r="P61" i="24" s="1" a="1"/>
  <c r="P61" i="24" s="1"/>
  <c r="O61" i="24" a="1"/>
  <c r="O61" i="24" s="1"/>
  <c r="H62" i="24"/>
  <c r="J62" i="24"/>
  <c r="N62" i="24"/>
  <c r="AF62" i="24" s="1" a="1"/>
  <c r="AF62" i="24" s="1"/>
  <c r="P62" i="24" a="1"/>
  <c r="P62" i="24" s="1"/>
  <c r="H63" i="24"/>
  <c r="J63" i="24" s="1"/>
  <c r="N63" i="24"/>
  <c r="AG63" i="24" s="1" a="1"/>
  <c r="AG63" i="24" s="1"/>
  <c r="P63" i="24" a="1"/>
  <c r="P63" i="24" s="1"/>
  <c r="H64" i="24"/>
  <c r="J64" i="24" s="1"/>
  <c r="I64" i="24"/>
  <c r="N64" i="24"/>
  <c r="H65" i="24"/>
  <c r="J65" i="24" s="1"/>
  <c r="I65" i="24"/>
  <c r="N65" i="24"/>
  <c r="AF65" i="24" s="1" a="1"/>
  <c r="AF65" i="24" s="1"/>
  <c r="H66" i="24"/>
  <c r="J66" i="24" s="1"/>
  <c r="I66" i="24"/>
  <c r="N66" i="24"/>
  <c r="AF66" i="24" s="1" a="1"/>
  <c r="AF66" i="24" s="1"/>
  <c r="H67" i="24"/>
  <c r="J67" i="24" s="1"/>
  <c r="N67" i="24"/>
  <c r="AF67" i="24" s="1" a="1"/>
  <c r="AF67" i="24" s="1"/>
  <c r="H68" i="24"/>
  <c r="J68" i="24" s="1"/>
  <c r="I68" i="24"/>
  <c r="N68" i="24"/>
  <c r="H69" i="24"/>
  <c r="J69" i="24" s="1"/>
  <c r="AD69" i="24" s="1" a="1"/>
  <c r="AD69" i="24" s="1"/>
  <c r="I69" i="24"/>
  <c r="N69" i="24"/>
  <c r="P69" i="24" s="1" a="1"/>
  <c r="P69" i="24" s="1"/>
  <c r="H70" i="24"/>
  <c r="J70" i="24" s="1"/>
  <c r="N70" i="24"/>
  <c r="AG70" i="24" s="1" a="1"/>
  <c r="AG70" i="24" s="1"/>
  <c r="H71" i="24"/>
  <c r="J71" i="24" s="1"/>
  <c r="AD71" i="24" s="1" a="1"/>
  <c r="AD71" i="24" s="1"/>
  <c r="I71" i="24"/>
  <c r="N71" i="24"/>
  <c r="AF71" i="24" s="1" a="1"/>
  <c r="AF71" i="24" s="1"/>
  <c r="H72" i="24"/>
  <c r="J72" i="24" s="1"/>
  <c r="I72" i="24"/>
  <c r="N72" i="24"/>
  <c r="H73" i="24"/>
  <c r="J73" i="24"/>
  <c r="N73" i="24"/>
  <c r="AF73" i="24" s="1" a="1"/>
  <c r="AF73" i="24" s="1"/>
  <c r="H74" i="24"/>
  <c r="J74" i="24" s="1"/>
  <c r="N74" i="24"/>
  <c r="AG74" i="24" s="1" a="1"/>
  <c r="AG74" i="24" s="1"/>
  <c r="O74" i="24" a="1"/>
  <c r="O74" i="24" s="1"/>
  <c r="H75" i="24"/>
  <c r="J75" i="24" s="1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M11" i="15" s="1"/>
  <c r="I15" i="24" s="1"/>
  <c r="I12" i="15"/>
  <c r="M12" i="15" s="1"/>
  <c r="I16" i="24" s="1"/>
  <c r="I13" i="15"/>
  <c r="M13" i="15" s="1"/>
  <c r="I17" i="24" s="1"/>
  <c r="I14" i="15"/>
  <c r="M14" i="15" s="1"/>
  <c r="I18" i="24" s="1"/>
  <c r="I15" i="15"/>
  <c r="M15" i="15" s="1"/>
  <c r="I19" i="24" s="1"/>
  <c r="I16" i="15"/>
  <c r="M16" i="15" s="1"/>
  <c r="I20" i="24" s="1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M27" i="15" s="1"/>
  <c r="I31" i="24" s="1"/>
  <c r="I28" i="15"/>
  <c r="M28" i="15" s="1"/>
  <c r="I32" i="24" s="1"/>
  <c r="I29" i="15"/>
  <c r="M29" i="15" s="1"/>
  <c r="I33" i="24" s="1"/>
  <c r="I2" i="15"/>
  <c r="M2" i="15" s="1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O72" i="24" a="1"/>
  <c r="K73" i="24" a="1"/>
  <c r="AE47" i="24" a="1"/>
  <c r="L34" i="24" a="1"/>
  <c r="AM54" i="24" a="1"/>
  <c r="AE45" i="24" a="1"/>
  <c r="L37" i="24" a="1"/>
  <c r="AT34" i="24" a="1"/>
  <c r="AE63" i="24" a="1"/>
  <c r="AM34" i="24" a="1"/>
  <c r="AE50" i="24" a="1"/>
  <c r="Q38" i="24" a="1"/>
  <c r="Q54" i="24" a="1"/>
  <c r="AD65" i="24" a="1"/>
  <c r="M49" i="24" a="1"/>
  <c r="AG54" i="24" a="1"/>
  <c r="AS54" i="24" a="1"/>
  <c r="AD61" i="24" a="1"/>
  <c r="AD48" i="24" a="1"/>
  <c r="AD54" i="24" a="1"/>
  <c r="AE39" i="24" a="1"/>
  <c r="AG46" i="24" a="1"/>
  <c r="AE64" i="24" a="1"/>
  <c r="AF72" i="24" a="1"/>
  <c r="AD51" i="24" a="1"/>
  <c r="AD53" i="24" a="1"/>
  <c r="AL55" i="24" a="1"/>
  <c r="AE40" i="24" a="1"/>
  <c r="AF68" i="24" a="1"/>
  <c r="AD43" i="24" a="1"/>
  <c r="AF50" i="24" a="1"/>
  <c r="AG50" i="24" a="1"/>
  <c r="AD39" i="24" a="1"/>
  <c r="AR57" i="24" a="1"/>
  <c r="K39" i="24" a="1"/>
  <c r="Q34" i="24" a="1"/>
  <c r="K48" i="24" a="1"/>
  <c r="AF42" i="24" a="1"/>
  <c r="M54" i="24" a="1"/>
  <c r="L35" i="24" a="1"/>
  <c r="AD66" i="24" a="1"/>
  <c r="AE42" i="24" a="1"/>
  <c r="AE57" i="24" a="1"/>
  <c r="L46" i="24" a="1"/>
  <c r="AD63" i="24" a="1"/>
  <c r="AE52" i="24" a="1"/>
  <c r="AK34" i="24" a="1"/>
  <c r="AU55" i="24" a="1"/>
  <c r="L38" i="24" a="1"/>
  <c r="AG68" i="24" a="1"/>
  <c r="M52" i="24" a="1"/>
  <c r="AD41" i="24" a="1"/>
  <c r="L40" i="24" a="1"/>
  <c r="Q60" i="24" a="1"/>
  <c r="AD40" i="24" a="1"/>
  <c r="AD59" i="24" a="1"/>
  <c r="AD50" i="24" a="1"/>
  <c r="O60" i="24" a="1"/>
  <c r="AE37" i="24" a="1"/>
  <c r="AN55" i="24" a="1"/>
  <c r="K41" i="24" a="1"/>
  <c r="M35" i="24" a="1"/>
  <c r="M34" i="24" a="1"/>
  <c r="L43" i="24" a="1"/>
  <c r="K42" i="24" a="1"/>
  <c r="AD72" i="24" a="1"/>
  <c r="AE36" i="24" a="1"/>
  <c r="AD55" i="24" a="1"/>
  <c r="K60" i="24" a="1"/>
  <c r="L50" i="24" a="1"/>
  <c r="K49" i="24" a="1"/>
  <c r="AK55" i="24" a="1"/>
  <c r="L52" i="24" a="1"/>
  <c r="AD47" i="24" a="1"/>
  <c r="L60" i="24" a="1"/>
  <c r="AD45" i="24" a="1"/>
  <c r="M38" i="24" a="1"/>
  <c r="M61" i="24" a="1"/>
  <c r="L57" i="24" a="1"/>
  <c r="AE67" i="24" a="1"/>
  <c r="AG60" i="24" a="1"/>
  <c r="M60" i="24" a="1"/>
  <c r="AF38" i="24" a="1"/>
  <c r="AE46" i="24" a="1"/>
  <c r="AE34" i="24" a="1"/>
  <c r="AE55" i="24" a="1"/>
  <c r="AF34" i="24" a="1"/>
  <c r="AD57" i="24" a="1"/>
  <c r="AR54" i="24" a="1"/>
  <c r="AF60" i="24" a="1"/>
  <c r="L36" i="24" a="1"/>
  <c r="AS57" i="24" a="1"/>
  <c r="AF64" i="24" a="1"/>
  <c r="AD49" i="24" a="1"/>
  <c r="AF46" i="24" a="1"/>
  <c r="AS55" i="24" a="1"/>
  <c r="AD42" i="24" a="1"/>
  <c r="AS34" i="24" a="1"/>
  <c r="AD52" i="24" a="1"/>
  <c r="AG64" i="24" a="1"/>
  <c r="L42" i="24" a="1"/>
  <c r="K37" i="24" a="1"/>
  <c r="K40" i="24" a="1"/>
  <c r="AD34" i="24" a="1"/>
  <c r="AE51" i="24" a="1"/>
  <c r="AF55" i="24" a="1"/>
  <c r="AN34" i="24" a="1"/>
  <c r="AE38" i="24" a="1"/>
  <c r="AG42" i="24" a="1"/>
  <c r="AD60" i="24" a="1"/>
  <c r="L61" i="24" a="1"/>
  <c r="AR34" i="24" a="1"/>
  <c r="M37" i="24" a="1"/>
  <c r="L44" i="24" a="1"/>
  <c r="AD68" i="24" a="1"/>
  <c r="M73" i="24" a="1"/>
  <c r="AE61" i="24" a="1"/>
  <c r="AS59" i="24" a="1"/>
  <c r="AE66" i="24" a="1"/>
  <c r="L39" i="24" a="1"/>
  <c r="AG38" i="24" a="1"/>
  <c r="AE54" i="24" a="1"/>
  <c r="AE53" i="24" a="1"/>
  <c r="K43" i="24" a="1"/>
  <c r="AE73" i="24" a="1"/>
  <c r="AE68" i="24" a="1"/>
  <c r="AG72" i="24" a="1"/>
  <c r="AD67" i="24" a="1"/>
  <c r="M39" i="24" a="1"/>
  <c r="M46" i="24" a="1"/>
  <c r="M41" i="24" a="1"/>
  <c r="O42" i="24" a="1"/>
  <c r="O38" i="24" a="1"/>
  <c r="AE35" i="24" a="1"/>
  <c r="M36" i="24" a="1"/>
  <c r="L54" i="24" a="1"/>
  <c r="AE72" i="24" a="1"/>
  <c r="AU54" i="24" a="1"/>
  <c r="Q42" i="24" a="1"/>
  <c r="K35" i="24" a="1"/>
  <c r="K34" i="24" a="1"/>
  <c r="P42" i="24" a="1"/>
  <c r="M47" i="24" a="1"/>
  <c r="L45" i="24" a="1"/>
  <c r="P46" i="24" a="1"/>
  <c r="P38" i="24" a="1"/>
  <c r="AF54" i="24" a="1"/>
  <c r="AE70" i="24" a="1"/>
  <c r="AL34" i="24" a="1"/>
  <c r="K47" i="24" a="1"/>
  <c r="AN54" i="24" a="1"/>
  <c r="M53" i="24" a="1"/>
  <c r="AD46" i="24" a="1"/>
  <c r="K38" i="24" a="1"/>
  <c r="L48" i="24" a="1"/>
  <c r="K57" i="24" a="1"/>
  <c r="Q46" i="24" a="1"/>
  <c r="L62" i="24" a="1"/>
  <c r="L41" i="24" a="1"/>
  <c r="K36" i="24" a="1"/>
  <c r="K52" i="24" a="1"/>
  <c r="L53" i="24" a="1"/>
  <c r="P60" i="24" a="1"/>
  <c r="AR55" i="24" a="1"/>
  <c r="K61" i="24" a="1"/>
  <c r="M51" i="24" a="1"/>
  <c r="L70" i="24" a="1"/>
  <c r="P68" i="24" a="1"/>
  <c r="AD35" i="24" a="1"/>
  <c r="L72" i="24" a="1"/>
  <c r="M57" i="24" a="1"/>
  <c r="AD73" i="24" a="1"/>
  <c r="AT54" i="24" a="1"/>
  <c r="Q55" i="24" a="1"/>
  <c r="P34" i="24" a="1"/>
  <c r="O55" i="24" a="1"/>
  <c r="AD44" i="24" a="1"/>
  <c r="AE62" i="24" a="1"/>
  <c r="P50" i="24" a="1"/>
  <c r="AD37" i="24" a="1"/>
  <c r="AE65" i="24" a="1"/>
  <c r="AE41" i="24" a="1"/>
  <c r="AE60" i="24" a="1"/>
  <c r="AU34" i="24" a="1"/>
  <c r="K54" i="24" a="1"/>
  <c r="AE48" i="24" a="1"/>
  <c r="AD62" i="24" a="1"/>
  <c r="AL54" i="24" a="1"/>
  <c r="AE44" i="24" a="1"/>
  <c r="AD70" i="24" a="1"/>
  <c r="M48" i="24" a="1"/>
  <c r="AR59" i="24" a="1"/>
  <c r="O34" i="24" a="1"/>
  <c r="M50" i="24" a="1"/>
  <c r="AT55" i="24" a="1"/>
  <c r="AM55" i="24" a="1"/>
  <c r="L49" i="24" a="1"/>
  <c r="K62" i="24" a="1"/>
  <c r="P64" i="24" a="1"/>
  <c r="L73" i="24" a="1"/>
  <c r="K45" i="24" a="1"/>
  <c r="M40" i="24" a="1"/>
  <c r="P55" i="24" a="1"/>
  <c r="Q50" i="24" a="1"/>
  <c r="M55" i="24" a="1"/>
  <c r="AD64" i="24" a="1"/>
  <c r="AE43" i="24" a="1"/>
  <c r="AK54" i="24" a="1"/>
  <c r="K51" i="24" a="1"/>
  <c r="AG34" i="24" a="1"/>
  <c r="AE59" i="24" a="1"/>
  <c r="AD38" i="24" a="1"/>
  <c r="AG55" i="24" a="1"/>
  <c r="L63" i="24" a="1"/>
  <c r="K53" i="24" a="1"/>
  <c r="AE49" i="24" a="1"/>
  <c r="AD36" i="24" a="1"/>
  <c r="I70" i="24" l="1"/>
  <c r="I46" i="24"/>
  <c r="I53" i="24"/>
  <c r="I39" i="24"/>
  <c r="I75" i="24"/>
  <c r="M25" i="15"/>
  <c r="M9" i="15"/>
  <c r="I13" i="24" s="1"/>
  <c r="I38" i="24"/>
  <c r="I35" i="24"/>
  <c r="AE69" i="24" a="1"/>
  <c r="AE69" i="24" s="1"/>
  <c r="AD56" i="24" a="1"/>
  <c r="AD56" i="24" s="1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S57" i="24"/>
  <c r="AR55" i="24"/>
  <c r="AR59" i="24"/>
  <c r="AT55" i="24"/>
  <c r="AT54" i="24"/>
  <c r="AR54" i="24"/>
  <c r="AT34" i="24"/>
  <c r="AR34" i="24"/>
  <c r="AS59" i="24"/>
  <c r="AR57" i="24"/>
  <c r="AU55" i="24"/>
  <c r="AS55" i="24"/>
  <c r="AU54" i="24"/>
  <c r="AS54" i="24"/>
  <c r="AU34" i="24"/>
  <c r="AS34" i="24"/>
  <c r="AK55" i="24"/>
  <c r="AM54" i="24"/>
  <c r="AK54" i="24"/>
  <c r="AM34" i="24"/>
  <c r="AK34" i="24"/>
  <c r="AN55" i="24"/>
  <c r="AL55" i="24"/>
  <c r="AM55" i="24"/>
  <c r="AN54" i="24"/>
  <c r="AL54" i="24"/>
  <c r="AN34" i="24"/>
  <c r="AL34" i="24"/>
  <c r="AF55" i="24"/>
  <c r="AD47" i="24"/>
  <c r="AG72" i="24"/>
  <c r="AE72" i="24"/>
  <c r="AD70" i="24"/>
  <c r="AG68" i="24"/>
  <c r="AE68" i="24"/>
  <c r="AD66" i="24"/>
  <c r="AG64" i="24"/>
  <c r="AE64" i="24"/>
  <c r="AD62" i="24"/>
  <c r="AG60" i="24"/>
  <c r="AE60" i="24"/>
  <c r="AF54" i="24"/>
  <c r="AD54" i="24"/>
  <c r="AE52" i="24"/>
  <c r="AF50" i="24"/>
  <c r="AD50" i="24"/>
  <c r="AE48" i="24"/>
  <c r="AF46" i="24"/>
  <c r="AD46" i="24"/>
  <c r="AE44" i="24"/>
  <c r="AF42" i="24"/>
  <c r="AD42" i="24"/>
  <c r="AE40" i="24"/>
  <c r="AF38" i="24"/>
  <c r="AD38" i="24"/>
  <c r="AE36" i="24"/>
  <c r="AF34" i="24"/>
  <c r="AD34" i="24"/>
  <c r="AE73" i="24"/>
  <c r="AD67" i="24"/>
  <c r="AE65" i="24"/>
  <c r="AD63" i="24"/>
  <c r="AE61" i="24"/>
  <c r="AD59" i="24"/>
  <c r="AE57" i="24"/>
  <c r="AD55" i="24"/>
  <c r="AE53" i="24"/>
  <c r="AD51" i="24"/>
  <c r="AE49" i="24"/>
  <c r="AE45" i="24"/>
  <c r="AE41" i="24"/>
  <c r="AD35" i="24"/>
  <c r="AD73" i="24"/>
  <c r="AE67" i="24"/>
  <c r="AD65" i="24"/>
  <c r="AE63" i="24"/>
  <c r="AD61" i="24"/>
  <c r="AE59" i="24"/>
  <c r="AD57" i="24"/>
  <c r="AG55" i="24"/>
  <c r="AE55" i="24"/>
  <c r="AD53" i="24"/>
  <c r="AE51" i="24"/>
  <c r="AD49" i="24"/>
  <c r="AE47" i="24"/>
  <c r="AD45" i="24"/>
  <c r="AE43" i="24"/>
  <c r="AD41" i="24"/>
  <c r="AE39" i="24"/>
  <c r="AD37" i="24"/>
  <c r="AE35" i="24"/>
  <c r="AD43" i="24"/>
  <c r="AD39" i="24"/>
  <c r="AE37" i="24"/>
  <c r="AF72" i="24"/>
  <c r="AD72" i="24"/>
  <c r="AE70" i="24"/>
  <c r="AF68" i="24"/>
  <c r="AD68" i="24"/>
  <c r="AE66" i="24"/>
  <c r="AF64" i="24"/>
  <c r="AD64" i="24"/>
  <c r="AE62" i="24"/>
  <c r="AF60" i="24"/>
  <c r="AD60" i="24"/>
  <c r="AG54" i="24"/>
  <c r="AE54" i="24"/>
  <c r="AD52" i="24"/>
  <c r="AG50" i="24"/>
  <c r="AE50" i="24"/>
  <c r="AD48" i="24"/>
  <c r="AG46" i="24"/>
  <c r="AE46" i="24"/>
  <c r="AD44" i="24"/>
  <c r="AG42" i="24"/>
  <c r="AE42" i="24"/>
  <c r="AD40" i="24"/>
  <c r="AG38" i="24"/>
  <c r="AE38" i="24"/>
  <c r="AD36" i="24"/>
  <c r="AG34" i="24"/>
  <c r="AE34" i="24"/>
  <c r="L70" i="24"/>
  <c r="P68" i="24"/>
  <c r="K62" i="24"/>
  <c r="M55" i="24"/>
  <c r="L73" i="24"/>
  <c r="L72" i="24"/>
  <c r="Q54" i="24"/>
  <c r="O60" i="24"/>
  <c r="K60" i="24"/>
  <c r="L57" i="24"/>
  <c r="L54" i="24"/>
  <c r="K52" i="24"/>
  <c r="K43" i="24"/>
  <c r="K42" i="24"/>
  <c r="M73" i="24"/>
  <c r="K73" i="24"/>
  <c r="O72" i="24"/>
  <c r="L63" i="24"/>
  <c r="L61" i="24"/>
  <c r="K57" i="24"/>
  <c r="P64" i="24"/>
  <c r="L62" i="24"/>
  <c r="K61" i="24"/>
  <c r="K51" i="24"/>
  <c r="L50" i="24"/>
  <c r="K48" i="24"/>
  <c r="L60" i="24"/>
  <c r="O55" i="24"/>
  <c r="K54" i="24"/>
  <c r="K47" i="24"/>
  <c r="L46" i="24"/>
  <c r="L53" i="24"/>
  <c r="M51" i="24"/>
  <c r="Q50" i="24"/>
  <c r="P50" i="24"/>
  <c r="L49" i="24"/>
  <c r="M47" i="24"/>
  <c r="Q46" i="24"/>
  <c r="P46" i="24"/>
  <c r="K45" i="24"/>
  <c r="L44" i="24"/>
  <c r="K41" i="24"/>
  <c r="K39" i="24"/>
  <c r="K38" i="24"/>
  <c r="L37" i="24"/>
  <c r="M35" i="24"/>
  <c r="M34" i="24"/>
  <c r="M54" i="24"/>
  <c r="K53" i="24"/>
  <c r="L52" i="24"/>
  <c r="M50" i="24"/>
  <c r="K49" i="24"/>
  <c r="L48" i="24"/>
  <c r="M46" i="24"/>
  <c r="L45" i="24"/>
  <c r="O42" i="24"/>
  <c r="L41" i="24"/>
  <c r="M40" i="24"/>
  <c r="L39" i="24"/>
  <c r="L38" i="24"/>
  <c r="M36" i="24"/>
  <c r="K35" i="24"/>
  <c r="K34" i="24"/>
  <c r="M61" i="24"/>
  <c r="Q60" i="24"/>
  <c r="P60" i="24"/>
  <c r="M57" i="24"/>
  <c r="M53" i="24"/>
  <c r="M49" i="24"/>
  <c r="P42" i="24"/>
  <c r="L42" i="24"/>
  <c r="M41" i="24"/>
  <c r="K40" i="24"/>
  <c r="P38" i="24"/>
  <c r="M37" i="24"/>
  <c r="K36" i="24"/>
  <c r="L35" i="24"/>
  <c r="L34" i="24"/>
  <c r="M60" i="24"/>
  <c r="Q55" i="24"/>
  <c r="P55" i="24"/>
  <c r="M52" i="24"/>
  <c r="M48" i="24"/>
  <c r="L43" i="24"/>
  <c r="Q42" i="24"/>
  <c r="L40" i="24"/>
  <c r="M39" i="24"/>
  <c r="M38" i="24"/>
  <c r="K37" i="24"/>
  <c r="L36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E3" i="24" a="1"/>
  <c r="AD8" i="24" a="1"/>
  <c r="AE14" i="24" a="1"/>
  <c r="M6" i="24" a="1"/>
  <c r="M65" i="24" a="1"/>
  <c r="M43" i="24" a="1"/>
  <c r="M7" i="24" a="1"/>
  <c r="L5" i="24" a="1"/>
  <c r="L68" i="24" a="1"/>
  <c r="K4" i="24" a="1"/>
  <c r="M72" i="24" a="1"/>
  <c r="K2" i="24" a="1"/>
  <c r="Q68" i="24" a="1"/>
  <c r="AE16" i="24" a="1"/>
  <c r="AF14" i="24" a="1"/>
  <c r="L59" i="24" a="1"/>
  <c r="L51" i="24" a="1"/>
  <c r="O50" i="24" a="1"/>
  <c r="M62" i="24" a="1"/>
  <c r="Q14" i="24" a="1"/>
  <c r="AD17" i="24" a="1"/>
  <c r="AG14" i="24" a="1"/>
  <c r="L15" i="24" a="1"/>
  <c r="AD5" i="24" a="1"/>
  <c r="AE17" i="24" a="1"/>
  <c r="O68" i="24" a="1"/>
  <c r="AD9" i="24" a="1"/>
  <c r="O64" i="24" a="1"/>
  <c r="AD15" i="24" a="1"/>
  <c r="M42" i="24" a="1"/>
  <c r="K6" i="24" a="1"/>
  <c r="AD6" i="24" a="1"/>
  <c r="L9" i="24" a="1"/>
  <c r="L67" i="24" a="1"/>
  <c r="K17" i="24" a="1"/>
  <c r="K5" i="24" a="1"/>
  <c r="AE15" i="24" a="1"/>
  <c r="K64" i="24" a="1"/>
  <c r="AE6" i="24" a="1"/>
  <c r="K8" i="24" a="1"/>
  <c r="L6" i="24" a="1"/>
  <c r="O46" i="24" a="1"/>
  <c r="L47" i="24" a="1"/>
  <c r="M67" i="24" a="1"/>
  <c r="P72" i="24" a="1"/>
  <c r="L2" i="24" a="1"/>
  <c r="L8" i="24" a="1"/>
  <c r="AD14" i="24" a="1"/>
  <c r="AE5" i="24" a="1"/>
  <c r="L17" i="24" a="1"/>
  <c r="AE8" i="24" a="1"/>
  <c r="L65" i="24" a="1"/>
  <c r="K63" i="24" a="1"/>
  <c r="K50" i="24" a="1"/>
  <c r="M45" i="24" a="1"/>
  <c r="M8" i="24" a="1"/>
  <c r="P54" i="24" a="1"/>
  <c r="M59" i="24" a="1"/>
  <c r="L55" i="24" a="1"/>
  <c r="O54" i="24" a="1"/>
  <c r="M64" i="24" a="1"/>
  <c r="Q72" i="24" a="1"/>
  <c r="K66" i="24" a="1"/>
  <c r="M5" i="24" a="1"/>
  <c r="P14" i="24" a="1"/>
  <c r="K67" i="24" a="1"/>
  <c r="M14" i="24" a="1"/>
  <c r="K55" i="24" a="1"/>
  <c r="K72" i="24" a="1"/>
  <c r="K65" i="24" a="1"/>
  <c r="L66" i="24" a="1"/>
  <c r="K46" i="24" a="1"/>
  <c r="K44" i="24" a="1"/>
  <c r="M63" i="24" a="1"/>
  <c r="K15" i="24" a="1"/>
  <c r="K14" i="24" a="1"/>
  <c r="K9" i="24" a="1"/>
  <c r="O14" i="24" a="1"/>
  <c r="M68" i="24" a="1"/>
  <c r="M9" i="24" a="1"/>
  <c r="M15" i="24" a="1"/>
  <c r="M44" i="24" a="1"/>
  <c r="K70" i="24" a="1"/>
  <c r="L14" i="24" a="1"/>
  <c r="M70" i="24" a="1"/>
  <c r="Q64" i="24" a="1"/>
  <c r="M66" i="24" a="1"/>
  <c r="M17" i="24" a="1"/>
  <c r="K68" i="24" a="1"/>
  <c r="K59" i="24" a="1"/>
  <c r="L64" i="24" a="1"/>
  <c r="I22" i="24" l="1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G61" i="24" s="1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56" i="24"/>
  <c r="G71" i="24"/>
  <c r="G75" i="24"/>
  <c r="G69" i="24"/>
  <c r="G62" i="24"/>
  <c r="G53" i="24"/>
  <c r="G41" i="24"/>
  <c r="G48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AD16" i="24" a="1"/>
  <c r="AF6" i="24" a="1"/>
  <c r="L3" i="24" a="1"/>
  <c r="M2" i="24" a="1"/>
  <c r="M3" i="24" a="1"/>
  <c r="L16" i="24" a="1"/>
  <c r="L7" i="24" a="1"/>
  <c r="L4" i="24" a="1"/>
  <c r="O6" i="24" a="1"/>
  <c r="AE2" i="24" a="1"/>
  <c r="K16" i="24" a="1"/>
  <c r="AD3" i="24" a="1"/>
  <c r="K7" i="24" a="1"/>
  <c r="P6" i="24" a="1"/>
  <c r="M4" i="24" a="1"/>
  <c r="AD7" i="24" a="1"/>
  <c r="AE9" i="24" a="1"/>
  <c r="M16" i="24" a="1"/>
  <c r="AD2" i="24" a="1"/>
  <c r="Q6" i="24" a="1"/>
  <c r="AE7" i="24" a="1"/>
  <c r="AE4" i="24" a="1"/>
  <c r="K3" i="24" a="1"/>
  <c r="AG6" i="24" a="1"/>
  <c r="AD4" i="24" a="1"/>
  <c r="G59" i="24" l="1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<sst xmlns="http://schemas.openxmlformats.org/spreadsheetml/2006/main" count="2143" uniqueCount="786">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</sst>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483</v>
      </c>
      <c r="D1" s="1" t="s">
        <v>484</v>
      </c>
      <c r="E1" s="1" t="s">
        <v>485</v>
      </c>
    </row>
    <row r="2" spans="1:5" x14ac:dyDescent="0.3">
      <c r="A2" t="s">
        <v>43</v>
      </c>
      <c r="B2" t="s">
        <v>486</v>
      </c>
      <c r="C2" t="s">
        <v>486</v>
      </c>
    </row>
    <row r="3" spans="1:5" x14ac:dyDescent="0.3">
      <c r="A3" t="s">
        <v>46</v>
      </c>
      <c r="B3" t="s">
        <v>487</v>
      </c>
      <c r="C3" t="s">
        <v>487</v>
      </c>
    </row>
    <row r="4" spans="1:5" x14ac:dyDescent="0.3">
      <c r="A4" t="s">
        <v>49</v>
      </c>
      <c r="B4" t="s">
        <v>488</v>
      </c>
      <c r="C4" t="s">
        <v>488</v>
      </c>
    </row>
    <row r="5" spans="1:5" x14ac:dyDescent="0.3">
      <c r="A5" t="s">
        <v>52</v>
      </c>
      <c r="B5" t="s">
        <v>489</v>
      </c>
      <c r="C5" t="s">
        <v>489</v>
      </c>
    </row>
    <row r="6" spans="1:5" x14ac:dyDescent="0.3">
      <c r="A6" t="s">
        <v>55</v>
      </c>
      <c r="B6" t="s">
        <v>490</v>
      </c>
      <c r="C6" t="s">
        <v>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472</v>
      </c>
      <c r="C2" s="6" t="str">
        <f>"dc"&amp;RIGHT($B2,LEN($B2)-15)</f>
        <v>dc1</v>
      </c>
    </row>
    <row r="3" spans="1:3" x14ac:dyDescent="0.3">
      <c r="A3" t="s">
        <v>17</v>
      </c>
      <c r="B3" t="s">
        <v>473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474</v>
      </c>
      <c r="C4" s="6" t="str">
        <f t="shared" si="0"/>
        <v>dc3</v>
      </c>
    </row>
    <row r="5" spans="1:3" x14ac:dyDescent="0.3">
      <c r="A5" t="s">
        <v>29</v>
      </c>
      <c r="B5" t="s">
        <v>475</v>
      </c>
      <c r="C5" s="6" t="str">
        <f t="shared" si="0"/>
        <v>dc4</v>
      </c>
    </row>
    <row r="6" spans="1:3" x14ac:dyDescent="0.3">
      <c r="A6" t="s">
        <v>35</v>
      </c>
      <c r="B6" t="s">
        <v>476</v>
      </c>
      <c r="C6" s="6" t="str">
        <f t="shared" si="0"/>
        <v>dc5</v>
      </c>
    </row>
    <row r="7" spans="1:3" x14ac:dyDescent="0.3">
      <c r="A7" t="s">
        <v>15</v>
      </c>
      <c r="B7" t="s">
        <v>477</v>
      </c>
      <c r="C7" s="6" t="str">
        <f t="shared" si="0"/>
        <v>dc6</v>
      </c>
    </row>
    <row r="8" spans="1:3" x14ac:dyDescent="0.3">
      <c r="A8" t="s">
        <v>21</v>
      </c>
      <c r="B8" t="s">
        <v>478</v>
      </c>
      <c r="C8" s="6" t="str">
        <f t="shared" si="0"/>
        <v>dc7</v>
      </c>
    </row>
    <row r="9" spans="1:3" x14ac:dyDescent="0.3">
      <c r="A9" t="s">
        <v>27</v>
      </c>
      <c r="B9" t="s">
        <v>479</v>
      </c>
      <c r="C9" s="6" t="str">
        <f t="shared" si="0"/>
        <v>dc8</v>
      </c>
    </row>
    <row r="10" spans="1:3" x14ac:dyDescent="0.3">
      <c r="A10" t="s">
        <v>33</v>
      </c>
      <c r="B10" t="s">
        <v>480</v>
      </c>
      <c r="C10" s="6" t="str">
        <f t="shared" si="0"/>
        <v>dc9</v>
      </c>
    </row>
    <row r="11" spans="1:3" x14ac:dyDescent="0.3">
      <c r="A11" t="s">
        <v>39</v>
      </c>
      <c r="B11" t="s">
        <v>481</v>
      </c>
      <c r="C11" s="6" t="str">
        <f t="shared" si="0"/>
        <v>dc10</v>
      </c>
    </row>
    <row r="12" spans="1:3" x14ac:dyDescent="0.3">
      <c r="A12" t="s">
        <v>40</v>
      </c>
      <c r="B12" t="s">
        <v>482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B7" sqref="B7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785</v>
      </c>
      <c r="C1" s="1" t="s">
        <v>441</v>
      </c>
      <c r="D1" s="1" t="s">
        <v>57</v>
      </c>
      <c r="E1" s="1" t="s">
        <v>3</v>
      </c>
      <c r="F1" s="1" t="s">
        <v>442</v>
      </c>
      <c r="G1" s="1" t="s">
        <v>41</v>
      </c>
      <c r="H1" s="5" t="s">
        <v>563</v>
      </c>
      <c r="I1" s="5" t="s">
        <v>672</v>
      </c>
      <c r="J1" s="5" t="s">
        <v>673</v>
      </c>
      <c r="K1" s="5" t="s">
        <v>719</v>
      </c>
      <c r="L1" s="5" t="s">
        <v>674</v>
      </c>
      <c r="M1" s="17" t="s">
        <v>671</v>
      </c>
    </row>
    <row r="2" spans="1:13" x14ac:dyDescent="0.3">
      <c r="A2" t="s">
        <v>724</v>
      </c>
      <c r="B2" t="s">
        <v>443</v>
      </c>
      <c r="C2" t="s">
        <v>443</v>
      </c>
      <c r="D2" t="str">
        <f>LEFT(C2,FIND("@",C2)-1)</f>
        <v>root1_1</v>
      </c>
      <c r="E2" t="b">
        <v>1</v>
      </c>
      <c r="F2" t="s">
        <v>552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444</v>
      </c>
      <c r="B3" t="s">
        <v>445</v>
      </c>
      <c r="C3" t="s">
        <v>445</v>
      </c>
      <c r="D3" t="str">
        <f t="shared" ref="D3:D29" si="0">LEFT(C3,FIND("@",C3)-1)</f>
        <v>app_admin1_1</v>
      </c>
      <c r="E3" t="b">
        <v>1</v>
      </c>
      <c r="F3" t="s">
        <v>553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446</v>
      </c>
      <c r="B4" s="20" t="s">
        <v>720</v>
      </c>
      <c r="C4" s="20" t="s">
        <v>720</v>
      </c>
      <c r="D4" t="str">
        <f t="shared" si="0"/>
        <v>refdata_admin1_1</v>
      </c>
      <c r="E4" t="b">
        <v>1</v>
      </c>
      <c r="F4" t="s">
        <v>721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447</v>
      </c>
      <c r="C5" t="s">
        <v>447</v>
      </c>
      <c r="D5" t="str">
        <f t="shared" si="0"/>
        <v>org_admin1_1</v>
      </c>
      <c r="E5" t="b">
        <v>1</v>
      </c>
      <c r="F5" t="s">
        <v>554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448</v>
      </c>
      <c r="C6" t="s">
        <v>448</v>
      </c>
      <c r="D6" t="str">
        <f t="shared" si="0"/>
        <v>org_admin2_1</v>
      </c>
      <c r="E6" t="b">
        <v>1</v>
      </c>
      <c r="F6" t="s">
        <v>554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449</v>
      </c>
      <c r="C7" t="s">
        <v>449</v>
      </c>
      <c r="D7" t="str">
        <f t="shared" si="0"/>
        <v>org_admin3_1</v>
      </c>
      <c r="E7" t="b">
        <v>1</v>
      </c>
      <c r="F7" t="s">
        <v>554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450</v>
      </c>
      <c r="C8" t="s">
        <v>450</v>
      </c>
      <c r="D8" t="str">
        <f t="shared" si="0"/>
        <v>org_admin4_1</v>
      </c>
      <c r="E8" t="b">
        <v>1</v>
      </c>
      <c r="F8" t="s">
        <v>554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451</v>
      </c>
      <c r="C9" t="s">
        <v>451</v>
      </c>
      <c r="D9" t="str">
        <f t="shared" si="0"/>
        <v>org_admin5_1</v>
      </c>
      <c r="E9" t="b">
        <v>1</v>
      </c>
      <c r="F9" t="s">
        <v>554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452</v>
      </c>
      <c r="C10" t="s">
        <v>452</v>
      </c>
      <c r="D10" t="str">
        <f t="shared" si="0"/>
        <v>org_user1_1</v>
      </c>
      <c r="E10" t="b">
        <v>1</v>
      </c>
      <c r="F10" t="s">
        <v>555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453</v>
      </c>
      <c r="C11" t="s">
        <v>453</v>
      </c>
      <c r="D11" t="str">
        <f t="shared" si="0"/>
        <v>org_user1_2</v>
      </c>
      <c r="E11" t="b">
        <v>1</v>
      </c>
      <c r="F11" t="s">
        <v>555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454</v>
      </c>
      <c r="C12" t="s">
        <v>454</v>
      </c>
      <c r="D12" t="str">
        <f t="shared" si="0"/>
        <v>org_user1_3</v>
      </c>
      <c r="E12" t="b">
        <v>1</v>
      </c>
      <c r="F12" t="s">
        <v>555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455</v>
      </c>
      <c r="C13" t="s">
        <v>455</v>
      </c>
      <c r="D13" t="str">
        <f t="shared" si="0"/>
        <v>org_user1_4</v>
      </c>
      <c r="E13" t="b">
        <v>1</v>
      </c>
      <c r="F13" t="s">
        <v>555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456</v>
      </c>
      <c r="C14" t="s">
        <v>456</v>
      </c>
      <c r="D14" t="str">
        <f t="shared" si="0"/>
        <v>org_user2_1</v>
      </c>
      <c r="E14" t="b">
        <v>1</v>
      </c>
      <c r="F14" t="s">
        <v>555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457</v>
      </c>
      <c r="C15" t="s">
        <v>457</v>
      </c>
      <c r="D15" t="str">
        <f t="shared" si="0"/>
        <v>org_user2_2</v>
      </c>
      <c r="E15" t="b">
        <v>1</v>
      </c>
      <c r="F15" t="s">
        <v>555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458</v>
      </c>
      <c r="C16" t="s">
        <v>458</v>
      </c>
      <c r="D16" t="str">
        <f t="shared" si="0"/>
        <v>org_user2_3</v>
      </c>
      <c r="E16" t="b">
        <v>1</v>
      </c>
      <c r="F16" t="s">
        <v>555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459</v>
      </c>
      <c r="C17" t="s">
        <v>459</v>
      </c>
      <c r="D17" t="str">
        <f t="shared" si="0"/>
        <v>org_user2_4</v>
      </c>
      <c r="E17" t="b">
        <v>1</v>
      </c>
      <c r="F17" t="s">
        <v>555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460</v>
      </c>
      <c r="C18" t="s">
        <v>460</v>
      </c>
      <c r="D18" t="str">
        <f t="shared" si="0"/>
        <v>org_user3_1</v>
      </c>
      <c r="E18" t="b">
        <v>1</v>
      </c>
      <c r="F18" t="s">
        <v>555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461</v>
      </c>
      <c r="C19" t="s">
        <v>461</v>
      </c>
      <c r="D19" t="str">
        <f t="shared" si="0"/>
        <v>org_user3_2</v>
      </c>
      <c r="E19" t="b">
        <v>1</v>
      </c>
      <c r="F19" t="s">
        <v>555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462</v>
      </c>
      <c r="C20" t="s">
        <v>462</v>
      </c>
      <c r="D20" t="str">
        <f t="shared" si="0"/>
        <v>org_user3_3</v>
      </c>
      <c r="E20" t="b">
        <v>1</v>
      </c>
      <c r="F20" t="s">
        <v>555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463</v>
      </c>
      <c r="C21" t="s">
        <v>463</v>
      </c>
      <c r="D21" t="str">
        <f t="shared" si="0"/>
        <v>org_user3_4</v>
      </c>
      <c r="E21" t="b">
        <v>1</v>
      </c>
      <c r="F21" t="s">
        <v>555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464</v>
      </c>
      <c r="C22" t="s">
        <v>464</v>
      </c>
      <c r="D22" t="str">
        <f t="shared" si="0"/>
        <v>org_user4_1</v>
      </c>
      <c r="E22" t="b">
        <v>1</v>
      </c>
      <c r="F22" t="s">
        <v>555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465</v>
      </c>
      <c r="C23" t="s">
        <v>465</v>
      </c>
      <c r="D23" t="str">
        <f t="shared" si="0"/>
        <v>org_user4_2</v>
      </c>
      <c r="E23" t="b">
        <v>1</v>
      </c>
      <c r="F23" t="s">
        <v>555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466</v>
      </c>
      <c r="C24" t="s">
        <v>466</v>
      </c>
      <c r="D24" t="str">
        <f t="shared" si="0"/>
        <v>org_user4_3</v>
      </c>
      <c r="E24" t="b">
        <v>1</v>
      </c>
      <c r="F24" t="s">
        <v>555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467</v>
      </c>
      <c r="C25" t="s">
        <v>467</v>
      </c>
      <c r="D25" t="str">
        <f t="shared" si="0"/>
        <v>org_user4_4</v>
      </c>
      <c r="E25" t="b">
        <v>1</v>
      </c>
      <c r="F25" t="s">
        <v>555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468</v>
      </c>
      <c r="C26" t="s">
        <v>468</v>
      </c>
      <c r="D26" t="str">
        <f t="shared" si="0"/>
        <v>org_user5_1</v>
      </c>
      <c r="E26" t="b">
        <v>1</v>
      </c>
      <c r="F26" t="s">
        <v>555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469</v>
      </c>
      <c r="C27" t="s">
        <v>469</v>
      </c>
      <c r="D27" t="str">
        <f t="shared" si="0"/>
        <v>org_user5_2</v>
      </c>
      <c r="E27" t="b">
        <v>1</v>
      </c>
      <c r="F27" t="s">
        <v>555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470</v>
      </c>
      <c r="C28" t="s">
        <v>470</v>
      </c>
      <c r="D28" t="str">
        <f t="shared" si="0"/>
        <v>org_user5_3</v>
      </c>
      <c r="E28" t="b">
        <v>1</v>
      </c>
      <c r="F28" t="s">
        <v>555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471</v>
      </c>
      <c r="C29" t="s">
        <v>471</v>
      </c>
      <c r="D29" t="str">
        <f t="shared" si="0"/>
        <v>org_user5_4</v>
      </c>
      <c r="E29" t="b">
        <v>1</v>
      </c>
      <c r="F29" t="s">
        <v>555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tabSelected="1"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785</v>
      </c>
      <c r="C1" s="1" t="s">
        <v>441</v>
      </c>
      <c r="D1" s="10" t="s">
        <v>564</v>
      </c>
      <c r="E1" s="1" t="s">
        <v>492</v>
      </c>
      <c r="F1" s="1" t="s">
        <v>493</v>
      </c>
      <c r="G1" s="1" t="s">
        <v>442</v>
      </c>
      <c r="H1" s="1" t="s">
        <v>494</v>
      </c>
      <c r="I1" s="10" t="s">
        <v>583</v>
      </c>
      <c r="J1" s="1" t="s">
        <v>41</v>
      </c>
      <c r="K1" s="10" t="s">
        <v>551</v>
      </c>
    </row>
    <row r="2" spans="1:11" x14ac:dyDescent="0.3">
      <c r="A2" t="s">
        <v>495</v>
      </c>
      <c r="B2" t="s">
        <v>445</v>
      </c>
      <c r="C2" t="s">
        <v>445</v>
      </c>
      <c r="D2" s="6" t="str">
        <f>LEFT($C2,LEN($C2)-9)</f>
        <v>app_admin1_1</v>
      </c>
      <c r="E2" t="s">
        <v>496</v>
      </c>
      <c r="F2" s="2">
        <v>45743.390918726589</v>
      </c>
      <c r="G2" t="s">
        <v>553</v>
      </c>
      <c r="H2" t="s">
        <v>724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497</v>
      </c>
      <c r="B3" s="20" t="s">
        <v>720</v>
      </c>
      <c r="C3" s="20" t="s">
        <v>720</v>
      </c>
      <c r="D3" s="6" t="str">
        <f t="shared" ref="D3:D28" si="0">LEFT($C3,LEN($C3)-9)</f>
        <v>refdata_admin1_1</v>
      </c>
      <c r="E3" t="s">
        <v>498</v>
      </c>
      <c r="F3" s="2">
        <v>45743.390918741461</v>
      </c>
      <c r="G3" t="s">
        <v>721</v>
      </c>
      <c r="H3" t="s">
        <v>444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499</v>
      </c>
      <c r="B4" t="s">
        <v>447</v>
      </c>
      <c r="C4" t="s">
        <v>447</v>
      </c>
      <c r="D4" s="6" t="str">
        <f t="shared" si="0"/>
        <v>org_admin1_1</v>
      </c>
      <c r="E4" t="s">
        <v>500</v>
      </c>
      <c r="F4" s="2">
        <v>45743.390918746562</v>
      </c>
      <c r="G4" t="s">
        <v>554</v>
      </c>
      <c r="H4" t="s">
        <v>444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501</v>
      </c>
      <c r="B5" t="s">
        <v>448</v>
      </c>
      <c r="C5" t="s">
        <v>448</v>
      </c>
      <c r="D5" s="6" t="str">
        <f t="shared" si="0"/>
        <v>org_admin2_1</v>
      </c>
      <c r="E5" t="s">
        <v>502</v>
      </c>
      <c r="F5" s="2">
        <v>45743.390918763551</v>
      </c>
      <c r="G5" t="s">
        <v>554</v>
      </c>
      <c r="H5" t="s">
        <v>444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503</v>
      </c>
      <c r="B6" t="s">
        <v>449</v>
      </c>
      <c r="C6" t="s">
        <v>449</v>
      </c>
      <c r="D6" s="6" t="str">
        <f t="shared" si="0"/>
        <v>org_admin3_1</v>
      </c>
      <c r="E6" t="s">
        <v>504</v>
      </c>
      <c r="F6" s="2">
        <v>45743.390918772537</v>
      </c>
      <c r="G6" t="s">
        <v>554</v>
      </c>
      <c r="H6" t="s">
        <v>444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505</v>
      </c>
      <c r="B7" t="s">
        <v>450</v>
      </c>
      <c r="C7" t="s">
        <v>450</v>
      </c>
      <c r="D7" s="6" t="str">
        <f t="shared" si="0"/>
        <v>org_admin4_1</v>
      </c>
      <c r="E7" t="s">
        <v>506</v>
      </c>
      <c r="F7" s="2">
        <v>45743.390918781181</v>
      </c>
      <c r="G7" t="s">
        <v>554</v>
      </c>
      <c r="H7" t="s">
        <v>444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507</v>
      </c>
      <c r="B8" t="s">
        <v>451</v>
      </c>
      <c r="C8" t="s">
        <v>451</v>
      </c>
      <c r="D8" s="6" t="str">
        <f t="shared" si="0"/>
        <v>org_admin5_1</v>
      </c>
      <c r="E8" t="s">
        <v>508</v>
      </c>
      <c r="F8" s="2">
        <v>45743.3909187889</v>
      </c>
      <c r="G8" t="s">
        <v>554</v>
      </c>
      <c r="H8" t="s">
        <v>444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509</v>
      </c>
      <c r="B9" t="s">
        <v>452</v>
      </c>
      <c r="C9" t="s">
        <v>452</v>
      </c>
      <c r="D9" s="6" t="str">
        <f t="shared" si="0"/>
        <v>org_user1_1</v>
      </c>
      <c r="E9" t="s">
        <v>510</v>
      </c>
      <c r="F9" s="2">
        <v>45743.390918796598</v>
      </c>
      <c r="G9" t="s">
        <v>555</v>
      </c>
      <c r="H9" t="s">
        <v>444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511</v>
      </c>
      <c r="B10" t="s">
        <v>453</v>
      </c>
      <c r="C10" t="s">
        <v>453</v>
      </c>
      <c r="D10" s="6" t="str">
        <f t="shared" si="0"/>
        <v>org_user1_2</v>
      </c>
      <c r="E10" t="s">
        <v>512</v>
      </c>
      <c r="F10" s="2">
        <v>45743.390918801953</v>
      </c>
      <c r="G10" t="s">
        <v>555</v>
      </c>
      <c r="H10" t="s">
        <v>444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513</v>
      </c>
      <c r="B11" t="s">
        <v>454</v>
      </c>
      <c r="C11" t="s">
        <v>454</v>
      </c>
      <c r="D11" s="6" t="str">
        <f t="shared" si="0"/>
        <v>org_user1_3</v>
      </c>
      <c r="E11" t="s">
        <v>514</v>
      </c>
      <c r="F11" s="2">
        <v>45743.390918807163</v>
      </c>
      <c r="G11" t="s">
        <v>555</v>
      </c>
      <c r="H11" t="s">
        <v>444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515</v>
      </c>
      <c r="B12" t="s">
        <v>455</v>
      </c>
      <c r="C12" t="s">
        <v>455</v>
      </c>
      <c r="D12" s="6" t="str">
        <f t="shared" si="0"/>
        <v>org_user1_4</v>
      </c>
      <c r="E12" t="s">
        <v>516</v>
      </c>
      <c r="F12" s="2">
        <v>45743.3909188123</v>
      </c>
      <c r="G12" t="s">
        <v>555</v>
      </c>
      <c r="H12" t="s">
        <v>444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517</v>
      </c>
      <c r="B13" t="s">
        <v>456</v>
      </c>
      <c r="C13" t="s">
        <v>456</v>
      </c>
      <c r="D13" s="6" t="str">
        <f t="shared" si="0"/>
        <v>org_user2_1</v>
      </c>
      <c r="E13" t="s">
        <v>518</v>
      </c>
      <c r="F13" s="2">
        <v>45743.390918817633</v>
      </c>
      <c r="G13" t="s">
        <v>555</v>
      </c>
      <c r="H13" t="s">
        <v>444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519</v>
      </c>
      <c r="B14" t="s">
        <v>457</v>
      </c>
      <c r="C14" t="s">
        <v>457</v>
      </c>
      <c r="D14" s="6" t="str">
        <f t="shared" si="0"/>
        <v>org_user2_2</v>
      </c>
      <c r="E14" t="s">
        <v>520</v>
      </c>
      <c r="F14" s="2">
        <v>45743.390918822908</v>
      </c>
      <c r="G14" t="s">
        <v>555</v>
      </c>
      <c r="H14" t="s">
        <v>444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521</v>
      </c>
      <c r="B15" t="s">
        <v>458</v>
      </c>
      <c r="C15" t="s">
        <v>458</v>
      </c>
      <c r="D15" s="6" t="str">
        <f t="shared" si="0"/>
        <v>org_user2_3</v>
      </c>
      <c r="E15" t="s">
        <v>522</v>
      </c>
      <c r="F15" s="2">
        <v>45743.390918828743</v>
      </c>
      <c r="G15" t="s">
        <v>555</v>
      </c>
      <c r="H15" t="s">
        <v>444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523</v>
      </c>
      <c r="B16" t="s">
        <v>459</v>
      </c>
      <c r="C16" t="s">
        <v>459</v>
      </c>
      <c r="D16" s="6" t="str">
        <f t="shared" si="0"/>
        <v>org_user2_4</v>
      </c>
      <c r="E16" t="s">
        <v>524</v>
      </c>
      <c r="F16" s="2">
        <v>45743.390918834302</v>
      </c>
      <c r="G16" t="s">
        <v>555</v>
      </c>
      <c r="H16" t="s">
        <v>444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525</v>
      </c>
      <c r="B17" t="s">
        <v>460</v>
      </c>
      <c r="C17" t="s">
        <v>460</v>
      </c>
      <c r="D17" s="6" t="str">
        <f t="shared" si="0"/>
        <v>org_user3_1</v>
      </c>
      <c r="E17" t="s">
        <v>526</v>
      </c>
      <c r="F17" s="2">
        <v>45743.390918839839</v>
      </c>
      <c r="G17" t="s">
        <v>555</v>
      </c>
      <c r="H17" t="s">
        <v>444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527</v>
      </c>
      <c r="B18" t="s">
        <v>461</v>
      </c>
      <c r="C18" t="s">
        <v>461</v>
      </c>
      <c r="D18" s="6" t="str">
        <f t="shared" si="0"/>
        <v>org_user3_2</v>
      </c>
      <c r="E18" t="s">
        <v>528</v>
      </c>
      <c r="F18" s="2">
        <v>45743.390918845187</v>
      </c>
      <c r="G18" t="s">
        <v>555</v>
      </c>
      <c r="H18" t="s">
        <v>444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529</v>
      </c>
      <c r="B19" t="s">
        <v>462</v>
      </c>
      <c r="C19" t="s">
        <v>462</v>
      </c>
      <c r="D19" s="6" t="str">
        <f t="shared" si="0"/>
        <v>org_user3_3</v>
      </c>
      <c r="E19" t="s">
        <v>530</v>
      </c>
      <c r="F19" s="2">
        <v>45743.390918851088</v>
      </c>
      <c r="G19" t="s">
        <v>555</v>
      </c>
      <c r="H19" t="s">
        <v>444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531</v>
      </c>
      <c r="B20" t="s">
        <v>463</v>
      </c>
      <c r="C20" t="s">
        <v>463</v>
      </c>
      <c r="D20" s="6" t="str">
        <f t="shared" si="0"/>
        <v>org_user3_4</v>
      </c>
      <c r="E20" t="s">
        <v>532</v>
      </c>
      <c r="F20" s="2">
        <v>45743.39091885696</v>
      </c>
      <c r="G20" t="s">
        <v>555</v>
      </c>
      <c r="H20" t="s">
        <v>444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533</v>
      </c>
      <c r="B21" t="s">
        <v>464</v>
      </c>
      <c r="C21" t="s">
        <v>464</v>
      </c>
      <c r="D21" s="6" t="str">
        <f t="shared" si="0"/>
        <v>org_user4_1</v>
      </c>
      <c r="E21" t="s">
        <v>534</v>
      </c>
      <c r="F21" s="2">
        <v>45743.390918862962</v>
      </c>
      <c r="G21" t="s">
        <v>555</v>
      </c>
      <c r="H21" t="s">
        <v>444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535</v>
      </c>
      <c r="B22" t="s">
        <v>465</v>
      </c>
      <c r="C22" t="s">
        <v>465</v>
      </c>
      <c r="D22" s="6" t="str">
        <f t="shared" si="0"/>
        <v>org_user4_2</v>
      </c>
      <c r="E22" t="s">
        <v>536</v>
      </c>
      <c r="F22" s="2">
        <v>45743.390918868739</v>
      </c>
      <c r="G22" t="s">
        <v>555</v>
      </c>
      <c r="H22" t="s">
        <v>444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537</v>
      </c>
      <c r="B23" t="s">
        <v>466</v>
      </c>
      <c r="C23" t="s">
        <v>466</v>
      </c>
      <c r="D23" s="6" t="str">
        <f t="shared" si="0"/>
        <v>org_user4_3</v>
      </c>
      <c r="E23" t="s">
        <v>538</v>
      </c>
      <c r="F23" s="2">
        <v>45743.390918874728</v>
      </c>
      <c r="G23" t="s">
        <v>555</v>
      </c>
      <c r="H23" t="s">
        <v>444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539</v>
      </c>
      <c r="B24" t="s">
        <v>467</v>
      </c>
      <c r="C24" t="s">
        <v>467</v>
      </c>
      <c r="D24" s="6" t="str">
        <f t="shared" si="0"/>
        <v>org_user4_4</v>
      </c>
      <c r="E24" t="s">
        <v>540</v>
      </c>
      <c r="F24" s="2">
        <v>45743.390918881109</v>
      </c>
      <c r="G24" t="s">
        <v>555</v>
      </c>
      <c r="H24" t="s">
        <v>444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541</v>
      </c>
      <c r="B25" t="s">
        <v>468</v>
      </c>
      <c r="C25" t="s">
        <v>468</v>
      </c>
      <c r="D25" s="6" t="str">
        <f t="shared" si="0"/>
        <v>org_user5_1</v>
      </c>
      <c r="E25" t="s">
        <v>542</v>
      </c>
      <c r="F25" s="2">
        <v>45743.390918887373</v>
      </c>
      <c r="G25" t="s">
        <v>555</v>
      </c>
      <c r="H25" t="s">
        <v>444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543</v>
      </c>
      <c r="B26" t="s">
        <v>469</v>
      </c>
      <c r="C26" t="s">
        <v>469</v>
      </c>
      <c r="D26" s="6" t="str">
        <f t="shared" si="0"/>
        <v>org_user5_2</v>
      </c>
      <c r="E26" t="s">
        <v>544</v>
      </c>
      <c r="F26" s="2">
        <v>45743.39091889358</v>
      </c>
      <c r="G26" t="s">
        <v>555</v>
      </c>
      <c r="H26" t="s">
        <v>444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545</v>
      </c>
      <c r="B27" t="s">
        <v>470</v>
      </c>
      <c r="C27" t="s">
        <v>470</v>
      </c>
      <c r="D27" s="6" t="str">
        <f t="shared" si="0"/>
        <v>org_user5_3</v>
      </c>
      <c r="E27" t="s">
        <v>546</v>
      </c>
      <c r="F27" s="2">
        <v>45743.390918900091</v>
      </c>
      <c r="G27" t="s">
        <v>555</v>
      </c>
      <c r="H27" t="s">
        <v>444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547</v>
      </c>
      <c r="B28" t="s">
        <v>471</v>
      </c>
      <c r="C28" t="s">
        <v>471</v>
      </c>
      <c r="D28" s="6" t="str">
        <f t="shared" si="0"/>
        <v>org_user5_4</v>
      </c>
      <c r="E28" t="s">
        <v>548</v>
      </c>
      <c r="F28" s="2">
        <v>45743.390918906553</v>
      </c>
      <c r="G28" t="s">
        <v>555</v>
      </c>
      <c r="H28" t="s">
        <v>444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549</v>
      </c>
      <c r="C2" s="11" t="s">
        <v>571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549</v>
      </c>
      <c r="C3" s="11" t="s">
        <v>572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549</v>
      </c>
      <c r="C4" s="11" t="s">
        <v>573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574</v>
      </c>
      <c r="F2">
        <v>1</v>
      </c>
      <c r="G2" t="s">
        <v>425</v>
      </c>
      <c r="H2" t="s">
        <v>549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575</v>
      </c>
      <c r="F3">
        <v>2</v>
      </c>
      <c r="G3" t="s">
        <v>426</v>
      </c>
      <c r="H3" t="s">
        <v>549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576</v>
      </c>
      <c r="F4">
        <v>3</v>
      </c>
      <c r="G4" t="s">
        <v>427</v>
      </c>
      <c r="H4" t="s">
        <v>549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577</v>
      </c>
      <c r="F5">
        <v>1</v>
      </c>
      <c r="G5" t="s">
        <v>429</v>
      </c>
      <c r="H5" t="s">
        <v>549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578</v>
      </c>
      <c r="F6">
        <v>2</v>
      </c>
      <c r="G6" t="s">
        <v>430</v>
      </c>
      <c r="H6" t="s">
        <v>549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579</v>
      </c>
      <c r="F7">
        <v>3</v>
      </c>
      <c r="G7" t="s">
        <v>431</v>
      </c>
      <c r="H7" t="s">
        <v>549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580</v>
      </c>
      <c r="F8">
        <v>1</v>
      </c>
      <c r="G8" t="s">
        <v>433</v>
      </c>
      <c r="H8" t="s">
        <v>549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581</v>
      </c>
      <c r="F9">
        <v>2</v>
      </c>
      <c r="G9" t="s">
        <v>434</v>
      </c>
      <c r="H9" t="s">
        <v>549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582</v>
      </c>
      <c r="F10">
        <v>3</v>
      </c>
      <c r="G10" t="s">
        <v>435</v>
      </c>
      <c r="H10" t="s">
        <v>549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693</v>
      </c>
    </row>
    <row r="2" spans="1:3" x14ac:dyDescent="0.3">
      <c r="A2" t="s">
        <v>121</v>
      </c>
      <c r="B2" t="s">
        <v>694</v>
      </c>
    </row>
    <row r="3" spans="1:3" x14ac:dyDescent="0.3">
      <c r="A3" t="s">
        <v>125</v>
      </c>
      <c r="B3" t="s">
        <v>695</v>
      </c>
    </row>
    <row r="4" spans="1:3" x14ac:dyDescent="0.3">
      <c r="A4" t="s">
        <v>129</v>
      </c>
      <c r="B4" t="s">
        <v>696</v>
      </c>
    </row>
    <row r="5" spans="1:3" x14ac:dyDescent="0.3">
      <c r="A5" t="s">
        <v>133</v>
      </c>
      <c r="B5" t="s">
        <v>697</v>
      </c>
    </row>
    <row r="6" spans="1:3" x14ac:dyDescent="0.3">
      <c r="A6" t="s">
        <v>137</v>
      </c>
      <c r="B6" t="s">
        <v>698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699</v>
      </c>
    </row>
    <row r="2" spans="1:3" x14ac:dyDescent="0.3">
      <c r="A2" t="s">
        <v>122</v>
      </c>
      <c r="B2" t="s">
        <v>700</v>
      </c>
      <c r="C2" t="s">
        <v>707</v>
      </c>
    </row>
    <row r="3" spans="1:3" x14ac:dyDescent="0.3">
      <c r="A3" t="s">
        <v>126</v>
      </c>
      <c r="B3" t="s">
        <v>701</v>
      </c>
      <c r="C3" t="s">
        <v>707</v>
      </c>
    </row>
    <row r="4" spans="1:3" x14ac:dyDescent="0.3">
      <c r="A4" t="s">
        <v>130</v>
      </c>
      <c r="B4" t="s">
        <v>702</v>
      </c>
      <c r="C4" t="s">
        <v>707</v>
      </c>
    </row>
    <row r="5" spans="1:3" x14ac:dyDescent="0.3">
      <c r="A5" t="s">
        <v>134</v>
      </c>
      <c r="B5" t="s">
        <v>703</v>
      </c>
      <c r="C5" t="s">
        <v>707</v>
      </c>
    </row>
    <row r="6" spans="1:3" x14ac:dyDescent="0.3">
      <c r="A6" t="s">
        <v>138</v>
      </c>
      <c r="B6" t="s">
        <v>704</v>
      </c>
      <c r="C6" t="s">
        <v>707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705</v>
      </c>
      <c r="F1" s="1" t="s">
        <v>116</v>
      </c>
      <c r="G1" s="1" t="s">
        <v>117</v>
      </c>
      <c r="H1" s="12" t="s">
        <v>706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587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557</v>
      </c>
      <c r="D1" s="1" t="s">
        <v>59</v>
      </c>
      <c r="E1" s="1" t="s">
        <v>316</v>
      </c>
      <c r="F1" s="10" t="s">
        <v>584</v>
      </c>
      <c r="G1" s="1" t="s">
        <v>317</v>
      </c>
      <c r="H1" s="16" t="s">
        <v>668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33" sqref="A33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6640625" bestFit="1" customWidth="1"/>
    <col min="10" max="10" width="10" bestFit="1" customWidth="1"/>
    <col min="11" max="11" width="9.44140625" bestFit="1" customWidth="1"/>
    <col min="12" max="12" width="9.664062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3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3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3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3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3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3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3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3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3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3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3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3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3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3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3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3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3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3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3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3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3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3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3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3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3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3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3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3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3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3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3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3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3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3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3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66</v>
      </c>
      <c r="B11" t="s">
        <v>280</v>
      </c>
      <c r="C11" t="s">
        <v>280</v>
      </c>
    </row>
    <row r="12" spans="1:3" x14ac:dyDescent="0.3">
      <c r="A12" t="s">
        <v>170</v>
      </c>
      <c r="B12" t="s">
        <v>281</v>
      </c>
      <c r="C12" t="s">
        <v>281</v>
      </c>
    </row>
    <row r="13" spans="1:3" x14ac:dyDescent="0.3">
      <c r="A13" t="s">
        <v>173</v>
      </c>
      <c r="B13" t="s">
        <v>282</v>
      </c>
      <c r="C13" t="s">
        <v>282</v>
      </c>
    </row>
    <row r="14" spans="1:3" x14ac:dyDescent="0.3">
      <c r="A14" t="s">
        <v>176</v>
      </c>
      <c r="B14" t="s">
        <v>283</v>
      </c>
      <c r="C14" t="s">
        <v>283</v>
      </c>
    </row>
    <row r="15" spans="1:3" x14ac:dyDescent="0.3">
      <c r="A15" t="s">
        <v>179</v>
      </c>
      <c r="B15" t="s">
        <v>284</v>
      </c>
      <c r="C15" t="s">
        <v>284</v>
      </c>
    </row>
    <row r="16" spans="1:3" x14ac:dyDescent="0.3">
      <c r="A16" t="s">
        <v>182</v>
      </c>
      <c r="B16" t="s">
        <v>285</v>
      </c>
      <c r="C16" t="s">
        <v>285</v>
      </c>
    </row>
    <row r="17" spans="1:3" x14ac:dyDescent="0.3">
      <c r="A17" t="s">
        <v>185</v>
      </c>
      <c r="B17" t="s">
        <v>286</v>
      </c>
      <c r="C17" t="s">
        <v>286</v>
      </c>
    </row>
    <row r="18" spans="1:3" x14ac:dyDescent="0.3">
      <c r="A18" t="s">
        <v>188</v>
      </c>
      <c r="B18" t="s">
        <v>287</v>
      </c>
      <c r="C18" t="s">
        <v>287</v>
      </c>
    </row>
    <row r="19" spans="1:3" x14ac:dyDescent="0.3">
      <c r="A19" t="s">
        <v>191</v>
      </c>
      <c r="B19" t="s">
        <v>288</v>
      </c>
      <c r="C19" t="s">
        <v>288</v>
      </c>
    </row>
    <row r="20" spans="1:3" x14ac:dyDescent="0.3">
      <c r="A20" t="s">
        <v>68</v>
      </c>
      <c r="B20" t="s">
        <v>289</v>
      </c>
      <c r="C20" t="s">
        <v>289</v>
      </c>
    </row>
    <row r="21" spans="1:3" x14ac:dyDescent="0.3">
      <c r="A21" t="s">
        <v>196</v>
      </c>
      <c r="B21" t="s">
        <v>290</v>
      </c>
      <c r="C21" t="s">
        <v>290</v>
      </c>
    </row>
    <row r="22" spans="1:3" x14ac:dyDescent="0.3">
      <c r="A22" t="s">
        <v>199</v>
      </c>
      <c r="B22" t="s">
        <v>291</v>
      </c>
      <c r="C22" t="s">
        <v>291</v>
      </c>
    </row>
    <row r="23" spans="1:3" x14ac:dyDescent="0.3">
      <c r="A23" t="s">
        <v>202</v>
      </c>
      <c r="B23" t="s">
        <v>292</v>
      </c>
      <c r="C23" t="s">
        <v>292</v>
      </c>
    </row>
    <row r="24" spans="1:3" x14ac:dyDescent="0.3">
      <c r="A24" t="s">
        <v>205</v>
      </c>
      <c r="B24" t="s">
        <v>293</v>
      </c>
      <c r="C24" t="s">
        <v>293</v>
      </c>
    </row>
    <row r="25" spans="1:3" x14ac:dyDescent="0.3">
      <c r="A25" t="s">
        <v>208</v>
      </c>
      <c r="B25" t="s">
        <v>294</v>
      </c>
      <c r="C25" t="s">
        <v>294</v>
      </c>
    </row>
    <row r="26" spans="1:3" x14ac:dyDescent="0.3">
      <c r="A26" t="s">
        <v>211</v>
      </c>
      <c r="B26" t="s">
        <v>295</v>
      </c>
      <c r="C26" t="s">
        <v>295</v>
      </c>
    </row>
    <row r="27" spans="1:3" x14ac:dyDescent="0.3">
      <c r="A27" t="s">
        <v>214</v>
      </c>
      <c r="B27" t="s">
        <v>296</v>
      </c>
      <c r="C27" t="s">
        <v>296</v>
      </c>
    </row>
    <row r="28" spans="1:3" x14ac:dyDescent="0.3">
      <c r="A28" t="s">
        <v>217</v>
      </c>
      <c r="B28" t="s">
        <v>297</v>
      </c>
      <c r="C28" t="s">
        <v>297</v>
      </c>
    </row>
    <row r="29" spans="1:3" x14ac:dyDescent="0.3">
      <c r="A29" t="s">
        <v>70</v>
      </c>
      <c r="B29" t="s">
        <v>298</v>
      </c>
      <c r="C29" t="s">
        <v>298</v>
      </c>
    </row>
    <row r="30" spans="1:3" x14ac:dyDescent="0.3">
      <c r="A30" t="s">
        <v>222</v>
      </c>
      <c r="B30" t="s">
        <v>299</v>
      </c>
      <c r="C30" t="s">
        <v>299</v>
      </c>
    </row>
    <row r="31" spans="1:3" x14ac:dyDescent="0.3">
      <c r="A31" t="s">
        <v>225</v>
      </c>
      <c r="B31" t="s">
        <v>300</v>
      </c>
      <c r="C31" t="s">
        <v>300</v>
      </c>
    </row>
    <row r="32" spans="1:3" x14ac:dyDescent="0.3">
      <c r="A32" t="s">
        <v>228</v>
      </c>
      <c r="B32" t="s">
        <v>301</v>
      </c>
      <c r="C32" t="s">
        <v>301</v>
      </c>
    </row>
    <row r="33" spans="1:3" x14ac:dyDescent="0.3">
      <c r="A33" t="s">
        <v>231</v>
      </c>
      <c r="B33" t="s">
        <v>302</v>
      </c>
      <c r="C33" t="s">
        <v>302</v>
      </c>
    </row>
    <row r="34" spans="1:3" x14ac:dyDescent="0.3">
      <c r="A34" t="s">
        <v>234</v>
      </c>
      <c r="B34" t="s">
        <v>303</v>
      </c>
      <c r="C34" t="s">
        <v>303</v>
      </c>
    </row>
    <row r="35" spans="1:3" x14ac:dyDescent="0.3">
      <c r="A35" t="s">
        <v>237</v>
      </c>
      <c r="B35" t="s">
        <v>304</v>
      </c>
      <c r="C35" t="s">
        <v>304</v>
      </c>
    </row>
    <row r="36" spans="1:3" x14ac:dyDescent="0.3">
      <c r="A36" t="s">
        <v>240</v>
      </c>
      <c r="B36" t="s">
        <v>305</v>
      </c>
      <c r="C36" t="s">
        <v>305</v>
      </c>
    </row>
    <row r="37" spans="1:3" x14ac:dyDescent="0.3">
      <c r="A37" t="s">
        <v>243</v>
      </c>
      <c r="B37" t="s">
        <v>306</v>
      </c>
      <c r="C37" t="s">
        <v>306</v>
      </c>
    </row>
    <row r="38" spans="1:3" x14ac:dyDescent="0.3">
      <c r="A38" t="s">
        <v>72</v>
      </c>
      <c r="B38" t="s">
        <v>307</v>
      </c>
      <c r="C38" t="s">
        <v>307</v>
      </c>
    </row>
    <row r="39" spans="1:3" x14ac:dyDescent="0.3">
      <c r="A39" t="s">
        <v>248</v>
      </c>
      <c r="B39" t="s">
        <v>308</v>
      </c>
      <c r="C39" t="s">
        <v>308</v>
      </c>
    </row>
    <row r="40" spans="1:3" x14ac:dyDescent="0.3">
      <c r="A40" t="s">
        <v>251</v>
      </c>
      <c r="B40" t="s">
        <v>309</v>
      </c>
      <c r="C40" t="s">
        <v>309</v>
      </c>
    </row>
    <row r="41" spans="1:3" x14ac:dyDescent="0.3">
      <c r="A41" t="s">
        <v>254</v>
      </c>
      <c r="B41" t="s">
        <v>310</v>
      </c>
      <c r="C41" t="s">
        <v>310</v>
      </c>
    </row>
    <row r="42" spans="1:3" x14ac:dyDescent="0.3">
      <c r="A42" t="s">
        <v>257</v>
      </c>
      <c r="B42" t="s">
        <v>311</v>
      </c>
      <c r="C42" t="s">
        <v>311</v>
      </c>
    </row>
    <row r="43" spans="1:3" x14ac:dyDescent="0.3">
      <c r="A43" t="s">
        <v>260</v>
      </c>
      <c r="B43" t="s">
        <v>312</v>
      </c>
      <c r="C43" t="s">
        <v>312</v>
      </c>
    </row>
    <row r="44" spans="1:3" x14ac:dyDescent="0.3">
      <c r="A44" t="s">
        <v>263</v>
      </c>
      <c r="B44" t="s">
        <v>313</v>
      </c>
      <c r="C44" t="s">
        <v>313</v>
      </c>
    </row>
    <row r="45" spans="1:3" x14ac:dyDescent="0.3">
      <c r="A45" t="s">
        <v>266</v>
      </c>
      <c r="B45" t="s">
        <v>314</v>
      </c>
      <c r="C45" t="s">
        <v>314</v>
      </c>
    </row>
    <row r="46" spans="1:3" x14ac:dyDescent="0.3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E2" sqref="E2"/>
    </sheetView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585</v>
      </c>
      <c r="D1" s="1" t="s">
        <v>61</v>
      </c>
      <c r="E1" s="1" t="s">
        <v>139</v>
      </c>
      <c r="F1" s="10" t="s">
        <v>586</v>
      </c>
      <c r="G1" s="1" t="s">
        <v>140</v>
      </c>
      <c r="H1" s="16" t="s">
        <v>668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3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3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3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3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3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3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3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3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3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3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3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3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3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3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3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3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3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3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3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3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3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3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3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3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3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3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3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3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3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3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3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3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3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3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3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551</v>
      </c>
      <c r="D1" s="7" t="s">
        <v>1</v>
      </c>
      <c r="E1" s="7" t="s">
        <v>550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topLeftCell="AS1" zoomScale="110" zoomScaleNormal="110" workbookViewId="0">
      <pane ySplit="1" topLeftCell="A17" activePane="bottomLeft" state="frozen"/>
      <selection pane="bottomLeft" activeCell="AW30" sqref="AW30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588</v>
      </c>
      <c r="B1" t="s">
        <v>723</v>
      </c>
      <c r="C1" t="s">
        <v>0</v>
      </c>
      <c r="D1" t="s">
        <v>591</v>
      </c>
      <c r="E1" s="6" t="s">
        <v>718</v>
      </c>
      <c r="F1" t="s">
        <v>589</v>
      </c>
      <c r="G1" s="19" t="s">
        <v>599</v>
      </c>
      <c r="H1" s="6" t="s">
        <v>666</v>
      </c>
      <c r="I1" s="6" t="s">
        <v>670</v>
      </c>
      <c r="J1" s="6" t="s">
        <v>667</v>
      </c>
      <c r="K1" s="6" t="s">
        <v>675</v>
      </c>
      <c r="L1" s="6" t="s">
        <v>600</v>
      </c>
      <c r="M1" s="6" t="s">
        <v>601</v>
      </c>
      <c r="N1" s="6" t="s">
        <v>669</v>
      </c>
      <c r="O1" s="6" t="s">
        <v>676</v>
      </c>
      <c r="P1" s="6" t="s">
        <v>602</v>
      </c>
      <c r="Q1" s="6" t="s">
        <v>603</v>
      </c>
      <c r="R1" t="s">
        <v>590</v>
      </c>
      <c r="S1" t="s">
        <v>592</v>
      </c>
      <c r="T1" s="6" t="s">
        <v>660</v>
      </c>
      <c r="U1" s="6" t="s">
        <v>665</v>
      </c>
      <c r="V1" t="s">
        <v>593</v>
      </c>
      <c r="W1" t="s">
        <v>594</v>
      </c>
      <c r="X1" s="6" t="s">
        <v>678</v>
      </c>
      <c r="Y1" t="s">
        <v>595</v>
      </c>
      <c r="Z1" t="s">
        <v>596</v>
      </c>
      <c r="AA1" t="s">
        <v>597</v>
      </c>
      <c r="AB1" t="s">
        <v>598</v>
      </c>
      <c r="AC1" s="6" t="s">
        <v>677</v>
      </c>
      <c r="AD1" s="6" t="s">
        <v>681</v>
      </c>
      <c r="AE1" s="6" t="s">
        <v>682</v>
      </c>
      <c r="AF1" s="6" t="s">
        <v>687</v>
      </c>
      <c r="AG1" s="6" t="s">
        <v>688</v>
      </c>
      <c r="AH1" t="s">
        <v>662</v>
      </c>
      <c r="AI1" t="s">
        <v>708</v>
      </c>
      <c r="AJ1" s="6" t="s">
        <v>679</v>
      </c>
      <c r="AK1" s="6" t="s">
        <v>683</v>
      </c>
      <c r="AL1" s="6" t="s">
        <v>684</v>
      </c>
      <c r="AM1" s="6" t="s">
        <v>689</v>
      </c>
      <c r="AN1" s="6" t="s">
        <v>690</v>
      </c>
      <c r="AO1" t="s">
        <v>663</v>
      </c>
      <c r="AP1" t="s">
        <v>709</v>
      </c>
      <c r="AQ1" s="6" t="s">
        <v>680</v>
      </c>
      <c r="AR1" s="6" t="s">
        <v>685</v>
      </c>
      <c r="AS1" s="6" t="s">
        <v>686</v>
      </c>
      <c r="AT1" s="6" t="s">
        <v>691</v>
      </c>
      <c r="AU1" s="6" t="s">
        <v>692</v>
      </c>
    </row>
    <row r="2" spans="1:47" x14ac:dyDescent="0.3">
      <c r="A2">
        <v>1</v>
      </c>
      <c r="B2" t="b">
        <v>1</v>
      </c>
      <c r="C2" t="s">
        <v>607</v>
      </c>
      <c r="D2" t="s">
        <v>724</v>
      </c>
      <c r="E2" s="6" t="str">
        <f>INDEX(User!$D:$D,MATCH($D2,User!$A:$A,0))</f>
        <v>root1_1</v>
      </c>
      <c r="F2" t="s">
        <v>661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606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664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605</v>
      </c>
      <c r="D3" t="s">
        <v>444</v>
      </c>
      <c r="E3" s="6" t="str">
        <f>INDEX(User!$D:$D,MATCH($D3,User!$A:$A,0))</f>
        <v>app_admin1_1</v>
      </c>
      <c r="F3" t="s">
        <v>661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604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664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608</v>
      </c>
      <c r="D4" t="s">
        <v>446</v>
      </c>
      <c r="E4" s="6" t="str">
        <f>INDEX(User!$D:$D,MATCH($D4,User!$A:$A,0))</f>
        <v>refdata_admin1_1</v>
      </c>
      <c r="F4" t="s">
        <v>661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634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664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710</v>
      </c>
      <c r="D5" t="s">
        <v>44</v>
      </c>
      <c r="E5" s="6" t="str">
        <f>INDEX(User!$D:$D,MATCH($D5,User!$A:$A,0))</f>
        <v>org_admin1_1</v>
      </c>
      <c r="F5" t="s">
        <v>661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714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664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711</v>
      </c>
      <c r="D6" t="s">
        <v>10</v>
      </c>
      <c r="E6" s="6" t="str">
        <f>INDEX(User!$D:$D,MATCH($D6,User!$A:$A,0))</f>
        <v>org_user1_1</v>
      </c>
      <c r="F6" t="s">
        <v>661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715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664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712</v>
      </c>
      <c r="D7" t="s">
        <v>724</v>
      </c>
      <c r="E7" s="6" t="str">
        <f>INDEX(User!$D:$D,MATCH($D7,User!$A:$A,0))</f>
        <v>root1_1</v>
      </c>
      <c r="F7" t="s">
        <v>722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716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664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713</v>
      </c>
      <c r="D8" t="s">
        <v>444</v>
      </c>
      <c r="E8" s="6" t="str">
        <f>INDEX(User!$D:$D,MATCH($D8,User!$A:$A,0))</f>
        <v>app_admin1_1</v>
      </c>
      <c r="F8" t="s">
        <v>722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717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664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609</v>
      </c>
      <c r="D9" t="s">
        <v>44</v>
      </c>
      <c r="E9" s="6" t="str">
        <f>INDEX(User!$D:$D,MATCH($D9,User!$A:$A,0))</f>
        <v>org_admin1_1</v>
      </c>
      <c r="F9" t="s">
        <v>722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635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664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610</v>
      </c>
      <c r="D10" t="s">
        <v>47</v>
      </c>
      <c r="E10" s="6" t="str">
        <f>INDEX(User!$D:$D,MATCH($D10,User!$A:$A,0))</f>
        <v>org_admin2_1</v>
      </c>
      <c r="F10" t="s">
        <v>722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636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664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611</v>
      </c>
      <c r="D11" t="s">
        <v>50</v>
      </c>
      <c r="E11" s="6" t="str">
        <f>INDEX(User!$D:$D,MATCH($D11,User!$A:$A,0))</f>
        <v>org_admin3_1</v>
      </c>
      <c r="F11" t="s">
        <v>722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637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664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612</v>
      </c>
      <c r="D12" t="s">
        <v>53</v>
      </c>
      <c r="E12" s="6" t="str">
        <f>INDEX(User!$D:$D,MATCH($D12,User!$A:$A,0))</f>
        <v>org_admin4_1</v>
      </c>
      <c r="F12" t="s">
        <v>722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638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664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613</v>
      </c>
      <c r="D13" t="s">
        <v>56</v>
      </c>
      <c r="E13" s="6" t="str">
        <f>INDEX(User!$D:$D,MATCH($D13,User!$A:$A,0))</f>
        <v>org_admin5_1</v>
      </c>
      <c r="F13" t="s">
        <v>722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639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664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614</v>
      </c>
      <c r="D14" t="s">
        <v>10</v>
      </c>
      <c r="E14" s="6" t="str">
        <f>INDEX(User!$D:$D,MATCH($D14,User!$A:$A,0))</f>
        <v>org_user1_1</v>
      </c>
      <c r="F14" t="s">
        <v>722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640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664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615</v>
      </c>
      <c r="D15" t="s">
        <v>12</v>
      </c>
      <c r="E15" s="6" t="str">
        <f>INDEX(User!$D:$D,MATCH($D15,User!$A:$A,0))</f>
        <v>org_user1_2</v>
      </c>
      <c r="F15" t="s">
        <v>722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641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664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616</v>
      </c>
      <c r="D16" t="s">
        <v>13</v>
      </c>
      <c r="E16" s="6" t="str">
        <f>INDEX(User!$D:$D,MATCH($D16,User!$A:$A,0))</f>
        <v>org_user1_3</v>
      </c>
      <c r="F16" t="s">
        <v>722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642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664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617</v>
      </c>
      <c r="D17" t="s">
        <v>14</v>
      </c>
      <c r="E17" s="6" t="str">
        <f>INDEX(User!$D:$D,MATCH($D17,User!$A:$A,0))</f>
        <v>org_user1_4</v>
      </c>
      <c r="F17" t="s">
        <v>722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643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664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618</v>
      </c>
      <c r="D18" t="s">
        <v>16</v>
      </c>
      <c r="E18" s="6" t="str">
        <f>INDEX(User!$D:$D,MATCH($D18,User!$A:$A,0))</f>
        <v>org_user2_1</v>
      </c>
      <c r="F18" t="s">
        <v>722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644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664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619</v>
      </c>
      <c r="D19" t="s">
        <v>18</v>
      </c>
      <c r="E19" s="6" t="str">
        <f>INDEX(User!$D:$D,MATCH($D19,User!$A:$A,0))</f>
        <v>org_user2_2</v>
      </c>
      <c r="F19" t="s">
        <v>722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645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664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620</v>
      </c>
      <c r="D20" t="s">
        <v>19</v>
      </c>
      <c r="E20" s="6" t="str">
        <f>INDEX(User!$D:$D,MATCH($D20,User!$A:$A,0))</f>
        <v>org_user2_3</v>
      </c>
      <c r="F20" t="s">
        <v>722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646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664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621</v>
      </c>
      <c r="D21" t="s">
        <v>20</v>
      </c>
      <c r="E21" s="6" t="str">
        <f>INDEX(User!$D:$D,MATCH($D21,User!$A:$A,0))</f>
        <v>org_user2_4</v>
      </c>
      <c r="F21" t="s">
        <v>722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647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664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622</v>
      </c>
      <c r="D22" t="s">
        <v>22</v>
      </c>
      <c r="E22" s="6" t="str">
        <f>INDEX(User!$D:$D,MATCH($D22,User!$A:$A,0))</f>
        <v>org_user3_1</v>
      </c>
      <c r="F22" t="s">
        <v>722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648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664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623</v>
      </c>
      <c r="D23" t="s">
        <v>24</v>
      </c>
      <c r="E23" s="6" t="str">
        <f>INDEX(User!$D:$D,MATCH($D23,User!$A:$A,0))</f>
        <v>org_user3_2</v>
      </c>
      <c r="F23" t="s">
        <v>722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649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664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624</v>
      </c>
      <c r="D24" t="s">
        <v>25</v>
      </c>
      <c r="E24" s="6" t="str">
        <f>INDEX(User!$D:$D,MATCH($D24,User!$A:$A,0))</f>
        <v>org_user3_3</v>
      </c>
      <c r="F24" t="s">
        <v>722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650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664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625</v>
      </c>
      <c r="D25" t="s">
        <v>26</v>
      </c>
      <c r="E25" s="6" t="str">
        <f>INDEX(User!$D:$D,MATCH($D25,User!$A:$A,0))</f>
        <v>org_user3_4</v>
      </c>
      <c r="F25" t="s">
        <v>722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651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664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626</v>
      </c>
      <c r="D26" t="s">
        <v>28</v>
      </c>
      <c r="E26" s="6" t="str">
        <f>INDEX(User!$D:$D,MATCH($D26,User!$A:$A,0))</f>
        <v>org_user4_1</v>
      </c>
      <c r="F26" t="s">
        <v>722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652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664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627</v>
      </c>
      <c r="D27" t="s">
        <v>30</v>
      </c>
      <c r="E27" s="6" t="str">
        <f>INDEX(User!$D:$D,MATCH($D27,User!$A:$A,0))</f>
        <v>org_user4_2</v>
      </c>
      <c r="F27" t="s">
        <v>722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653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664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628</v>
      </c>
      <c r="D28" t="s">
        <v>31</v>
      </c>
      <c r="E28" s="6" t="str">
        <f>INDEX(User!$D:$D,MATCH($D28,User!$A:$A,0))</f>
        <v>org_user4_3</v>
      </c>
      <c r="F28" t="s">
        <v>722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654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664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629</v>
      </c>
      <c r="D29" t="s">
        <v>32</v>
      </c>
      <c r="E29" s="6" t="str">
        <f>INDEX(User!$D:$D,MATCH($D29,User!$A:$A,0))</f>
        <v>org_user4_4</v>
      </c>
      <c r="F29" t="s">
        <v>722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655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664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630</v>
      </c>
      <c r="D30" t="s">
        <v>34</v>
      </c>
      <c r="E30" s="6" t="str">
        <f>INDEX(User!$D:$D,MATCH($D30,User!$A:$A,0))</f>
        <v>org_user5_1</v>
      </c>
      <c r="F30" t="s">
        <v>722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656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664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631</v>
      </c>
      <c r="D31" t="s">
        <v>36</v>
      </c>
      <c r="E31" s="6" t="str">
        <f>INDEX(User!$D:$D,MATCH($D31,User!$A:$A,0))</f>
        <v>org_user5_2</v>
      </c>
      <c r="F31" t="s">
        <v>722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657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664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632</v>
      </c>
      <c r="D32" t="s">
        <v>37</v>
      </c>
      <c r="E32" s="6" t="str">
        <f>INDEX(User!$D:$D,MATCH($D32,User!$A:$A,0))</f>
        <v>org_user5_3</v>
      </c>
      <c r="F32" t="s">
        <v>722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658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664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633</v>
      </c>
      <c r="D33" t="s">
        <v>38</v>
      </c>
      <c r="E33" s="6" t="str">
        <f>INDEX(User!$D:$D,MATCH($D33,User!$A:$A,0))</f>
        <v>org_user5_4</v>
      </c>
      <c r="F33" t="s">
        <v>722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659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664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725</v>
      </c>
      <c r="D34" t="s">
        <v>10</v>
      </c>
      <c r="E34" s="6" t="str">
        <f>INDEX(User!$D:$D,MATCH($D34,User!$A:$A,0))</f>
        <v>org_user1_1</v>
      </c>
      <c r="F34" t="s">
        <v>722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726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664</v>
      </c>
      <c r="AC34" s="6" t="str">
        <f>IF($AA34="","",INDEX(CaseTypeCol!$G:$G,MATCH($AA34,CaseTypeCol!$A:$A,0)))</f>
        <v>case_type1_dim1_1_text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775</v>
      </c>
      <c r="AJ34" s="6" t="str">
        <f>IF($AH34="","",INDEX(CaseTypeCol!$G:$G,MATCH($AH34,CaseTypeCol!$A:$A,0)))</f>
        <v>case_type1_dim1_1_text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727</v>
      </c>
      <c r="AQ34" s="6" t="str">
        <f>IF($AO34="","",INDEX(CaseTypeCol!$G:$G,MATCH($AO34,CaseTypeCol!$A:$A,0)))</f>
        <v>case_type1_dim1_1_text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728</v>
      </c>
      <c r="D35" t="s">
        <v>12</v>
      </c>
      <c r="E35" s="6" t="str">
        <f>INDEX(User!$D:$D,MATCH($D35,User!$A:$A,0))</f>
        <v>org_user1_2</v>
      </c>
      <c r="F35" t="s">
        <v>722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726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664</v>
      </c>
      <c r="AC35" s="6" t="str">
        <f>IF($AA35="","",INDEX(CaseTypeCol!$G:$G,MATCH($AA35,CaseTypeCol!$A:$A,0)))</f>
        <v>case_type1_dim1_1_text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784</v>
      </c>
      <c r="AJ35" s="6" t="str">
        <f>IF($AH35="","",INDEX(CaseTypeCol!$G:$G,MATCH($AH35,CaseTypeCol!$A:$A,0)))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IF($AO35="","",INDEX(CaseTypeCol!$G:$G,MATCH($AO35,CaseTypeCol!$A:$A,0)))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729</v>
      </c>
      <c r="D36" t="s">
        <v>13</v>
      </c>
      <c r="E36" s="6" t="str">
        <f>INDEX(User!$D:$D,MATCH($D36,User!$A:$A,0))</f>
        <v>org_user1_3</v>
      </c>
      <c r="F36" t="s">
        <v>722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726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664</v>
      </c>
      <c r="AC36" s="6" t="str">
        <f>IF($AA36="","",INDEX(CaseTypeCol!$G:$G,MATCH($AA36,CaseTypeCol!$A:$A,0)))</f>
        <v>case_type1_dim1_1_text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783</v>
      </c>
      <c r="AJ36" s="6" t="str">
        <f>IF($AH36="","",INDEX(CaseTypeCol!$G:$G,MATCH($AH36,CaseTypeCol!$A:$A,0)))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IF($AO36="","",INDEX(CaseTypeCol!$G:$G,MATCH($AO36,CaseTypeCol!$A:$A,0)))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730</v>
      </c>
      <c r="D37" t="s">
        <v>14</v>
      </c>
      <c r="E37" s="6" t="str">
        <f>INDEX(User!$D:$D,MATCH($D37,User!$A:$A,0))</f>
        <v>org_user1_4</v>
      </c>
      <c r="F37" t="s">
        <v>722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726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664</v>
      </c>
      <c r="AC37" s="6" t="str">
        <f>IF($AA37="","",INDEX(CaseTypeCol!$G:$G,MATCH($AA37,CaseTypeCol!$A:$A,0)))</f>
        <v>case_type1_dim1_1_text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776</v>
      </c>
      <c r="AJ37" s="6" t="str">
        <f>IF($AH37="","",INDEX(CaseTypeCol!$G:$G,MATCH($AH37,CaseTypeCol!$A:$A,0)))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IF($AO37="","",INDEX(CaseTypeCol!$G:$G,MATCH($AO37,CaseTypeCol!$A:$A,0)))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731</v>
      </c>
      <c r="D38" t="s">
        <v>16</v>
      </c>
      <c r="E38" s="6" t="str">
        <f>INDEX(User!$D:$D,MATCH($D38,User!$A:$A,0))</f>
        <v>org_user2_1</v>
      </c>
      <c r="F38" t="s">
        <v>722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726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664</v>
      </c>
      <c r="AC38" s="6" t="str">
        <f>IF($AA38="","",INDEX(CaseTypeCol!$G:$G,MATCH($AA38,CaseTypeCol!$A:$A,0)))</f>
        <v>case_type1_dim1_1_text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777</v>
      </c>
      <c r="AJ38" s="6" t="str">
        <f>IF($AH38="","",INDEX(CaseTypeCol!$G:$G,MATCH($AH38,CaseTypeCol!$A:$A,0)))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IF($AO38="","",INDEX(CaseTypeCol!$G:$G,MATCH($AO38,CaseTypeCol!$A:$A,0)))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732</v>
      </c>
      <c r="D39" t="s">
        <v>18</v>
      </c>
      <c r="E39" s="6" t="str">
        <f>INDEX(User!$D:$D,MATCH($D39,User!$A:$A,0))</f>
        <v>org_user2_2</v>
      </c>
      <c r="F39" t="s">
        <v>722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726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664</v>
      </c>
      <c r="AC39" s="6" t="str">
        <f>IF($AA39="","",INDEX(CaseTypeCol!$G:$G,MATCH($AA39,CaseTypeCol!$A:$A,0)))</f>
        <v>case_type1_dim1_1_text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778</v>
      </c>
      <c r="AJ39" s="6" t="str">
        <f>IF($AH39="","",INDEX(CaseTypeCol!$G:$G,MATCH($AH39,CaseTypeCol!$A:$A,0)))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IF($AO39="","",INDEX(CaseTypeCol!$G:$G,MATCH($AO39,CaseTypeCol!$A:$A,0)))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733</v>
      </c>
      <c r="D40" t="s">
        <v>19</v>
      </c>
      <c r="E40" s="6" t="str">
        <f>INDEX(User!$D:$D,MATCH($D40,User!$A:$A,0))</f>
        <v>org_user2_3</v>
      </c>
      <c r="F40" t="s">
        <v>722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726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664</v>
      </c>
      <c r="AC40" s="6" t="str">
        <f>IF($AA40="","",INDEX(CaseTypeCol!$G:$G,MATCH($AA40,CaseTypeCol!$A:$A,0)))</f>
        <v>case_type1_dim1_1_text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778</v>
      </c>
      <c r="AJ40" s="6" t="str">
        <f>IF($AH40="","",INDEX(CaseTypeCol!$G:$G,MATCH($AH40,CaseTypeCol!$A:$A,0)))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IF($AO40="","",INDEX(CaseTypeCol!$G:$G,MATCH($AO40,CaseTypeCol!$A:$A,0)))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734</v>
      </c>
      <c r="D41" t="s">
        <v>20</v>
      </c>
      <c r="E41" s="6" t="str">
        <f>INDEX(User!$D:$D,MATCH($D41,User!$A:$A,0))</f>
        <v>org_user2_4</v>
      </c>
      <c r="F41" t="s">
        <v>722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726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664</v>
      </c>
      <c r="AC41" s="6" t="str">
        <f>IF($AA41="","",INDEX(CaseTypeCol!$G:$G,MATCH($AA41,CaseTypeCol!$A:$A,0)))</f>
        <v>case_type1_dim1_1_text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779</v>
      </c>
      <c r="AJ41" s="6" t="str">
        <f>IF($AH41="","",INDEX(CaseTypeCol!$G:$G,MATCH($AH41,CaseTypeCol!$A:$A,0)))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IF($AO41="","",INDEX(CaseTypeCol!$G:$G,MATCH($AO41,CaseTypeCol!$A:$A,0)))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735</v>
      </c>
      <c r="D42" t="s">
        <v>22</v>
      </c>
      <c r="E42" s="6" t="str">
        <f>INDEX(User!$D:$D,MATCH($D42,User!$A:$A,0))</f>
        <v>org_user3_1</v>
      </c>
      <c r="F42" t="s">
        <v>722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726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664</v>
      </c>
      <c r="AC42" s="6" t="str">
        <f>IF($AA42="","",INDEX(CaseTypeCol!$G:$G,MATCH($AA42,CaseTypeCol!$A:$A,0)))</f>
        <v>case_type1_dim1_1_text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780</v>
      </c>
      <c r="AJ42" s="6" t="str">
        <f>IF($AH42="","",INDEX(CaseTypeCol!$G:$G,MATCH($AH42,CaseTypeCol!$A:$A,0)))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IF($AO42="","",INDEX(CaseTypeCol!$G:$G,MATCH($AO42,CaseTypeCol!$A:$A,0)))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736</v>
      </c>
      <c r="D43" t="s">
        <v>24</v>
      </c>
      <c r="E43" s="6" t="str">
        <f>INDEX(User!$D:$D,MATCH($D43,User!$A:$A,0))</f>
        <v>org_user3_2</v>
      </c>
      <c r="F43" t="s">
        <v>722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726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664</v>
      </c>
      <c r="AC43" s="6" t="str">
        <f>IF($AA43="","",INDEX(CaseTypeCol!$G:$G,MATCH($AA43,CaseTypeCol!$A:$A,0)))</f>
        <v>case_type1_dim1_1_text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781</v>
      </c>
      <c r="AJ43" s="6" t="str">
        <f>IF($AH43="","",INDEX(CaseTypeCol!$G:$G,MATCH($AH43,CaseTypeCol!$A:$A,0)))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IF($AO43="","",INDEX(CaseTypeCol!$G:$G,MATCH($AO43,CaseTypeCol!$A:$A,0)))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737</v>
      </c>
      <c r="D44" t="s">
        <v>25</v>
      </c>
      <c r="E44" s="6" t="str">
        <f>INDEX(User!$D:$D,MATCH($D44,User!$A:$A,0))</f>
        <v>org_user3_3</v>
      </c>
      <c r="F44" t="s">
        <v>722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726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664</v>
      </c>
      <c r="AC44" s="6" t="str">
        <f>IF($AA44="","",INDEX(CaseTypeCol!$G:$G,MATCH($AA44,CaseTypeCol!$A:$A,0)))</f>
        <v>case_type1_dim1_1_text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IF($AH44="","",INDEX(CaseTypeCol!$G:$G,MATCH($AH44,CaseTypeCol!$A:$A,0)))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IF($AO44="","",INDEX(CaseTypeCol!$G:$G,MATCH($AO44,CaseTypeCol!$A:$A,0)))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738</v>
      </c>
      <c r="D45" t="s">
        <v>26</v>
      </c>
      <c r="E45" s="6" t="str">
        <f>INDEX(User!$D:$D,MATCH($D45,User!$A:$A,0))</f>
        <v>org_user3_4</v>
      </c>
      <c r="F45" t="s">
        <v>722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726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664</v>
      </c>
      <c r="AC45" s="6" t="str">
        <f>IF($AA45="","",INDEX(CaseTypeCol!$G:$G,MATCH($AA45,CaseTypeCol!$A:$A,0)))</f>
        <v>case_type1_dim1_1_text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IF($AH45="","",INDEX(CaseTypeCol!$G:$G,MATCH($AH45,CaseTypeCol!$A:$A,0)))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IF($AO45="","",INDEX(CaseTypeCol!$G:$G,MATCH($AO45,CaseTypeCol!$A:$A,0)))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739</v>
      </c>
      <c r="D46" t="s">
        <v>28</v>
      </c>
      <c r="E46" s="6" t="str">
        <f>INDEX(User!$D:$D,MATCH($D46,User!$A:$A,0))</f>
        <v>org_user4_1</v>
      </c>
      <c r="F46" t="s">
        <v>722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652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664</v>
      </c>
      <c r="AC46" s="6" t="str">
        <f>IF($AA46="","",INDEX(CaseTypeCol!$G:$G,MATCH($AA46,CaseTypeCol!$A:$A,0)))</f>
        <v>case_type1_dim1_1_text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IF($AH46="","",INDEX(CaseTypeCol!$G:$G,MATCH($AH46,CaseTypeCol!$A:$A,0)))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740</v>
      </c>
      <c r="AQ46" s="6" t="str">
        <f>IF($AO46="","",INDEX(CaseTypeCol!$G:$G,MATCH($AO46,CaseTypeCol!$A:$A,0)))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741</v>
      </c>
      <c r="D47" t="s">
        <v>30</v>
      </c>
      <c r="E47" s="6" t="str">
        <f>INDEX(User!$D:$D,MATCH($D47,User!$A:$A,0))</f>
        <v>org_user4_2</v>
      </c>
      <c r="F47" t="s">
        <v>722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653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664</v>
      </c>
      <c r="AC47" s="6" t="str">
        <f>IF($AA47="","",INDEX(CaseTypeCol!$G:$G,MATCH($AA47,CaseTypeCol!$A:$A,0)))</f>
        <v>case_type1_dim1_1_text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IF($AH47="","",INDEX(CaseTypeCol!$G:$G,MATCH($AH47,CaseTypeCol!$A:$A,0)))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740</v>
      </c>
      <c r="AQ47" s="6" t="str">
        <f>IF($AO47="","",INDEX(CaseTypeCol!$G:$G,MATCH($AO47,CaseTypeCol!$A:$A,0)))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742</v>
      </c>
      <c r="D48" t="s">
        <v>31</v>
      </c>
      <c r="E48" s="6" t="str">
        <f>INDEX(User!$D:$D,MATCH($D48,User!$A:$A,0))</f>
        <v>org_user4_3</v>
      </c>
      <c r="F48" t="s">
        <v>722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654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664</v>
      </c>
      <c r="AC48" s="6" t="str">
        <f>IF($AA48="","",INDEX(CaseTypeCol!$G:$G,MATCH($AA48,CaseTypeCol!$A:$A,0)))</f>
        <v>case_type1_dim1_1_text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IF($AH48="","",INDEX(CaseTypeCol!$G:$G,MATCH($AH48,CaseTypeCol!$A:$A,0)))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740</v>
      </c>
      <c r="AQ48" s="6" t="str">
        <f>IF($AO48="","",INDEX(CaseTypeCol!$G:$G,MATCH($AO48,CaseTypeCol!$A:$A,0)))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743</v>
      </c>
      <c r="D49" t="s">
        <v>32</v>
      </c>
      <c r="E49" s="6" t="str">
        <f>INDEX(User!$D:$D,MATCH($D49,User!$A:$A,0))</f>
        <v>org_user4_4</v>
      </c>
      <c r="F49" t="s">
        <v>722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655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664</v>
      </c>
      <c r="AC49" s="6" t="str">
        <f>IF($AA49="","",INDEX(CaseTypeCol!$G:$G,MATCH($AA49,CaseTypeCol!$A:$A,0)))</f>
        <v>case_type1_dim1_1_text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IF($AH49="","",INDEX(CaseTypeCol!$G:$G,MATCH($AH49,CaseTypeCol!$A:$A,0)))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740</v>
      </c>
      <c r="AQ49" s="6" t="str">
        <f>IF($AO49="","",INDEX(CaseTypeCol!$G:$G,MATCH($AO49,CaseTypeCol!$A:$A,0)))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744</v>
      </c>
      <c r="D50" t="s">
        <v>34</v>
      </c>
      <c r="E50" s="6" t="str">
        <f>INDEX(User!$D:$D,MATCH($D50,User!$A:$A,0))</f>
        <v>org_user5_1</v>
      </c>
      <c r="F50" t="s">
        <v>722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656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664</v>
      </c>
      <c r="AC50" s="6" t="str">
        <f>IF($AA50="","",INDEX(CaseTypeCol!$G:$G,MATCH($AA50,CaseTypeCol!$A:$A,0)))</f>
        <v>case_type1_dim1_1_text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IF($AH50="","",INDEX(CaseTypeCol!$G:$G,MATCH($AH50,CaseTypeCol!$A:$A,0)))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745</v>
      </c>
      <c r="AQ50" s="6" t="str">
        <f>IF($AO50="","",INDEX(CaseTypeCol!$G:$G,MATCH($AO50,CaseTypeCol!$A:$A,0)))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746</v>
      </c>
      <c r="D51" t="s">
        <v>36</v>
      </c>
      <c r="E51" s="6" t="str">
        <f>INDEX(User!$D:$D,MATCH($D51,User!$A:$A,0))</f>
        <v>org_user5_2</v>
      </c>
      <c r="F51" t="s">
        <v>722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657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664</v>
      </c>
      <c r="AC51" s="6" t="str">
        <f>IF($AA51="","",INDEX(CaseTypeCol!$G:$G,MATCH($AA51,CaseTypeCol!$A:$A,0)))</f>
        <v>case_type1_dim1_1_text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IF($AH51="","",INDEX(CaseTypeCol!$G:$G,MATCH($AH51,CaseTypeCol!$A:$A,0)))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745</v>
      </c>
      <c r="AQ51" s="6" t="str">
        <f>IF($AO51="","",INDEX(CaseTypeCol!$G:$G,MATCH($AO51,CaseTypeCol!$A:$A,0)))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747</v>
      </c>
      <c r="D52" t="s">
        <v>37</v>
      </c>
      <c r="E52" s="6" t="str">
        <f>INDEX(User!$D:$D,MATCH($D52,User!$A:$A,0))</f>
        <v>org_user5_3</v>
      </c>
      <c r="F52" t="s">
        <v>722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658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664</v>
      </c>
      <c r="AC52" s="6" t="str">
        <f>IF($AA52="","",INDEX(CaseTypeCol!$G:$G,MATCH($AA52,CaseTypeCol!$A:$A,0)))</f>
        <v>case_type1_dim1_1_text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IF($AH52="","",INDEX(CaseTypeCol!$G:$G,MATCH($AH52,CaseTypeCol!$A:$A,0)))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745</v>
      </c>
      <c r="AQ52" s="6" t="str">
        <f>IF($AO52="","",INDEX(CaseTypeCol!$G:$G,MATCH($AO52,CaseTypeCol!$A:$A,0)))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748</v>
      </c>
      <c r="D53" t="s">
        <v>38</v>
      </c>
      <c r="E53" s="6" t="str">
        <f>INDEX(User!$D:$D,MATCH($D53,User!$A:$A,0))</f>
        <v>org_user5_4</v>
      </c>
      <c r="F53" t="s">
        <v>722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659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664</v>
      </c>
      <c r="AC53" s="6" t="str">
        <f>IF($AA53="","",INDEX(CaseTypeCol!$G:$G,MATCH($AA53,CaseTypeCol!$A:$A,0)))</f>
        <v>case_type1_dim1_1_text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IF($AH53="","",INDEX(CaseTypeCol!$G:$G,MATCH($AH53,CaseTypeCol!$A:$A,0)))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745</v>
      </c>
      <c r="AQ53" s="6" t="str">
        <f>IF($AO53="","",INDEX(CaseTypeCol!$G:$G,MATCH($AO53,CaseTypeCol!$A:$A,0)))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749</v>
      </c>
      <c r="D54" t="s">
        <v>10</v>
      </c>
      <c r="E54" s="6" t="str">
        <f>INDEX(User!$D:$D,MATCH($D54,User!$A:$A,0))</f>
        <v>org_user1_1</v>
      </c>
      <c r="F54" t="s">
        <v>722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750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664</v>
      </c>
      <c r="AC54" s="6" t="str">
        <f>IF($AA54="","",INDEX(CaseTypeCol!$G:$G,MATCH($AA54,CaseTypeCol!$A:$A,0)))</f>
        <v>case_type1_dim1_1_text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782</v>
      </c>
      <c r="AJ54" s="6" t="str">
        <f>IF($AH54="","",INDEX(CaseTypeCol!$G:$G,MATCH($AH54,CaseTypeCol!$A:$A,0)))</f>
        <v>case_type1_dim1_1_text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727</v>
      </c>
      <c r="AQ54" s="6" t="str">
        <f>IF($AO54="","",INDEX(CaseTypeCol!$G:$G,MATCH($AO54,CaseTypeCol!$A:$A,0)))</f>
        <v>case_type1_dim1_1_text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751</v>
      </c>
      <c r="D55" t="s">
        <v>10</v>
      </c>
      <c r="E55" s="6" t="str">
        <f>INDEX(User!$D:$D,MATCH($D55,User!$A:$A,0))</f>
        <v>org_user1_1</v>
      </c>
      <c r="F55" t="s">
        <v>722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752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664</v>
      </c>
      <c r="AC55" s="6" t="str">
        <f>IF($AA55="","",INDEX(CaseTypeCol!$G:$G,MATCH($AA55,CaseTypeCol!$A:$A,0)))</f>
        <v>case_type1_dim1_2_text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783</v>
      </c>
      <c r="AJ55" s="6" t="str">
        <f>IF($AH55="","",INDEX(CaseTypeCol!$G:$G,MATCH($AH55,CaseTypeCol!$A:$A,0)))</f>
        <v>case_type1_dim1_2_text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727</v>
      </c>
      <c r="AQ55" s="6" t="str">
        <f>IF($AO55="","",INDEX(CaseTypeCol!$G:$G,MATCH($AO55,CaseTypeCol!$A:$A,0)))</f>
        <v>case_type1_dim1_2_text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753</v>
      </c>
      <c r="D56" t="s">
        <v>10</v>
      </c>
      <c r="E56" s="6" t="str">
        <f>INDEX(User!$D:$D,MATCH($D56,User!$A:$A,0))</f>
        <v>org_user1_1</v>
      </c>
      <c r="F56" t="s">
        <v>722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754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664</v>
      </c>
      <c r="AC56" s="6" t="str">
        <f>IF($AA56="","",INDEX(CaseTypeCol!$G:$G,MATCH($AA56,CaseTypeCol!$A:$A,0)))</f>
        <v>case_type1_dim1_3_text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783</v>
      </c>
      <c r="AJ56" s="6" t="str">
        <f>IF($AH56="","",INDEX(CaseTypeCol!$G:$G,MATCH($AH56,CaseTypeCol!$A:$A,0)))</f>
        <v>case_type1_dim1_3_text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727</v>
      </c>
      <c r="AQ56" s="6" t="str">
        <f>IF($AO56="","",INDEX(CaseTypeCol!$G:$G,MATCH($AO56,CaseTypeCol!$A:$A,0)))</f>
        <v>case_type1_dim1_3_text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755</v>
      </c>
      <c r="D57" t="s">
        <v>12</v>
      </c>
      <c r="E57" s="6" t="str">
        <f>INDEX(User!$D:$D,MATCH($D57,User!$A:$A,0))</f>
        <v>org_user1_2</v>
      </c>
      <c r="F57" t="s">
        <v>722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641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664</v>
      </c>
      <c r="AC57" s="6" t="str">
        <f>IF($AA57="","",INDEX(CaseTypeCol!$G:$G,MATCH($AA57,CaseTypeCol!$A:$A,0)))</f>
        <v>case_type1_dim1_1_text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IF($AH57="","",INDEX(CaseTypeCol!$G:$G,MATCH($AH57,CaseTypeCol!$A:$A,0)))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745</v>
      </c>
      <c r="AQ57" s="6" t="str">
        <f>IF($AO57="","",INDEX(CaseTypeCol!$G:$G,MATCH($AO57,CaseTypeCol!$A:$A,0)))</f>
        <v>case_type1_dim1_2_text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756</v>
      </c>
      <c r="D58" t="s">
        <v>12</v>
      </c>
      <c r="E58" s="6" t="str">
        <f>INDEX(User!$D:$D,MATCH($D58,User!$A:$A,0))</f>
        <v>org_user1_2</v>
      </c>
      <c r="F58" t="s">
        <v>722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641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664</v>
      </c>
      <c r="AC58" s="6" t="str">
        <f>IF($AA58="","",INDEX(CaseTypeCol!$G:$G,MATCH($AA58,CaseTypeCol!$A:$A,0)))</f>
        <v>case_type1_dim1_1_text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IF($AH58="","",INDEX(CaseTypeCol!$G:$G,MATCH($AH58,CaseTypeCol!$A:$A,0)))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745</v>
      </c>
      <c r="AQ58" s="6" t="str">
        <f>IF($AO58="","",INDEX(CaseTypeCol!$G:$G,MATCH($AO58,CaseTypeCol!$A:$A,0)))</f>
        <v>case_type1_dim1_2_text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757</v>
      </c>
      <c r="D59" t="s">
        <v>13</v>
      </c>
      <c r="E59" s="6" t="str">
        <f>INDEX(User!$D:$D,MATCH($D59,User!$A:$A,0))</f>
        <v>org_user1_3</v>
      </c>
      <c r="F59" t="s">
        <v>722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642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664</v>
      </c>
      <c r="AC59" s="6" t="str">
        <f>IF($AA59="","",INDEX(CaseTypeCol!$G:$G,MATCH($AA59,CaseTypeCol!$A:$A,0)))</f>
        <v>case_type1_dim1_1_text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IF($AH59="","",INDEX(CaseTypeCol!$G:$G,MATCH($AH59,CaseTypeCol!$A:$A,0)))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758</v>
      </c>
      <c r="AQ59" s="6" t="str">
        <f>IF($AO59="","",INDEX(CaseTypeCol!$G:$G,MATCH($AO59,CaseTypeCol!$A:$A,0)))</f>
        <v>case_type1_dim2_1_text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759</v>
      </c>
      <c r="D60" t="s">
        <v>22</v>
      </c>
      <c r="E60" s="6" t="str">
        <f>INDEX(User!$D:$D,MATCH($D60,User!$A:$A,0))</f>
        <v>org_user3_1</v>
      </c>
      <c r="F60" t="s">
        <v>722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726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664</v>
      </c>
      <c r="AC60" s="6" t="str">
        <f>IF($AA60="","",INDEX(CaseTypeCol!$G:$G,MATCH($AA60,CaseTypeCol!$A:$A,0)))</f>
        <v>case_type1_dim1_1_text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781</v>
      </c>
      <c r="AJ60" s="6" t="str">
        <f>IF($AH60="","",INDEX(CaseTypeCol!$G:$G,MATCH($AH60,CaseTypeCol!$A:$A,0)))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IF($AO60="","",INDEX(CaseTypeCol!$G:$G,MATCH($AO60,CaseTypeCol!$A:$A,0)))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760</v>
      </c>
      <c r="D61" t="s">
        <v>24</v>
      </c>
      <c r="E61" s="6" t="str">
        <f>INDEX(User!$D:$D,MATCH($D61,User!$A:$A,0))</f>
        <v>org_user3_2</v>
      </c>
      <c r="F61" t="s">
        <v>722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726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664</v>
      </c>
      <c r="AC61" s="6" t="str">
        <f>IF($AA61="","",INDEX(CaseTypeCol!$G:$G,MATCH($AA61,CaseTypeCol!$A:$A,0)))</f>
        <v>case_type1_dim1_1_text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781</v>
      </c>
      <c r="AJ61" s="6" t="str">
        <f>IF($AH61="","",INDEX(CaseTypeCol!$G:$G,MATCH($AH61,CaseTypeCol!$A:$A,0)))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IF($AO61="","",INDEX(CaseTypeCol!$G:$G,MATCH($AO61,CaseTypeCol!$A:$A,0)))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761</v>
      </c>
      <c r="D62" t="s">
        <v>25</v>
      </c>
      <c r="E62" s="6" t="str">
        <f>INDEX(User!$D:$D,MATCH($D62,User!$A:$A,0))</f>
        <v>org_user3_3</v>
      </c>
      <c r="F62" t="s">
        <v>722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726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664</v>
      </c>
      <c r="AC62" s="6" t="str">
        <f>IF($AA62="","",INDEX(CaseTypeCol!$G:$G,MATCH($AA62,CaseTypeCol!$A:$A,0)))</f>
        <v>case_type1_dim1_1_text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781</v>
      </c>
      <c r="AJ62" s="6" t="str">
        <f>IF($AH62="","",INDEX(CaseTypeCol!$G:$G,MATCH($AH62,CaseTypeCol!$A:$A,0)))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IF($AO62="","",INDEX(CaseTypeCol!$G:$G,MATCH($AO62,CaseTypeCol!$A:$A,0)))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762</v>
      </c>
      <c r="D63" t="s">
        <v>26</v>
      </c>
      <c r="E63" s="6" t="str">
        <f>INDEX(User!$D:$D,MATCH($D63,User!$A:$A,0))</f>
        <v>org_user3_4</v>
      </c>
      <c r="F63" t="s">
        <v>722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726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664</v>
      </c>
      <c r="AC63" s="6" t="str">
        <f>IF($AA63="","",INDEX(CaseTypeCol!$G:$G,MATCH($AA63,CaseTypeCol!$A:$A,0)))</f>
        <v>case_type1_dim1_1_text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781</v>
      </c>
      <c r="AJ63" s="6" t="str">
        <f>IF($AH63="","",INDEX(CaseTypeCol!$G:$G,MATCH($AH63,CaseTypeCol!$A:$A,0)))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IF($AO63="","",INDEX(CaseTypeCol!$G:$G,MATCH($AO63,CaseTypeCol!$A:$A,0)))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763</v>
      </c>
      <c r="D64" t="s">
        <v>28</v>
      </c>
      <c r="E64" s="6" t="str">
        <f>INDEX(User!$D:$D,MATCH($D64,User!$A:$A,0))</f>
        <v>org_user4_1</v>
      </c>
      <c r="F64" t="s">
        <v>722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652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664</v>
      </c>
      <c r="AC64" s="6" t="str">
        <f>IF($AA64="","",INDEX(CaseTypeCol!$G:$G,MATCH($AA64,CaseTypeCol!$A:$A,0)))</f>
        <v>case_type1_dim1_1_text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781</v>
      </c>
      <c r="AJ64" s="6" t="str">
        <f>IF($AH64="","",INDEX(CaseTypeCol!$G:$G,MATCH($AH64,CaseTypeCol!$A:$A,0)))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740</v>
      </c>
      <c r="AQ64" s="6" t="str">
        <f>IF($AO64="","",INDEX(CaseTypeCol!$G:$G,MATCH($AO64,CaseTypeCol!$A:$A,0)))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764</v>
      </c>
      <c r="D65" t="s">
        <v>30</v>
      </c>
      <c r="E65" s="6" t="str">
        <f>INDEX(User!$D:$D,MATCH($D65,User!$A:$A,0))</f>
        <v>org_user4_2</v>
      </c>
      <c r="F65" t="s">
        <v>722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653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664</v>
      </c>
      <c r="AC65" s="6" t="str">
        <f>IF($AA65="","",INDEX(CaseTypeCol!$G:$G,MATCH($AA65,CaseTypeCol!$A:$A,0)))</f>
        <v>case_type1_dim1_1_text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781</v>
      </c>
      <c r="AJ65" s="6" t="str">
        <f>IF($AH65="","",INDEX(CaseTypeCol!$G:$G,MATCH($AH65,CaseTypeCol!$A:$A,0)))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740</v>
      </c>
      <c r="AQ65" s="6" t="str">
        <f>IF($AO65="","",INDEX(CaseTypeCol!$G:$G,MATCH($AO65,CaseTypeCol!$A:$A,0)))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765</v>
      </c>
      <c r="D66" t="s">
        <v>31</v>
      </c>
      <c r="E66" s="6" t="str">
        <f>INDEX(User!$D:$D,MATCH($D66,User!$A:$A,0))</f>
        <v>org_user4_3</v>
      </c>
      <c r="F66" t="s">
        <v>722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654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664</v>
      </c>
      <c r="AC66" s="6" t="str">
        <f>IF($AA66="","",INDEX(CaseTypeCol!$G:$G,MATCH($AA66,CaseTypeCol!$A:$A,0)))</f>
        <v>case_type1_dim1_1_text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781</v>
      </c>
      <c r="AJ66" s="6" t="str">
        <f>IF($AH66="","",INDEX(CaseTypeCol!$G:$G,MATCH($AH66,CaseTypeCol!$A:$A,0)))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740</v>
      </c>
      <c r="AQ66" s="6" t="str">
        <f>IF($AO66="","",INDEX(CaseTypeCol!$G:$G,MATCH($AO66,CaseTypeCol!$A:$A,0)))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766</v>
      </c>
      <c r="D67" t="s">
        <v>32</v>
      </c>
      <c r="E67" s="6" t="str">
        <f>INDEX(User!$D:$D,MATCH($D67,User!$A:$A,0))</f>
        <v>org_user4_4</v>
      </c>
      <c r="F67" t="s">
        <v>722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655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664</v>
      </c>
      <c r="AC67" s="6" t="str">
        <f>IF($AA67="","",INDEX(CaseTypeCol!$G:$G,MATCH($AA67,CaseTypeCol!$A:$A,0)))</f>
        <v>case_type1_dim1_1_text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781</v>
      </c>
      <c r="AJ67" s="6" t="str">
        <f>IF($AH67="","",INDEX(CaseTypeCol!$G:$G,MATCH($AH67,CaseTypeCol!$A:$A,0)))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740</v>
      </c>
      <c r="AQ67" s="6" t="str">
        <f>IF($AO67="","",INDEX(CaseTypeCol!$G:$G,MATCH($AO67,CaseTypeCol!$A:$A,0)))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767</v>
      </c>
      <c r="D68" t="s">
        <v>34</v>
      </c>
      <c r="E68" s="6" t="str">
        <f>INDEX(User!$D:$D,MATCH($D68,User!$A:$A,0))</f>
        <v>org_user5_1</v>
      </c>
      <c r="F68" t="s">
        <v>722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656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664</v>
      </c>
      <c r="AC68" s="6" t="str">
        <f>IF($AA68="","",INDEX(CaseTypeCol!$G:$G,MATCH($AA68,CaseTypeCol!$A:$A,0)))</f>
        <v>case_type1_dim1_1_text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781</v>
      </c>
      <c r="AJ68" s="6" t="str">
        <f>IF($AH68="","",INDEX(CaseTypeCol!$G:$G,MATCH($AH68,CaseTypeCol!$A:$A,0)))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745</v>
      </c>
      <c r="AQ68" s="6" t="str">
        <f>IF($AO68="","",INDEX(CaseTypeCol!$G:$G,MATCH($AO68,CaseTypeCol!$A:$A,0)))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768</v>
      </c>
      <c r="D69" t="s">
        <v>36</v>
      </c>
      <c r="E69" s="6" t="str">
        <f>INDEX(User!$D:$D,MATCH($D69,User!$A:$A,0))</f>
        <v>org_user5_2</v>
      </c>
      <c r="F69" t="s">
        <v>722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657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664</v>
      </c>
      <c r="AC69" s="6" t="str">
        <f>IF($AA69="","",INDEX(CaseTypeCol!$G:$G,MATCH($AA69,CaseTypeCol!$A:$A,0)))</f>
        <v>case_type1_dim1_1_text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781</v>
      </c>
      <c r="AJ69" s="6" t="str">
        <f>IF($AH69="","",INDEX(CaseTypeCol!$G:$G,MATCH($AH69,CaseTypeCol!$A:$A,0)))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745</v>
      </c>
      <c r="AQ69" s="6" t="str">
        <f>IF($AO69="","",INDEX(CaseTypeCol!$G:$G,MATCH($AO69,CaseTypeCol!$A:$A,0)))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769</v>
      </c>
      <c r="D70" t="s">
        <v>37</v>
      </c>
      <c r="E70" s="6" t="str">
        <f>INDEX(User!$D:$D,MATCH($D70,User!$A:$A,0))</f>
        <v>org_user5_3</v>
      </c>
      <c r="F70" t="s">
        <v>722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658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664</v>
      </c>
      <c r="AC70" s="6" t="str">
        <f>IF($AA70="","",INDEX(CaseTypeCol!$G:$G,MATCH($AA70,CaseTypeCol!$A:$A,0)))</f>
        <v>case_type1_dim1_1_text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781</v>
      </c>
      <c r="AJ70" s="6" t="str">
        <f>IF($AH70="","",INDEX(CaseTypeCol!$G:$G,MATCH($AH70,CaseTypeCol!$A:$A,0)))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745</v>
      </c>
      <c r="AQ70" s="6" t="str">
        <f>IF($AO70="","",INDEX(CaseTypeCol!$G:$G,MATCH($AO70,CaseTypeCol!$A:$A,0)))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770</v>
      </c>
      <c r="D71" t="s">
        <v>38</v>
      </c>
      <c r="E71" s="6" t="str">
        <f>INDEX(User!$D:$D,MATCH($D71,User!$A:$A,0))</f>
        <v>org_user5_4</v>
      </c>
      <c r="F71" t="s">
        <v>722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659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664</v>
      </c>
      <c r="AC71" s="6" t="str">
        <f>IF($AA71="","",INDEX(CaseTypeCol!$G:$G,MATCH($AA71,CaseTypeCol!$A:$A,0)))</f>
        <v>case_type1_dim1_1_text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781</v>
      </c>
      <c r="AJ71" s="6" t="str">
        <f>IF($AH71="","",INDEX(CaseTypeCol!$G:$G,MATCH($AH71,CaseTypeCol!$A:$A,0)))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745</v>
      </c>
      <c r="AQ71" s="6" t="str">
        <f>IF($AO71="","",INDEX(CaseTypeCol!$G:$G,MATCH($AO71,CaseTypeCol!$A:$A,0)))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771</v>
      </c>
      <c r="D72" t="s">
        <v>16</v>
      </c>
      <c r="E72" s="6" t="str">
        <f>INDEX(User!$D:$D,MATCH($D72,User!$A:$A,0))</f>
        <v>org_user2_1</v>
      </c>
      <c r="F72" t="s">
        <v>722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726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664</v>
      </c>
      <c r="AC72" s="6" t="str">
        <f>IF($AA72="","",INDEX(CaseTypeCol!$G:$G,MATCH($AA72,CaseTypeCol!$A:$A,0)))</f>
        <v>case_type1_dim1_1_text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781</v>
      </c>
      <c r="AJ72" s="6" t="str">
        <f>IF($AH72="","",INDEX(CaseTypeCol!$G:$G,MATCH($AH72,CaseTypeCol!$A:$A,0)))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IF($AO72="","",INDEX(CaseTypeCol!$G:$G,MATCH($AO72,CaseTypeCol!$A:$A,0)))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772</v>
      </c>
      <c r="D73" t="s">
        <v>18</v>
      </c>
      <c r="E73" s="6" t="str">
        <f>INDEX(User!$D:$D,MATCH($D73,User!$A:$A,0))</f>
        <v>org_user2_2</v>
      </c>
      <c r="F73" t="s">
        <v>722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726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664</v>
      </c>
      <c r="AC73" s="6" t="str">
        <f>IF($AA73="","",INDEX(CaseTypeCol!$G:$G,MATCH($AA73,CaseTypeCol!$A:$A,0)))</f>
        <v>case_type1_dim1_1_text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781</v>
      </c>
      <c r="AJ73" s="6" t="str">
        <f>IF($AH73="","",INDEX(CaseTypeCol!$G:$G,MATCH($AH73,CaseTypeCol!$A:$A,0)))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IF($AO73="","",INDEX(CaseTypeCol!$G:$G,MATCH($AO73,CaseTypeCol!$A:$A,0)))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773</v>
      </c>
      <c r="D74" t="s">
        <v>19</v>
      </c>
      <c r="E74" s="6" t="str">
        <f>INDEX(User!$D:$D,MATCH($D74,User!$A:$A,0))</f>
        <v>org_user2_3</v>
      </c>
      <c r="F74" t="s">
        <v>722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658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664</v>
      </c>
      <c r="AC74" s="6" t="str">
        <f>IF($AA74="","",INDEX(CaseTypeCol!$G:$G,MATCH($AA74,CaseTypeCol!$A:$A,0)))</f>
        <v>case_type1_dim1_1_text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781</v>
      </c>
      <c r="AJ74" s="6" t="str">
        <f>IF($AH74="","",INDEX(CaseTypeCol!$G:$G,MATCH($AH74,CaseTypeCol!$A:$A,0)))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IF($AO74="","",INDEX(CaseTypeCol!$G:$G,MATCH($AO74,CaseTypeCol!$A:$A,0)))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3">
      <c r="A75">
        <v>74</v>
      </c>
      <c r="B75" t="b">
        <v>1</v>
      </c>
      <c r="C75" t="s">
        <v>774</v>
      </c>
      <c r="D75" t="s">
        <v>20</v>
      </c>
      <c r="E75" s="6" t="str">
        <f>INDEX(User!$D:$D,MATCH($D75,User!$A:$A,0))</f>
        <v>org_user2_4</v>
      </c>
      <c r="F75" t="s">
        <v>722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658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664</v>
      </c>
      <c r="AC75" s="6" t="str">
        <f>IF($AA75="","",INDEX(CaseTypeCol!$G:$G,MATCH($AA75,CaseTypeCol!$A:$A,0)))</f>
        <v>case_type1_dim1_1_text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781</v>
      </c>
      <c r="AJ75" s="6" t="str">
        <f>IF($AH75="","",INDEX(CaseTypeCol!$G:$G,MATCH($AH75,CaseTypeCol!$A:$A,0)))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IF($AO75="","",INDEX(CaseTypeCol!$G:$G,MATCH($AO75,CaseTypeCol!$A:$A,0)))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558</v>
      </c>
      <c r="H1" s="7" t="s">
        <v>4</v>
      </c>
      <c r="I1" s="7" t="s">
        <v>5</v>
      </c>
      <c r="J1" s="7" t="s">
        <v>559</v>
      </c>
      <c r="K1" s="8" t="s">
        <v>561</v>
      </c>
      <c r="L1" s="7" t="s">
        <v>560</v>
      </c>
      <c r="M1" s="8" t="s">
        <v>562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563</v>
      </c>
      <c r="T1" s="4" t="s">
        <v>564</v>
      </c>
      <c r="U1" s="8" t="s">
        <v>565</v>
      </c>
      <c r="V1" s="8" t="s">
        <v>668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4</v>
      </c>
      <c r="H1" s="7" t="s">
        <v>5</v>
      </c>
      <c r="I1" s="7" t="s">
        <v>559</v>
      </c>
      <c r="J1" s="8" t="s">
        <v>561</v>
      </c>
      <c r="K1" s="7" t="s">
        <v>560</v>
      </c>
      <c r="L1" s="8" t="s">
        <v>562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569</v>
      </c>
      <c r="R1" s="8" t="s">
        <v>570</v>
      </c>
      <c r="S1" s="4" t="s">
        <v>564</v>
      </c>
      <c r="T1" s="8" t="s">
        <v>565</v>
      </c>
      <c r="U1" s="7" t="s">
        <v>1</v>
      </c>
      <c r="V1" s="8" t="s">
        <v>566</v>
      </c>
      <c r="W1" s="15" t="s">
        <v>668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s="6" t="s">
        <v>569</v>
      </c>
      <c r="N1" s="3" t="s">
        <v>570</v>
      </c>
      <c r="O1" s="7" t="s">
        <v>1</v>
      </c>
      <c r="P1" s="8" t="s">
        <v>566</v>
      </c>
    </row>
    <row r="2" spans="1:16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t="s">
        <v>41</v>
      </c>
      <c r="N1" s="3" t="s">
        <v>563</v>
      </c>
    </row>
    <row r="2" spans="1:14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2025-10-25T15:22:33Z</dcterms:modified>
</cp:coreProperties>
</file>