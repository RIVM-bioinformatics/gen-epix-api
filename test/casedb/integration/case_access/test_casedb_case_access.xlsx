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o_v\Documents\gen-epix-api\test\casedb\integration\case_access\"/>
    </mc:Choice>
  </mc:AlternateContent>
  <xr:revisionPtr revIDLastSave="0" documentId="13_ncr:1_{A61D31B2-B840-4A5B-BB17-403CEBADC04A}" xr6:coauthVersionLast="47" xr6:coauthVersionMax="47" xr10:uidLastSave="{00000000-0000-0000-0000-000000000000}"/>
  <bookViews>
    <workbookView xWindow="3552" yWindow="3552" windowWidth="30960" windowHeight="12120" tabRatio="913" activeTab="2" xr2:uid="{00000000-000D-0000-FFFF-FFFF00000000}"/>
  </bookViews>
  <sheets>
    <sheet name="Organization" sheetId="17" r:id="rId1"/>
    <sheet name="DataCollection" sheetId="16" r:id="rId2"/>
    <sheet name="User" sheetId="15" r:id="rId3"/>
    <sheet name="UserInvitation" sheetId="19" r:id="rId4"/>
    <sheet name="Dim" sheetId="14" r:id="rId5"/>
    <sheet name="Col" sheetId="13" r:id="rId6"/>
    <sheet name="Disease" sheetId="25" r:id="rId7"/>
    <sheet name="EtiologicalAgent" sheetId="26" r:id="rId8"/>
    <sheet name="CaseType" sheetId="8" r:id="rId9"/>
    <sheet name="CaseTypeSetCategory" sheetId="7" r:id="rId10"/>
    <sheet name="CaseTypeSet" sheetId="6" r:id="rId11"/>
    <sheet name="CaseTypeSetMember" sheetId="12" r:id="rId12"/>
    <sheet name="CaseTypeCol" sheetId="11" r:id="rId13"/>
    <sheet name="CaseTypeColSet" sheetId="10" r:id="rId14"/>
    <sheet name="CaseTypeColSetMember" sheetId="9" r:id="rId15"/>
    <sheet name="OrganizationAdminPolicy" sheetId="2" r:id="rId16"/>
    <sheet name="CaseCrudCommand" sheetId="24" r:id="rId17"/>
    <sheet name="OrganizationAccessCasePolicy" sheetId="20" r:id="rId18"/>
    <sheet name="UserAccessCasePolicy" sheetId="21" r:id="rId19"/>
    <sheet name="UserShareCasePolicy" sheetId="23" r:id="rId20"/>
    <sheet name="OrganizationShareCasePolicy" sheetId="22" r:id="rId21"/>
  </sheets>
  <definedNames>
    <definedName name="_xlnm._FilterDatabase" localSheetId="16" hidden="1">CaseCrudCommand!$A$1:$AU$33</definedName>
    <definedName name="_xlnm._FilterDatabase" localSheetId="11" hidden="1">CaseTypeSetMember!$A$1:$G$26</definedName>
    <definedName name="_xlnm._FilterDatabase" localSheetId="17" hidden="1">OrganizationAccessCasePolicy!$A$1:$U$11</definedName>
    <definedName name="_xlnm._FilterDatabase" localSheetId="18" hidden="1">UserAccessCasePolicy!$A$1:$V$11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3" i="24" l="1"/>
  <c r="AR33" i="24" a="1"/>
  <c r="AR33" i="24" s="1"/>
  <c r="AS33" i="24" a="1"/>
  <c r="AS33" i="24" s="1"/>
  <c r="AT33" i="24" a="1"/>
  <c r="AT33" i="24" s="1"/>
  <c r="AU33" i="24" a="1"/>
  <c r="AU33" i="24" s="1"/>
  <c r="AQ34" i="24"/>
  <c r="AQ35" i="24"/>
  <c r="AR35" i="24" a="1"/>
  <c r="AR35" i="24" s="1"/>
  <c r="AS35" i="24" a="1"/>
  <c r="AS35" i="24" s="1"/>
  <c r="AT35" i="24" a="1"/>
  <c r="AT35" i="24" s="1"/>
  <c r="AU35" i="24" a="1"/>
  <c r="AU35" i="24" s="1"/>
  <c r="AQ36" i="24"/>
  <c r="AR36" i="24" a="1"/>
  <c r="AR36" i="24" s="1"/>
  <c r="AS36" i="24" a="1"/>
  <c r="AS36" i="24" s="1"/>
  <c r="AT36" i="24" a="1"/>
  <c r="AT36" i="24" s="1"/>
  <c r="AU36" i="24" a="1"/>
  <c r="AU36" i="24" s="1"/>
  <c r="AQ37" i="24"/>
  <c r="AR37" i="24" a="1"/>
  <c r="AR37" i="24" s="1"/>
  <c r="AS37" i="24" a="1"/>
  <c r="AS37" i="24" s="1"/>
  <c r="AT37" i="24" a="1"/>
  <c r="AT37" i="24" s="1"/>
  <c r="AU37" i="24" a="1"/>
  <c r="AU37" i="24" s="1"/>
  <c r="AQ38" i="24"/>
  <c r="AR38" i="24" a="1"/>
  <c r="AR38" i="24" s="1"/>
  <c r="AS38" i="24" a="1"/>
  <c r="AS38" i="24" s="1"/>
  <c r="AT38" i="24" a="1"/>
  <c r="AT38" i="24" s="1"/>
  <c r="AU38" i="24" a="1"/>
  <c r="AU38" i="24" s="1"/>
  <c r="AQ39" i="24"/>
  <c r="AR39" i="24" a="1"/>
  <c r="AR39" i="24" s="1"/>
  <c r="AS39" i="24" a="1"/>
  <c r="AS39" i="24" s="1"/>
  <c r="AT39" i="24" a="1"/>
  <c r="AT39" i="24" s="1"/>
  <c r="AU39" i="24" a="1"/>
  <c r="AU39" i="24" s="1"/>
  <c r="AQ40" i="24"/>
  <c r="AR40" i="24" a="1"/>
  <c r="AR40" i="24" s="1"/>
  <c r="AS40" i="24" a="1"/>
  <c r="AS40" i="24" s="1"/>
  <c r="AT40" i="24" a="1"/>
  <c r="AT40" i="24" s="1"/>
  <c r="AU40" i="24" a="1"/>
  <c r="AU40" i="24" s="1"/>
  <c r="AQ41" i="24"/>
  <c r="AR41" i="24" a="1"/>
  <c r="AR41" i="24" s="1"/>
  <c r="AS41" i="24" a="1"/>
  <c r="AS41" i="24" s="1"/>
  <c r="AT41" i="24" a="1"/>
  <c r="AT41" i="24" s="1"/>
  <c r="AU41" i="24" a="1"/>
  <c r="AU41" i="24" s="1"/>
  <c r="AQ42" i="24"/>
  <c r="AR42" i="24" a="1"/>
  <c r="AR42" i="24" s="1"/>
  <c r="AS42" i="24" a="1"/>
  <c r="AS42" i="24" s="1"/>
  <c r="AT42" i="24" a="1"/>
  <c r="AT42" i="24" s="1"/>
  <c r="AU42" i="24" a="1"/>
  <c r="AU42" i="24" s="1"/>
  <c r="AQ43" i="24"/>
  <c r="AR43" i="24" a="1"/>
  <c r="AR43" i="24" s="1"/>
  <c r="AS43" i="24" a="1"/>
  <c r="AS43" i="24" s="1"/>
  <c r="AT43" i="24" a="1"/>
  <c r="AT43" i="24" s="1"/>
  <c r="AU43" i="24" a="1"/>
  <c r="AU43" i="24" s="1"/>
  <c r="AQ44" i="24"/>
  <c r="AR44" i="24" a="1"/>
  <c r="AR44" i="24" s="1"/>
  <c r="AS44" i="24" a="1"/>
  <c r="AS44" i="24" s="1"/>
  <c r="AT44" i="24" a="1"/>
  <c r="AT44" i="24" s="1"/>
  <c r="AU44" i="24" a="1"/>
  <c r="AU44" i="24" s="1"/>
  <c r="AQ45" i="24"/>
  <c r="AR45" i="24" a="1"/>
  <c r="AR45" i="24" s="1"/>
  <c r="AS45" i="24" a="1"/>
  <c r="AS45" i="24" s="1"/>
  <c r="AT45" i="24" a="1"/>
  <c r="AT45" i="24" s="1"/>
  <c r="AU45" i="24" a="1"/>
  <c r="AU45" i="24" s="1"/>
  <c r="AQ46" i="24"/>
  <c r="AR46" i="24" a="1"/>
  <c r="AR46" i="24" s="1"/>
  <c r="AS46" i="24" a="1"/>
  <c r="AS46" i="24" s="1"/>
  <c r="AT46" i="24" a="1"/>
  <c r="AT46" i="24" s="1"/>
  <c r="AU46" i="24" a="1"/>
  <c r="AU46" i="24" s="1"/>
  <c r="AQ47" i="24"/>
  <c r="AR47" i="24" a="1"/>
  <c r="AR47" i="24" s="1"/>
  <c r="AS47" i="24" a="1"/>
  <c r="AS47" i="24" s="1"/>
  <c r="AT47" i="24" a="1"/>
  <c r="AT47" i="24" s="1"/>
  <c r="AU47" i="24" a="1"/>
  <c r="AU47" i="24" s="1"/>
  <c r="AQ48" i="24"/>
  <c r="AR48" i="24" a="1"/>
  <c r="AR48" i="24" s="1"/>
  <c r="AS48" i="24" a="1"/>
  <c r="AS48" i="24" s="1"/>
  <c r="AT48" i="24" a="1"/>
  <c r="AT48" i="24" s="1"/>
  <c r="AU48" i="24" a="1"/>
  <c r="AU48" i="24" s="1"/>
  <c r="AQ49" i="24"/>
  <c r="AR49" i="24" a="1"/>
  <c r="AR49" i="24" s="1"/>
  <c r="AS49" i="24" a="1"/>
  <c r="AS49" i="24" s="1"/>
  <c r="AT49" i="24" a="1"/>
  <c r="AT49" i="24" s="1"/>
  <c r="AU49" i="24" a="1"/>
  <c r="AU49" i="24" s="1"/>
  <c r="AQ50" i="24"/>
  <c r="AR50" i="24" a="1"/>
  <c r="AR50" i="24" s="1"/>
  <c r="AS50" i="24" a="1"/>
  <c r="AS50" i="24" s="1"/>
  <c r="AT50" i="24" a="1"/>
  <c r="AT50" i="24" s="1"/>
  <c r="AU50" i="24" a="1"/>
  <c r="AU50" i="24" s="1"/>
  <c r="AQ51" i="24"/>
  <c r="AR51" i="24" a="1"/>
  <c r="AR51" i="24" s="1"/>
  <c r="AS51" i="24" a="1"/>
  <c r="AS51" i="24" s="1"/>
  <c r="AT51" i="24" a="1"/>
  <c r="AT51" i="24" s="1"/>
  <c r="AU51" i="24" a="1"/>
  <c r="AU51" i="24" s="1"/>
  <c r="AQ52" i="24"/>
  <c r="AR52" i="24" a="1"/>
  <c r="AR52" i="24" s="1"/>
  <c r="AS52" i="24" a="1"/>
  <c r="AS52" i="24" s="1"/>
  <c r="AT52" i="24" a="1"/>
  <c r="AT52" i="24" s="1"/>
  <c r="AU52" i="24" a="1"/>
  <c r="AU52" i="24" s="1"/>
  <c r="AQ53" i="24"/>
  <c r="AR53" i="24" a="1"/>
  <c r="AR53" i="24" s="1"/>
  <c r="AS53" i="24" a="1"/>
  <c r="AS53" i="24" s="1"/>
  <c r="AT53" i="24" a="1"/>
  <c r="AT53" i="24" s="1"/>
  <c r="AU53" i="24" a="1"/>
  <c r="AU53" i="24" s="1"/>
  <c r="AQ54" i="24"/>
  <c r="AQ55" i="24"/>
  <c r="AQ56" i="24"/>
  <c r="AQ57" i="24"/>
  <c r="AQ58" i="24"/>
  <c r="AQ59" i="24"/>
  <c r="AT59" i="24" a="1"/>
  <c r="AT59" i="24" s="1"/>
  <c r="AQ60" i="24"/>
  <c r="AR60" i="24" a="1"/>
  <c r="AR60" i="24" s="1"/>
  <c r="AS60" i="24" a="1"/>
  <c r="AS60" i="24" s="1"/>
  <c r="AT60" i="24" a="1"/>
  <c r="AT60" i="24" s="1"/>
  <c r="AU60" i="24" a="1"/>
  <c r="AU60" i="24" s="1"/>
  <c r="AQ61" i="24"/>
  <c r="AR61" i="24" a="1"/>
  <c r="AR61" i="24" s="1"/>
  <c r="AS61" i="24" a="1"/>
  <c r="AS61" i="24" s="1"/>
  <c r="AT61" i="24" a="1"/>
  <c r="AT61" i="24" s="1"/>
  <c r="AU61" i="24" a="1"/>
  <c r="AU61" i="24" s="1"/>
  <c r="AQ62" i="24"/>
  <c r="AR62" i="24" a="1"/>
  <c r="AR62" i="24" s="1"/>
  <c r="AS62" i="24" a="1"/>
  <c r="AS62" i="24" s="1"/>
  <c r="AT62" i="24" a="1"/>
  <c r="AT62" i="24" s="1"/>
  <c r="AU62" i="24" a="1"/>
  <c r="AU62" i="24" s="1"/>
  <c r="AQ63" i="24"/>
  <c r="AR63" i="24" a="1"/>
  <c r="AR63" i="24" s="1"/>
  <c r="AS63" i="24" a="1"/>
  <c r="AS63" i="24" s="1"/>
  <c r="AT63" i="24" a="1"/>
  <c r="AT63" i="24" s="1"/>
  <c r="AU63" i="24" a="1"/>
  <c r="AU63" i="24" s="1"/>
  <c r="AQ64" i="24"/>
  <c r="AR64" i="24" a="1"/>
  <c r="AR64" i="24" s="1"/>
  <c r="AS64" i="24" a="1"/>
  <c r="AS64" i="24" s="1"/>
  <c r="AT64" i="24" a="1"/>
  <c r="AT64" i="24" s="1"/>
  <c r="AU64" i="24" a="1"/>
  <c r="AU64" i="24" s="1"/>
  <c r="AQ65" i="24"/>
  <c r="AR65" i="24" a="1"/>
  <c r="AR65" i="24" s="1"/>
  <c r="AS65" i="24" a="1"/>
  <c r="AS65" i="24" s="1"/>
  <c r="AT65" i="24" a="1"/>
  <c r="AT65" i="24" s="1"/>
  <c r="AU65" i="24" a="1"/>
  <c r="AU65" i="24" s="1"/>
  <c r="AQ66" i="24"/>
  <c r="AR66" i="24" a="1"/>
  <c r="AR66" i="24" s="1"/>
  <c r="AS66" i="24" a="1"/>
  <c r="AS66" i="24" s="1"/>
  <c r="AT66" i="24" a="1"/>
  <c r="AT66" i="24" s="1"/>
  <c r="AU66" i="24" a="1"/>
  <c r="AU66" i="24" s="1"/>
  <c r="AQ67" i="24"/>
  <c r="AR67" i="24" a="1"/>
  <c r="AR67" i="24" s="1"/>
  <c r="AS67" i="24" a="1"/>
  <c r="AS67" i="24" s="1"/>
  <c r="AT67" i="24" a="1"/>
  <c r="AT67" i="24" s="1"/>
  <c r="AU67" i="24" a="1"/>
  <c r="AU67" i="24" s="1"/>
  <c r="AQ68" i="24"/>
  <c r="AR68" i="24" a="1"/>
  <c r="AR68" i="24" s="1"/>
  <c r="AS68" i="24" a="1"/>
  <c r="AS68" i="24" s="1"/>
  <c r="AT68" i="24" a="1"/>
  <c r="AT68" i="24" s="1"/>
  <c r="AU68" i="24" a="1"/>
  <c r="AU68" i="24" s="1"/>
  <c r="AQ69" i="24"/>
  <c r="AR69" i="24" a="1"/>
  <c r="AR69" i="24" s="1"/>
  <c r="AS69" i="24" a="1"/>
  <c r="AS69" i="24" s="1"/>
  <c r="AT69" i="24" a="1"/>
  <c r="AT69" i="24" s="1"/>
  <c r="AU69" i="24" a="1"/>
  <c r="AU69" i="24" s="1"/>
  <c r="AQ70" i="24"/>
  <c r="AR70" i="24" a="1"/>
  <c r="AR70" i="24" s="1"/>
  <c r="AS70" i="24" a="1"/>
  <c r="AS70" i="24" s="1"/>
  <c r="AT70" i="24" a="1"/>
  <c r="AT70" i="24" s="1"/>
  <c r="AU70" i="24" a="1"/>
  <c r="AU70" i="24" s="1"/>
  <c r="AQ71" i="24"/>
  <c r="AR71" i="24" a="1"/>
  <c r="AR71" i="24" s="1"/>
  <c r="AS71" i="24" a="1"/>
  <c r="AS71" i="24" s="1"/>
  <c r="AT71" i="24" a="1"/>
  <c r="AT71" i="24" s="1"/>
  <c r="AU71" i="24" a="1"/>
  <c r="AU71" i="24" s="1"/>
  <c r="AQ72" i="24"/>
  <c r="AR72" i="24" a="1"/>
  <c r="AR72" i="24" s="1"/>
  <c r="AS72" i="24" a="1"/>
  <c r="AS72" i="24" s="1"/>
  <c r="AT72" i="24" a="1"/>
  <c r="AT72" i="24" s="1"/>
  <c r="AU72" i="24" a="1"/>
  <c r="AU72" i="24" s="1"/>
  <c r="AQ73" i="24"/>
  <c r="AR73" i="24" a="1"/>
  <c r="AR73" i="24" s="1"/>
  <c r="AS73" i="24" a="1"/>
  <c r="AS73" i="24" s="1"/>
  <c r="AT73" i="24" a="1"/>
  <c r="AT73" i="24" s="1"/>
  <c r="AU73" i="24" a="1"/>
  <c r="AU73" i="24" s="1"/>
  <c r="AQ74" i="24"/>
  <c r="AR74" i="24" a="1"/>
  <c r="AR74" i="24" s="1"/>
  <c r="AS74" i="24" a="1"/>
  <c r="AS74" i="24" s="1"/>
  <c r="AT74" i="24" a="1"/>
  <c r="AT74" i="24" s="1"/>
  <c r="AU74" i="24" a="1"/>
  <c r="AU74" i="24" s="1"/>
  <c r="AQ75" i="24"/>
  <c r="AR75" i="24" a="1"/>
  <c r="AR75" i="24" s="1"/>
  <c r="AS75" i="24" a="1"/>
  <c r="AS75" i="24" s="1"/>
  <c r="AT75" i="24" a="1"/>
  <c r="AT75" i="24" s="1"/>
  <c r="AU75" i="24" a="1"/>
  <c r="AU75" i="24" s="1"/>
  <c r="AJ33" i="24"/>
  <c r="AK33" i="24" a="1"/>
  <c r="AK33" i="24" s="1"/>
  <c r="AL33" i="24" a="1"/>
  <c r="AL33" i="24" s="1"/>
  <c r="AM33" i="24" a="1"/>
  <c r="AM33" i="24" s="1"/>
  <c r="AN33" i="24" a="1"/>
  <c r="AN33" i="24" s="1"/>
  <c r="AJ34" i="24"/>
  <c r="AJ35" i="24"/>
  <c r="AK35" i="24" a="1"/>
  <c r="AK35" i="24" s="1"/>
  <c r="AL35" i="24" a="1"/>
  <c r="AL35" i="24" s="1"/>
  <c r="AM35" i="24" a="1"/>
  <c r="AM35" i="24" s="1"/>
  <c r="AN35" i="24" a="1"/>
  <c r="AN35" i="24" s="1"/>
  <c r="AJ36" i="24"/>
  <c r="AK36" i="24" a="1"/>
  <c r="AK36" i="24" s="1"/>
  <c r="AL36" i="24" a="1"/>
  <c r="AL36" i="24" s="1"/>
  <c r="AM36" i="24" a="1"/>
  <c r="AM36" i="24" s="1"/>
  <c r="AN36" i="24" a="1"/>
  <c r="AN36" i="24" s="1"/>
  <c r="AJ37" i="24"/>
  <c r="AK37" i="24" a="1"/>
  <c r="AK37" i="24" s="1"/>
  <c r="AL37" i="24" a="1"/>
  <c r="AL37" i="24" s="1"/>
  <c r="AM37" i="24" a="1"/>
  <c r="AM37" i="24" s="1"/>
  <c r="AN37" i="24" a="1"/>
  <c r="AN37" i="24" s="1"/>
  <c r="AJ38" i="24"/>
  <c r="AK38" i="24" a="1"/>
  <c r="AK38" i="24" s="1"/>
  <c r="AL38" i="24" a="1"/>
  <c r="AL38" i="24" s="1"/>
  <c r="AM38" i="24" a="1"/>
  <c r="AM38" i="24" s="1"/>
  <c r="AN38" i="24" a="1"/>
  <c r="AN38" i="24" s="1"/>
  <c r="AJ39" i="24"/>
  <c r="AK39" i="24" a="1"/>
  <c r="AK39" i="24" s="1"/>
  <c r="AL39" i="24" a="1"/>
  <c r="AL39" i="24" s="1"/>
  <c r="AM39" i="24" a="1"/>
  <c r="AM39" i="24" s="1"/>
  <c r="AN39" i="24" a="1"/>
  <c r="AN39" i="24" s="1"/>
  <c r="AJ40" i="24"/>
  <c r="AK40" i="24" a="1"/>
  <c r="AK40" i="24" s="1"/>
  <c r="AL40" i="24" a="1"/>
  <c r="AL40" i="24" s="1"/>
  <c r="AM40" i="24" a="1"/>
  <c r="AM40" i="24" s="1"/>
  <c r="AN40" i="24" a="1"/>
  <c r="AN40" i="24" s="1"/>
  <c r="AJ41" i="24"/>
  <c r="AK41" i="24" a="1"/>
  <c r="AK41" i="24" s="1"/>
  <c r="AL41" i="24" a="1"/>
  <c r="AL41" i="24" s="1"/>
  <c r="AM41" i="24" a="1"/>
  <c r="AM41" i="24" s="1"/>
  <c r="AN41" i="24" a="1"/>
  <c r="AN41" i="24" s="1"/>
  <c r="AJ42" i="24"/>
  <c r="AK42" i="24" a="1"/>
  <c r="AK42" i="24" s="1"/>
  <c r="AL42" i="24" a="1"/>
  <c r="AL42" i="24" s="1"/>
  <c r="AM42" i="24" a="1"/>
  <c r="AM42" i="24" s="1"/>
  <c r="AN42" i="24" a="1"/>
  <c r="AN42" i="24" s="1"/>
  <c r="AJ43" i="24"/>
  <c r="AK43" i="24" a="1"/>
  <c r="AK43" i="24" s="1"/>
  <c r="AL43" i="24" a="1"/>
  <c r="AL43" i="24" s="1"/>
  <c r="AM43" i="24" a="1"/>
  <c r="AM43" i="24" s="1"/>
  <c r="AN43" i="24" a="1"/>
  <c r="AN43" i="24" s="1"/>
  <c r="AJ44" i="24"/>
  <c r="AK44" i="24" a="1"/>
  <c r="AK44" i="24" s="1"/>
  <c r="AL44" i="24" a="1"/>
  <c r="AL44" i="24" s="1"/>
  <c r="AM44" i="24" a="1"/>
  <c r="AM44" i="24" s="1"/>
  <c r="AN44" i="24" a="1"/>
  <c r="AN44" i="24" s="1"/>
  <c r="AJ45" i="24"/>
  <c r="AK45" i="24" a="1"/>
  <c r="AK45" i="24" s="1"/>
  <c r="AL45" i="24" a="1"/>
  <c r="AL45" i="24" s="1"/>
  <c r="AM45" i="24" a="1"/>
  <c r="AM45" i="24" s="1"/>
  <c r="AN45" i="24" a="1"/>
  <c r="AN45" i="24" s="1"/>
  <c r="AJ46" i="24"/>
  <c r="AK46" i="24" a="1"/>
  <c r="AK46" i="24" s="1"/>
  <c r="AL46" i="24" a="1"/>
  <c r="AL46" i="24" s="1"/>
  <c r="AM46" i="24" a="1"/>
  <c r="AM46" i="24" s="1"/>
  <c r="AN46" i="24" a="1"/>
  <c r="AN46" i="24" s="1"/>
  <c r="AJ47" i="24"/>
  <c r="AK47" i="24" a="1"/>
  <c r="AK47" i="24" s="1"/>
  <c r="AL47" i="24" a="1"/>
  <c r="AL47" i="24" s="1"/>
  <c r="AM47" i="24" a="1"/>
  <c r="AM47" i="24" s="1"/>
  <c r="AN47" i="24" a="1"/>
  <c r="AN47" i="24" s="1"/>
  <c r="AJ48" i="24"/>
  <c r="AK48" i="24" a="1"/>
  <c r="AK48" i="24" s="1"/>
  <c r="AL48" i="24" a="1"/>
  <c r="AL48" i="24" s="1"/>
  <c r="AM48" i="24" a="1"/>
  <c r="AM48" i="24" s="1"/>
  <c r="AN48" i="24" a="1"/>
  <c r="AN48" i="24" s="1"/>
  <c r="AJ49" i="24"/>
  <c r="AK49" i="24" a="1"/>
  <c r="AK49" i="24" s="1"/>
  <c r="AL49" i="24" a="1"/>
  <c r="AL49" i="24" s="1"/>
  <c r="AM49" i="24" a="1"/>
  <c r="AM49" i="24" s="1"/>
  <c r="AN49" i="24" a="1"/>
  <c r="AN49" i="24" s="1"/>
  <c r="AJ50" i="24"/>
  <c r="AK50" i="24" a="1"/>
  <c r="AK50" i="24" s="1"/>
  <c r="AL50" i="24" a="1"/>
  <c r="AL50" i="24" s="1"/>
  <c r="AM50" i="24" a="1"/>
  <c r="AM50" i="24" s="1"/>
  <c r="AN50" i="24" a="1"/>
  <c r="AN50" i="24" s="1"/>
  <c r="AJ51" i="24"/>
  <c r="AK51" i="24" a="1"/>
  <c r="AK51" i="24" s="1"/>
  <c r="AL51" i="24" a="1"/>
  <c r="AL51" i="24" s="1"/>
  <c r="AM51" i="24" a="1"/>
  <c r="AM51" i="24" s="1"/>
  <c r="AN51" i="24" a="1"/>
  <c r="AN51" i="24" s="1"/>
  <c r="AJ52" i="24"/>
  <c r="AK52" i="24" a="1"/>
  <c r="AK52" i="24" s="1"/>
  <c r="AL52" i="24" a="1"/>
  <c r="AL52" i="24" s="1"/>
  <c r="AM52" i="24" a="1"/>
  <c r="AM52" i="24" s="1"/>
  <c r="AN52" i="24" a="1"/>
  <c r="AN52" i="24" s="1"/>
  <c r="AJ53" i="24"/>
  <c r="AK53" i="24" a="1"/>
  <c r="AK53" i="24" s="1"/>
  <c r="AL53" i="24" a="1"/>
  <c r="AL53" i="24" s="1"/>
  <c r="AM53" i="24" a="1"/>
  <c r="AM53" i="24" s="1"/>
  <c r="AN53" i="24" a="1"/>
  <c r="AN53" i="24" s="1"/>
  <c r="AJ54" i="24"/>
  <c r="AJ55" i="24"/>
  <c r="AJ56" i="24"/>
  <c r="AN56" i="24" a="1"/>
  <c r="AN56" i="24" s="1"/>
  <c r="AJ57" i="24"/>
  <c r="AK57" i="24" a="1"/>
  <c r="AK57" i="24" s="1"/>
  <c r="AL57" i="24" a="1"/>
  <c r="AL57" i="24" s="1"/>
  <c r="AM57" i="24" a="1"/>
  <c r="AM57" i="24" s="1"/>
  <c r="AN57" i="24" a="1"/>
  <c r="AN57" i="24" s="1"/>
  <c r="AJ58" i="24"/>
  <c r="AK58" i="24" a="1"/>
  <c r="AK58" i="24" s="1"/>
  <c r="AL58" i="24" a="1"/>
  <c r="AL58" i="24" s="1"/>
  <c r="AM58" i="24" a="1"/>
  <c r="AM58" i="24" s="1"/>
  <c r="AN58" i="24" a="1"/>
  <c r="AN58" i="24" s="1"/>
  <c r="AJ59" i="24"/>
  <c r="AK59" i="24" a="1"/>
  <c r="AK59" i="24" s="1"/>
  <c r="AL59" i="24" a="1"/>
  <c r="AL59" i="24" s="1"/>
  <c r="AM59" i="24" a="1"/>
  <c r="AM59" i="24" s="1"/>
  <c r="AN59" i="24" a="1"/>
  <c r="AN59" i="24" s="1"/>
  <c r="AJ60" i="24"/>
  <c r="AK60" i="24" a="1"/>
  <c r="AK60" i="24" s="1"/>
  <c r="AL60" i="24" a="1"/>
  <c r="AL60" i="24" s="1"/>
  <c r="AM60" i="24" a="1"/>
  <c r="AM60" i="24" s="1"/>
  <c r="AN60" i="24" a="1"/>
  <c r="AN60" i="24" s="1"/>
  <c r="AJ61" i="24"/>
  <c r="AK61" i="24" a="1"/>
  <c r="AK61" i="24" s="1"/>
  <c r="AL61" i="24" a="1"/>
  <c r="AL61" i="24" s="1"/>
  <c r="AM61" i="24" a="1"/>
  <c r="AM61" i="24" s="1"/>
  <c r="AN61" i="24" a="1"/>
  <c r="AN61" i="24" s="1"/>
  <c r="AJ62" i="24"/>
  <c r="AK62" i="24" a="1"/>
  <c r="AK62" i="24" s="1"/>
  <c r="AL62" i="24" a="1"/>
  <c r="AL62" i="24" s="1"/>
  <c r="AM62" i="24" a="1"/>
  <c r="AM62" i="24" s="1"/>
  <c r="AN62" i="24" a="1"/>
  <c r="AN62" i="24" s="1"/>
  <c r="AJ63" i="24"/>
  <c r="AK63" i="24" a="1"/>
  <c r="AK63" i="24" s="1"/>
  <c r="AL63" i="24" a="1"/>
  <c r="AL63" i="24" s="1"/>
  <c r="AM63" i="24" a="1"/>
  <c r="AM63" i="24" s="1"/>
  <c r="AN63" i="24" a="1"/>
  <c r="AN63" i="24" s="1"/>
  <c r="AJ64" i="24"/>
  <c r="AK64" i="24" a="1"/>
  <c r="AK64" i="24" s="1"/>
  <c r="AL64" i="24" a="1"/>
  <c r="AL64" i="24" s="1"/>
  <c r="AM64" i="24" a="1"/>
  <c r="AM64" i="24" s="1"/>
  <c r="AN64" i="24" a="1"/>
  <c r="AN64" i="24" s="1"/>
  <c r="AJ65" i="24"/>
  <c r="AK65" i="24" a="1"/>
  <c r="AK65" i="24" s="1"/>
  <c r="AL65" i="24" a="1"/>
  <c r="AL65" i="24" s="1"/>
  <c r="AM65" i="24" a="1"/>
  <c r="AM65" i="24" s="1"/>
  <c r="AN65" i="24" a="1"/>
  <c r="AN65" i="24" s="1"/>
  <c r="AJ66" i="24"/>
  <c r="AK66" i="24" a="1"/>
  <c r="AK66" i="24" s="1"/>
  <c r="AL66" i="24" a="1"/>
  <c r="AL66" i="24" s="1"/>
  <c r="AM66" i="24" a="1"/>
  <c r="AM66" i="24" s="1"/>
  <c r="AN66" i="24" a="1"/>
  <c r="AN66" i="24" s="1"/>
  <c r="AJ67" i="24"/>
  <c r="AK67" i="24" a="1"/>
  <c r="AK67" i="24" s="1"/>
  <c r="AL67" i="24" a="1"/>
  <c r="AL67" i="24" s="1"/>
  <c r="AM67" i="24" a="1"/>
  <c r="AM67" i="24" s="1"/>
  <c r="AN67" i="24" a="1"/>
  <c r="AN67" i="24" s="1"/>
  <c r="AJ68" i="24"/>
  <c r="AK68" i="24" a="1"/>
  <c r="AK68" i="24" s="1"/>
  <c r="AL68" i="24" a="1"/>
  <c r="AL68" i="24" s="1"/>
  <c r="AM68" i="24" a="1"/>
  <c r="AM68" i="24" s="1"/>
  <c r="AN68" i="24" a="1"/>
  <c r="AN68" i="24" s="1"/>
  <c r="AJ69" i="24"/>
  <c r="AK69" i="24" a="1"/>
  <c r="AK69" i="24" s="1"/>
  <c r="AL69" i="24" a="1"/>
  <c r="AL69" i="24" s="1"/>
  <c r="AM69" i="24" a="1"/>
  <c r="AM69" i="24" s="1"/>
  <c r="AN69" i="24" a="1"/>
  <c r="AN69" i="24" s="1"/>
  <c r="AJ70" i="24"/>
  <c r="AK70" i="24" a="1"/>
  <c r="AK70" i="24" s="1"/>
  <c r="AL70" i="24" a="1"/>
  <c r="AL70" i="24" s="1"/>
  <c r="AM70" i="24" a="1"/>
  <c r="AM70" i="24" s="1"/>
  <c r="AN70" i="24" a="1"/>
  <c r="AN70" i="24" s="1"/>
  <c r="AJ71" i="24"/>
  <c r="AK71" i="24" a="1"/>
  <c r="AK71" i="24" s="1"/>
  <c r="AL71" i="24" a="1"/>
  <c r="AL71" i="24" s="1"/>
  <c r="AM71" i="24" a="1"/>
  <c r="AM71" i="24" s="1"/>
  <c r="AN71" i="24" a="1"/>
  <c r="AN71" i="24" s="1"/>
  <c r="AJ72" i="24"/>
  <c r="AK72" i="24" a="1"/>
  <c r="AK72" i="24" s="1"/>
  <c r="AL72" i="24" a="1"/>
  <c r="AL72" i="24" s="1"/>
  <c r="AM72" i="24" a="1"/>
  <c r="AM72" i="24" s="1"/>
  <c r="AN72" i="24" a="1"/>
  <c r="AN72" i="24" s="1"/>
  <c r="AJ73" i="24"/>
  <c r="AK73" i="24" a="1"/>
  <c r="AK73" i="24" s="1"/>
  <c r="AL73" i="24" a="1"/>
  <c r="AL73" i="24" s="1"/>
  <c r="AM73" i="24" a="1"/>
  <c r="AM73" i="24" s="1"/>
  <c r="AN73" i="24" a="1"/>
  <c r="AN73" i="24" s="1"/>
  <c r="AJ74" i="24"/>
  <c r="AK74" i="24" a="1"/>
  <c r="AK74" i="24" s="1"/>
  <c r="AL74" i="24" a="1"/>
  <c r="AL74" i="24" s="1"/>
  <c r="AM74" i="24" a="1"/>
  <c r="AM74" i="24" s="1"/>
  <c r="AN74" i="24" a="1"/>
  <c r="AN74" i="24" s="1"/>
  <c r="AJ75" i="24"/>
  <c r="AK75" i="24" a="1"/>
  <c r="AK75" i="24" s="1"/>
  <c r="AL75" i="24" a="1"/>
  <c r="AL75" i="24" s="1"/>
  <c r="AM75" i="24" a="1"/>
  <c r="AM75" i="24" s="1"/>
  <c r="AN75" i="24" a="1"/>
  <c r="AN75" i="24" s="1"/>
  <c r="AC33" i="24"/>
  <c r="AC34" i="24"/>
  <c r="AC35" i="24"/>
  <c r="AF35" i="24" a="1"/>
  <c r="AF35" i="24" s="1"/>
  <c r="AC36" i="24"/>
  <c r="AG36" i="24" a="1"/>
  <c r="AG36" i="24" s="1"/>
  <c r="AC37" i="24"/>
  <c r="AG37" i="24" a="1"/>
  <c r="AG37" i="24" s="1"/>
  <c r="AC38" i="24"/>
  <c r="AC39" i="24"/>
  <c r="AC40" i="24"/>
  <c r="AC41" i="24"/>
  <c r="AC42" i="24"/>
  <c r="AC43" i="24"/>
  <c r="AC44" i="24"/>
  <c r="AC45" i="24"/>
  <c r="AG45" i="24" a="1"/>
  <c r="AG45" i="24" s="1"/>
  <c r="AC46" i="24"/>
  <c r="AC47" i="24"/>
  <c r="AG47" i="24" a="1"/>
  <c r="AG47" i="24" s="1"/>
  <c r="AC48" i="24"/>
  <c r="AC49" i="24"/>
  <c r="AC50" i="24"/>
  <c r="AC51" i="24"/>
  <c r="AC52" i="24"/>
  <c r="AC53" i="24"/>
  <c r="AG53" i="24" a="1"/>
  <c r="AG53" i="24" s="1"/>
  <c r="AC54" i="24"/>
  <c r="AC55" i="24"/>
  <c r="AC56" i="24"/>
  <c r="AG56" i="24" a="1"/>
  <c r="AG56" i="24" s="1"/>
  <c r="AC57" i="24"/>
  <c r="AC58" i="24"/>
  <c r="AG58" i="24" a="1"/>
  <c r="AG58" i="24" s="1"/>
  <c r="AC59" i="24"/>
  <c r="AC60" i="24"/>
  <c r="AC61" i="24"/>
  <c r="AC62" i="24"/>
  <c r="AC63" i="24"/>
  <c r="AF63" i="24" a="1"/>
  <c r="AF63" i="24" s="1"/>
  <c r="AC64" i="24"/>
  <c r="AC65" i="24"/>
  <c r="AC66" i="24"/>
  <c r="AC67" i="24"/>
  <c r="AC68" i="24"/>
  <c r="AC69" i="24"/>
  <c r="AC70" i="24"/>
  <c r="AF70" i="24" a="1"/>
  <c r="AF70" i="24" s="1"/>
  <c r="AC71" i="24"/>
  <c r="AC72" i="24"/>
  <c r="AC73" i="24"/>
  <c r="AC74" i="24"/>
  <c r="AC75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X67" i="24"/>
  <c r="X68" i="24"/>
  <c r="X69" i="24"/>
  <c r="X70" i="24"/>
  <c r="X71" i="24"/>
  <c r="X72" i="24"/>
  <c r="X73" i="24"/>
  <c r="X74" i="24"/>
  <c r="X75" i="24"/>
  <c r="T33" i="24"/>
  <c r="U33" i="24"/>
  <c r="T34" i="24"/>
  <c r="U34" i="24"/>
  <c r="T35" i="24"/>
  <c r="U35" i="24"/>
  <c r="T36" i="24"/>
  <c r="U36" i="24"/>
  <c r="T37" i="24"/>
  <c r="U37" i="24"/>
  <c r="T38" i="24"/>
  <c r="U38" i="24"/>
  <c r="T39" i="24"/>
  <c r="U39" i="24"/>
  <c r="T40" i="24"/>
  <c r="U40" i="24"/>
  <c r="T41" i="24"/>
  <c r="U41" i="24"/>
  <c r="T42" i="24"/>
  <c r="U42" i="24"/>
  <c r="T43" i="24"/>
  <c r="U43" i="24"/>
  <c r="T44" i="24"/>
  <c r="U44" i="24"/>
  <c r="T45" i="24"/>
  <c r="U45" i="24"/>
  <c r="T46" i="24"/>
  <c r="U46" i="24"/>
  <c r="T47" i="24"/>
  <c r="U47" i="24"/>
  <c r="T48" i="24"/>
  <c r="U48" i="24"/>
  <c r="T49" i="24"/>
  <c r="U49" i="24"/>
  <c r="T50" i="24"/>
  <c r="U50" i="24"/>
  <c r="T51" i="24"/>
  <c r="U51" i="24"/>
  <c r="T52" i="24"/>
  <c r="U52" i="24"/>
  <c r="T53" i="24"/>
  <c r="U53" i="24"/>
  <c r="T54" i="24"/>
  <c r="U54" i="24"/>
  <c r="T55" i="24"/>
  <c r="U55" i="24"/>
  <c r="T56" i="24"/>
  <c r="U56" i="24"/>
  <c r="T57" i="24"/>
  <c r="U57" i="24"/>
  <c r="T58" i="24"/>
  <c r="U58" i="24"/>
  <c r="T59" i="24"/>
  <c r="U59" i="24"/>
  <c r="T60" i="24"/>
  <c r="U60" i="24"/>
  <c r="T61" i="24"/>
  <c r="U61" i="24"/>
  <c r="T62" i="24"/>
  <c r="U62" i="24"/>
  <c r="T63" i="24"/>
  <c r="U63" i="24"/>
  <c r="T64" i="24"/>
  <c r="U64" i="24"/>
  <c r="T65" i="24"/>
  <c r="U65" i="24"/>
  <c r="T66" i="24"/>
  <c r="U66" i="24"/>
  <c r="T67" i="24"/>
  <c r="U67" i="24"/>
  <c r="T68" i="24"/>
  <c r="U68" i="24"/>
  <c r="T69" i="24"/>
  <c r="U69" i="24"/>
  <c r="T70" i="24"/>
  <c r="U70" i="24"/>
  <c r="T71" i="24"/>
  <c r="U71" i="24"/>
  <c r="T72" i="24"/>
  <c r="U72" i="24"/>
  <c r="T73" i="24"/>
  <c r="U73" i="24"/>
  <c r="T74" i="24"/>
  <c r="U74" i="24"/>
  <c r="T75" i="24"/>
  <c r="U75" i="24"/>
  <c r="H33" i="24"/>
  <c r="J33" i="24" s="1"/>
  <c r="N33" i="24"/>
  <c r="Q33" i="24" s="1" a="1"/>
  <c r="Q33" i="24" s="1"/>
  <c r="H34" i="24"/>
  <c r="J34" i="24" s="1"/>
  <c r="N34" i="24"/>
  <c r="H35" i="24"/>
  <c r="J35" i="24" s="1"/>
  <c r="N35" i="24"/>
  <c r="AG35" i="24" s="1" a="1"/>
  <c r="AG35" i="24" s="1"/>
  <c r="O35" i="24" a="1"/>
  <c r="O35" i="24" s="1"/>
  <c r="H36" i="24"/>
  <c r="J36" i="24" s="1"/>
  <c r="N36" i="24"/>
  <c r="AF36" i="24" s="1" a="1"/>
  <c r="AF36" i="24" s="1"/>
  <c r="O36" i="24" a="1"/>
  <c r="O36" i="24" s="1"/>
  <c r="P36" i="24" a="1"/>
  <c r="P36" i="24" s="1"/>
  <c r="H37" i="24"/>
  <c r="J37" i="24" s="1"/>
  <c r="N37" i="24"/>
  <c r="AF37" i="24" s="1" a="1"/>
  <c r="AF37" i="24" s="1"/>
  <c r="O37" i="24" a="1"/>
  <c r="O37" i="24" s="1"/>
  <c r="P37" i="24" a="1"/>
  <c r="P37" i="24" s="1"/>
  <c r="Q37" i="24" a="1"/>
  <c r="Q37" i="24" s="1"/>
  <c r="H38" i="24"/>
  <c r="J38" i="24" s="1"/>
  <c r="N38" i="24"/>
  <c r="H39" i="24"/>
  <c r="J39" i="24" s="1"/>
  <c r="N39" i="24"/>
  <c r="P39" i="24" s="1" a="1"/>
  <c r="P39" i="24" s="1"/>
  <c r="H40" i="24"/>
  <c r="J40" i="24" s="1"/>
  <c r="N40" i="24"/>
  <c r="P40" i="24" s="1" a="1"/>
  <c r="P40" i="24" s="1"/>
  <c r="O40" i="24" a="1"/>
  <c r="O40" i="24" s="1"/>
  <c r="Q40" i="24" a="1"/>
  <c r="Q40" i="24" s="1"/>
  <c r="H41" i="24"/>
  <c r="J41" i="24" s="1"/>
  <c r="N41" i="24"/>
  <c r="P41" i="24" s="1" a="1"/>
  <c r="P41" i="24" s="1"/>
  <c r="H42" i="24"/>
  <c r="J42" i="24" s="1"/>
  <c r="N42" i="24"/>
  <c r="H43" i="24"/>
  <c r="J43" i="24" s="1"/>
  <c r="N43" i="24"/>
  <c r="P43" i="24" s="1" a="1"/>
  <c r="P43" i="24" s="1"/>
  <c r="O43" i="24" a="1"/>
  <c r="O43" i="24" s="1"/>
  <c r="Q43" i="24" a="1"/>
  <c r="Q43" i="24" s="1"/>
  <c r="H44" i="24"/>
  <c r="J44" i="24" s="1"/>
  <c r="N44" i="24"/>
  <c r="P44" i="24" s="1" a="1"/>
  <c r="P44" i="24" s="1"/>
  <c r="H45" i="24"/>
  <c r="J45" i="24" s="1"/>
  <c r="N45" i="24"/>
  <c r="P45" i="24" s="1" a="1"/>
  <c r="P45" i="24" s="1"/>
  <c r="O45" i="24" a="1"/>
  <c r="O45" i="24" s="1"/>
  <c r="Q45" i="24" a="1"/>
  <c r="Q45" i="24" s="1"/>
  <c r="H46" i="24"/>
  <c r="J46" i="24"/>
  <c r="N46" i="24"/>
  <c r="H47" i="24"/>
  <c r="J47" i="24"/>
  <c r="N47" i="24"/>
  <c r="P47" i="24" s="1" a="1"/>
  <c r="P47" i="24" s="1"/>
  <c r="O47" i="24" a="1"/>
  <c r="O47" i="24" s="1"/>
  <c r="Q47" i="24" a="1"/>
  <c r="Q47" i="24" s="1"/>
  <c r="H48" i="24"/>
  <c r="J48" i="24" s="1"/>
  <c r="I48" i="24"/>
  <c r="N48" i="24"/>
  <c r="P48" i="24" s="1" a="1"/>
  <c r="P48" i="24" s="1"/>
  <c r="O48" i="24" a="1"/>
  <c r="O48" i="24" s="1"/>
  <c r="H49" i="24"/>
  <c r="J49" i="24"/>
  <c r="N49" i="24"/>
  <c r="P49" i="24" s="1" a="1"/>
  <c r="P49" i="24" s="1"/>
  <c r="O49" i="24" a="1"/>
  <c r="O49" i="24" s="1"/>
  <c r="Q49" i="24" a="1"/>
  <c r="Q49" i="24" s="1"/>
  <c r="H50" i="24"/>
  <c r="J50" i="24" s="1"/>
  <c r="N50" i="24"/>
  <c r="H51" i="24"/>
  <c r="J51" i="24" s="1"/>
  <c r="N51" i="24"/>
  <c r="P51" i="24" s="1" a="1"/>
  <c r="P51" i="24" s="1"/>
  <c r="Q51" i="24" a="1"/>
  <c r="Q51" i="24" s="1"/>
  <c r="H52" i="24"/>
  <c r="J52" i="24" s="1"/>
  <c r="N52" i="24"/>
  <c r="P52" i="24" s="1" a="1"/>
  <c r="P52" i="24" s="1"/>
  <c r="H53" i="24"/>
  <c r="J53" i="24" s="1"/>
  <c r="N53" i="24"/>
  <c r="P53" i="24" s="1" a="1"/>
  <c r="P53" i="24" s="1"/>
  <c r="O53" i="24" a="1"/>
  <c r="O53" i="24" s="1"/>
  <c r="Q53" i="24" a="1"/>
  <c r="Q53" i="24" s="1"/>
  <c r="H54" i="24"/>
  <c r="J54" i="24"/>
  <c r="N54" i="24"/>
  <c r="H55" i="24"/>
  <c r="J55" i="24"/>
  <c r="N55" i="24"/>
  <c r="H56" i="24"/>
  <c r="J56" i="24"/>
  <c r="K56" i="24" s="1" a="1"/>
  <c r="K56" i="24" s="1"/>
  <c r="L56" i="24" a="1"/>
  <c r="L56" i="24" s="1"/>
  <c r="N56" i="24"/>
  <c r="P56" i="24" s="1" a="1"/>
  <c r="P56" i="24" s="1"/>
  <c r="O56" i="24" a="1"/>
  <c r="O56" i="24" s="1"/>
  <c r="Q56" i="24" a="1"/>
  <c r="Q56" i="24" s="1"/>
  <c r="H57" i="24"/>
  <c r="J57" i="24"/>
  <c r="N57" i="24"/>
  <c r="P57" i="24" s="1" a="1"/>
  <c r="P57" i="24" s="1"/>
  <c r="H58" i="24"/>
  <c r="J58" i="24" s="1"/>
  <c r="N58" i="24"/>
  <c r="Q58" i="24" s="1" a="1"/>
  <c r="Q58" i="24" s="1"/>
  <c r="H59" i="24"/>
  <c r="J59" i="24" s="1"/>
  <c r="N59" i="24"/>
  <c r="P59" i="24" s="1" a="1"/>
  <c r="P59" i="24" s="1"/>
  <c r="Q59" i="24" a="1"/>
  <c r="Q59" i="24" s="1"/>
  <c r="H60" i="24"/>
  <c r="J60" i="24" s="1"/>
  <c r="N60" i="24"/>
  <c r="H61" i="24"/>
  <c r="J61" i="24" s="1"/>
  <c r="N61" i="24"/>
  <c r="P61" i="24" s="1" a="1"/>
  <c r="P61" i="24" s="1"/>
  <c r="O61" i="24" a="1"/>
  <c r="O61" i="24" s="1"/>
  <c r="H62" i="24"/>
  <c r="J62" i="24"/>
  <c r="N62" i="24"/>
  <c r="AF62" i="24" s="1" a="1"/>
  <c r="AF62" i="24" s="1"/>
  <c r="P62" i="24" a="1"/>
  <c r="P62" i="24" s="1"/>
  <c r="H63" i="24"/>
  <c r="J63" i="24" s="1"/>
  <c r="N63" i="24"/>
  <c r="AG63" i="24" s="1" a="1"/>
  <c r="AG63" i="24" s="1"/>
  <c r="P63" i="24" a="1"/>
  <c r="P63" i="24" s="1"/>
  <c r="H64" i="24"/>
  <c r="J64" i="24" s="1"/>
  <c r="N64" i="24"/>
  <c r="H65" i="24"/>
  <c r="J65" i="24" s="1"/>
  <c r="N65" i="24"/>
  <c r="AF65" i="24" s="1" a="1"/>
  <c r="AF65" i="24" s="1"/>
  <c r="H66" i="24"/>
  <c r="J66" i="24" s="1"/>
  <c r="I66" i="24"/>
  <c r="N66" i="24"/>
  <c r="AF66" i="24" s="1" a="1"/>
  <c r="AF66" i="24" s="1"/>
  <c r="H67" i="24"/>
  <c r="J67" i="24" s="1"/>
  <c r="N67" i="24"/>
  <c r="AF67" i="24" s="1" a="1"/>
  <c r="AF67" i="24" s="1"/>
  <c r="H68" i="24"/>
  <c r="J68" i="24" s="1"/>
  <c r="N68" i="24"/>
  <c r="H69" i="24"/>
  <c r="J69" i="24" s="1"/>
  <c r="AD69" i="24" s="1" a="1"/>
  <c r="AD69" i="24" s="1"/>
  <c r="N69" i="24"/>
  <c r="P69" i="24" s="1" a="1"/>
  <c r="P69" i="24" s="1"/>
  <c r="H70" i="24"/>
  <c r="J70" i="24" s="1"/>
  <c r="N70" i="24"/>
  <c r="AG70" i="24" s="1" a="1"/>
  <c r="AG70" i="24" s="1"/>
  <c r="H71" i="24"/>
  <c r="J71" i="24" s="1"/>
  <c r="AD71" i="24" s="1" a="1"/>
  <c r="AD71" i="24" s="1"/>
  <c r="N71" i="24"/>
  <c r="AF71" i="24" s="1" a="1"/>
  <c r="AF71" i="24" s="1"/>
  <c r="H72" i="24"/>
  <c r="J72" i="24" s="1"/>
  <c r="N72" i="24"/>
  <c r="H73" i="24"/>
  <c r="J73" i="24"/>
  <c r="N73" i="24"/>
  <c r="AF73" i="24" s="1" a="1"/>
  <c r="AF73" i="24" s="1"/>
  <c r="H74" i="24"/>
  <c r="J74" i="24" s="1"/>
  <c r="N74" i="24"/>
  <c r="AG74" i="24" s="1" a="1"/>
  <c r="AG74" i="24" s="1"/>
  <c r="O74" i="24" a="1"/>
  <c r="O74" i="24" s="1"/>
  <c r="H75" i="24"/>
  <c r="J75" i="24" s="1"/>
  <c r="N75" i="24"/>
  <c r="P75" i="24" s="1" a="1"/>
  <c r="P75" i="24" s="1"/>
  <c r="AU8" i="24" a="1"/>
  <c r="AU8" i="24" s="1"/>
  <c r="AT8" i="24" a="1"/>
  <c r="AT8" i="24" s="1"/>
  <c r="AS8" i="24" a="1"/>
  <c r="AS8" i="24" s="1"/>
  <c r="AR8" i="24" a="1"/>
  <c r="AR8" i="24" s="1"/>
  <c r="AQ8" i="24"/>
  <c r="AN8" i="24" a="1"/>
  <c r="AN8" i="24" s="1"/>
  <c r="AM8" i="24" a="1"/>
  <c r="AM8" i="24" s="1"/>
  <c r="AL8" i="24" a="1"/>
  <c r="AL8" i="24" s="1"/>
  <c r="AK8" i="24" a="1"/>
  <c r="AK8" i="24" s="1"/>
  <c r="AJ8" i="24"/>
  <c r="AC8" i="24"/>
  <c r="X8" i="24"/>
  <c r="U8" i="24"/>
  <c r="T8" i="24"/>
  <c r="H8" i="24"/>
  <c r="AU7" i="24" a="1"/>
  <c r="AU7" i="24" s="1"/>
  <c r="AT7" i="24" a="1"/>
  <c r="AT7" i="24" s="1"/>
  <c r="AS7" i="24" a="1"/>
  <c r="AS7" i="24" s="1"/>
  <c r="AR7" i="24" a="1"/>
  <c r="AR7" i="24" s="1"/>
  <c r="AQ7" i="24"/>
  <c r="AN7" i="24" a="1"/>
  <c r="AN7" i="24" s="1"/>
  <c r="AM7" i="24" a="1"/>
  <c r="AM7" i="24" s="1"/>
  <c r="AL7" i="24" a="1"/>
  <c r="AL7" i="24" s="1"/>
  <c r="AK7" i="24" a="1"/>
  <c r="AK7" i="24" s="1"/>
  <c r="AJ7" i="24"/>
  <c r="AC7" i="24"/>
  <c r="X7" i="24"/>
  <c r="U7" i="24"/>
  <c r="T7" i="24"/>
  <c r="H7" i="24"/>
  <c r="AU6" i="24" a="1"/>
  <c r="AU6" i="24" s="1"/>
  <c r="AT6" i="24" a="1"/>
  <c r="AT6" i="24" s="1"/>
  <c r="AS6" i="24" a="1"/>
  <c r="AS6" i="24" s="1"/>
  <c r="AR6" i="24" a="1"/>
  <c r="AR6" i="24" s="1"/>
  <c r="AQ6" i="24"/>
  <c r="AN6" i="24" a="1"/>
  <c r="AN6" i="24" s="1"/>
  <c r="AM6" i="24" a="1"/>
  <c r="AM6" i="24" s="1"/>
  <c r="AL6" i="24" a="1"/>
  <c r="AL6" i="24" s="1"/>
  <c r="AK6" i="24" a="1"/>
  <c r="AK6" i="24" s="1"/>
  <c r="AJ6" i="24"/>
  <c r="AC6" i="24"/>
  <c r="X6" i="24"/>
  <c r="U6" i="24"/>
  <c r="T6" i="24"/>
  <c r="H6" i="24"/>
  <c r="AU5" i="24" a="1"/>
  <c r="AU5" i="24" s="1"/>
  <c r="AT5" i="24" a="1"/>
  <c r="AT5" i="24" s="1"/>
  <c r="AS5" i="24" a="1"/>
  <c r="AS5" i="24" s="1"/>
  <c r="AR5" i="24" a="1"/>
  <c r="AR5" i="24" s="1"/>
  <c r="AQ5" i="24"/>
  <c r="AN5" i="24" a="1"/>
  <c r="AN5" i="24" s="1"/>
  <c r="AM5" i="24" a="1"/>
  <c r="AM5" i="24" s="1"/>
  <c r="AL5" i="24" a="1"/>
  <c r="AL5" i="24" s="1"/>
  <c r="AK5" i="24" a="1"/>
  <c r="AK5" i="24" s="1"/>
  <c r="AJ5" i="24"/>
  <c r="AC5" i="24"/>
  <c r="X5" i="24"/>
  <c r="U5" i="24"/>
  <c r="T5" i="24"/>
  <c r="H5" i="24"/>
  <c r="H3" i="8"/>
  <c r="H4" i="8"/>
  <c r="H5" i="8"/>
  <c r="H6" i="8"/>
  <c r="H2" i="8"/>
  <c r="E3" i="8"/>
  <c r="E4" i="8"/>
  <c r="E5" i="8"/>
  <c r="E6" i="8"/>
  <c r="E2" i="8"/>
  <c r="AU3" i="24" a="1"/>
  <c r="AU3" i="24" s="1"/>
  <c r="AU4" i="24" a="1"/>
  <c r="AU4" i="24" s="1"/>
  <c r="AU9" i="24" a="1"/>
  <c r="AU9" i="24" s="1"/>
  <c r="AU10" i="24" a="1"/>
  <c r="AU10" i="24" s="1"/>
  <c r="AU11" i="24" a="1"/>
  <c r="AU11" i="24" s="1"/>
  <c r="AU12" i="24" a="1"/>
  <c r="AU12" i="24" s="1"/>
  <c r="AU13" i="24" a="1"/>
  <c r="AU13" i="24" s="1"/>
  <c r="AU14" i="24" a="1"/>
  <c r="AU14" i="24" s="1"/>
  <c r="AU15" i="24" a="1"/>
  <c r="AU15" i="24" s="1"/>
  <c r="AU16" i="24" a="1"/>
  <c r="AU16" i="24" s="1"/>
  <c r="AU17" i="24" a="1"/>
  <c r="AU17" i="24" s="1"/>
  <c r="AU18" i="24" a="1"/>
  <c r="AU18" i="24" s="1"/>
  <c r="AU19" i="24" a="1"/>
  <c r="AU19" i="24" s="1"/>
  <c r="AU20" i="24" a="1"/>
  <c r="AU20" i="24" s="1"/>
  <c r="AU21" i="24" a="1"/>
  <c r="AU21" i="24" s="1"/>
  <c r="AU22" i="24" a="1"/>
  <c r="AU22" i="24" s="1"/>
  <c r="AU23" i="24" a="1"/>
  <c r="AU23" i="24" s="1"/>
  <c r="AU24" i="24" a="1"/>
  <c r="AU24" i="24" s="1"/>
  <c r="AU25" i="24" a="1"/>
  <c r="AU25" i="24" s="1"/>
  <c r="AU26" i="24" a="1"/>
  <c r="AU26" i="24" s="1"/>
  <c r="AU27" i="24" a="1"/>
  <c r="AU27" i="24" s="1"/>
  <c r="AU28" i="24" a="1"/>
  <c r="AU28" i="24" s="1"/>
  <c r="AU29" i="24" a="1"/>
  <c r="AU29" i="24" s="1"/>
  <c r="AU30" i="24" a="1"/>
  <c r="AU30" i="24" s="1"/>
  <c r="AU31" i="24" a="1"/>
  <c r="AU31" i="24" s="1"/>
  <c r="AU32" i="24" a="1"/>
  <c r="AU32" i="24" s="1"/>
  <c r="AU2" i="24" a="1"/>
  <c r="AU2" i="24" s="1"/>
  <c r="AN3" i="24" a="1"/>
  <c r="AN3" i="24" s="1"/>
  <c r="AN4" i="24" a="1"/>
  <c r="AN4" i="24" s="1"/>
  <c r="AN9" i="24" a="1"/>
  <c r="AN9" i="24" s="1"/>
  <c r="AN10" i="24" a="1"/>
  <c r="AN10" i="24" s="1"/>
  <c r="AN11" i="24" a="1"/>
  <c r="AN11" i="24" s="1"/>
  <c r="AN12" i="24" a="1"/>
  <c r="AN12" i="24" s="1"/>
  <c r="AN13" i="24" a="1"/>
  <c r="AN13" i="24" s="1"/>
  <c r="AN14" i="24" a="1"/>
  <c r="AN14" i="24" s="1"/>
  <c r="AN15" i="24" a="1"/>
  <c r="AN15" i="24" s="1"/>
  <c r="AN16" i="24" a="1"/>
  <c r="AN16" i="24" s="1"/>
  <c r="AN17" i="24" a="1"/>
  <c r="AN17" i="24" s="1"/>
  <c r="AN18" i="24" a="1"/>
  <c r="AN18" i="24" s="1"/>
  <c r="AN19" i="24" a="1"/>
  <c r="AN19" i="24" s="1"/>
  <c r="AN20" i="24" a="1"/>
  <c r="AN20" i="24" s="1"/>
  <c r="AN21" i="24" a="1"/>
  <c r="AN21" i="24" s="1"/>
  <c r="AN22" i="24" a="1"/>
  <c r="AN22" i="24" s="1"/>
  <c r="AN23" i="24" a="1"/>
  <c r="AN23" i="24" s="1"/>
  <c r="AN24" i="24" a="1"/>
  <c r="AN24" i="24" s="1"/>
  <c r="AN25" i="24" a="1"/>
  <c r="AN25" i="24" s="1"/>
  <c r="AN26" i="24" a="1"/>
  <c r="AN26" i="24" s="1"/>
  <c r="AN27" i="24" a="1"/>
  <c r="AN27" i="24" s="1"/>
  <c r="AN28" i="24" a="1"/>
  <c r="AN28" i="24" s="1"/>
  <c r="AN29" i="24" a="1"/>
  <c r="AN29" i="24" s="1"/>
  <c r="AN30" i="24" a="1"/>
  <c r="AN30" i="24" s="1"/>
  <c r="AN31" i="24" a="1"/>
  <c r="AN31" i="24" s="1"/>
  <c r="AN32" i="24" a="1"/>
  <c r="AN32" i="24" s="1"/>
  <c r="AN2" i="24" a="1"/>
  <c r="AN2" i="24" s="1"/>
  <c r="AK10" i="24" a="1"/>
  <c r="AK10" i="24" s="1"/>
  <c r="AL10" i="24" a="1"/>
  <c r="AL10" i="24" s="1"/>
  <c r="AK11" i="24" a="1"/>
  <c r="AK11" i="24" s="1"/>
  <c r="AL11" i="24" a="1"/>
  <c r="AL11" i="24" s="1"/>
  <c r="AK12" i="24" a="1"/>
  <c r="AK12" i="24" s="1"/>
  <c r="AL12" i="24" a="1"/>
  <c r="AL12" i="24" s="1"/>
  <c r="AK13" i="24" a="1"/>
  <c r="AK13" i="24" s="1"/>
  <c r="AL13" i="24" a="1"/>
  <c r="AL13" i="24" s="1"/>
  <c r="AK18" i="24" a="1"/>
  <c r="AK18" i="24" s="1"/>
  <c r="AL18" i="24" a="1"/>
  <c r="AL18" i="24" s="1"/>
  <c r="AK19" i="24" a="1"/>
  <c r="AK19" i="24" s="1"/>
  <c r="AL19" i="24" a="1"/>
  <c r="AL19" i="24" s="1"/>
  <c r="AK20" i="24" a="1"/>
  <c r="AK20" i="24" s="1"/>
  <c r="AL20" i="24" a="1"/>
  <c r="AL20" i="24" s="1"/>
  <c r="AK21" i="24" a="1"/>
  <c r="AK21" i="24" s="1"/>
  <c r="AL21" i="24" a="1"/>
  <c r="AL21" i="24" s="1"/>
  <c r="AK22" i="24" a="1"/>
  <c r="AK22" i="24" s="1"/>
  <c r="AL22" i="24" a="1"/>
  <c r="AL22" i="24" s="1"/>
  <c r="AK23" i="24" a="1"/>
  <c r="AK23" i="24" s="1"/>
  <c r="AL23" i="24" a="1"/>
  <c r="AL23" i="24" s="1"/>
  <c r="AK24" i="24" a="1"/>
  <c r="AK24" i="24" s="1"/>
  <c r="AL24" i="24" a="1"/>
  <c r="AL24" i="24" s="1"/>
  <c r="AK25" i="24" a="1"/>
  <c r="AK25" i="24" s="1"/>
  <c r="AL25" i="24" a="1"/>
  <c r="AL25" i="24" s="1"/>
  <c r="AK26" i="24" a="1"/>
  <c r="AK26" i="24" s="1"/>
  <c r="AL26" i="24" a="1"/>
  <c r="AL26" i="24" s="1"/>
  <c r="AK27" i="24" a="1"/>
  <c r="AK27" i="24" s="1"/>
  <c r="AL27" i="24" a="1"/>
  <c r="AL27" i="24" s="1"/>
  <c r="AK28" i="24" a="1"/>
  <c r="AK28" i="24" s="1"/>
  <c r="AL28" i="24" a="1"/>
  <c r="AL28" i="24" s="1"/>
  <c r="AK29" i="24" a="1"/>
  <c r="AK29" i="24" s="1"/>
  <c r="AL29" i="24" a="1"/>
  <c r="AL29" i="24" s="1"/>
  <c r="AK30" i="24" a="1"/>
  <c r="AK30" i="24" s="1"/>
  <c r="AL30" i="24" a="1"/>
  <c r="AL30" i="24" s="1"/>
  <c r="AK31" i="24" a="1"/>
  <c r="AK31" i="24" s="1"/>
  <c r="AL31" i="24" a="1"/>
  <c r="AL31" i="24" s="1"/>
  <c r="AK32" i="24" a="1"/>
  <c r="AK32" i="24" s="1"/>
  <c r="AL32" i="24" a="1"/>
  <c r="AL32" i="24" s="1"/>
  <c r="AT32" i="24" a="1"/>
  <c r="AT32" i="24" s="1"/>
  <c r="AM32" i="24" a="1"/>
  <c r="AM32" i="24" s="1"/>
  <c r="AT31" i="24" a="1"/>
  <c r="AT31" i="24" s="1"/>
  <c r="AM31" i="24" a="1"/>
  <c r="AM31" i="24" s="1"/>
  <c r="AT30" i="24" a="1"/>
  <c r="AT30" i="24" s="1"/>
  <c r="AM30" i="24" a="1"/>
  <c r="AM30" i="24" s="1"/>
  <c r="AT29" i="24" a="1"/>
  <c r="AT29" i="24" s="1"/>
  <c r="AM29" i="24" a="1"/>
  <c r="AM29" i="24" s="1"/>
  <c r="AT28" i="24" a="1"/>
  <c r="AT28" i="24" s="1"/>
  <c r="AM28" i="24" a="1"/>
  <c r="AM28" i="24" s="1"/>
  <c r="AT27" i="24" a="1"/>
  <c r="AT27" i="24" s="1"/>
  <c r="AM27" i="24" a="1"/>
  <c r="AM27" i="24" s="1"/>
  <c r="AT26" i="24" a="1"/>
  <c r="AT26" i="24" s="1"/>
  <c r="AM26" i="24" a="1"/>
  <c r="AM26" i="24" s="1"/>
  <c r="AT25" i="24" a="1"/>
  <c r="AT25" i="24" s="1"/>
  <c r="AM25" i="24" a="1"/>
  <c r="AM25" i="24" s="1"/>
  <c r="AT24" i="24" a="1"/>
  <c r="AT24" i="24" s="1"/>
  <c r="AM24" i="24" a="1"/>
  <c r="AM24" i="24" s="1"/>
  <c r="AT23" i="24" a="1"/>
  <c r="AT23" i="24" s="1"/>
  <c r="AM23" i="24" a="1"/>
  <c r="AM23" i="24" s="1"/>
  <c r="AT22" i="24" a="1"/>
  <c r="AT22" i="24" s="1"/>
  <c r="AM22" i="24" a="1"/>
  <c r="AM22" i="24" s="1"/>
  <c r="AT21" i="24" a="1"/>
  <c r="AT21" i="24" s="1"/>
  <c r="AM21" i="24" a="1"/>
  <c r="AM21" i="24" s="1"/>
  <c r="AT20" i="24" a="1"/>
  <c r="AT20" i="24" s="1"/>
  <c r="AM20" i="24" a="1"/>
  <c r="AM20" i="24" s="1"/>
  <c r="AT19" i="24" a="1"/>
  <c r="AT19" i="24" s="1"/>
  <c r="AM19" i="24" a="1"/>
  <c r="AM19" i="24" s="1"/>
  <c r="AT18" i="24" a="1"/>
  <c r="AT18" i="24" s="1"/>
  <c r="AM18" i="24" a="1"/>
  <c r="AM18" i="24" s="1"/>
  <c r="AT17" i="24" a="1"/>
  <c r="AT17" i="24" s="1"/>
  <c r="AM17" i="24" a="1"/>
  <c r="AM17" i="24" s="1"/>
  <c r="AT16" i="24" a="1"/>
  <c r="AT16" i="24" s="1"/>
  <c r="AM16" i="24" a="1"/>
  <c r="AM16" i="24" s="1"/>
  <c r="AT15" i="24" a="1"/>
  <c r="AT15" i="24" s="1"/>
  <c r="AM15" i="24" a="1"/>
  <c r="AM15" i="24" s="1"/>
  <c r="AT13" i="24" a="1"/>
  <c r="AT13" i="24" s="1"/>
  <c r="AM13" i="24" a="1"/>
  <c r="AM13" i="24" s="1"/>
  <c r="AT12" i="24" a="1"/>
  <c r="AT12" i="24" s="1"/>
  <c r="AM12" i="24" a="1"/>
  <c r="AM12" i="24" s="1"/>
  <c r="AT11" i="24" a="1"/>
  <c r="AT11" i="24" s="1"/>
  <c r="AM11" i="24" a="1"/>
  <c r="AM11" i="24" s="1"/>
  <c r="AT10" i="24" a="1"/>
  <c r="AT10" i="24" s="1"/>
  <c r="AM10" i="24" a="1"/>
  <c r="AM10" i="24" s="1"/>
  <c r="AT9" i="24" a="1"/>
  <c r="AT9" i="24" s="1"/>
  <c r="AM9" i="24" a="1"/>
  <c r="AM9" i="24" s="1"/>
  <c r="AT4" i="24" a="1"/>
  <c r="AT4" i="24" s="1"/>
  <c r="AM4" i="24" a="1"/>
  <c r="AM4" i="24" s="1"/>
  <c r="AT3" i="24" a="1"/>
  <c r="AT3" i="24" s="1"/>
  <c r="AM3" i="24" a="1"/>
  <c r="AM3" i="24" s="1"/>
  <c r="AT2" i="24" a="1"/>
  <c r="AT2" i="24" s="1"/>
  <c r="AM2" i="24" a="1"/>
  <c r="AM2" i="24" s="1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2" i="15"/>
  <c r="I3" i="15"/>
  <c r="I4" i="15"/>
  <c r="I5" i="15"/>
  <c r="I6" i="15"/>
  <c r="M6" i="15" s="1"/>
  <c r="I10" i="24" s="1"/>
  <c r="I7" i="15"/>
  <c r="M7" i="15" s="1"/>
  <c r="I11" i="24" s="1"/>
  <c r="I8" i="15"/>
  <c r="M8" i="15" s="1"/>
  <c r="I12" i="24" s="1"/>
  <c r="I9" i="15"/>
  <c r="I10" i="15"/>
  <c r="M10" i="15" s="1"/>
  <c r="I55" i="24" s="1"/>
  <c r="I11" i="15"/>
  <c r="I12" i="15"/>
  <c r="M12" i="15" s="1"/>
  <c r="I16" i="24" s="1"/>
  <c r="I13" i="15"/>
  <c r="I14" i="15"/>
  <c r="I15" i="15"/>
  <c r="M15" i="15" s="1"/>
  <c r="I19" i="24" s="1"/>
  <c r="I16" i="15"/>
  <c r="I17" i="15"/>
  <c r="M17" i="15" s="1"/>
  <c r="I21" i="24" s="1"/>
  <c r="I18" i="15"/>
  <c r="I19" i="15"/>
  <c r="I20" i="15"/>
  <c r="I21" i="15"/>
  <c r="I22" i="15"/>
  <c r="M22" i="15" s="1"/>
  <c r="I26" i="24" s="1"/>
  <c r="I23" i="15"/>
  <c r="M23" i="15" s="1"/>
  <c r="I27" i="24" s="1"/>
  <c r="I24" i="15"/>
  <c r="M24" i="15" s="1"/>
  <c r="I28" i="24" s="1"/>
  <c r="I25" i="15"/>
  <c r="I26" i="15"/>
  <c r="M26" i="15" s="1"/>
  <c r="I30" i="24" s="1"/>
  <c r="I27" i="15"/>
  <c r="I28" i="15"/>
  <c r="M28" i="15" s="1"/>
  <c r="I32" i="24" s="1"/>
  <c r="I29" i="15"/>
  <c r="I2" i="15"/>
  <c r="W3" i="21"/>
  <c r="N22" i="24" s="1"/>
  <c r="P22" i="24" s="1" a="1"/>
  <c r="P22" i="24" s="1"/>
  <c r="W4" i="21"/>
  <c r="W5" i="21"/>
  <c r="W6" i="21"/>
  <c r="W7" i="21"/>
  <c r="W8" i="21"/>
  <c r="W9" i="21"/>
  <c r="W10" i="21"/>
  <c r="W11" i="21"/>
  <c r="W2" i="21"/>
  <c r="N8" i="24" s="1"/>
  <c r="P8" i="24" s="1" a="1"/>
  <c r="P8" i="24" s="1"/>
  <c r="H14" i="12"/>
  <c r="H11" i="12"/>
  <c r="H10" i="12"/>
  <c r="H7" i="12"/>
  <c r="H2" i="1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2" i="9"/>
  <c r="V3" i="20"/>
  <c r="V4" i="20"/>
  <c r="V5" i="20"/>
  <c r="V6" i="20"/>
  <c r="V7" i="20"/>
  <c r="V8" i="20"/>
  <c r="V9" i="20"/>
  <c r="V10" i="20"/>
  <c r="V11" i="20"/>
  <c r="V2" i="20"/>
  <c r="H3" i="24"/>
  <c r="H4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2" i="24"/>
  <c r="U3" i="24"/>
  <c r="U4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2" i="24"/>
  <c r="AQ3" i="24"/>
  <c r="AQ4" i="24"/>
  <c r="AQ9" i="24"/>
  <c r="AQ10" i="24"/>
  <c r="AQ11" i="24"/>
  <c r="AQ12" i="24"/>
  <c r="AQ13" i="24"/>
  <c r="AQ14" i="24"/>
  <c r="AQ15" i="24"/>
  <c r="AQ16" i="24"/>
  <c r="AQ17" i="24"/>
  <c r="AQ18" i="24"/>
  <c r="AQ19" i="24"/>
  <c r="AQ20" i="24"/>
  <c r="AQ21" i="24"/>
  <c r="AQ22" i="24"/>
  <c r="AQ23" i="24"/>
  <c r="AQ24" i="24"/>
  <c r="AQ25" i="24"/>
  <c r="AQ26" i="24"/>
  <c r="AQ27" i="24"/>
  <c r="AQ28" i="24"/>
  <c r="AQ29" i="24"/>
  <c r="AQ30" i="24"/>
  <c r="AQ31" i="24"/>
  <c r="AQ32" i="24"/>
  <c r="AQ2" i="24"/>
  <c r="AJ3" i="24"/>
  <c r="AJ4" i="24"/>
  <c r="AJ9" i="24"/>
  <c r="AJ10" i="24"/>
  <c r="AJ11" i="24"/>
  <c r="AJ12" i="24"/>
  <c r="AJ13" i="24"/>
  <c r="AJ14" i="24"/>
  <c r="AJ15" i="24"/>
  <c r="AJ16" i="24"/>
  <c r="AJ17" i="24"/>
  <c r="AJ18" i="24"/>
  <c r="AJ19" i="24"/>
  <c r="AJ20" i="24"/>
  <c r="AJ21" i="24"/>
  <c r="AJ22" i="24"/>
  <c r="AJ23" i="24"/>
  <c r="AJ24" i="24"/>
  <c r="AJ25" i="24"/>
  <c r="AJ26" i="24"/>
  <c r="AJ27" i="24"/>
  <c r="AJ28" i="24"/>
  <c r="AJ29" i="24"/>
  <c r="AJ30" i="24"/>
  <c r="AJ31" i="24"/>
  <c r="AJ32" i="24"/>
  <c r="AJ2" i="24"/>
  <c r="AC3" i="24"/>
  <c r="AC4" i="24"/>
  <c r="AC9" i="24"/>
  <c r="AC10" i="24"/>
  <c r="AC11" i="24"/>
  <c r="AC12" i="24"/>
  <c r="AC13" i="24"/>
  <c r="AC14" i="24"/>
  <c r="AC15" i="24"/>
  <c r="AC16" i="24"/>
  <c r="AC17" i="24"/>
  <c r="AC18" i="24"/>
  <c r="AC19" i="24"/>
  <c r="AC20" i="24"/>
  <c r="AC21" i="24"/>
  <c r="AC22" i="24"/>
  <c r="AC23" i="24"/>
  <c r="AC24" i="24"/>
  <c r="AC25" i="24"/>
  <c r="AC26" i="24"/>
  <c r="AC27" i="24"/>
  <c r="AC28" i="24"/>
  <c r="AC29" i="24"/>
  <c r="AC30" i="24"/>
  <c r="AC31" i="24"/>
  <c r="AC32" i="24"/>
  <c r="AC2" i="24"/>
  <c r="X3" i="24"/>
  <c r="X4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2" i="24"/>
  <c r="T3" i="24"/>
  <c r="T4" i="24"/>
  <c r="T9" i="24"/>
  <c r="T10" i="24"/>
  <c r="T11" i="24"/>
  <c r="T12" i="24"/>
  <c r="T13" i="24"/>
  <c r="T14" i="24"/>
  <c r="T15" i="24"/>
  <c r="T16" i="24"/>
  <c r="T17" i="24"/>
  <c r="T18" i="24"/>
  <c r="T19" i="24"/>
  <c r="T20" i="24"/>
  <c r="T21" i="24"/>
  <c r="T22" i="24"/>
  <c r="T23" i="24"/>
  <c r="T24" i="24"/>
  <c r="T25" i="24"/>
  <c r="T26" i="24"/>
  <c r="T27" i="24"/>
  <c r="T28" i="24"/>
  <c r="T29" i="24"/>
  <c r="T30" i="24"/>
  <c r="T31" i="24"/>
  <c r="T32" i="24"/>
  <c r="T2" i="24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" i="6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2" i="9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" i="12"/>
  <c r="O3" i="13"/>
  <c r="O4" i="13"/>
  <c r="O5" i="13"/>
  <c r="O6" i="13"/>
  <c r="O7" i="13"/>
  <c r="O8" i="13"/>
  <c r="O9" i="13"/>
  <c r="O10" i="13"/>
  <c r="O2" i="13"/>
  <c r="G3" i="14"/>
  <c r="G4" i="14"/>
  <c r="G2" i="14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" i="19"/>
  <c r="C3" i="16"/>
  <c r="C4" i="16"/>
  <c r="C5" i="16"/>
  <c r="C6" i="16"/>
  <c r="C7" i="16"/>
  <c r="C8" i="16"/>
  <c r="C9" i="16"/>
  <c r="C10" i="16"/>
  <c r="C11" i="16"/>
  <c r="C12" i="16"/>
  <c r="C2" i="16"/>
  <c r="M2" i="23"/>
  <c r="N2" i="23" s="1"/>
  <c r="Q2" i="21"/>
  <c r="R2" i="21" s="1"/>
  <c r="L2" i="23"/>
  <c r="J2" i="23"/>
  <c r="I2" i="23"/>
  <c r="H2" i="23"/>
  <c r="G2" i="23"/>
  <c r="E2" i="23"/>
  <c r="C2" i="23"/>
  <c r="N2" i="22"/>
  <c r="S3" i="20"/>
  <c r="S4" i="20"/>
  <c r="S5" i="20"/>
  <c r="S6" i="20"/>
  <c r="S7" i="20"/>
  <c r="S8" i="20"/>
  <c r="S9" i="20"/>
  <c r="S10" i="20"/>
  <c r="S11" i="20"/>
  <c r="S2" i="20"/>
  <c r="E2" i="22"/>
  <c r="L2" i="22"/>
  <c r="C2" i="22"/>
  <c r="J2" i="22"/>
  <c r="I2" i="22"/>
  <c r="H2" i="22"/>
  <c r="G2" i="22"/>
  <c r="Q3" i="21"/>
  <c r="R3" i="21" s="1"/>
  <c r="Q4" i="21"/>
  <c r="R4" i="21" s="1"/>
  <c r="Q5" i="21"/>
  <c r="R5" i="21" s="1"/>
  <c r="Q6" i="21"/>
  <c r="R6" i="21" s="1"/>
  <c r="Q7" i="21"/>
  <c r="R7" i="21" s="1"/>
  <c r="Q8" i="21"/>
  <c r="R8" i="21" s="1"/>
  <c r="Q9" i="21"/>
  <c r="R9" i="21" s="1"/>
  <c r="Q10" i="21"/>
  <c r="R10" i="21" s="1"/>
  <c r="Q11" i="21"/>
  <c r="R11" i="21" s="1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2" i="15"/>
  <c r="C7" i="20"/>
  <c r="E7" i="20"/>
  <c r="K7" i="20"/>
  <c r="M7" i="20"/>
  <c r="C8" i="20"/>
  <c r="E8" i="20"/>
  <c r="K8" i="20"/>
  <c r="M8" i="20"/>
  <c r="C9" i="20"/>
  <c r="E9" i="20"/>
  <c r="K9" i="20"/>
  <c r="M9" i="20"/>
  <c r="C10" i="20"/>
  <c r="E10" i="20"/>
  <c r="K10" i="20"/>
  <c r="M10" i="20"/>
  <c r="C11" i="20"/>
  <c r="E11" i="20"/>
  <c r="K11" i="20"/>
  <c r="M11" i="20"/>
  <c r="L11" i="21"/>
  <c r="J11" i="21"/>
  <c r="E11" i="21"/>
  <c r="C11" i="21"/>
  <c r="L10" i="21"/>
  <c r="J10" i="21"/>
  <c r="E10" i="21"/>
  <c r="C10" i="21"/>
  <c r="L9" i="21"/>
  <c r="J9" i="21"/>
  <c r="E9" i="21"/>
  <c r="C9" i="21"/>
  <c r="L8" i="21"/>
  <c r="J8" i="21"/>
  <c r="E8" i="21"/>
  <c r="C8" i="21"/>
  <c r="L7" i="21"/>
  <c r="J7" i="21"/>
  <c r="E7" i="21"/>
  <c r="C7" i="21"/>
  <c r="L6" i="21"/>
  <c r="J6" i="21"/>
  <c r="E6" i="21"/>
  <c r="C6" i="21"/>
  <c r="L5" i="21"/>
  <c r="J5" i="21"/>
  <c r="E5" i="21"/>
  <c r="C5" i="21"/>
  <c r="L4" i="21"/>
  <c r="J4" i="21"/>
  <c r="E4" i="21"/>
  <c r="C4" i="21"/>
  <c r="L3" i="21"/>
  <c r="J3" i="21"/>
  <c r="E3" i="21"/>
  <c r="C3" i="21"/>
  <c r="L2" i="21"/>
  <c r="J2" i="21"/>
  <c r="E2" i="21"/>
  <c r="C2" i="21"/>
  <c r="M3" i="20"/>
  <c r="M4" i="20"/>
  <c r="M5" i="20"/>
  <c r="M6" i="20"/>
  <c r="M2" i="20"/>
  <c r="K3" i="20"/>
  <c r="K4" i="20"/>
  <c r="K5" i="20"/>
  <c r="K6" i="20"/>
  <c r="K2" i="20"/>
  <c r="E3" i="20"/>
  <c r="E4" i="20"/>
  <c r="E5" i="20"/>
  <c r="E6" i="20"/>
  <c r="E2" i="20"/>
  <c r="C3" i="20"/>
  <c r="C4" i="20"/>
  <c r="C5" i="20"/>
  <c r="C6" i="20"/>
  <c r="C2" i="20"/>
  <c r="AK3" i="24" a="1"/>
  <c r="AK15" i="24" a="1"/>
  <c r="AL3" i="24" a="1"/>
  <c r="AL15" i="24" a="1"/>
  <c r="AK4" i="24" a="1"/>
  <c r="AK16" i="24" a="1"/>
  <c r="AK14" i="24" a="1"/>
  <c r="AL4" i="24" a="1"/>
  <c r="AL16" i="24" a="1"/>
  <c r="AL14" i="24" a="1"/>
  <c r="AK9" i="24" a="1"/>
  <c r="AK17" i="24" a="1"/>
  <c r="AL9" i="24" a="1"/>
  <c r="AL17" i="24" a="1"/>
  <c r="AL2" i="24" a="1"/>
  <c r="AK2" i="24" a="1"/>
  <c r="AT14" i="24" a="1"/>
  <c r="AM14" i="24" a="1"/>
  <c r="AE50" i="24" a="1"/>
  <c r="Q38" i="24" a="1"/>
  <c r="AE40" i="24" a="1"/>
  <c r="L46" i="24" a="1"/>
  <c r="AN55" i="24" a="1"/>
  <c r="AD45" i="24" a="1"/>
  <c r="AS57" i="24" a="1"/>
  <c r="AE38" i="24" a="1"/>
  <c r="K43" i="24" a="1"/>
  <c r="K35" i="24" a="1"/>
  <c r="K57" i="24" a="1"/>
  <c r="AD73" i="24" a="1"/>
  <c r="AL54" i="24" a="1"/>
  <c r="Q50" i="24" a="1"/>
  <c r="AF68" i="24" a="1"/>
  <c r="AD63" i="24" a="1"/>
  <c r="K41" i="24" a="1"/>
  <c r="M38" i="24" a="1"/>
  <c r="AF64" i="24" a="1"/>
  <c r="AG42" i="24" a="1"/>
  <c r="AE73" i="24" a="1"/>
  <c r="K34" i="24" a="1"/>
  <c r="AT54" i="24" a="1"/>
  <c r="AE44" i="24" a="1"/>
  <c r="M55" i="24" a="1"/>
  <c r="AD43" i="24" a="1"/>
  <c r="M35" i="24" a="1"/>
  <c r="AD49" i="24" a="1"/>
  <c r="AE68" i="24" a="1"/>
  <c r="L62" i="24" a="1"/>
  <c r="AD70" i="24" a="1"/>
  <c r="AF50" i="24" a="1"/>
  <c r="AG72" i="24" a="1"/>
  <c r="M48" i="24" a="1"/>
  <c r="AS55" i="24" a="1"/>
  <c r="L38" i="24" a="1"/>
  <c r="P46" i="24" a="1"/>
  <c r="AG68" i="24" a="1"/>
  <c r="M50" i="24" a="1"/>
  <c r="AD68" i="24" a="1"/>
  <c r="Q34" i="24" a="1"/>
  <c r="AD37" i="24" a="1"/>
  <c r="Q54" i="24" a="1"/>
  <c r="Q46" i="24" a="1"/>
  <c r="AE52" i="24" a="1"/>
  <c r="M61" i="24" a="1"/>
  <c r="AD60" i="24" a="1"/>
  <c r="P42" i="24" a="1"/>
  <c r="Q55" i="24" a="1"/>
  <c r="AD64" i="24" a="1"/>
  <c r="L57" i="24" a="1"/>
  <c r="M47" i="24" a="1"/>
  <c r="AE43" i="24" a="1"/>
  <c r="AU55" i="24" a="1"/>
  <c r="K52" i="24" a="1"/>
  <c r="AD61" i="24" a="1"/>
  <c r="AE62" i="24" a="1"/>
  <c r="AD52" i="24" a="1"/>
  <c r="AE59" i="24" a="1"/>
  <c r="AG64" i="24" a="1"/>
  <c r="AD65" i="24" a="1"/>
  <c r="M49" i="24" a="1"/>
  <c r="AG50" i="24" a="1"/>
  <c r="L53" i="24" a="1"/>
  <c r="M52" i="24" a="1"/>
  <c r="P60" i="24" a="1"/>
  <c r="AD55" i="24" a="1"/>
  <c r="AR55" i="24" a="1"/>
  <c r="O72" i="24" a="1"/>
  <c r="K73" i="24" a="1"/>
  <c r="AE47" i="24" a="1"/>
  <c r="L34" i="24" a="1"/>
  <c r="AM54" i="24" a="1"/>
  <c r="AE39" i="24" a="1"/>
  <c r="K48" i="24" a="1"/>
  <c r="L40" i="24" a="1"/>
  <c r="K60" i="24" a="1"/>
  <c r="AE34" i="24" a="1"/>
  <c r="L42" i="24" a="1"/>
  <c r="AE61" i="24" a="1"/>
  <c r="O38" i="24" a="1"/>
  <c r="AL34" i="24" a="1"/>
  <c r="K61" i="24" a="1"/>
  <c r="AE65" i="24" a="1"/>
  <c r="L49" i="24" a="1"/>
  <c r="AG55" i="24" a="1"/>
  <c r="AG46" i="24" a="1"/>
  <c r="AF42" i="24" a="1"/>
  <c r="Q60" i="24" a="1"/>
  <c r="AE55" i="24" a="1"/>
  <c r="K37" i="24" a="1"/>
  <c r="AE35" i="24" a="1"/>
  <c r="K47" i="24" a="1"/>
  <c r="AE41" i="24" a="1"/>
  <c r="K62" i="24" a="1"/>
  <c r="AE67" i="24" a="1"/>
  <c r="AD67" i="24" a="1"/>
  <c r="K36" i="24" a="1"/>
  <c r="AK54" i="24" a="1"/>
  <c r="AD39" i="24" a="1"/>
  <c r="AD42" i="24" a="1"/>
  <c r="AD44" i="24" a="1"/>
  <c r="AR57" i="24" a="1"/>
  <c r="L44" i="24" a="1"/>
  <c r="K39" i="24" a="1"/>
  <c r="AF38" i="24" a="1"/>
  <c r="P50" i="24" a="1"/>
  <c r="AE46" i="24" a="1"/>
  <c r="O42" i="24" a="1"/>
  <c r="AM55" i="24" a="1"/>
  <c r="AE45" i="24" a="1"/>
  <c r="L50" i="24" a="1"/>
  <c r="AS59" i="24" a="1"/>
  <c r="M51" i="24" a="1"/>
  <c r="L63" i="24" a="1"/>
  <c r="AG54" i="24" a="1"/>
  <c r="AR34" i="24" a="1"/>
  <c r="L45" i="24" a="1"/>
  <c r="O55" i="24" a="1"/>
  <c r="AS54" i="24" a="1"/>
  <c r="AG60" i="24" a="1"/>
  <c r="M37" i="24" a="1"/>
  <c r="O34" i="24" a="1"/>
  <c r="AS34" i="24" a="1"/>
  <c r="M46" i="24" a="1"/>
  <c r="AD48" i="24" a="1"/>
  <c r="AF54" i="24" a="1"/>
  <c r="AD41" i="24" a="1"/>
  <c r="M73" i="24" a="1"/>
  <c r="L37" i="24" a="1"/>
  <c r="AE64" i="24" a="1"/>
  <c r="M54" i="24" a="1"/>
  <c r="AD40" i="24" a="1"/>
  <c r="K49" i="24" a="1"/>
  <c r="AF34" i="24" a="1"/>
  <c r="K40" i="24" a="1"/>
  <c r="AE66" i="24" a="1"/>
  <c r="M36" i="24" a="1"/>
  <c r="AN54" i="24" a="1"/>
  <c r="L70" i="24" a="1"/>
  <c r="AE60" i="24" a="1"/>
  <c r="P64" i="24" a="1"/>
  <c r="K53" i="24" a="1"/>
  <c r="AF72" i="24" a="1"/>
  <c r="L35" i="24" a="1"/>
  <c r="AD59" i="24" a="1"/>
  <c r="AK55" i="24" a="1"/>
  <c r="AD57" i="24" a="1"/>
  <c r="AD34" i="24" a="1"/>
  <c r="L39" i="24" a="1"/>
  <c r="L54" i="24" a="1"/>
  <c r="M53" i="24" a="1"/>
  <c r="P68" i="24" a="1"/>
  <c r="AU34" i="24" a="1"/>
  <c r="L73" i="24" a="1"/>
  <c r="AE49" i="24" a="1"/>
  <c r="AF55" i="24" a="1"/>
  <c r="AU54" i="24" a="1"/>
  <c r="L72" i="24" a="1"/>
  <c r="M40" i="24" a="1"/>
  <c r="AL55" i="24" a="1"/>
  <c r="L60" i="24" a="1"/>
  <c r="AN34" i="24" a="1"/>
  <c r="Q42" i="24" a="1"/>
  <c r="M57" i="24" a="1"/>
  <c r="P55" i="24" a="1"/>
  <c r="M34" i="24" a="1"/>
  <c r="AF46" i="24" a="1"/>
  <c r="L41" i="24" a="1"/>
  <c r="L43" i="24" a="1"/>
  <c r="K42" i="24" a="1"/>
  <c r="M39" i="24" a="1"/>
  <c r="AD72" i="24" a="1"/>
  <c r="AG34" i="24" a="1"/>
  <c r="M41" i="24" a="1"/>
  <c r="AD54" i="24" a="1"/>
  <c r="AD38" i="24" a="1"/>
  <c r="AT34" i="24" a="1"/>
  <c r="AE63" i="24" a="1"/>
  <c r="AD51" i="24" a="1"/>
  <c r="AD66" i="24" a="1"/>
  <c r="AD50" i="24" a="1"/>
  <c r="L52" i="24" a="1"/>
  <c r="AR54" i="24" a="1"/>
  <c r="AE51" i="24" a="1"/>
  <c r="AG38" i="24" a="1"/>
  <c r="AE72" i="24" a="1"/>
  <c r="AD46" i="24" a="1"/>
  <c r="AD35" i="24" a="1"/>
  <c r="K54" i="24" a="1"/>
  <c r="K45" i="24" a="1"/>
  <c r="AD36" i="24" a="1"/>
  <c r="AD53" i="24" a="1"/>
  <c r="AE42" i="24" a="1"/>
  <c r="O60" i="24" a="1"/>
  <c r="AD47" i="24" a="1"/>
  <c r="AF60" i="24" a="1"/>
  <c r="AE54" i="24" a="1"/>
  <c r="K38" i="24" a="1"/>
  <c r="AE48" i="24" a="1"/>
  <c r="AE57" i="24" a="1"/>
  <c r="AE37" i="24" a="1"/>
  <c r="L36" i="24" a="1"/>
  <c r="AE53" i="24" a="1"/>
  <c r="L48" i="24" a="1"/>
  <c r="AD62" i="24" a="1"/>
  <c r="AK34" i="24" a="1"/>
  <c r="L61" i="24" a="1"/>
  <c r="P34" i="24" a="1"/>
  <c r="AR59" i="24" a="1"/>
  <c r="K51" i="24" a="1"/>
  <c r="M60" i="24" a="1"/>
  <c r="P38" i="24" a="1"/>
  <c r="AE36" i="24" a="1"/>
  <c r="AT55" i="24" a="1"/>
  <c r="AE70" i="24" a="1"/>
  <c r="AM34" i="24" a="1"/>
  <c r="I68" i="24" l="1"/>
  <c r="M16" i="15"/>
  <c r="I20" i="24" s="1"/>
  <c r="M2" i="15"/>
  <c r="M14" i="15"/>
  <c r="M29" i="15"/>
  <c r="M13" i="15"/>
  <c r="I17" i="24" s="1"/>
  <c r="I65" i="24"/>
  <c r="M27" i="15"/>
  <c r="M11" i="15"/>
  <c r="I47" i="24"/>
  <c r="I50" i="24"/>
  <c r="I64" i="24"/>
  <c r="I59" i="24"/>
  <c r="I36" i="24"/>
  <c r="I54" i="24"/>
  <c r="I70" i="24"/>
  <c r="I46" i="24"/>
  <c r="I39" i="24"/>
  <c r="I75" i="24"/>
  <c r="M25" i="15"/>
  <c r="M9" i="15"/>
  <c r="I13" i="24" s="1"/>
  <c r="I38" i="24"/>
  <c r="I35" i="24"/>
  <c r="AE69" i="24" a="1"/>
  <c r="AE69" i="24" s="1"/>
  <c r="AD56" i="24" a="1"/>
  <c r="AD56" i="24" s="1"/>
  <c r="I74" i="24"/>
  <c r="I56" i="24"/>
  <c r="I52" i="24"/>
  <c r="I41" i="24"/>
  <c r="I34" i="24"/>
  <c r="M19" i="15"/>
  <c r="M3" i="15"/>
  <c r="M21" i="15"/>
  <c r="M5" i="15"/>
  <c r="M20" i="15"/>
  <c r="I73" i="24"/>
  <c r="M18" i="15"/>
  <c r="I58" i="24"/>
  <c r="I51" i="24"/>
  <c r="I37" i="24"/>
  <c r="I40" i="24"/>
  <c r="L58" i="24" a="1"/>
  <c r="L58" i="24" s="1"/>
  <c r="AR58" i="24" a="1"/>
  <c r="AR58" i="24" s="1"/>
  <c r="AS58" i="24" a="1"/>
  <c r="AS58" i="24" s="1"/>
  <c r="AD58" i="24" a="1"/>
  <c r="AD58" i="24" s="1"/>
  <c r="AE58" i="24" a="1"/>
  <c r="AE58" i="24" s="1"/>
  <c r="L33" i="24" a="1"/>
  <c r="L33" i="24" s="1"/>
  <c r="AE33" i="24" a="1"/>
  <c r="AE33" i="24" s="1"/>
  <c r="M33" i="24" a="1"/>
  <c r="M33" i="24" s="1"/>
  <c r="AD33" i="24" a="1"/>
  <c r="AD33" i="24" s="1"/>
  <c r="K33" i="24" a="1"/>
  <c r="K33" i="24" s="1"/>
  <c r="L75" i="24" a="1"/>
  <c r="L75" i="24" s="1"/>
  <c r="AD75" i="24" a="1"/>
  <c r="AD75" i="24" s="1"/>
  <c r="AE75" i="24" a="1"/>
  <c r="AE75" i="24" s="1"/>
  <c r="K75" i="24" a="1"/>
  <c r="K75" i="24" s="1"/>
  <c r="M75" i="24" a="1"/>
  <c r="M75" i="24" s="1"/>
  <c r="L74" i="24" a="1"/>
  <c r="L74" i="24" s="1"/>
  <c r="AD74" i="24" a="1"/>
  <c r="AD74" i="24" s="1"/>
  <c r="AE74" i="24" a="1"/>
  <c r="AE74" i="24" s="1"/>
  <c r="Q75" i="24" a="1"/>
  <c r="Q75" i="24" s="1"/>
  <c r="Q74" i="24" a="1"/>
  <c r="Q74" i="24" s="1"/>
  <c r="P73" i="24" a="1"/>
  <c r="P73" i="24" s="1"/>
  <c r="Q57" i="24" a="1"/>
  <c r="Q57" i="24" s="1"/>
  <c r="Q52" i="24" a="1"/>
  <c r="Q52" i="24" s="1"/>
  <c r="Q44" i="24" a="1"/>
  <c r="Q44" i="24" s="1"/>
  <c r="Q41" i="24" a="1"/>
  <c r="Q41" i="24" s="1"/>
  <c r="Q39" i="24" a="1"/>
  <c r="Q39" i="24" s="1"/>
  <c r="Q35" i="24" a="1"/>
  <c r="Q35" i="24" s="1"/>
  <c r="P33" i="24" a="1"/>
  <c r="P33" i="24" s="1"/>
  <c r="AF74" i="24" a="1"/>
  <c r="AF74" i="24" s="1"/>
  <c r="AG73" i="24" a="1"/>
  <c r="AG73" i="24" s="1"/>
  <c r="AG71" i="24" a="1"/>
  <c r="AG71" i="24" s="1"/>
  <c r="AG69" i="24" a="1"/>
  <c r="AG69" i="24" s="1"/>
  <c r="AG65" i="24" a="1"/>
  <c r="AG65" i="24" s="1"/>
  <c r="AG62" i="24" a="1"/>
  <c r="AG62" i="24" s="1"/>
  <c r="AF61" i="24" a="1"/>
  <c r="AF61" i="24" s="1"/>
  <c r="AF59" i="24" a="1"/>
  <c r="AF59" i="24" s="1"/>
  <c r="AF57" i="24" a="1"/>
  <c r="AF57" i="24" s="1"/>
  <c r="AG51" i="24" a="1"/>
  <c r="AG51" i="24" s="1"/>
  <c r="AG49" i="24" a="1"/>
  <c r="AG49" i="24" s="1"/>
  <c r="AF48" i="24" a="1"/>
  <c r="AF48" i="24" s="1"/>
  <c r="AG43" i="24" a="1"/>
  <c r="AG43" i="24" s="1"/>
  <c r="AG41" i="24" a="1"/>
  <c r="AG41" i="24" s="1"/>
  <c r="AF40" i="24" a="1"/>
  <c r="AF40" i="24" s="1"/>
  <c r="AL56" i="24" a="1"/>
  <c r="AL56" i="24" s="1"/>
  <c r="Q73" i="24" a="1"/>
  <c r="Q73" i="24" s="1"/>
  <c r="O75" i="24" a="1"/>
  <c r="O75" i="24" s="1"/>
  <c r="P74" i="24" a="1"/>
  <c r="P74" i="24" s="1"/>
  <c r="O73" i="24" a="1"/>
  <c r="O73" i="24" s="1"/>
  <c r="P67" i="24" a="1"/>
  <c r="P67" i="24" s="1"/>
  <c r="P66" i="24" a="1"/>
  <c r="P66" i="24" s="1"/>
  <c r="P65" i="24" a="1"/>
  <c r="P65" i="24" s="1"/>
  <c r="Q61" i="24" a="1"/>
  <c r="Q61" i="24" s="1"/>
  <c r="O57" i="24" a="1"/>
  <c r="O57" i="24" s="1"/>
  <c r="M56" i="24" a="1"/>
  <c r="M56" i="24" s="1"/>
  <c r="O52" i="24" a="1"/>
  <c r="O52" i="24" s="1"/>
  <c r="Q48" i="24" a="1"/>
  <c r="Q48" i="24" s="1"/>
  <c r="O44" i="24" a="1"/>
  <c r="O44" i="24" s="1"/>
  <c r="O41" i="24" a="1"/>
  <c r="O41" i="24" s="1"/>
  <c r="O39" i="24" a="1"/>
  <c r="O39" i="24" s="1"/>
  <c r="Q36" i="24" a="1"/>
  <c r="Q36" i="24" s="1"/>
  <c r="P35" i="24" a="1"/>
  <c r="P35" i="24" s="1"/>
  <c r="O33" i="24" a="1"/>
  <c r="O33" i="24" s="1"/>
  <c r="AG75" i="24" a="1"/>
  <c r="AG75" i="24" s="1"/>
  <c r="AF69" i="24" a="1"/>
  <c r="AF69" i="24" s="1"/>
  <c r="AG66" i="24" a="1"/>
  <c r="AG66" i="24" s="1"/>
  <c r="AE56" i="24" a="1"/>
  <c r="AE56" i="24" s="1"/>
  <c r="AG52" i="24" a="1"/>
  <c r="AG52" i="24" s="1"/>
  <c r="AF51" i="24" a="1"/>
  <c r="AF51" i="24" s="1"/>
  <c r="AF49" i="24" a="1"/>
  <c r="AF49" i="24" s="1"/>
  <c r="AG44" i="24" a="1"/>
  <c r="AG44" i="24" s="1"/>
  <c r="AF43" i="24" a="1"/>
  <c r="AF43" i="24" s="1"/>
  <c r="AF41" i="24" a="1"/>
  <c r="AF41" i="24" s="1"/>
  <c r="AG33" i="24" a="1"/>
  <c r="AG33" i="24" s="1"/>
  <c r="AK56" i="24" a="1"/>
  <c r="AK56" i="24" s="1"/>
  <c r="AU59" i="24" a="1"/>
  <c r="AU59" i="24" s="1"/>
  <c r="AU58" i="24" a="1"/>
  <c r="AU58" i="24" s="1"/>
  <c r="AU57" i="24" a="1"/>
  <c r="AU57" i="24" s="1"/>
  <c r="AU56" i="24" a="1"/>
  <c r="AU56" i="24" s="1"/>
  <c r="AS56" i="24" a="1"/>
  <c r="AS56" i="24" s="1"/>
  <c r="AF75" i="24" a="1"/>
  <c r="AF75" i="24" s="1"/>
  <c r="AE71" i="24" a="1"/>
  <c r="AE71" i="24" s="1"/>
  <c r="AG67" i="24" a="1"/>
  <c r="AG67" i="24" s="1"/>
  <c r="AF52" i="24" a="1"/>
  <c r="AF52" i="24" s="1"/>
  <c r="AF44" i="24" a="1"/>
  <c r="AF44" i="24" s="1"/>
  <c r="AG39" i="24" a="1"/>
  <c r="AG39" i="24" s="1"/>
  <c r="AF33" i="24" a="1"/>
  <c r="AF33" i="24" s="1"/>
  <c r="AT57" i="24" a="1"/>
  <c r="AT57" i="24" s="1"/>
  <c r="AG61" i="24" a="1"/>
  <c r="AG61" i="24" s="1"/>
  <c r="AG59" i="24" a="1"/>
  <c r="AG59" i="24" s="1"/>
  <c r="AF58" i="24" a="1"/>
  <c r="AF58" i="24" s="1"/>
  <c r="AG57" i="24" a="1"/>
  <c r="AG57" i="24" s="1"/>
  <c r="AF56" i="24" a="1"/>
  <c r="AF56" i="24" s="1"/>
  <c r="AF53" i="24" a="1"/>
  <c r="AF53" i="24" s="1"/>
  <c r="AG48" i="24" a="1"/>
  <c r="AG48" i="24" s="1"/>
  <c r="AF47" i="24" a="1"/>
  <c r="AF47" i="24" s="1"/>
  <c r="AF45" i="24" a="1"/>
  <c r="AF45" i="24" s="1"/>
  <c r="AG40" i="24" a="1"/>
  <c r="AG40" i="24" s="1"/>
  <c r="AF39" i="24" a="1"/>
  <c r="AF39" i="24" s="1"/>
  <c r="AM56" i="24" a="1"/>
  <c r="AM56" i="24" s="1"/>
  <c r="AT58" i="24" a="1"/>
  <c r="AT58" i="24" s="1"/>
  <c r="AT56" i="24" a="1"/>
  <c r="AT56" i="24" s="1"/>
  <c r="AR56" i="24" a="1"/>
  <c r="AR56" i="24" s="1"/>
  <c r="AS57" i="24"/>
  <c r="AR55" i="24"/>
  <c r="AR59" i="24"/>
  <c r="AT55" i="24"/>
  <c r="AT54" i="24"/>
  <c r="AR54" i="24"/>
  <c r="AT34" i="24"/>
  <c r="AR34" i="24"/>
  <c r="AS59" i="24"/>
  <c r="AR57" i="24"/>
  <c r="AU55" i="24"/>
  <c r="AS55" i="24"/>
  <c r="AU54" i="24"/>
  <c r="AS54" i="24"/>
  <c r="AU34" i="24"/>
  <c r="AS34" i="24"/>
  <c r="AK55" i="24"/>
  <c r="AM54" i="24"/>
  <c r="AK54" i="24"/>
  <c r="AM34" i="24"/>
  <c r="AK34" i="24"/>
  <c r="AN55" i="24"/>
  <c r="AL55" i="24"/>
  <c r="AM55" i="24"/>
  <c r="AN54" i="24"/>
  <c r="AL54" i="24"/>
  <c r="AN34" i="24"/>
  <c r="AL34" i="24"/>
  <c r="AF55" i="24"/>
  <c r="AD47" i="24"/>
  <c r="AG72" i="24"/>
  <c r="AE72" i="24"/>
  <c r="AD70" i="24"/>
  <c r="AG68" i="24"/>
  <c r="AE68" i="24"/>
  <c r="AD66" i="24"/>
  <c r="AG64" i="24"/>
  <c r="AE64" i="24"/>
  <c r="AD62" i="24"/>
  <c r="AG60" i="24"/>
  <c r="AE60" i="24"/>
  <c r="AF54" i="24"/>
  <c r="AD54" i="24"/>
  <c r="AE52" i="24"/>
  <c r="AF50" i="24"/>
  <c r="AD50" i="24"/>
  <c r="AE48" i="24"/>
  <c r="AF46" i="24"/>
  <c r="AD46" i="24"/>
  <c r="AE44" i="24"/>
  <c r="AF42" i="24"/>
  <c r="AD42" i="24"/>
  <c r="AE40" i="24"/>
  <c r="AF38" i="24"/>
  <c r="AD38" i="24"/>
  <c r="AE36" i="24"/>
  <c r="AF34" i="24"/>
  <c r="AD34" i="24"/>
  <c r="AE73" i="24"/>
  <c r="AD67" i="24"/>
  <c r="AE65" i="24"/>
  <c r="AD63" i="24"/>
  <c r="AE61" i="24"/>
  <c r="AD59" i="24"/>
  <c r="AE57" i="24"/>
  <c r="AD55" i="24"/>
  <c r="AE53" i="24"/>
  <c r="AD51" i="24"/>
  <c r="AE49" i="24"/>
  <c r="AE45" i="24"/>
  <c r="AE41" i="24"/>
  <c r="AD35" i="24"/>
  <c r="AD73" i="24"/>
  <c r="AE67" i="24"/>
  <c r="AD65" i="24"/>
  <c r="AE63" i="24"/>
  <c r="AD61" i="24"/>
  <c r="AE59" i="24"/>
  <c r="AD57" i="24"/>
  <c r="AG55" i="24"/>
  <c r="AE55" i="24"/>
  <c r="AD53" i="24"/>
  <c r="AE51" i="24"/>
  <c r="AD49" i="24"/>
  <c r="AE47" i="24"/>
  <c r="AD45" i="24"/>
  <c r="AE43" i="24"/>
  <c r="AD41" i="24"/>
  <c r="AE39" i="24"/>
  <c r="AD37" i="24"/>
  <c r="AE35" i="24"/>
  <c r="AD43" i="24"/>
  <c r="AD39" i="24"/>
  <c r="AE37" i="24"/>
  <c r="AF72" i="24"/>
  <c r="AD72" i="24"/>
  <c r="AE70" i="24"/>
  <c r="AF68" i="24"/>
  <c r="AD68" i="24"/>
  <c r="AE66" i="24"/>
  <c r="AF64" i="24"/>
  <c r="AD64" i="24"/>
  <c r="AE62" i="24"/>
  <c r="AF60" i="24"/>
  <c r="AD60" i="24"/>
  <c r="AG54" i="24"/>
  <c r="AE54" i="24"/>
  <c r="AD52" i="24"/>
  <c r="AG50" i="24"/>
  <c r="AE50" i="24"/>
  <c r="AD48" i="24"/>
  <c r="AG46" i="24"/>
  <c r="AE46" i="24"/>
  <c r="AD44" i="24"/>
  <c r="AG42" i="24"/>
  <c r="AE42" i="24"/>
  <c r="AD40" i="24"/>
  <c r="AG38" i="24"/>
  <c r="AE38" i="24"/>
  <c r="AD36" i="24"/>
  <c r="AG34" i="24"/>
  <c r="AE34" i="24"/>
  <c r="L70" i="24"/>
  <c r="P68" i="24"/>
  <c r="K62" i="24"/>
  <c r="M55" i="24"/>
  <c r="L73" i="24"/>
  <c r="L72" i="24"/>
  <c r="Q54" i="24"/>
  <c r="O60" i="24"/>
  <c r="K60" i="24"/>
  <c r="L57" i="24"/>
  <c r="L54" i="24"/>
  <c r="K52" i="24"/>
  <c r="K43" i="24"/>
  <c r="K42" i="24"/>
  <c r="M73" i="24"/>
  <c r="K73" i="24"/>
  <c r="O72" i="24"/>
  <c r="L63" i="24"/>
  <c r="L61" i="24"/>
  <c r="K57" i="24"/>
  <c r="P64" i="24"/>
  <c r="L62" i="24"/>
  <c r="K61" i="24"/>
  <c r="K51" i="24"/>
  <c r="L50" i="24"/>
  <c r="K48" i="24"/>
  <c r="L60" i="24"/>
  <c r="O55" i="24"/>
  <c r="K54" i="24"/>
  <c r="K47" i="24"/>
  <c r="L46" i="24"/>
  <c r="L53" i="24"/>
  <c r="M51" i="24"/>
  <c r="Q50" i="24"/>
  <c r="P50" i="24"/>
  <c r="L49" i="24"/>
  <c r="M47" i="24"/>
  <c r="Q46" i="24"/>
  <c r="P46" i="24"/>
  <c r="K45" i="24"/>
  <c r="L44" i="24"/>
  <c r="K41" i="24"/>
  <c r="K39" i="24"/>
  <c r="K38" i="24"/>
  <c r="L37" i="24"/>
  <c r="M35" i="24"/>
  <c r="M34" i="24"/>
  <c r="M54" i="24"/>
  <c r="K53" i="24"/>
  <c r="L52" i="24"/>
  <c r="M50" i="24"/>
  <c r="K49" i="24"/>
  <c r="L48" i="24"/>
  <c r="M46" i="24"/>
  <c r="L45" i="24"/>
  <c r="O42" i="24"/>
  <c r="L41" i="24"/>
  <c r="M40" i="24"/>
  <c r="L39" i="24"/>
  <c r="L38" i="24"/>
  <c r="M36" i="24"/>
  <c r="K35" i="24"/>
  <c r="K34" i="24"/>
  <c r="M61" i="24"/>
  <c r="Q60" i="24"/>
  <c r="P60" i="24"/>
  <c r="M57" i="24"/>
  <c r="M53" i="24"/>
  <c r="M49" i="24"/>
  <c r="P42" i="24"/>
  <c r="L42" i="24"/>
  <c r="M41" i="24"/>
  <c r="K40" i="24"/>
  <c r="P38" i="24"/>
  <c r="M37" i="24"/>
  <c r="K36" i="24"/>
  <c r="L35" i="24"/>
  <c r="L34" i="24"/>
  <c r="M60" i="24"/>
  <c r="Q55" i="24"/>
  <c r="P55" i="24"/>
  <c r="M52" i="24"/>
  <c r="M48" i="24"/>
  <c r="L43" i="24"/>
  <c r="Q42" i="24"/>
  <c r="L40" i="24"/>
  <c r="M39" i="24"/>
  <c r="M38" i="24"/>
  <c r="K37" i="24"/>
  <c r="L36" i="24"/>
  <c r="Q38" i="24"/>
  <c r="O38" i="24"/>
  <c r="Q34" i="24"/>
  <c r="O34" i="24"/>
  <c r="P34" i="24"/>
  <c r="K69" i="24" a="1"/>
  <c r="K69" i="24" s="1"/>
  <c r="M69" i="24" a="1"/>
  <c r="M69" i="24" s="1"/>
  <c r="K58" i="24" a="1"/>
  <c r="K58" i="24" s="1"/>
  <c r="M74" i="24" a="1"/>
  <c r="M74" i="24" s="1"/>
  <c r="K74" i="24" a="1"/>
  <c r="K74" i="24" s="1"/>
  <c r="O71" i="24" a="1"/>
  <c r="O71" i="24" s="1"/>
  <c r="Q71" i="24" a="1"/>
  <c r="Q71" i="24" s="1"/>
  <c r="O70" i="24" a="1"/>
  <c r="O70" i="24" s="1"/>
  <c r="Q70" i="24" a="1"/>
  <c r="Q70" i="24" s="1"/>
  <c r="K71" i="24" a="1"/>
  <c r="K71" i="24" s="1"/>
  <c r="M71" i="24" a="1"/>
  <c r="M71" i="24" s="1"/>
  <c r="L71" i="24" a="1"/>
  <c r="L71" i="24" s="1"/>
  <c r="L69" i="24" a="1"/>
  <c r="L69" i="24" s="1"/>
  <c r="P71" i="24" a="1"/>
  <c r="P71" i="24" s="1"/>
  <c r="P70" i="24" a="1"/>
  <c r="P70" i="24" s="1"/>
  <c r="P58" i="24" a="1"/>
  <c r="P58" i="24" s="1"/>
  <c r="O58" i="24" a="1"/>
  <c r="O58" i="24" s="1"/>
  <c r="O69" i="24" a="1"/>
  <c r="O69" i="24" s="1"/>
  <c r="Q69" i="24" a="1"/>
  <c r="Q69" i="24" s="1"/>
  <c r="O67" i="24" a="1"/>
  <c r="O67" i="24" s="1"/>
  <c r="Q67" i="24" a="1"/>
  <c r="Q67" i="24" s="1"/>
  <c r="O66" i="24" a="1"/>
  <c r="O66" i="24" s="1"/>
  <c r="Q66" i="24" a="1"/>
  <c r="Q66" i="24" s="1"/>
  <c r="O65" i="24" a="1"/>
  <c r="O65" i="24" s="1"/>
  <c r="Q65" i="24" a="1"/>
  <c r="Q65" i="24" s="1"/>
  <c r="O63" i="24" a="1"/>
  <c r="O63" i="24" s="1"/>
  <c r="Q63" i="24" a="1"/>
  <c r="Q63" i="24" s="1"/>
  <c r="O62" i="24" a="1"/>
  <c r="O62" i="24" s="1"/>
  <c r="Q62" i="24" a="1"/>
  <c r="Q62" i="24" s="1"/>
  <c r="M58" i="24" a="1"/>
  <c r="M58" i="24" s="1"/>
  <c r="O59" i="24" a="1"/>
  <c r="O59" i="24" s="1"/>
  <c r="O51" i="24" a="1"/>
  <c r="O51" i="24" s="1"/>
  <c r="I7" i="24"/>
  <c r="I2" i="24"/>
  <c r="G2" i="24" s="1"/>
  <c r="I6" i="24"/>
  <c r="G6" i="24" s="1"/>
  <c r="I14" i="24"/>
  <c r="I5" i="24"/>
  <c r="G5" i="24" s="1"/>
  <c r="I9" i="24"/>
  <c r="I3" i="24"/>
  <c r="G3" i="24" s="1"/>
  <c r="I8" i="24"/>
  <c r="N4" i="24"/>
  <c r="AF4" i="24" s="1" a="1"/>
  <c r="AF4" i="24" s="1"/>
  <c r="J5" i="24"/>
  <c r="N5" i="24"/>
  <c r="P5" i="24" s="1" a="1"/>
  <c r="P5" i="24" s="1"/>
  <c r="J6" i="24"/>
  <c r="M4" i="15"/>
  <c r="I4" i="24" s="1"/>
  <c r="G4" i="24" s="1"/>
  <c r="N13" i="24"/>
  <c r="AF13" i="24" s="1" a="1"/>
  <c r="AF13" i="24" s="1"/>
  <c r="N6" i="24"/>
  <c r="J7" i="24"/>
  <c r="N7" i="24"/>
  <c r="P7" i="24" s="1" a="1"/>
  <c r="P7" i="24" s="1"/>
  <c r="J8" i="24"/>
  <c r="Q8" i="24" a="1"/>
  <c r="Q8" i="24" s="1"/>
  <c r="AF8" i="24" a="1"/>
  <c r="AF8" i="24" s="1"/>
  <c r="O8" i="24" a="1"/>
  <c r="O8" i="24" s="1"/>
  <c r="AG8" i="24" a="1"/>
  <c r="AG8" i="24" s="1"/>
  <c r="Q5" i="24" a="1"/>
  <c r="Q5" i="24" s="1"/>
  <c r="AF22" i="24" a="1"/>
  <c r="AF22" i="24" s="1"/>
  <c r="AG22" i="24" a="1"/>
  <c r="AG22" i="24" s="1"/>
  <c r="AL17" i="24"/>
  <c r="AL9" i="24"/>
  <c r="AK17" i="24"/>
  <c r="AK9" i="24"/>
  <c r="AL14" i="24"/>
  <c r="AL16" i="24"/>
  <c r="AL4" i="24"/>
  <c r="AK14" i="24"/>
  <c r="AK16" i="24"/>
  <c r="AK4" i="24"/>
  <c r="AL15" i="24"/>
  <c r="AL3" i="24"/>
  <c r="AK15" i="24"/>
  <c r="AK3" i="24"/>
  <c r="AL2" i="24"/>
  <c r="AK2" i="24"/>
  <c r="AM14" i="24"/>
  <c r="AT14" i="24"/>
  <c r="J15" i="24"/>
  <c r="J31" i="24"/>
  <c r="K31" i="24" s="1" a="1"/>
  <c r="K31" i="24" s="1"/>
  <c r="N23" i="24"/>
  <c r="P23" i="24" s="1" a="1"/>
  <c r="P23" i="24" s="1"/>
  <c r="N3" i="24"/>
  <c r="N21" i="24"/>
  <c r="N20" i="24"/>
  <c r="N19" i="24"/>
  <c r="N2" i="24"/>
  <c r="N18" i="24"/>
  <c r="O18" i="24" s="1" a="1"/>
  <c r="O18" i="24" s="1"/>
  <c r="N17" i="24"/>
  <c r="N32" i="24"/>
  <c r="O32" i="24" s="1" a="1"/>
  <c r="O32" i="24" s="1"/>
  <c r="N16" i="24"/>
  <c r="N31" i="24"/>
  <c r="P31" i="24" s="1" a="1"/>
  <c r="P31" i="24" s="1"/>
  <c r="N15" i="24"/>
  <c r="N30" i="24"/>
  <c r="N14" i="24"/>
  <c r="N29" i="24"/>
  <c r="O29" i="24" s="1" a="1"/>
  <c r="O29" i="24" s="1"/>
  <c r="N28" i="24"/>
  <c r="N12" i="24"/>
  <c r="N27" i="24"/>
  <c r="N11" i="24"/>
  <c r="N26" i="24"/>
  <c r="N10" i="24"/>
  <c r="N25" i="24"/>
  <c r="O25" i="24" s="1" a="1"/>
  <c r="O25" i="24" s="1"/>
  <c r="N9" i="24"/>
  <c r="N24" i="24"/>
  <c r="Q24" i="24" s="1" a="1"/>
  <c r="Q24" i="24" s="1"/>
  <c r="AS31" i="24" a="1"/>
  <c r="AS31" i="24" s="1"/>
  <c r="O22" i="24" a="1"/>
  <c r="O22" i="24" s="1"/>
  <c r="Q22" i="24" a="1"/>
  <c r="Q22" i="24" s="1"/>
  <c r="J17" i="24"/>
  <c r="T7" i="20"/>
  <c r="J32" i="24"/>
  <c r="J16" i="24"/>
  <c r="J30" i="24"/>
  <c r="J14" i="24"/>
  <c r="J29" i="24"/>
  <c r="J13" i="24"/>
  <c r="J28" i="24"/>
  <c r="J12" i="24"/>
  <c r="J27" i="24"/>
  <c r="J11" i="24"/>
  <c r="J26" i="24"/>
  <c r="J10" i="24"/>
  <c r="J25" i="24"/>
  <c r="J9" i="24"/>
  <c r="J24" i="24"/>
  <c r="J4" i="24"/>
  <c r="U11" i="20"/>
  <c r="J23" i="24"/>
  <c r="J3" i="24"/>
  <c r="J22" i="24"/>
  <c r="J21" i="24"/>
  <c r="J20" i="24"/>
  <c r="J19" i="24"/>
  <c r="J2" i="24"/>
  <c r="J18" i="24"/>
  <c r="T10" i="20"/>
  <c r="U9" i="20"/>
  <c r="T9" i="20"/>
  <c r="T8" i="20"/>
  <c r="T11" i="20"/>
  <c r="U8" i="20"/>
  <c r="U7" i="20"/>
  <c r="U10" i="20"/>
  <c r="T5" i="20"/>
  <c r="U4" i="20"/>
  <c r="U6" i="20"/>
  <c r="U2" i="20"/>
  <c r="U3" i="20"/>
  <c r="T4" i="20"/>
  <c r="U5" i="20"/>
  <c r="T6" i="20"/>
  <c r="T2" i="20"/>
  <c r="T3" i="20"/>
  <c r="AS15" i="24" a="1"/>
  <c r="AR15" i="24" a="1"/>
  <c r="AS16" i="24" a="1"/>
  <c r="AR16" i="24" a="1"/>
  <c r="AR14" i="24" a="1"/>
  <c r="AS14" i="24" a="1"/>
  <c r="AR2" i="24" a="1"/>
  <c r="AS2" i="24" a="1"/>
  <c r="AS4" i="24" a="1"/>
  <c r="AR4" i="24" a="1"/>
  <c r="AS17" i="24" a="1"/>
  <c r="AR17" i="24" a="1"/>
  <c r="AS9" i="24" a="1"/>
  <c r="AR9" i="24" a="1"/>
  <c r="AS3" i="24" a="1"/>
  <c r="AR3" i="24" a="1"/>
  <c r="AD8" i="24" a="1"/>
  <c r="O50" i="24" a="1"/>
  <c r="L67" i="24" a="1"/>
  <c r="L17" i="24" a="1"/>
  <c r="K67" i="24" a="1"/>
  <c r="M44" i="24" a="1"/>
  <c r="P54" i="24" a="1"/>
  <c r="M67" i="24" a="1"/>
  <c r="L59" i="24" a="1"/>
  <c r="AE14" i="24" a="1"/>
  <c r="M62" i="24" a="1"/>
  <c r="K17" i="24" a="1"/>
  <c r="AE8" i="24" a="1"/>
  <c r="M14" i="24" a="1"/>
  <c r="K70" i="24" a="1"/>
  <c r="K2" i="24" a="1"/>
  <c r="O14" i="24" a="1"/>
  <c r="M68" i="24" a="1"/>
  <c r="M5" i="24" a="1"/>
  <c r="M6" i="24" a="1"/>
  <c r="Q14" i="24" a="1"/>
  <c r="K5" i="24" a="1"/>
  <c r="L65" i="24" a="1"/>
  <c r="K55" i="24" a="1"/>
  <c r="L14" i="24" a="1"/>
  <c r="AE17" i="24" a="1"/>
  <c r="O54" i="24" a="1"/>
  <c r="K6" i="24" a="1"/>
  <c r="AD14" i="24" a="1"/>
  <c r="AE3" i="24" a="1"/>
  <c r="M65" i="24" a="1"/>
  <c r="AD17" i="24" a="1"/>
  <c r="AE15" i="24" a="1"/>
  <c r="K63" i="24" a="1"/>
  <c r="K72" i="24" a="1"/>
  <c r="M70" i="24" a="1"/>
  <c r="L68" i="24" a="1"/>
  <c r="M64" i="24" a="1"/>
  <c r="K66" i="24" a="1"/>
  <c r="M15" i="24" a="1"/>
  <c r="M43" i="24" a="1"/>
  <c r="AG14" i="24" a="1"/>
  <c r="K64" i="24" a="1"/>
  <c r="K50" i="24" a="1"/>
  <c r="K65" i="24" a="1"/>
  <c r="Q64" i="24" a="1"/>
  <c r="L6" i="24" a="1"/>
  <c r="K9" i="24" a="1"/>
  <c r="L51" i="24" a="1"/>
  <c r="M7" i="24" a="1"/>
  <c r="L15" i="24" a="1"/>
  <c r="AE6" i="24" a="1"/>
  <c r="M45" i="24" a="1"/>
  <c r="L66" i="24" a="1"/>
  <c r="M66" i="24" a="1"/>
  <c r="K68" i="24" a="1"/>
  <c r="AD15" i="24" a="1"/>
  <c r="L2" i="24" a="1"/>
  <c r="AE5" i="24" a="1"/>
  <c r="L5" i="24" a="1"/>
  <c r="AD5" i="24" a="1"/>
  <c r="K8" i="24" a="1"/>
  <c r="M8" i="24" a="1"/>
  <c r="K46" i="24" a="1"/>
  <c r="M17" i="24" a="1"/>
  <c r="K44" i="24" a="1"/>
  <c r="O64" i="24" a="1"/>
  <c r="P72" i="24" a="1"/>
  <c r="AE16" i="24" a="1"/>
  <c r="L9" i="24" a="1"/>
  <c r="Q72" i="24" a="1"/>
  <c r="L8" i="24" a="1"/>
  <c r="K4" i="24" a="1"/>
  <c r="O68" i="24" a="1"/>
  <c r="O46" i="24" a="1"/>
  <c r="M59" i="24" a="1"/>
  <c r="M63" i="24" a="1"/>
  <c r="K59" i="24" a="1"/>
  <c r="AD9" i="24" a="1"/>
  <c r="L47" i="24" a="1"/>
  <c r="L55" i="24" a="1"/>
  <c r="L64" i="24" a="1"/>
  <c r="AD6" i="24" a="1"/>
  <c r="M72" i="24" a="1"/>
  <c r="K15" i="24" a="1"/>
  <c r="M42" i="24" a="1"/>
  <c r="M9" i="24" a="1"/>
  <c r="K14" i="24" a="1"/>
  <c r="Q68" i="24" a="1"/>
  <c r="AF14" i="24" a="1"/>
  <c r="P14" i="24" a="1"/>
  <c r="I15" i="24" l="1"/>
  <c r="I57" i="24"/>
  <c r="I31" i="24"/>
  <c r="I69" i="24"/>
  <c r="I33" i="24"/>
  <c r="I71" i="24"/>
  <c r="I18" i="24"/>
  <c r="I72" i="24"/>
  <c r="I53" i="24"/>
  <c r="G53" i="24" s="1"/>
  <c r="I22" i="24"/>
  <c r="I60" i="24"/>
  <c r="I42" i="24"/>
  <c r="I29" i="24"/>
  <c r="I67" i="24"/>
  <c r="I49" i="24"/>
  <c r="I24" i="24"/>
  <c r="I44" i="24"/>
  <c r="I62" i="24"/>
  <c r="I25" i="24"/>
  <c r="I63" i="24"/>
  <c r="I45" i="24"/>
  <c r="I23" i="24"/>
  <c r="I61" i="24"/>
  <c r="G61" i="24" s="1"/>
  <c r="I43" i="24"/>
  <c r="AF5" i="24" a="1"/>
  <c r="AF5" i="24" s="1"/>
  <c r="P4" i="24" a="1"/>
  <c r="P4" i="24" s="1"/>
  <c r="Q4" i="24" a="1"/>
  <c r="Q4" i="24" s="1"/>
  <c r="O4" i="24" a="1"/>
  <c r="O4" i="24" s="1"/>
  <c r="G58" i="24"/>
  <c r="G74" i="24"/>
  <c r="K44" i="24"/>
  <c r="L47" i="24"/>
  <c r="M44" i="24"/>
  <c r="L55" i="24"/>
  <c r="M70" i="24"/>
  <c r="L59" i="24"/>
  <c r="L66" i="24"/>
  <c r="Q72" i="24"/>
  <c r="K63" i="24"/>
  <c r="K65" i="24"/>
  <c r="K67" i="24"/>
  <c r="O46" i="24"/>
  <c r="L51" i="24"/>
  <c r="M43" i="24"/>
  <c r="M59" i="24"/>
  <c r="K55" i="24"/>
  <c r="K70" i="24"/>
  <c r="K59" i="24"/>
  <c r="L67" i="24"/>
  <c r="M64" i="24"/>
  <c r="M66" i="24"/>
  <c r="M68" i="24"/>
  <c r="O50" i="24"/>
  <c r="K46" i="24"/>
  <c r="Q64" i="24"/>
  <c r="Q68" i="24"/>
  <c r="O54" i="24"/>
  <c r="P72" i="24"/>
  <c r="M72" i="24"/>
  <c r="L64" i="24"/>
  <c r="L68" i="24"/>
  <c r="M62" i="24"/>
  <c r="K64" i="24"/>
  <c r="K66" i="24"/>
  <c r="K68" i="24"/>
  <c r="M42" i="24"/>
  <c r="M45" i="24"/>
  <c r="K50" i="24"/>
  <c r="O64" i="24"/>
  <c r="O68" i="24"/>
  <c r="P54" i="24"/>
  <c r="K72" i="24"/>
  <c r="L65" i="24"/>
  <c r="M63" i="24"/>
  <c r="M65" i="24"/>
  <c r="M67" i="24"/>
  <c r="G56" i="24"/>
  <c r="G71" i="24"/>
  <c r="G75" i="24"/>
  <c r="G69" i="24"/>
  <c r="G62" i="24"/>
  <c r="G41" i="24"/>
  <c r="G48" i="24"/>
  <c r="O7" i="24" a="1"/>
  <c r="O7" i="24" s="1"/>
  <c r="AG7" i="24" a="1"/>
  <c r="AG7" i="24" s="1"/>
  <c r="AF7" i="24" a="1"/>
  <c r="AF7" i="24" s="1"/>
  <c r="Q7" i="24" a="1"/>
  <c r="Q7" i="24" s="1"/>
  <c r="O5" i="24" a="1"/>
  <c r="O5" i="24" s="1"/>
  <c r="P13" i="24" a="1"/>
  <c r="P13" i="24" s="1"/>
  <c r="Q13" i="24" a="1"/>
  <c r="Q13" i="24" s="1"/>
  <c r="O13" i="24" a="1"/>
  <c r="O13" i="24" s="1"/>
  <c r="AG4" i="24" a="1"/>
  <c r="AG4" i="24" s="1"/>
  <c r="AG13" i="24" a="1"/>
  <c r="AG13" i="24" s="1"/>
  <c r="AG5" i="24" a="1"/>
  <c r="AG5" i="24" s="1"/>
  <c r="K8" i="24"/>
  <c r="AD8" i="24"/>
  <c r="L8" i="24"/>
  <c r="AE8" i="24"/>
  <c r="M8" i="24"/>
  <c r="M7" i="24"/>
  <c r="O31" i="24" a="1"/>
  <c r="O31" i="24" s="1"/>
  <c r="M6" i="24"/>
  <c r="K6" i="24"/>
  <c r="AD6" i="24"/>
  <c r="L6" i="24"/>
  <c r="AE6" i="24"/>
  <c r="AE5" i="24"/>
  <c r="M5" i="24"/>
  <c r="AD5" i="24"/>
  <c r="L5" i="24"/>
  <c r="K5" i="24"/>
  <c r="P32" i="24" a="1"/>
  <c r="P32" i="24" s="1"/>
  <c r="O23" i="24" a="1"/>
  <c r="O23" i="24" s="1"/>
  <c r="AG14" i="24"/>
  <c r="AF14" i="24"/>
  <c r="AG11" i="24" a="1"/>
  <c r="AG11" i="24" s="1"/>
  <c r="AF11" i="24" a="1"/>
  <c r="AF11" i="24" s="1"/>
  <c r="AG20" i="24" a="1"/>
  <c r="AG20" i="24" s="1"/>
  <c r="AF20" i="24" a="1"/>
  <c r="AF20" i="24" s="1"/>
  <c r="AG28" i="24" a="1"/>
  <c r="AG28" i="24" s="1"/>
  <c r="AF28" i="24" a="1"/>
  <c r="AF28" i="24" s="1"/>
  <c r="AG23" i="24" a="1"/>
  <c r="AG23" i="24" s="1"/>
  <c r="AF23" i="24" a="1"/>
  <c r="AF23" i="24" s="1"/>
  <c r="O21" i="24" a="1"/>
  <c r="O21" i="24" s="1"/>
  <c r="AF21" i="24" a="1"/>
  <c r="AF21" i="24" s="1"/>
  <c r="AG21" i="24" a="1"/>
  <c r="AG21" i="24" s="1"/>
  <c r="P29" i="24" a="1"/>
  <c r="P29" i="24" s="1"/>
  <c r="AF29" i="24" a="1"/>
  <c r="AF29" i="24" s="1"/>
  <c r="AG29" i="24" a="1"/>
  <c r="AG29" i="24" s="1"/>
  <c r="AF30" i="24" a="1"/>
  <c r="AF30" i="24" s="1"/>
  <c r="AG30" i="24" a="1"/>
  <c r="AG30" i="24" s="1"/>
  <c r="AG15" i="24" a="1"/>
  <c r="AG15" i="24" s="1"/>
  <c r="AF15" i="24" a="1"/>
  <c r="AF15" i="24" s="1"/>
  <c r="O12" i="24" a="1"/>
  <c r="O12" i="24" s="1"/>
  <c r="AG12" i="24" a="1"/>
  <c r="AG12" i="24" s="1"/>
  <c r="AF12" i="24" a="1"/>
  <c r="AF12" i="24" s="1"/>
  <c r="P21" i="24" a="1"/>
  <c r="P21" i="24" s="1"/>
  <c r="AG31" i="24" a="1"/>
  <c r="AG31" i="24" s="1"/>
  <c r="AF31" i="24" a="1"/>
  <c r="AF31" i="24" s="1"/>
  <c r="AG3" i="24" a="1"/>
  <c r="AG3" i="24" s="1"/>
  <c r="AF3" i="24" a="1"/>
  <c r="AF3" i="24" s="1"/>
  <c r="AG16" i="24" a="1"/>
  <c r="AG16" i="24" s="1"/>
  <c r="AF16" i="24" a="1"/>
  <c r="AF16" i="24" s="1"/>
  <c r="AG32" i="24" a="1"/>
  <c r="AG32" i="24" s="1"/>
  <c r="AF32" i="24" a="1"/>
  <c r="AF32" i="24" s="1"/>
  <c r="O27" i="24" a="1"/>
  <c r="O27" i="24" s="1"/>
  <c r="AF27" i="24" a="1"/>
  <c r="AF27" i="24" s="1"/>
  <c r="AG27" i="24" a="1"/>
  <c r="AG27" i="24" s="1"/>
  <c r="AG24" i="24" a="1"/>
  <c r="AG24" i="24" s="1"/>
  <c r="AF24" i="24" a="1"/>
  <c r="AF24" i="24" s="1"/>
  <c r="O17" i="24" a="1"/>
  <c r="O17" i="24" s="1"/>
  <c r="AG17" i="24" a="1"/>
  <c r="AG17" i="24" s="1"/>
  <c r="AF17" i="24" a="1"/>
  <c r="AF17" i="24" s="1"/>
  <c r="Q9" i="24" a="1"/>
  <c r="Q9" i="24" s="1"/>
  <c r="AF9" i="24" a="1"/>
  <c r="AF9" i="24" s="1"/>
  <c r="AG9" i="24" a="1"/>
  <c r="AG9" i="24" s="1"/>
  <c r="AF25" i="24" a="1"/>
  <c r="AF25" i="24" s="1"/>
  <c r="AG25" i="24" a="1"/>
  <c r="AG25" i="24" s="1"/>
  <c r="P18" i="24" a="1"/>
  <c r="P18" i="24" s="1"/>
  <c r="AG18" i="24" a="1"/>
  <c r="AG18" i="24" s="1"/>
  <c r="AF18" i="24" a="1"/>
  <c r="AF18" i="24" s="1"/>
  <c r="AF10" i="24" a="1"/>
  <c r="AF10" i="24" s="1"/>
  <c r="AG10" i="24" a="1"/>
  <c r="AG10" i="24" s="1"/>
  <c r="O2" i="24" a="1"/>
  <c r="O2" i="24" s="1"/>
  <c r="AG2" i="24" a="1"/>
  <c r="AG2" i="24" s="1"/>
  <c r="AF2" i="24" a="1"/>
  <c r="AF2" i="24" s="1"/>
  <c r="AF26" i="24" a="1"/>
  <c r="AF26" i="24" s="1"/>
  <c r="AG26" i="24" a="1"/>
  <c r="AG26" i="24" s="1"/>
  <c r="O19" i="24" a="1"/>
  <c r="O19" i="24" s="1"/>
  <c r="AG19" i="24" a="1"/>
  <c r="AG19" i="24" s="1"/>
  <c r="AF19" i="24" a="1"/>
  <c r="AF19" i="24" s="1"/>
  <c r="Q2" i="24" a="1"/>
  <c r="Q2" i="24" s="1"/>
  <c r="Q25" i="24" a="1"/>
  <c r="Q25" i="24" s="1"/>
  <c r="O9" i="24" a="1"/>
  <c r="O9" i="24" s="1"/>
  <c r="O26" i="24" a="1"/>
  <c r="O26" i="24" s="1"/>
  <c r="P19" i="24" a="1"/>
  <c r="P19" i="24" s="1"/>
  <c r="P26" i="24" a="1"/>
  <c r="P26" i="24" s="1"/>
  <c r="P10" i="24" a="1"/>
  <c r="P10" i="24" s="1"/>
  <c r="Q16" i="24" a="1"/>
  <c r="Q16" i="24" s="1"/>
  <c r="O10" i="24" a="1"/>
  <c r="O10" i="24" s="1"/>
  <c r="O24" i="24" a="1"/>
  <c r="O24" i="24" s="1"/>
  <c r="AR15" i="24"/>
  <c r="AS15" i="24"/>
  <c r="AD15" i="24"/>
  <c r="AE15" i="24"/>
  <c r="M15" i="24"/>
  <c r="L15" i="24"/>
  <c r="K15" i="24"/>
  <c r="L31" i="24" a="1"/>
  <c r="L31" i="24" s="1"/>
  <c r="M31" i="24" a="1"/>
  <c r="M31" i="24" s="1"/>
  <c r="AD31" i="24" a="1"/>
  <c r="AD31" i="24" s="1"/>
  <c r="AE31" i="24" a="1"/>
  <c r="AE31" i="24" s="1"/>
  <c r="AR31" i="24" a="1"/>
  <c r="AR31" i="24" s="1"/>
  <c r="P14" i="24"/>
  <c r="O14" i="24"/>
  <c r="Q14" i="24"/>
  <c r="P27" i="24" a="1"/>
  <c r="P27" i="24" s="1"/>
  <c r="Q17" i="24" a="1"/>
  <c r="Q17" i="24" s="1"/>
  <c r="P28" i="24" a="1"/>
  <c r="P28" i="24" s="1"/>
  <c r="Q12" i="24" a="1"/>
  <c r="Q12" i="24" s="1"/>
  <c r="P3" i="24" a="1"/>
  <c r="P3" i="24" s="1"/>
  <c r="O11" i="24" a="1"/>
  <c r="O11" i="24" s="1"/>
  <c r="Q18" i="24" a="1"/>
  <c r="Q18" i="24" s="1"/>
  <c r="Q31" i="24" a="1"/>
  <c r="Q31" i="24" s="1"/>
  <c r="Q30" i="24" a="1"/>
  <c r="Q30" i="24" s="1"/>
  <c r="P9" i="24" a="1"/>
  <c r="P9" i="24" s="1"/>
  <c r="P25" i="24" a="1"/>
  <c r="P25" i="24" s="1"/>
  <c r="O20" i="24" a="1"/>
  <c r="O20" i="24" s="1"/>
  <c r="Q10" i="24" a="1"/>
  <c r="Q10" i="24" s="1"/>
  <c r="P2" i="24" a="1"/>
  <c r="P2" i="24" s="1"/>
  <c r="P16" i="24" a="1"/>
  <c r="P16" i="24" s="1"/>
  <c r="Q26" i="24" a="1"/>
  <c r="Q26" i="24" s="1"/>
  <c r="Q19" i="24" a="1"/>
  <c r="Q19" i="24" s="1"/>
  <c r="P11" i="24" a="1"/>
  <c r="P11" i="24" s="1"/>
  <c r="Q11" i="24" a="1"/>
  <c r="Q11" i="24" s="1"/>
  <c r="P20" i="24" a="1"/>
  <c r="P20" i="24" s="1"/>
  <c r="O28" i="24" a="1"/>
  <c r="O28" i="24" s="1"/>
  <c r="Q27" i="24" a="1"/>
  <c r="Q27" i="24" s="1"/>
  <c r="P15" i="24" a="1"/>
  <c r="P15" i="24" s="1"/>
  <c r="O15" i="24" a="1"/>
  <c r="O15" i="24" s="1"/>
  <c r="P12" i="24" a="1"/>
  <c r="P12" i="24" s="1"/>
  <c r="Q21" i="24" a="1"/>
  <c r="Q21" i="24" s="1"/>
  <c r="Q3" i="24" a="1"/>
  <c r="Q3" i="24" s="1"/>
  <c r="Q28" i="24" a="1"/>
  <c r="Q28" i="24" s="1"/>
  <c r="O30" i="24" a="1"/>
  <c r="O30" i="24" s="1"/>
  <c r="Q29" i="24" a="1"/>
  <c r="Q29" i="24" s="1"/>
  <c r="Q23" i="24" a="1"/>
  <c r="Q23" i="24" s="1"/>
  <c r="P17" i="24" a="1"/>
  <c r="P17" i="24" s="1"/>
  <c r="O3" i="24" a="1"/>
  <c r="O3" i="24" s="1"/>
  <c r="O16" i="24" a="1"/>
  <c r="O16" i="24" s="1"/>
  <c r="P30" i="24" a="1"/>
  <c r="P30" i="24" s="1"/>
  <c r="Q15" i="24" a="1"/>
  <c r="Q15" i="24" s="1"/>
  <c r="Q20" i="24" a="1"/>
  <c r="Q20" i="24" s="1"/>
  <c r="P24" i="24" a="1"/>
  <c r="P24" i="24" s="1"/>
  <c r="Q32" i="24" a="1"/>
  <c r="Q32" i="24" s="1"/>
  <c r="AR3" i="24"/>
  <c r="AS3" i="24"/>
  <c r="AR9" i="24"/>
  <c r="AS9" i="24"/>
  <c r="AR17" i="24"/>
  <c r="AS17" i="24"/>
  <c r="AR4" i="24"/>
  <c r="AS4" i="24"/>
  <c r="AS2" i="24"/>
  <c r="AR2" i="24"/>
  <c r="AS14" i="24"/>
  <c r="AR14" i="24"/>
  <c r="AR16" i="24"/>
  <c r="AS16" i="24"/>
  <c r="AR21" i="24" a="1"/>
  <c r="AR21" i="24" s="1"/>
  <c r="AS21" i="24" a="1"/>
  <c r="AS21" i="24" s="1"/>
  <c r="AR32" i="24" a="1"/>
  <c r="AR32" i="24" s="1"/>
  <c r="AS32" i="24" a="1"/>
  <c r="AS32" i="24" s="1"/>
  <c r="AS25" i="24" a="1"/>
  <c r="AS25" i="24" s="1"/>
  <c r="AR25" i="24" a="1"/>
  <c r="AR25" i="24" s="1"/>
  <c r="AR10" i="24" a="1"/>
  <c r="AR10" i="24" s="1"/>
  <c r="AS10" i="24" a="1"/>
  <c r="AS10" i="24" s="1"/>
  <c r="AR26" i="24" a="1"/>
  <c r="AR26" i="24" s="1"/>
  <c r="AS26" i="24" a="1"/>
  <c r="AS26" i="24" s="1"/>
  <c r="AR11" i="24" a="1"/>
  <c r="AR11" i="24" s="1"/>
  <c r="AS11" i="24" a="1"/>
  <c r="AS11" i="24" s="1"/>
  <c r="AR18" i="24" a="1"/>
  <c r="AR18" i="24" s="1"/>
  <c r="AS18" i="24" a="1"/>
  <c r="AS18" i="24" s="1"/>
  <c r="AR27" i="24" a="1"/>
  <c r="AR27" i="24" s="1"/>
  <c r="AS27" i="24" a="1"/>
  <c r="AS27" i="24" s="1"/>
  <c r="AR12" i="24" a="1"/>
  <c r="AR12" i="24" s="1"/>
  <c r="AS12" i="24" a="1"/>
  <c r="AS12" i="24" s="1"/>
  <c r="AR28" i="24" a="1"/>
  <c r="AR28" i="24" s="1"/>
  <c r="AS28" i="24" a="1"/>
  <c r="AS28" i="24" s="1"/>
  <c r="AR20" i="24" a="1"/>
  <c r="AR20" i="24" s="1"/>
  <c r="AS20" i="24" a="1"/>
  <c r="AS20" i="24" s="1"/>
  <c r="AS13" i="24" a="1"/>
  <c r="AS13" i="24" s="1"/>
  <c r="AR13" i="24" a="1"/>
  <c r="AR13" i="24" s="1"/>
  <c r="AR29" i="24" a="1"/>
  <c r="AR29" i="24" s="1"/>
  <c r="AS29" i="24" a="1"/>
  <c r="AS29" i="24" s="1"/>
  <c r="AR19" i="24" a="1"/>
  <c r="AR19" i="24" s="1"/>
  <c r="AS19" i="24" a="1"/>
  <c r="AS19" i="24" s="1"/>
  <c r="AR24" i="24" a="1"/>
  <c r="AR24" i="24" s="1"/>
  <c r="AS24" i="24" a="1"/>
  <c r="AS24" i="24" s="1"/>
  <c r="AR30" i="24" a="1"/>
  <c r="AR30" i="24" s="1"/>
  <c r="AS30" i="24" a="1"/>
  <c r="AS30" i="24" s="1"/>
  <c r="AR22" i="24" a="1"/>
  <c r="AR22" i="24" s="1"/>
  <c r="AS22" i="24" a="1"/>
  <c r="AS22" i="24" s="1"/>
  <c r="AR23" i="24" a="1"/>
  <c r="AR23" i="24" s="1"/>
  <c r="AS23" i="24" a="1"/>
  <c r="AS23" i="24" s="1"/>
  <c r="AE16" i="24"/>
  <c r="AD17" i="24"/>
  <c r="AE17" i="24"/>
  <c r="AD14" i="24"/>
  <c r="AE14" i="24"/>
  <c r="AE3" i="24"/>
  <c r="AD9" i="24"/>
  <c r="K26" i="24" a="1"/>
  <c r="K26" i="24" s="1"/>
  <c r="AD26" i="24" a="1"/>
  <c r="AD26" i="24" s="1"/>
  <c r="AE26" i="24" a="1"/>
  <c r="AE26" i="24" s="1"/>
  <c r="K20" i="24" a="1"/>
  <c r="K20" i="24" s="1"/>
  <c r="AE20" i="24" a="1"/>
  <c r="AE20" i="24" s="1"/>
  <c r="AD20" i="24" a="1"/>
  <c r="AD20" i="24" s="1"/>
  <c r="K24" i="24" a="1"/>
  <c r="K24" i="24" s="1"/>
  <c r="AD24" i="24" a="1"/>
  <c r="AD24" i="24" s="1"/>
  <c r="AE24" i="24" a="1"/>
  <c r="AE24" i="24" s="1"/>
  <c r="K11" i="24" a="1"/>
  <c r="K11" i="24" s="1"/>
  <c r="AD11" i="24" a="1"/>
  <c r="AD11" i="24" s="1"/>
  <c r="AE11" i="24" a="1"/>
  <c r="AE11" i="24" s="1"/>
  <c r="K18" i="24" a="1"/>
  <c r="K18" i="24" s="1"/>
  <c r="AD18" i="24" a="1"/>
  <c r="AD18" i="24" s="1"/>
  <c r="AE18" i="24" a="1"/>
  <c r="AE18" i="24" s="1"/>
  <c r="K27" i="24" a="1"/>
  <c r="K27" i="24" s="1"/>
  <c r="AD27" i="24" a="1"/>
  <c r="AD27" i="24" s="1"/>
  <c r="AE27" i="24" a="1"/>
  <c r="AE27" i="24" s="1"/>
  <c r="K12" i="24" a="1"/>
  <c r="K12" i="24" s="1"/>
  <c r="AD12" i="24" a="1"/>
  <c r="AD12" i="24" s="1"/>
  <c r="AE12" i="24" a="1"/>
  <c r="AE12" i="24" s="1"/>
  <c r="K28" i="24" a="1"/>
  <c r="K28" i="24" s="1"/>
  <c r="AE28" i="24" a="1"/>
  <c r="AE28" i="24" s="1"/>
  <c r="AD28" i="24" a="1"/>
  <c r="AD28" i="24" s="1"/>
  <c r="K13" i="24" a="1"/>
  <c r="K13" i="24" s="1"/>
  <c r="AD13" i="24" a="1"/>
  <c r="AD13" i="24" s="1"/>
  <c r="AE13" i="24" a="1"/>
  <c r="AE13" i="24" s="1"/>
  <c r="K21" i="24" a="1"/>
  <c r="K21" i="24" s="1"/>
  <c r="AE21" i="24" a="1"/>
  <c r="AE21" i="24" s="1"/>
  <c r="AD21" i="24" a="1"/>
  <c r="AD21" i="24" s="1"/>
  <c r="K29" i="24" a="1"/>
  <c r="K29" i="24" s="1"/>
  <c r="AD29" i="24" a="1"/>
  <c r="AD29" i="24" s="1"/>
  <c r="AE29" i="24" a="1"/>
  <c r="AE29" i="24" s="1"/>
  <c r="K25" i="24" a="1"/>
  <c r="K25" i="24" s="1"/>
  <c r="AD25" i="24" a="1"/>
  <c r="AD25" i="24" s="1"/>
  <c r="AE25" i="24" a="1"/>
  <c r="AE25" i="24" s="1"/>
  <c r="K22" i="24" a="1"/>
  <c r="K22" i="24" s="1"/>
  <c r="AD22" i="24" a="1"/>
  <c r="AD22" i="24" s="1"/>
  <c r="AE22" i="24" a="1"/>
  <c r="AE22" i="24" s="1"/>
  <c r="K30" i="24" a="1"/>
  <c r="K30" i="24" s="1"/>
  <c r="AD30" i="24" a="1"/>
  <c r="AD30" i="24" s="1"/>
  <c r="AE30" i="24" a="1"/>
  <c r="AE30" i="24" s="1"/>
  <c r="K23" i="24" a="1"/>
  <c r="K23" i="24" s="1"/>
  <c r="AD23" i="24" a="1"/>
  <c r="AD23" i="24" s="1"/>
  <c r="AE23" i="24" a="1"/>
  <c r="AE23" i="24" s="1"/>
  <c r="K10" i="24" a="1"/>
  <c r="K10" i="24" s="1"/>
  <c r="AD10" i="24" a="1"/>
  <c r="AD10" i="24" s="1"/>
  <c r="AE10" i="24" a="1"/>
  <c r="AE10" i="24" s="1"/>
  <c r="K19" i="24" a="1"/>
  <c r="K19" i="24" s="1"/>
  <c r="AD19" i="24" a="1"/>
  <c r="AD19" i="24" s="1"/>
  <c r="AE19" i="24" a="1"/>
  <c r="AE19" i="24" s="1"/>
  <c r="K32" i="24" a="1"/>
  <c r="K32" i="24" s="1"/>
  <c r="AD32" i="24" a="1"/>
  <c r="AD32" i="24" s="1"/>
  <c r="AE32" i="24" a="1"/>
  <c r="AE32" i="24" s="1"/>
  <c r="K14" i="24"/>
  <c r="K4" i="24"/>
  <c r="K9" i="24"/>
  <c r="K17" i="24"/>
  <c r="K2" i="24"/>
  <c r="M14" i="24"/>
  <c r="L14" i="24"/>
  <c r="L2" i="24"/>
  <c r="M9" i="24"/>
  <c r="L9" i="24"/>
  <c r="M17" i="24"/>
  <c r="L17" i="24"/>
  <c r="M11" i="24" a="1"/>
  <c r="M11" i="24" s="1"/>
  <c r="L11" i="24" a="1"/>
  <c r="L11" i="24" s="1"/>
  <c r="M18" i="24" a="1"/>
  <c r="M18" i="24" s="1"/>
  <c r="L18" i="24" a="1"/>
  <c r="L18" i="24" s="1"/>
  <c r="L27" i="24" a="1"/>
  <c r="L27" i="24" s="1"/>
  <c r="M27" i="24" a="1"/>
  <c r="M27" i="24" s="1"/>
  <c r="M21" i="24" a="1"/>
  <c r="M21" i="24" s="1"/>
  <c r="L21" i="24" a="1"/>
  <c r="L21" i="24" s="1"/>
  <c r="M22" i="24" a="1"/>
  <c r="M22" i="24" s="1"/>
  <c r="L22" i="24" a="1"/>
  <c r="L22" i="24" s="1"/>
  <c r="L23" i="24" a="1"/>
  <c r="L23" i="24" s="1"/>
  <c r="M23" i="24" a="1"/>
  <c r="M23" i="24" s="1"/>
  <c r="M28" i="24" a="1"/>
  <c r="M28" i="24" s="1"/>
  <c r="L28" i="24" a="1"/>
  <c r="L28" i="24" s="1"/>
  <c r="M32" i="24" a="1"/>
  <c r="M32" i="24" s="1"/>
  <c r="L32" i="24" a="1"/>
  <c r="L32" i="24" s="1"/>
  <c r="M19" i="24" a="1"/>
  <c r="M19" i="24" s="1"/>
  <c r="L19" i="24" a="1"/>
  <c r="L19" i="24" s="1"/>
  <c r="L24" i="24" a="1"/>
  <c r="L24" i="24" s="1"/>
  <c r="M24" i="24" a="1"/>
  <c r="M24" i="24" s="1"/>
  <c r="M13" i="24" a="1"/>
  <c r="M13" i="24" s="1"/>
  <c r="L13" i="24" a="1"/>
  <c r="L13" i="24" s="1"/>
  <c r="M30" i="24" a="1"/>
  <c r="M30" i="24" s="1"/>
  <c r="L30" i="24" a="1"/>
  <c r="L30" i="24" s="1"/>
  <c r="M20" i="24" a="1"/>
  <c r="M20" i="24" s="1"/>
  <c r="L20" i="24" a="1"/>
  <c r="L20" i="24" s="1"/>
  <c r="L25" i="24" a="1"/>
  <c r="L25" i="24" s="1"/>
  <c r="M25" i="24" a="1"/>
  <c r="M25" i="24" s="1"/>
  <c r="M12" i="24" a="1"/>
  <c r="M12" i="24" s="1"/>
  <c r="L12" i="24" a="1"/>
  <c r="L12" i="24" s="1"/>
  <c r="M29" i="24" a="1"/>
  <c r="M29" i="24" s="1"/>
  <c r="L29" i="24" a="1"/>
  <c r="L29" i="24" s="1"/>
  <c r="M10" i="24" a="1"/>
  <c r="M10" i="24" s="1"/>
  <c r="L10" i="24" a="1"/>
  <c r="L10" i="24" s="1"/>
  <c r="L26" i="24" a="1"/>
  <c r="L26" i="24" s="1"/>
  <c r="M26" i="24" a="1"/>
  <c r="M26" i="24" s="1"/>
  <c r="D3" i="15"/>
  <c r="E8" i="24" s="1"/>
  <c r="D4" i="15"/>
  <c r="E4" i="24" s="1"/>
  <c r="D5" i="15"/>
  <c r="E2" i="2" s="1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2" i="15"/>
  <c r="E7" i="24" s="1"/>
  <c r="C3" i="2"/>
  <c r="C4" i="2"/>
  <c r="C5" i="2"/>
  <c r="C6" i="2"/>
  <c r="C2" i="2"/>
  <c r="P6" i="24" a="1"/>
  <c r="M4" i="24" a="1"/>
  <c r="AE9" i="24" a="1"/>
  <c r="M16" i="24" a="1"/>
  <c r="L3" i="24" a="1"/>
  <c r="AE4" i="24" a="1"/>
  <c r="K3" i="24" a="1"/>
  <c r="AD7" i="24" a="1"/>
  <c r="AD16" i="24" a="1"/>
  <c r="M3" i="24" a="1"/>
  <c r="O6" i="24" a="1"/>
  <c r="AD4" i="24" a="1"/>
  <c r="AE2" i="24" a="1"/>
  <c r="AD2" i="24" a="1"/>
  <c r="K16" i="24" a="1"/>
  <c r="M2" i="24" a="1"/>
  <c r="L16" i="24" a="1"/>
  <c r="L4" i="24" a="1"/>
  <c r="AD3" i="24" a="1"/>
  <c r="K7" i="24" a="1"/>
  <c r="Q6" i="24" a="1"/>
  <c r="L7" i="24" a="1"/>
  <c r="AG6" i="24" a="1"/>
  <c r="AF6" i="24" a="1"/>
  <c r="AE7" i="24" a="1"/>
  <c r="G59" i="24" l="1"/>
  <c r="G50" i="24"/>
  <c r="G68" i="24"/>
  <c r="E43" i="24"/>
  <c r="E61" i="24"/>
  <c r="E72" i="24"/>
  <c r="E38" i="24"/>
  <c r="E53" i="24"/>
  <c r="E71" i="24"/>
  <c r="E33" i="24"/>
  <c r="E69" i="24"/>
  <c r="E51" i="24"/>
  <c r="E57" i="24"/>
  <c r="E58" i="24"/>
  <c r="E35" i="24"/>
  <c r="E68" i="24"/>
  <c r="E50" i="24"/>
  <c r="E34" i="24"/>
  <c r="E55" i="24"/>
  <c r="E56" i="24"/>
  <c r="E54" i="24"/>
  <c r="E16" i="24"/>
  <c r="E36" i="24"/>
  <c r="E59" i="24"/>
  <c r="E17" i="24"/>
  <c r="E37" i="24"/>
  <c r="E67" i="24"/>
  <c r="E49" i="24"/>
  <c r="E66" i="24"/>
  <c r="E48" i="24"/>
  <c r="E27" i="24"/>
  <c r="E65" i="24"/>
  <c r="E47" i="24"/>
  <c r="E46" i="24"/>
  <c r="E64" i="24"/>
  <c r="G67" i="24"/>
  <c r="E42" i="24"/>
  <c r="E60" i="24"/>
  <c r="E41" i="24"/>
  <c r="E75" i="24"/>
  <c r="E63" i="24"/>
  <c r="E45" i="24"/>
  <c r="E40" i="24"/>
  <c r="E74" i="24"/>
  <c r="E70" i="24"/>
  <c r="E52" i="24"/>
  <c r="E44" i="24"/>
  <c r="E62" i="24"/>
  <c r="E39" i="24"/>
  <c r="E73" i="24"/>
  <c r="G72" i="24"/>
  <c r="G54" i="24"/>
  <c r="G39" i="24"/>
  <c r="G55" i="24"/>
  <c r="G52" i="24"/>
  <c r="G37" i="24"/>
  <c r="G35" i="24"/>
  <c r="G42" i="24"/>
  <c r="G60" i="24"/>
  <c r="G64" i="24"/>
  <c r="G70" i="24"/>
  <c r="G65" i="24"/>
  <c r="G40" i="24"/>
  <c r="G66" i="24"/>
  <c r="G43" i="24"/>
  <c r="G46" i="24"/>
  <c r="G49" i="24"/>
  <c r="G38" i="24"/>
  <c r="G63" i="24"/>
  <c r="G47" i="24"/>
  <c r="G57" i="24"/>
  <c r="G44" i="24"/>
  <c r="G36" i="24"/>
  <c r="G45" i="24"/>
  <c r="G51" i="24"/>
  <c r="G34" i="24"/>
  <c r="G73" i="24"/>
  <c r="AD2" i="24"/>
  <c r="AE2" i="24"/>
  <c r="M2" i="24"/>
  <c r="G31" i="24"/>
  <c r="G13" i="24"/>
  <c r="G19" i="24"/>
  <c r="G20" i="24"/>
  <c r="G8" i="24"/>
  <c r="G14" i="24"/>
  <c r="G30" i="24"/>
  <c r="G33" i="24"/>
  <c r="G28" i="24"/>
  <c r="G22" i="24"/>
  <c r="G32" i="24"/>
  <c r="G24" i="24"/>
  <c r="G12" i="24"/>
  <c r="G25" i="24"/>
  <c r="G15" i="24"/>
  <c r="G27" i="24"/>
  <c r="G29" i="24"/>
  <c r="G26" i="24"/>
  <c r="G10" i="24"/>
  <c r="G18" i="24"/>
  <c r="G21" i="24"/>
  <c r="G17" i="24"/>
  <c r="G23" i="24"/>
  <c r="G11" i="24"/>
  <c r="AD3" i="24"/>
  <c r="L3" i="24"/>
  <c r="K7" i="24"/>
  <c r="O6" i="24"/>
  <c r="Q6" i="24"/>
  <c r="AE7" i="24"/>
  <c r="AE4" i="24"/>
  <c r="M16" i="24"/>
  <c r="L7" i="24"/>
  <c r="K3" i="24"/>
  <c r="K16" i="24"/>
  <c r="AF6" i="24"/>
  <c r="AD4" i="24"/>
  <c r="AG6" i="24"/>
  <c r="AD7" i="24"/>
  <c r="P6" i="24"/>
  <c r="M3" i="24"/>
  <c r="AE9" i="24"/>
  <c r="G9" i="24" s="1"/>
  <c r="L16" i="24"/>
  <c r="M4" i="24"/>
  <c r="L4" i="24"/>
  <c r="AD16" i="24"/>
  <c r="E9" i="24"/>
  <c r="E5" i="24"/>
  <c r="E6" i="24"/>
  <c r="V10" i="21"/>
  <c r="E26" i="24"/>
  <c r="V5" i="21"/>
  <c r="E3" i="2"/>
  <c r="E10" i="24"/>
  <c r="E25" i="24"/>
  <c r="E24" i="24"/>
  <c r="E23" i="24"/>
  <c r="I4" i="19"/>
  <c r="I20" i="19"/>
  <c r="E3" i="24"/>
  <c r="I5" i="19"/>
  <c r="I21" i="19"/>
  <c r="I6" i="19"/>
  <c r="I22" i="19"/>
  <c r="I7" i="19"/>
  <c r="I23" i="19"/>
  <c r="I8" i="19"/>
  <c r="I24" i="19"/>
  <c r="I9" i="19"/>
  <c r="I25" i="19"/>
  <c r="I10" i="19"/>
  <c r="I26" i="19"/>
  <c r="I11" i="19"/>
  <c r="I27" i="19"/>
  <c r="I12" i="19"/>
  <c r="I28" i="19"/>
  <c r="I13" i="19"/>
  <c r="I14" i="19"/>
  <c r="I15" i="19"/>
  <c r="I16" i="19"/>
  <c r="I17" i="19"/>
  <c r="I18" i="19"/>
  <c r="I3" i="19"/>
  <c r="I19" i="19"/>
  <c r="E22" i="24"/>
  <c r="V9" i="21"/>
  <c r="V4" i="21"/>
  <c r="E21" i="24"/>
  <c r="E20" i="24"/>
  <c r="E19" i="24"/>
  <c r="E4" i="2"/>
  <c r="E11" i="24"/>
  <c r="I2" i="19"/>
  <c r="E2" i="24"/>
  <c r="V8" i="21"/>
  <c r="E18" i="24"/>
  <c r="V3" i="21"/>
  <c r="E32" i="24"/>
  <c r="E31" i="24"/>
  <c r="E15" i="24"/>
  <c r="V11" i="21"/>
  <c r="E30" i="24"/>
  <c r="V6" i="21"/>
  <c r="P2" i="23"/>
  <c r="V2" i="21"/>
  <c r="E14" i="24"/>
  <c r="V7" i="21"/>
  <c r="E29" i="24"/>
  <c r="E6" i="2"/>
  <c r="E13" i="24"/>
  <c r="E28" i="24"/>
  <c r="E5" i="2"/>
  <c r="E12" i="24"/>
  <c r="G16" i="24" l="1"/>
  <c r="G7" i="24"/>
  <c r="S7" i="21"/>
  <c r="T7" i="21"/>
  <c r="T2" i="21"/>
  <c r="S2" i="21"/>
  <c r="T3" i="21"/>
  <c r="S3" i="21"/>
  <c r="S4" i="21"/>
  <c r="T4" i="21"/>
  <c r="T6" i="21"/>
  <c r="S6" i="21"/>
  <c r="S9" i="21"/>
  <c r="T9" i="21"/>
  <c r="S11" i="21"/>
  <c r="T11" i="21"/>
  <c r="S8" i="21"/>
  <c r="T8" i="21"/>
  <c r="T5" i="21"/>
  <c r="S5" i="21"/>
  <c r="T10" i="21"/>
  <c r="S10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<sst xmlns="http://schemas.openxmlformats.org/spreadsheetml/2006/main" count="2143" uniqueCount="790">
  <si>
    <t>id</t>
  </si>
  <si>
    <t>user_id</t>
  </si>
  <si>
    <t>data_collection_id</t>
  </si>
  <si>
    <t>is_active</t>
  </si>
  <si>
    <t>add_case</t>
  </si>
  <si>
    <t>remove_case</t>
  </si>
  <si>
    <t>add_case_set</t>
  </si>
  <si>
    <t>remove_case_set</t>
  </si>
  <si>
    <t>read_case_set</t>
  </si>
  <si>
    <t>write_case_set</t>
  </si>
  <si>
    <t>0195d18c-1c98-7e0b-0c91-8cafbdb2c852</t>
  </si>
  <si>
    <t>0195d18c-1ca2-a23d-1f64-00271f63199c</t>
  </si>
  <si>
    <t>0195d18c-1c98-5a1e-55b9-67b877813693</t>
  </si>
  <si>
    <t>0195d18c-1c99-03eb-f1b4-a88daae1b74c</t>
  </si>
  <si>
    <t>0195d18c-1c99-a68b-99dd-a489908e8df1</t>
  </si>
  <si>
    <t>0195d18c-1ca3-f309-f6f1-e4807afe3802</t>
  </si>
  <si>
    <t>0195d18c-1c9a-1178-0519-9124131763a6</t>
  </si>
  <si>
    <t>0195d18c-1ca2-2a29-96a5-37c6bf87f586</t>
  </si>
  <si>
    <t>0195d18c-1c9a-e7d5-d74d-3e46588ad70a</t>
  </si>
  <si>
    <t>0195d18c-1c9b-6b24-482a-6ea161cbf213</t>
  </si>
  <si>
    <t>0195d18c-1c9b-f6fe-b91a-81092b467988</t>
  </si>
  <si>
    <t>0195d18c-1ca3-db40-a2a8-6dc905d6c1e9</t>
  </si>
  <si>
    <t>0195d18c-1c9c-0d8f-435a-5ca8b45939b8</t>
  </si>
  <si>
    <t>0195d18c-1ca2-3a4f-1878-fbe3282c9c76</t>
  </si>
  <si>
    <t>0195d18c-1c9c-c598-48d1-9910b6135e10</t>
  </si>
  <si>
    <t>0195d18c-1c9d-b786-58e2-68511183edc1</t>
  </si>
  <si>
    <t>0195d18c-1c9d-374c-cb5e-65d6cf513e00</t>
  </si>
  <si>
    <t>0195d18c-1ca3-da0a-44bb-877b3a1eb73e</t>
  </si>
  <si>
    <t>0195d18c-1c9e-1c4a-1311-4f22f0d59f61</t>
  </si>
  <si>
    <t>0195d18c-1ca2-e55a-608d-a42fc6f948e1</t>
  </si>
  <si>
    <t>0195d18c-1c9e-b09c-6417-9e2d151ffd40</t>
  </si>
  <si>
    <t>0195d18c-1c9f-77bc-3133-1f617f479bce</t>
  </si>
  <si>
    <t>0195d18c-1c9f-739f-da8a-894be78086da</t>
  </si>
  <si>
    <t>0195d18c-1ca3-4d34-d0e9-8f024ad8651a</t>
  </si>
  <si>
    <t>0195d18c-1ca0-e0db-7a87-6237ad6380c8</t>
  </si>
  <si>
    <t>0195d18c-1ca2-b728-a2a1-d2a4cf7b8eb8</t>
  </si>
  <si>
    <t>0195d18c-1ca0-fb86-8413-fd6a2365e35d</t>
  </si>
  <si>
    <t>0195d18c-1ca1-de82-c785-6f03f8013d69</t>
  </si>
  <si>
    <t>0195d18c-1ca1-d3df-24f3-7aac91cc3f3a</t>
  </si>
  <si>
    <t>0195d18c-1ca3-11a2-bf20-8eaaa09cc070</t>
  </si>
  <si>
    <t>0195d18c-1ca4-e691-7ebd-8ecb1a16a2ed</t>
  </si>
  <si>
    <t>organization_id</t>
  </si>
  <si>
    <t>0195d18c-1c94-41b6-e8f3-0f0c398955cd</t>
  </si>
  <si>
    <t>018d074d-ea0c-e942-07db-a3cc0ba1d653</t>
  </si>
  <si>
    <t>0195d18c-1c93-1f4b-8c40-19223d6c7a8c</t>
  </si>
  <si>
    <t>0195d18c-1c95-decc-cac0-6dcf11e700b2</t>
  </si>
  <si>
    <t>0195d18c-1c92-0ed4-2e94-b4f66d82baf3</t>
  </si>
  <si>
    <t>0195d18c-1c95-2343-576e-0c14e0a4505d</t>
  </si>
  <si>
    <t>0195d18c-1c96-5f7f-1e03-41e6478e8a85</t>
  </si>
  <si>
    <t>0195d18c-1c92-52b3-93e0-43dc1f2aa037</t>
  </si>
  <si>
    <t>0195d18c-1c96-59a8-d2a6-70a3b13175a1</t>
  </si>
  <si>
    <t>0195d18c-1c97-7de8-a991-dfab21b4343d</t>
  </si>
  <si>
    <t>0195d18c-1c92-d419-4c71-a570f428499b</t>
  </si>
  <si>
    <t>0195d18c-1c96-08ed-1241-eaf327bd1ffc</t>
  </si>
  <si>
    <t>0195d18c-1c97-accb-a8a4-395f09f0f1e0</t>
  </si>
  <si>
    <t>0195d18c-1c93-02a2-6920-7e4dbfb73ce0</t>
  </si>
  <si>
    <t>0195d18c-1c97-faac-82eb-3e357979b402</t>
  </si>
  <si>
    <t>name</t>
  </si>
  <si>
    <t>case_type_set_id</t>
  </si>
  <si>
    <t>case_type_set</t>
  </si>
  <si>
    <t>case_type_col_set_id</t>
  </si>
  <si>
    <t>case_type_col_set</t>
  </si>
  <si>
    <t>0195d18c-1cdf-6158-5ed2-075f8c7ad4fc</t>
  </si>
  <si>
    <t>0195d18c-1cb8-5af5-9939-74dc8b5d3b5b</t>
  </si>
  <si>
    <t>0195d18c-1cc1-44c2-1d6e-874dad333458</t>
  </si>
  <si>
    <t>0195d18c-1cb9-5e89-a2b4-e8204c332fd3</t>
  </si>
  <si>
    <t>0195d18c-1cc6-a324-3f72-222014292515</t>
  </si>
  <si>
    <t>0195d18c-1cb9-7277-79d2-a96535256e4a</t>
  </si>
  <si>
    <t>0195d18c-1cca-26c0-66df-979380a43b16</t>
  </si>
  <si>
    <t>0195d18c-1cba-e53b-6f58-f412630c05e2</t>
  </si>
  <si>
    <t>0195d18c-1cce-585d-e95b-79f3fbfdd12b</t>
  </si>
  <si>
    <t>0195d18c-1cba-2679-11a9-d71fc494b25a</t>
  </si>
  <si>
    <t>0195d18c-1cd3-02c7-4a0d-80f544cc425a</t>
  </si>
  <si>
    <t>0195d18c-1ce3-c731-9f95-f1ff6689aab9</t>
  </si>
  <si>
    <t>0195d18c-1ce6-ba29-1d65-28b4d3e453f7</t>
  </si>
  <si>
    <t>0195d18c-1ce9-b0b4-8e5e-5d2f25c52da4</t>
  </si>
  <si>
    <t>0195d18c-1ced-a715-7a51-ea03832ac640</t>
  </si>
  <si>
    <t>0195d18c-1ced-f946-0c8c-56c2360c50f7</t>
  </si>
  <si>
    <t>0195d18c-1cf1-d144-29e7-40b2288888e2</t>
  </si>
  <si>
    <t>0195d18c-1cf5-2472-742a-952cbb347bc8</t>
  </si>
  <si>
    <t>0195d18c-1cf9-c2dd-4a08-8a7a4b059ca8</t>
  </si>
  <si>
    <t>0195d18c-1cfd-0ac0-0caf-2a9c3dc036f2</t>
  </si>
  <si>
    <t>description</t>
  </si>
  <si>
    <t>case_type_set_category_id</t>
  </si>
  <si>
    <t>case_type_set_category</t>
  </si>
  <si>
    <t>rank</t>
  </si>
  <si>
    <t>case_type_set1</t>
  </si>
  <si>
    <t>0195d18c-1cb8-a47f-3df5-ebefd976f759</t>
  </si>
  <si>
    <t>case_type_set2</t>
  </si>
  <si>
    <t>case_type_set3</t>
  </si>
  <si>
    <t>case_type_set4</t>
  </si>
  <si>
    <t>case_type_set5</t>
  </si>
  <si>
    <t>0195d18c-1cbb-d7b8-d852-987a801e0ad5</t>
  </si>
  <si>
    <t>case_type_set1,2</t>
  </si>
  <si>
    <t>0195d18c-1cbb-5047-ab67-71cb2cb84047</t>
  </si>
  <si>
    <t>case_type_set1,3</t>
  </si>
  <si>
    <t>0195d18c-1cbc-41fb-3ad7-2eed31140bd6</t>
  </si>
  <si>
    <t>case_type_set1,4</t>
  </si>
  <si>
    <t>0195d18c-1cbc-cf9a-b28d-bd77d3b30365</t>
  </si>
  <si>
    <t>case_type_set1,5</t>
  </si>
  <si>
    <t>0195d18c-1cbd-f948-2304-f178298dbc48</t>
  </si>
  <si>
    <t>case_type_set2,3</t>
  </si>
  <si>
    <t>0195d18c-1cbe-394f-58eb-6d327092ba44</t>
  </si>
  <si>
    <t>case_type_set2,4</t>
  </si>
  <si>
    <t>0195d18c-1cbe-fcd0-15db-737a74dff6fa</t>
  </si>
  <si>
    <t>case_type_set2,5</t>
  </si>
  <si>
    <t>0195d18c-1cbf-2a22-b845-fb9a44b67a96</t>
  </si>
  <si>
    <t>case_type_set3,4</t>
  </si>
  <si>
    <t>0195d18c-1cc0-9f98-c18d-367b41358c49</t>
  </si>
  <si>
    <t>case_type_set3,5</t>
  </si>
  <si>
    <t>0195d18c-1cc0-1fae-3a05-50f42b0128fc</t>
  </si>
  <si>
    <t>case_type_set4,5</t>
  </si>
  <si>
    <t>purpose</t>
  </si>
  <si>
    <t>case_type_set_category1</t>
  </si>
  <si>
    <t>CONTENT</t>
  </si>
  <si>
    <t>disease_id</t>
  </si>
  <si>
    <t>disease</t>
  </si>
  <si>
    <t>etiological_agent_id</t>
  </si>
  <si>
    <t>etiological_agent</t>
  </si>
  <si>
    <t>0195d18c-1ca6-fd99-9d76-fcfa0c0cf400</t>
  </si>
  <si>
    <t>case_type1</t>
  </si>
  <si>
    <t>0195d18c-1ca4-6d4f-99b8-10458cd57f32</t>
  </si>
  <si>
    <t>0195d18c-1ca4-82bc-c40f-054b28401ddd</t>
  </si>
  <si>
    <t>0195d18c-1ca6-752a-ec56-ed1b3d0cb095</t>
  </si>
  <si>
    <t>case_type2</t>
  </si>
  <si>
    <t>0195d18c-1ca4-2098-2e1c-1f2c2d58cd41</t>
  </si>
  <si>
    <t>0195d18c-1ca4-d963-1fbd-e9bf6dbb100c</t>
  </si>
  <si>
    <t>0195d18c-1ca6-0243-1762-326add8a5d71</t>
  </si>
  <si>
    <t>case_type3</t>
  </si>
  <si>
    <t>0195d18c-1ca4-9f3c-a017-a8f11202fb1c</t>
  </si>
  <si>
    <t>0195d18c-1ca5-5802-0739-33f87df230d4</t>
  </si>
  <si>
    <t>0195d18c-1ca7-7209-a21c-556dc4fd3057</t>
  </si>
  <si>
    <t>case_type4</t>
  </si>
  <si>
    <t>0195d18c-1ca4-86bf-f4e7-8c2a92ff370d</t>
  </si>
  <si>
    <t>0195d18c-1ca5-6d25-b2ad-a663425c8c15</t>
  </si>
  <si>
    <t>0195d18c-1ca7-ae33-0f89-bd1fd65da091</t>
  </si>
  <si>
    <t>case_type5</t>
  </si>
  <si>
    <t>0195d18c-1ca4-6a53-af25-e4cd2ea0545a</t>
  </si>
  <si>
    <t>0195d18c-1ca5-49ab-b2c2-6e8556234b5c</t>
  </si>
  <si>
    <t>case_type_col_id</t>
  </si>
  <si>
    <t>case_type_col</t>
  </si>
  <si>
    <t>0195d18c-1cc1-bc3b-7023-b090ec9fde88</t>
  </si>
  <si>
    <t>0195d18c-1caa-1722-0366-f73bd3f09ee8</t>
  </si>
  <si>
    <t>0195d18c-1cc1-0f5e-c6ae-7d0853762b78</t>
  </si>
  <si>
    <t>0195d18c-1cc1-c475-eba4-c3df5aea8858</t>
  </si>
  <si>
    <t>0195d18c-1cab-86f3-5faf-507bfa221cf6</t>
  </si>
  <si>
    <t>0195d18c-1cc2-c1f8-0499-314e9a217619</t>
  </si>
  <si>
    <t>0195d18c-1cc2-37d1-f6c3-0e7c8d6b1f07</t>
  </si>
  <si>
    <t>0195d18c-1cab-b4e5-a81b-6acdcc710af2</t>
  </si>
  <si>
    <t>0195d18c-1cc2-1b3f-7ef2-a1a00508cf8b</t>
  </si>
  <si>
    <t>0195d18c-1cc2-7cf5-8b5c-03f41714d8b8</t>
  </si>
  <si>
    <t>0195d18c-1cab-3208-7ccc-820a8c522208</t>
  </si>
  <si>
    <t>0195d18c-1cc3-b4fe-f9f7-0685cbaa31bb</t>
  </si>
  <si>
    <t>0195d18c-1cc2-50aa-7113-6b261eaeec7a</t>
  </si>
  <si>
    <t>0195d18c-1cab-767e-81b1-986e918827fb</t>
  </si>
  <si>
    <t>0195d18c-1cc3-fe61-cacc-00b203019a57</t>
  </si>
  <si>
    <t>0195d18c-1cc3-0cbc-2362-c1cfe3fdec5a</t>
  </si>
  <si>
    <t>0195d18c-1cab-22f7-dda1-cc74cee303ca</t>
  </si>
  <si>
    <t>0195d18c-1cc3-efe3-8294-1bd2eeecd725</t>
  </si>
  <si>
    <t>0195d18c-1cc3-e9c0-5858-8bf9d9d8c36f</t>
  </si>
  <si>
    <t>0195d18c-1cac-4ed2-2296-a46fa423ce99</t>
  </si>
  <si>
    <t>0195d18c-1cc4-c572-530d-d5d4c30deb5f</t>
  </si>
  <si>
    <t>0195d18c-1cc4-9f18-3767-29d288f47190</t>
  </si>
  <si>
    <t>0195d18c-1cac-9221-a9c7-72e70e09dea9</t>
  </si>
  <si>
    <t>0195d18c-1cc5-36c7-d184-b8289b270f98</t>
  </si>
  <si>
    <t>0195d18c-1cc5-2ea3-8102-7b410f3146c8</t>
  </si>
  <si>
    <t>0195d18c-1cac-4d0a-db2e-5a54065df180</t>
  </si>
  <si>
    <t>0195d18c-1cc6-dfd8-d42b-028bcb2eda6e</t>
  </si>
  <si>
    <t>0195d18c-1cad-37c6-0826-9671f313fb2b</t>
  </si>
  <si>
    <t>0195d18c-1cc7-85ac-2749-1dcda89a900a</t>
  </si>
  <si>
    <t>0195d18c-1cc7-243f-f4e7-3dbdfe691c71</t>
  </si>
  <si>
    <t>0195d18c-1cad-5b48-8a72-25050cbf379e</t>
  </si>
  <si>
    <t>0195d18c-1cc7-93ce-aacd-c48aa7a52deb</t>
  </si>
  <si>
    <t>0195d18c-1cc7-60b4-b4e6-8ff7fabb2b09</t>
  </si>
  <si>
    <t>0195d18c-1cad-e18e-a87d-8af6760d00e1</t>
  </si>
  <si>
    <t>0195d18c-1cc8-a9b6-7737-4c832e8d5000</t>
  </si>
  <si>
    <t>0195d18c-1cc8-bcf2-c56f-04928f2e3635</t>
  </si>
  <si>
    <t>0195d18c-1cad-9467-449f-6341c820b944</t>
  </si>
  <si>
    <t>0195d18c-1cc8-6fb3-cac4-860e0932396b</t>
  </si>
  <si>
    <t>0195d18c-1cc8-18f5-27a5-fd3874e6b78b</t>
  </si>
  <si>
    <t>0195d18c-1cae-fcea-56fe-4577ada0491d</t>
  </si>
  <si>
    <t>0195d18c-1cc9-37a4-53fc-e224a5b9ae9a</t>
  </si>
  <si>
    <t>0195d18c-1cc8-5a76-0a72-16117b0a5a5e</t>
  </si>
  <si>
    <t>0195d18c-1cae-cdba-00d9-e8405172259e</t>
  </si>
  <si>
    <t>0195d18c-1cc9-0cee-1c8d-167102e5c438</t>
  </si>
  <si>
    <t>0195d18c-1cc9-7181-fd5b-078012e228f2</t>
  </si>
  <si>
    <t>0195d18c-1cae-faa7-ac0d-22cce7d230ec</t>
  </si>
  <si>
    <t>0195d18c-1cca-9c40-ee31-4532f9cc829b</t>
  </si>
  <si>
    <t>0195d18c-1cc9-c61f-4e7e-a00189d3cc75</t>
  </si>
  <si>
    <t>0195d18c-1cae-45ab-ca21-9cee527b9482</t>
  </si>
  <si>
    <t>0195d18c-1cca-2cf3-2665-d1cad71e20e7</t>
  </si>
  <si>
    <t>0195d18c-1cca-878e-2110-0116e848541b</t>
  </si>
  <si>
    <t>0195d18c-1caf-d364-c3b5-e73ba434270e</t>
  </si>
  <si>
    <t>0195d18c-1cca-acef-7520-d9f97783cc0a</t>
  </si>
  <si>
    <t>0195d18c-1caf-b3af-f64e-bd18810c4521</t>
  </si>
  <si>
    <t>0195d18c-1ccb-94bf-38a8-6bbf1fcc397c</t>
  </si>
  <si>
    <t>0195d18c-1ccb-f06f-162f-a5dc745a5198</t>
  </si>
  <si>
    <t>0195d18c-1caf-84ca-1737-a8f8788cd464</t>
  </si>
  <si>
    <t>0195d18c-1ccb-1bce-219e-8c8bd9e31d1c</t>
  </si>
  <si>
    <t>0195d18c-1ccb-b068-d845-d61fb54721f1</t>
  </si>
  <si>
    <t>0195d18c-1cb0-7655-a8bb-f656b1b8b72c</t>
  </si>
  <si>
    <t>0195d18c-1ccc-a784-72e6-86bc17c68e72</t>
  </si>
  <si>
    <t>0195d18c-1ccc-f754-4a4f-89cdc532a3be</t>
  </si>
  <si>
    <t>0195d18c-1cb0-4c24-e2e8-b92cfc74f7cc</t>
  </si>
  <si>
    <t>0195d18c-1ccc-e253-f0db-ae0afd110338</t>
  </si>
  <si>
    <t>0195d18c-1ccc-3f10-cc4e-636793b1e9dd</t>
  </si>
  <si>
    <t>0195d18c-1cb0-8d34-e3f0-ab091b80ab8f</t>
  </si>
  <si>
    <t>0195d18c-1ccd-a8c6-04da-054e94c8e7f8</t>
  </si>
  <si>
    <t>0195d18c-1ccd-3f53-ad72-f2d3c667b246</t>
  </si>
  <si>
    <t>0195d18c-1cb0-db51-ed28-2a4481c5f1ac</t>
  </si>
  <si>
    <t>0195d18c-1ccd-2241-7d52-d0778cd96c8f</t>
  </si>
  <si>
    <t>0195d18c-1ccd-d664-179c-a1a90c3c886c</t>
  </si>
  <si>
    <t>0195d18c-1cb1-b5d5-ee26-96c6a9678489</t>
  </si>
  <si>
    <t>0195d18c-1cce-f22c-603a-b55b0a296644</t>
  </si>
  <si>
    <t>0195d18c-1ccd-12ae-b807-5b71d1b4e1f1</t>
  </si>
  <si>
    <t>0195d18c-1cb1-f7bb-aa5b-6f2c6f5d3696</t>
  </si>
  <si>
    <t>0195d18c-1cce-d09e-ab20-98cc3674ddb6</t>
  </si>
  <si>
    <t>0195d18c-1cce-3516-017e-cf05c78d4433</t>
  </si>
  <si>
    <t>0195d18c-1cb1-2097-fae7-ffcb7e109be5</t>
  </si>
  <si>
    <t>0195d18c-1ccf-7c0f-75d1-bcc7e151281a</t>
  </si>
  <si>
    <t>0195d18c-1cb2-95e6-139d-1dbe7ffdd3d0</t>
  </si>
  <si>
    <t>0195d18c-1ccf-109d-81c1-00e39cf8a2a4</t>
  </si>
  <si>
    <t>0195d18c-1ccf-c9fa-4e69-800cfa6c5e86</t>
  </si>
  <si>
    <t>0195d18c-1cb2-995c-625d-dfa62a674ff8</t>
  </si>
  <si>
    <t>0195d18c-1cd0-eba2-2618-18ee82d379d8</t>
  </si>
  <si>
    <t>0195d18c-1ccf-d319-afba-0f13f0d06256</t>
  </si>
  <si>
    <t>0195d18c-1cb2-7a1f-c2f8-ce2096e4cbbc</t>
  </si>
  <si>
    <t>0195d18c-1cd0-4c79-6dba-5e3ae8a971ce</t>
  </si>
  <si>
    <t>0195d18c-1cd0-951a-878d-5fe5fcd0015a</t>
  </si>
  <si>
    <t>0195d18c-1cb3-b49c-ddc2-f5174414bfdc</t>
  </si>
  <si>
    <t>0195d18c-1cd1-90cc-853c-dc2733d794ae</t>
  </si>
  <si>
    <t>0195d18c-1cd0-0128-08ed-42804fabb534</t>
  </si>
  <si>
    <t>0195d18c-1cb3-9495-0b74-a14fa0378944</t>
  </si>
  <si>
    <t>0195d18c-1cd1-9c18-fbdf-624aa95172e0</t>
  </si>
  <si>
    <t>0195d18c-1cd1-9702-2218-87932d7bfde7</t>
  </si>
  <si>
    <t>0195d18c-1cb3-7165-f2c8-1549624bce57</t>
  </si>
  <si>
    <t>0195d18c-1cd2-d10f-ade5-4758802615e0</t>
  </si>
  <si>
    <t>0195d18c-1cd1-a4b4-2764-66bf69a9f28c</t>
  </si>
  <si>
    <t>0195d18c-1cb4-62ef-acc3-d4754efbcff5</t>
  </si>
  <si>
    <t>0195d18c-1cd2-7872-2746-5d17afa1a8ee</t>
  </si>
  <si>
    <t>0195d18c-1cd2-3359-f0c5-d09dfe10cbd9</t>
  </si>
  <si>
    <t>0195d18c-1cb4-4080-ce72-0ae401b350e2</t>
  </si>
  <si>
    <t>0195d18c-1cd3-ee99-f395-5aaa53a8f182</t>
  </si>
  <si>
    <t>0195d18c-1cd2-c028-2759-dfa197e2e6c0</t>
  </si>
  <si>
    <t>0195d18c-1cb4-7eca-c0f5-e64333747c9b</t>
  </si>
  <si>
    <t>0195d18c-1cd3-33ed-c52d-358a62a28706</t>
  </si>
  <si>
    <t>0195d18c-1cb5-c3e7-b945-7d438ce70962</t>
  </si>
  <si>
    <t>0195d18c-1cd4-e51f-228c-96b0d4a6f4a4</t>
  </si>
  <si>
    <t>0195d18c-1cd3-acd1-2f6c-f9db7a3cd290</t>
  </si>
  <si>
    <t>0195d18c-1cb5-8fdb-b13a-19f20c06817d</t>
  </si>
  <si>
    <t>0195d18c-1cd4-e476-50cc-03121166cd98</t>
  </si>
  <si>
    <t>0195d18c-1cd4-44f9-ea4c-4ab401e03f8f</t>
  </si>
  <si>
    <t>0195d18c-1cb5-5dbb-4903-872ca139254e</t>
  </si>
  <si>
    <t>0195d18c-1cd5-4fb4-a2f0-2add9b9732a9</t>
  </si>
  <si>
    <t>0195d18c-1cd4-a35d-3e85-41eb9f24a911</t>
  </si>
  <si>
    <t>0195d18c-1cb6-9ffa-e835-0b70cc4b0ae9</t>
  </si>
  <si>
    <t>0195d18c-1cd5-c687-062e-790274ce38bc</t>
  </si>
  <si>
    <t>0195d18c-1cd5-e8f4-76f8-56e13a8aec12</t>
  </si>
  <si>
    <t>0195d18c-1cb6-a2b9-4827-77425c5ab615</t>
  </si>
  <si>
    <t>0195d18c-1cd6-e805-33b4-3c6846096054</t>
  </si>
  <si>
    <t>0195d18c-1cd6-da43-ec75-25feee641928</t>
  </si>
  <si>
    <t>0195d18c-1cb6-04b0-5474-a6411b693a97</t>
  </si>
  <si>
    <t>0195d18c-1cd7-4b9a-2afc-bf1d29c6a8be</t>
  </si>
  <si>
    <t>0195d18c-1cd6-2f81-aefd-93fce854296f</t>
  </si>
  <si>
    <t>0195d18c-1cb7-05e5-fd6b-6914a124e649</t>
  </si>
  <si>
    <t>0195d18c-1cd7-7f4c-14dd-2f3f796501d9</t>
  </si>
  <si>
    <t>0195d18c-1cd7-22bb-71ce-9110669bbfef</t>
  </si>
  <si>
    <t>0195d18c-1cb7-44c6-2f56-594e12327604</t>
  </si>
  <si>
    <t>0195d18c-1cd8-43b4-813b-bc0358a7e252</t>
  </si>
  <si>
    <t>0195d18c-1cd7-b95b-ced6-589a63e3e6eb</t>
  </si>
  <si>
    <t>0195d18c-1cb7-e7f7-a41d-bacd0f861a06</t>
  </si>
  <si>
    <t>case_type_col_set1_1_1</t>
  </si>
  <si>
    <t>case_type_col_set1_1_2</t>
  </si>
  <si>
    <t>case_type_col_set1_1_3</t>
  </si>
  <si>
    <t>case_type_col_set1_2_1</t>
  </si>
  <si>
    <t>case_type_col_set1_2_2</t>
  </si>
  <si>
    <t>case_type_col_set1_2_3</t>
  </si>
  <si>
    <t>case_type_col_set1_3_1</t>
  </si>
  <si>
    <t>case_type_col_set1_3_2</t>
  </si>
  <si>
    <t>case_type_col_set1_3_3</t>
  </si>
  <si>
    <t>case_type_col_set2_1_1</t>
  </si>
  <si>
    <t>case_type_col_set2_1_2</t>
  </si>
  <si>
    <t>case_type_col_set2_1_3</t>
  </si>
  <si>
    <t>case_type_col_set2_2_1</t>
  </si>
  <si>
    <t>case_type_col_set2_2_2</t>
  </si>
  <si>
    <t>case_type_col_set2_2_3</t>
  </si>
  <si>
    <t>case_type_col_set2_3_1</t>
  </si>
  <si>
    <t>case_type_col_set2_3_2</t>
  </si>
  <si>
    <t>case_type_col_set2_3_3</t>
  </si>
  <si>
    <t>case_type_col_set3_1_1</t>
  </si>
  <si>
    <t>case_type_col_set3_1_2</t>
  </si>
  <si>
    <t>case_type_col_set3_1_3</t>
  </si>
  <si>
    <t>case_type_col_set3_2_1</t>
  </si>
  <si>
    <t>case_type_col_set3_2_2</t>
  </si>
  <si>
    <t>case_type_col_set3_2_3</t>
  </si>
  <si>
    <t>case_type_col_set3_3_1</t>
  </si>
  <si>
    <t>case_type_col_set3_3_2</t>
  </si>
  <si>
    <t>case_type_col_set3_3_3</t>
  </si>
  <si>
    <t>case_type_col_set4_1_1</t>
  </si>
  <si>
    <t>case_type_col_set4_1_2</t>
  </si>
  <si>
    <t>case_type_col_set4_1_3</t>
  </si>
  <si>
    <t>case_type_col_set4_2_1</t>
  </si>
  <si>
    <t>case_type_col_set4_2_2</t>
  </si>
  <si>
    <t>case_type_col_set4_2_3</t>
  </si>
  <si>
    <t>case_type_col_set4_3_1</t>
  </si>
  <si>
    <t>case_type_col_set4_3_2</t>
  </si>
  <si>
    <t>case_type_col_set4_3_3</t>
  </si>
  <si>
    <t>case_type_col_set5_1_1</t>
  </si>
  <si>
    <t>case_type_col_set5_1_2</t>
  </si>
  <si>
    <t>case_type_col_set5_1_3</t>
  </si>
  <si>
    <t>case_type_col_set5_2_1</t>
  </si>
  <si>
    <t>case_type_col_set5_2_2</t>
  </si>
  <si>
    <t>case_type_col_set5_2_3</t>
  </si>
  <si>
    <t>case_type_col_set5_3_1</t>
  </si>
  <si>
    <t>case_type_col_set5_3_2</t>
  </si>
  <si>
    <t>case_type_col_set5_3_3</t>
  </si>
  <si>
    <t>case_type_id</t>
  </si>
  <si>
    <t>case_type</t>
  </si>
  <si>
    <t>col_id</t>
  </si>
  <si>
    <t>col</t>
  </si>
  <si>
    <t>occurrence</t>
  </si>
  <si>
    <t>code</t>
  </si>
  <si>
    <t>label</t>
  </si>
  <si>
    <t>min_value</t>
  </si>
  <si>
    <t>max_value</t>
  </si>
  <si>
    <t>min_datetime</t>
  </si>
  <si>
    <t>max_datetime</t>
  </si>
  <si>
    <t>min_length</t>
  </si>
  <si>
    <t>max_length</t>
  </si>
  <si>
    <t>pattern</t>
  </si>
  <si>
    <t>genetic_sequence_case_type_col_id</t>
  </si>
  <si>
    <t>tree_algorithm_codes</t>
  </si>
  <si>
    <t>props</t>
  </si>
  <si>
    <t>0195d18c-1ca8-0d1d-088c-b8af029e62d9</t>
  </si>
  <si>
    <t>case_type1_dim1_1_text</t>
  </si>
  <si>
    <t>{}</t>
  </si>
  <si>
    <t>0195d18c-1ca8-2d41-3f8a-a08c6c72781c</t>
  </si>
  <si>
    <t>case_type1_dim1_2_text</t>
  </si>
  <si>
    <t>0195d18c-1ca9-5de7-c726-bbac813384cb</t>
  </si>
  <si>
    <t>case_type1_dim1_3_text</t>
  </si>
  <si>
    <t>0195d18c-1ca9-79ee-762e-93e2d841f46e</t>
  </si>
  <si>
    <t>case_type1_dim2_1_text</t>
  </si>
  <si>
    <t>0195d18c-1ca9-e6f0-c3d1-2695fe9f64f9</t>
  </si>
  <si>
    <t>case_type1_dim2_2_text</t>
  </si>
  <si>
    <t>0195d18c-1ca9-ec62-d071-2b041d96f2c7</t>
  </si>
  <si>
    <t>case_type1_dim2_3_text</t>
  </si>
  <si>
    <t>0195d18c-1ca9-2301-2c4f-a4762f675f45</t>
  </si>
  <si>
    <t>case_type1_dim3_1_text</t>
  </si>
  <si>
    <t>0195d18c-1caa-e67f-100d-0d313ce91422</t>
  </si>
  <si>
    <t>case_type1_dim3_2_text</t>
  </si>
  <si>
    <t>0195d18c-1caa-aad7-3b8b-2357d679761c</t>
  </si>
  <si>
    <t>case_type1_dim3_3_text</t>
  </si>
  <si>
    <t>case_type2_dim1_1_text</t>
  </si>
  <si>
    <t>case_type2_dim1_2_text</t>
  </si>
  <si>
    <t>case_type2_dim1_3_text</t>
  </si>
  <si>
    <t>case_type2_dim2_1_text</t>
  </si>
  <si>
    <t>case_type2_dim2_2_text</t>
  </si>
  <si>
    <t>case_type2_dim2_3_text</t>
  </si>
  <si>
    <t>case_type2_dim3_1_text</t>
  </si>
  <si>
    <t>case_type2_dim3_2_text</t>
  </si>
  <si>
    <t>case_type2_dim3_3_text</t>
  </si>
  <si>
    <t>case_type3_dim1_1_text</t>
  </si>
  <si>
    <t>case_type3_dim1_2_text</t>
  </si>
  <si>
    <t>case_type3_dim1_3_text</t>
  </si>
  <si>
    <t>case_type3_dim2_1_text</t>
  </si>
  <si>
    <t>case_type3_dim2_2_text</t>
  </si>
  <si>
    <t>case_type3_dim2_3_text</t>
  </si>
  <si>
    <t>case_type3_dim3_1_text</t>
  </si>
  <si>
    <t>case_type3_dim3_2_text</t>
  </si>
  <si>
    <t>case_type3_dim3_3_text</t>
  </si>
  <si>
    <t>case_type4_dim1_1_text</t>
  </si>
  <si>
    <t>case_type4_dim1_2_text</t>
  </si>
  <si>
    <t>case_type4_dim1_3_text</t>
  </si>
  <si>
    <t>case_type4_dim2_1_text</t>
  </si>
  <si>
    <t>case_type4_dim2_2_text</t>
  </si>
  <si>
    <t>case_type4_dim2_3_text</t>
  </si>
  <si>
    <t>case_type4_dim3_1_text</t>
  </si>
  <si>
    <t>case_type4_dim3_2_text</t>
  </si>
  <si>
    <t>case_type4_dim3_3_text</t>
  </si>
  <si>
    <t>case_type5_dim1_1_text</t>
  </si>
  <si>
    <t>case_type5_dim1_2_text</t>
  </si>
  <si>
    <t>case_type5_dim1_3_text</t>
  </si>
  <si>
    <t>case_type5_dim2_1_text</t>
  </si>
  <si>
    <t>case_type5_dim2_2_text</t>
  </si>
  <si>
    <t>case_type5_dim2_3_text</t>
  </si>
  <si>
    <t>case_type5_dim3_1_text</t>
  </si>
  <si>
    <t>case_type5_dim3_2_text</t>
  </si>
  <si>
    <t>case_type5_dim3_3_text</t>
  </si>
  <si>
    <t>0195d18c-1cb8-ac82-67f2-bc32a6368340</t>
  </si>
  <si>
    <t>0195d18c-1cb9-04cf-ee83-d2e14f70e6f7</t>
  </si>
  <si>
    <t>0195d18c-1cb9-0db7-dd63-2f5c66ce2096</t>
  </si>
  <si>
    <t>0195d18c-1cba-d75a-4f52-be8189bfd480</t>
  </si>
  <si>
    <t>0195d18c-1cba-880a-4d3d-9231b03e604d</t>
  </si>
  <si>
    <t>0195d18c-1cbb-4d56-8309-26658e320187</t>
  </si>
  <si>
    <t>0195d18c-1cbb-e8cf-b7a9-624604063760</t>
  </si>
  <si>
    <t>0195d18c-1cbc-34b5-25b1-15430bfc43cb</t>
  </si>
  <si>
    <t>0195d18c-1cbc-42ec-af5d-d0c541b3c295</t>
  </si>
  <si>
    <t>0195d18c-1cbc-93ea-ba50-3ea9ab23cfcf</t>
  </si>
  <si>
    <t>0195d18c-1cbc-5d27-ec6f-91a2b6d7fba6</t>
  </si>
  <si>
    <t>0195d18c-1cbd-afb8-4103-44bd3d6db520</t>
  </si>
  <si>
    <t>0195d18c-1cbd-598d-2fbc-ab1a86b38c7b</t>
  </si>
  <si>
    <t>0195d18c-1cbd-64ee-0053-12e519dbaea2</t>
  </si>
  <si>
    <t>0195d18c-1cbd-e5e4-5e2c-49dcc5a54ec2</t>
  </si>
  <si>
    <t>0195d18c-1cbe-25ec-3c13-b743a72fe44e</t>
  </si>
  <si>
    <t>0195d18c-1cbe-ccf9-b1b3-31b52fe304c2</t>
  </si>
  <si>
    <t>0195d18c-1cbf-6781-d8e6-4821a8cca56f</t>
  </si>
  <si>
    <t>0195d18c-1cbf-2af9-365a-9fcfc6325153</t>
  </si>
  <si>
    <t>0195d18c-1cbf-cab5-f26b-de1986258d80</t>
  </si>
  <si>
    <t>0195d18c-1cbf-3ae8-57bc-297cbb3e0b04</t>
  </si>
  <si>
    <t>0195d18c-1cc0-5142-d6dc-6a0d5b641c6b</t>
  </si>
  <si>
    <t>0195d18c-1cc0-212b-34ce-e734d4976333</t>
  </si>
  <si>
    <t>0195d18c-1cc0-6108-5b6c-a68da2f4a40c</t>
  </si>
  <si>
    <t>0195d18c-1cc0-3596-3a3f-e4a37028e9f8</t>
  </si>
  <si>
    <t>dim_id</t>
  </si>
  <si>
    <t>dim</t>
  </si>
  <si>
    <t>code_suffix</t>
  </si>
  <si>
    <t>rank_in_dim</t>
  </si>
  <si>
    <t>col_type</t>
  </si>
  <si>
    <t>concept_set_id</t>
  </si>
  <si>
    <t>concept_set</t>
  </si>
  <si>
    <t>region_set_id</t>
  </si>
  <si>
    <t>region_set</t>
  </si>
  <si>
    <t>genetic_distance_protocol_id</t>
  </si>
  <si>
    <t>genetic_distance_protocol</t>
  </si>
  <si>
    <t>0195d18c-1ca7-84a9-0f3d-1b864b527120</t>
  </si>
  <si>
    <t>dim1_1_text</t>
  </si>
  <si>
    <t>dim1_2_text</t>
  </si>
  <si>
    <t>dim1_3_text</t>
  </si>
  <si>
    <t>0195d18c-1ca7-eac1-1845-3de69c9879f2</t>
  </si>
  <si>
    <t>dim2_1_text</t>
  </si>
  <si>
    <t>dim2_2_text</t>
  </si>
  <si>
    <t>dim2_3_text</t>
  </si>
  <si>
    <t>0195d18c-1ca8-d12f-d2f7-05baa1ed8610</t>
  </si>
  <si>
    <t>dim3_1_text</t>
  </si>
  <si>
    <t>dim3_2_text</t>
  </si>
  <si>
    <t>dim3_3_text</t>
  </si>
  <si>
    <t>dim_type</t>
  </si>
  <si>
    <t>col_code_prefix</t>
  </si>
  <si>
    <t>dim1</t>
  </si>
  <si>
    <t>dim2</t>
  </si>
  <si>
    <t>dim3</t>
  </si>
  <si>
    <t>email</t>
  </si>
  <si>
    <t>roles</t>
  </si>
  <si>
    <t>root1_1@org1.org</t>
  </si>
  <si>
    <t>0195d18c-1c92-110e-81c1-75ba0fec4494</t>
  </si>
  <si>
    <t>app_admin1_1@org1.org</t>
  </si>
  <si>
    <t>0195d18c-1c93-bcbb-eea8-94332d77b172</t>
  </si>
  <si>
    <t>org_admin1_1@org1.org</t>
  </si>
  <si>
    <t>org_admin2_1@org2.org</t>
  </si>
  <si>
    <t>org_admin3_1@org3.org</t>
  </si>
  <si>
    <t>org_admin4_1@org4.org</t>
  </si>
  <si>
    <t>org_admin5_1@org5.org</t>
  </si>
  <si>
    <t>org_user1_1@org1.org</t>
  </si>
  <si>
    <t>org_user1_2@org1.org</t>
  </si>
  <si>
    <t>org_user1_3@org1.org</t>
  </si>
  <si>
    <t>org_user1_4@org1.org</t>
  </si>
  <si>
    <t>org_user2_1@org2.org</t>
  </si>
  <si>
    <t>org_user2_2@org2.org</t>
  </si>
  <si>
    <t>org_user2_3@org2.org</t>
  </si>
  <si>
    <t>org_user2_4@org2.org</t>
  </si>
  <si>
    <t>org_user3_1@org3.org</t>
  </si>
  <si>
    <t>org_user3_2@org3.org</t>
  </si>
  <si>
    <t>org_user3_3@org3.org</t>
  </si>
  <si>
    <t>org_user3_4@org3.org</t>
  </si>
  <si>
    <t>org_user4_1@org4.org</t>
  </si>
  <si>
    <t>org_user4_2@org4.org</t>
  </si>
  <si>
    <t>org_user4_3@org4.org</t>
  </si>
  <si>
    <t>org_user4_4@org4.org</t>
  </si>
  <si>
    <t>org_user5_1@org5.org</t>
  </si>
  <si>
    <t>org_user5_2@org5.org</t>
  </si>
  <si>
    <t>org_user5_3@org5.org</t>
  </si>
  <si>
    <t>org_user5_4@org5.org</t>
  </si>
  <si>
    <t>data_collection1</t>
  </si>
  <si>
    <t>data_collection2</t>
  </si>
  <si>
    <t>data_collection3</t>
  </si>
  <si>
    <t>data_collection4</t>
  </si>
  <si>
    <t>data_collection5</t>
  </si>
  <si>
    <t>data_collection6</t>
  </si>
  <si>
    <t>data_collection7</t>
  </si>
  <si>
    <t>data_collection8</t>
  </si>
  <si>
    <t>data_collection9</t>
  </si>
  <si>
    <t>data_collection10</t>
  </si>
  <si>
    <t>data_collection11</t>
  </si>
  <si>
    <t>legal_entity_code</t>
  </si>
  <si>
    <t>legal_region_id</t>
  </si>
  <si>
    <t>legal_region</t>
  </si>
  <si>
    <t>org1</t>
  </si>
  <si>
    <t>org2</t>
  </si>
  <si>
    <t>org3</t>
  </si>
  <si>
    <t>org4</t>
  </si>
  <si>
    <t>org5</t>
  </si>
  <si>
    <t>from_data_collection_id</t>
  </si>
  <si>
    <t>token</t>
  </si>
  <si>
    <t>expires_at</t>
  </si>
  <si>
    <t>invited_by_user_id</t>
  </si>
  <si>
    <t>0195d18c-1c91-417d-6686-2f6cb5ff95b9</t>
  </si>
  <si>
    <t>26dcbff8-2925-4078-90ad-bbe74165f6b3</t>
  </si>
  <si>
    <t>0195d18c-1c93-6939-20ec-9c4c00d851c1</t>
  </si>
  <si>
    <t>10ad47a6-0901-408c-bfc0-a05a4e83af4e</t>
  </si>
  <si>
    <t>0195d18c-1c93-ec90-9271-1015b282d4b3</t>
  </si>
  <si>
    <t>6f8d5681-2c6c-44ae-9522-178a45deaf16</t>
  </si>
  <si>
    <t>0195d18c-1c95-0879-fcf0-17e1131cc29b</t>
  </si>
  <si>
    <t>839e81a3-3184-4c47-bf1c-7f1f964fe280</t>
  </si>
  <si>
    <t>0195d18c-1c95-a854-581f-4e9ae9d85b92</t>
  </si>
  <si>
    <t>1ad1489c-d661-475a-958d-c6684f5dd5d2</t>
  </si>
  <si>
    <t>0195d18c-1c96-ec9c-d51d-0eec040d7ffd</t>
  </si>
  <si>
    <t>ac3ef8cf-b738-458a-9250-e68a9452546b</t>
  </si>
  <si>
    <t>0195d18c-1c97-bf94-f109-505bfb986995</t>
  </si>
  <si>
    <t>2a653a89-2320-41a9-8163-356114c3ba28</t>
  </si>
  <si>
    <t>0195d18c-1c98-4085-5812-4a69516f59ae</t>
  </si>
  <si>
    <t>feb33345-6e94-4f64-807e-c8f4a6e9e232</t>
  </si>
  <si>
    <t>0195d18c-1c98-91f0-72bb-c9c9bbd287c5</t>
  </si>
  <si>
    <t>e2049ab9-9249-4847-852a-6b43b8d12ff8</t>
  </si>
  <si>
    <t>0195d18c-1c98-90fe-f86a-b3ff952dc368</t>
  </si>
  <si>
    <t>973418bc-df76-4c74-bf1f-8919b9295848</t>
  </si>
  <si>
    <t>0195d18c-1c99-b943-3900-1de44aa64da4</t>
  </si>
  <si>
    <t>b9782553-9cf2-4fa6-9ad4-aae54307d988</t>
  </si>
  <si>
    <t>0195d18c-1c99-ee95-2cb4-c932da0954b7</t>
  </si>
  <si>
    <t>a3c4d7fd-06b7-43b7-bdfa-0cb99f4d15db</t>
  </si>
  <si>
    <t>0195d18c-1c9a-db6b-ccff-e01ab117ef32</t>
  </si>
  <si>
    <t>3229f88a-c1c0-40ae-b6ad-f164bd928e67</t>
  </si>
  <si>
    <t>0195d18c-1c9a-f99a-e588-b6cb70db069a</t>
  </si>
  <si>
    <t>f0bd0f86-4aee-4057-bf0d-5969f86e480e</t>
  </si>
  <si>
    <t>0195d18c-1c9b-78d2-856a-1a3b3cb5bea2</t>
  </si>
  <si>
    <t>ee401265-06e0-4a12-b272-06f1988ef4b5</t>
  </si>
  <si>
    <t>0195d18c-1c9b-157c-f366-9923d442a6ab</t>
  </si>
  <si>
    <t>5732cea8-00ae-436e-94eb-15c9d5aa47be</t>
  </si>
  <si>
    <t>0195d18c-1c9c-d7c6-00ad-dbf966ceaac2</t>
  </si>
  <si>
    <t>e43b6ffb-9b22-47fa-91ca-b3b232f7ad28</t>
  </si>
  <si>
    <t>0195d18c-1c9c-7fa3-43a4-75b222e2bc20</t>
  </si>
  <si>
    <t>cd5b7c70-3e5d-468b-ad18-19d2a1482ce2</t>
  </si>
  <si>
    <t>0195d18c-1c9d-3e2a-8358-366fb95eb9a0</t>
  </si>
  <si>
    <t>e0dc1519-677b-4681-9766-3d4f909dcfbc</t>
  </si>
  <si>
    <t>0195d18c-1c9d-7d1c-d77d-d076c76e7998</t>
  </si>
  <si>
    <t>f278b4cd-0513-4dbb-a571-9883e703b80d</t>
  </si>
  <si>
    <t>0195d18c-1c9e-55c3-6408-f1176459edb3</t>
  </si>
  <si>
    <t>a1bf52b2-b12c-45c6-b58e-e58271bfd24b</t>
  </si>
  <si>
    <t>0195d18c-1c9e-09b8-0094-fcf63b79a6c3</t>
  </si>
  <si>
    <t>c38d5a1c-227c-4755-a3f4-413519b937d9</t>
  </si>
  <si>
    <t>0195d18c-1c9f-a109-2f70-1ff96bb5e283</t>
  </si>
  <si>
    <t>72b5987e-9e4a-404f-ac71-e085eefa9cf7</t>
  </si>
  <si>
    <t>0195d18c-1c9f-539f-5eb1-43c191928bd6</t>
  </si>
  <si>
    <t>cf162636-d178-4dc1-8d72-6e926e255d4a</t>
  </si>
  <si>
    <t>0195d18c-1ca0-12ce-734f-6813c24f7038</t>
  </si>
  <si>
    <t>d8af1d4c-c8cb-453b-91fa-6aa256a7ed2f</t>
  </si>
  <si>
    <t>0195d18c-1ca0-4613-82fb-140f61d30bfb</t>
  </si>
  <si>
    <t>0f31882e-d59c-4c3f-83fd-87fc50c04266</t>
  </si>
  <si>
    <t>0195d18c-1ca1-507d-514e-7f6784ab639e</t>
  </si>
  <si>
    <t>2ee7a962-2bc6-4e19-adad-f0c7597a075b</t>
  </si>
  <si>
    <t>TEXT</t>
  </si>
  <si>
    <t>dm.user</t>
  </si>
  <si>
    <t>dm.organization</t>
  </si>
  <si>
    <t>["APP_ADMIN"]</t>
  </si>
  <si>
    <t>["ORG_ADMIN"]</t>
  </si>
  <si>
    <t>["ORG_USER"]</t>
  </si>
  <si>
    <t>dm.data_collection.name</t>
  </si>
  <si>
    <t>dm.case_type_set.name</t>
  </si>
  <si>
    <t>is_private</t>
  </si>
  <si>
    <t>read_case_type_col_set_id</t>
  </si>
  <si>
    <t>write_case_type_col_set_id</t>
  </si>
  <si>
    <t>dm.read_case_type_col_set.name</t>
  </si>
  <si>
    <t>dm.write_case_type_col_set.name</t>
  </si>
  <si>
    <t>dm.organization.name</t>
  </si>
  <si>
    <t>dm.name</t>
  </si>
  <si>
    <t>dm.name2</t>
  </si>
  <si>
    <t>dm.user.name</t>
  </si>
  <si>
    <t>dm.from_data_collection.name</t>
  </si>
  <si>
    <t>01969553-af44-94a2-10d3-c0bc81f7e029</t>
  </si>
  <si>
    <t>dm.user.organization.id</t>
  </si>
  <si>
    <t>dm.user.organization.name</t>
  </si>
  <si>
    <t>1</t>
  </si>
  <si>
    <t>2</t>
  </si>
  <si>
    <t>3</t>
  </si>
  <si>
    <t>1_1</t>
  </si>
  <si>
    <t>1_2</t>
  </si>
  <si>
    <t>1_3</t>
  </si>
  <si>
    <t>2_1</t>
  </si>
  <si>
    <t>2_2</t>
  </si>
  <si>
    <t>2_3</t>
  </si>
  <si>
    <t>3_1</t>
  </si>
  <si>
    <t>3_2</t>
  </si>
  <si>
    <t>3_3</t>
  </si>
  <si>
    <t>dm.invited_by_user</t>
  </si>
  <si>
    <t>dm.case_type.code</t>
  </si>
  <si>
    <t>dm.case_type_col_set.code</t>
  </si>
  <si>
    <t>dm.case_type_col.code</t>
  </si>
  <si>
    <t>dm.case_type_set_category.name</t>
  </si>
  <si>
    <t>index</t>
  </si>
  <si>
    <t>operation</t>
  </si>
  <si>
    <t>case.id</t>
  </si>
  <si>
    <t>user.id</t>
  </si>
  <si>
    <t>case.case_type_id</t>
  </si>
  <si>
    <t>case.subject_id</t>
  </si>
  <si>
    <t>case.created_in_data_collection_id</t>
  </si>
  <si>
    <t>case.count</t>
  </si>
  <si>
    <t>case.case_date</t>
  </si>
  <si>
    <t>case.content.case_type_col_id1</t>
  </si>
  <si>
    <t>case.content.case_type_col_value1</t>
  </si>
  <si>
    <t>is_allowed</t>
  </si>
  <si>
    <t>dm.organization_access_case_policy.add_case</t>
  </si>
  <si>
    <t>dm.organization_access_case_policy.remove_case</t>
  </si>
  <si>
    <t>dm.user_access_case_policy.add_case</t>
  </si>
  <si>
    <t>dm.user_access_case_policy.remove_case</t>
  </si>
  <si>
    <t>0198221b-5adb-867c-dfe6-fb216e643760</t>
  </si>
  <si>
    <t>0198221b-5adb-8c9b-d440-6f661d5bac2d</t>
  </si>
  <si>
    <t>0198221b-5adb-2c9d-bed2-3ec38384a0ef</t>
  </si>
  <si>
    <t>0198221b-5adb-2bd2-27ee-f32693770240</t>
  </si>
  <si>
    <t>0198221b-5adb-07fc-811a-cec040f6fed6</t>
  </si>
  <si>
    <t>0198221b-5adb-b228-da11-ccdf25de9889</t>
  </si>
  <si>
    <t>0198221b-5adb-6712-a2c4-38df7f83dd40</t>
  </si>
  <si>
    <t>0198221b-5adb-9ef9-82c0-1550af9c3e38</t>
  </si>
  <si>
    <t>0198221b-5adb-f11d-89f9-a9213494ad86</t>
  </si>
  <si>
    <t>0198221b-5adb-fd39-e2c2-fdb8423dd886</t>
  </si>
  <si>
    <t>0198221b-5adb-5fc1-5354-3d8d95aa4a9e</t>
  </si>
  <si>
    <t>0198221b-5adb-ddd6-979e-1bba8f8f1457</t>
  </si>
  <si>
    <t>0198221b-5adb-b81a-6445-5821c5be8042</t>
  </si>
  <si>
    <t>0198221b-5adb-0ace-8121-22e0649d7ef6</t>
  </si>
  <si>
    <t>0198221b-5adb-e0af-d03c-ba13fd3f1ea9</t>
  </si>
  <si>
    <t>0198221b-5adb-9513-0fe6-574e8003959f</t>
  </si>
  <si>
    <t>0198221b-5adb-b71b-770c-1d1f5fe458f9</t>
  </si>
  <si>
    <t>0198221b-5adb-ea5b-5bab-8737182b36d9</t>
  </si>
  <si>
    <t>0198221b-5adb-b8dc-9640-148ff83031e0</t>
  </si>
  <si>
    <t>0198221b-5adb-114a-d2c3-3fa3f7976291</t>
  </si>
  <si>
    <t>0198221b-5adb-b2e6-5ab8-3066c2bd38b1</t>
  </si>
  <si>
    <t>0198221b-5adb-4122-2fcc-b287ceaafcd7</t>
  </si>
  <si>
    <t>0198221b-5adb-55e9-ecf0-01f11d89bf77</t>
  </si>
  <si>
    <t>0198221b-5adb-2889-9d33-095d39582a3b</t>
  </si>
  <si>
    <t>0198221b-5adb-b69d-2078-026c49f73f6f</t>
  </si>
  <si>
    <t>0198221b-5adb-597a-a234-f9a6561048cb</t>
  </si>
  <si>
    <t>0198221b-5adb-dc0a-692d-5eed002b2336</t>
  </si>
  <si>
    <t>0198221b-5adb-d318-2117-9f0a409cfec2</t>
  </si>
  <si>
    <t>0198221b-5adb-0c1d-c169-ceb27931831e</t>
  </si>
  <si>
    <t>0198221b-5adb-cc25-3960-745ee0095570</t>
  </si>
  <si>
    <t>0198221b-5adb-7040-eaf9-8365166dcc2d</t>
  </si>
  <si>
    <t>0198221b-5adb-85c7-196b-12b91ee34e77</t>
  </si>
  <si>
    <t>0198221b-5adb-d4f6-4e42-26879a67e60d</t>
  </si>
  <si>
    <t>0198221b-5adb-57b9-7d6d-b52471539bc0</t>
  </si>
  <si>
    <t>0198221b-5adb-20aa-d1e5-7af28585f4cd</t>
  </si>
  <si>
    <t>0198221b-5adb-6cc0-2728-70c3c1435504</t>
  </si>
  <si>
    <t>0198221b-5adb-cc8f-d3d3-c535534fa0b5</t>
  </si>
  <si>
    <t>0198221b-5adb-d633-15a6-81f60daffa3d</t>
  </si>
  <si>
    <t>0198221b-5adb-1fb8-adbd-1546f5716bd9</t>
  </si>
  <si>
    <t>0198221b-5adb-4850-3497-4b12943429f1</t>
  </si>
  <si>
    <t>0198221b-5adb-43dc-a2c3-c81fd5622ac8</t>
  </si>
  <si>
    <t>0198221b-5adb-aee0-82f6-c4a26d3283a0</t>
  </si>
  <si>
    <t>0198221b-5adb-9931-0a8d-e23a4e5552cd</t>
  </si>
  <si>
    <t>0198221b-5adb-b677-a9d4-754cbc907dbc</t>
  </si>
  <si>
    <t>0198221b-5adb-10c4-313c-6499608215b5</t>
  </si>
  <si>
    <t>0198221b-5adb-2828-3cc8-55155e239127</t>
  </si>
  <si>
    <t>0198221b-5adb-321f-5ee7-dd820e5a07ee</t>
  </si>
  <si>
    <t>0198221b-5adb-dc9f-d94b-1583e4d165ea</t>
  </si>
  <si>
    <t>0198221b-5adb-10e2-5005-c6dfd292377e</t>
  </si>
  <si>
    <t>0198221b-5adb-e736-1c66-8862661e3dc9</t>
  </si>
  <si>
    <t>0198221b-5adb-2109-0013-e29ef1b29549</t>
  </si>
  <si>
    <t>0198221b-5adb-9689-90be-94bda4a4e836</t>
  </si>
  <si>
    <t>0198221b-5adb-be71-7334-c8bae8be08d4</t>
  </si>
  <si>
    <t>0198221b-5adb-f463-ba54-be4afd804e63</t>
  </si>
  <si>
    <t>0198221b-5adb-2fbc-3fdd-ac18e4d653c6</t>
  </si>
  <si>
    <t>0198221b-5adb-8e4f-2557-bd1a9714a5a8</t>
  </si>
  <si>
    <t>dm.case.case_type.code</t>
  </si>
  <si>
    <t>CREATE</t>
  </si>
  <si>
    <t>case.content.case_type_col_id2</t>
  </si>
  <si>
    <t>case.content.case_type_col_id3</t>
  </si>
  <si>
    <t>a</t>
  </si>
  <si>
    <t>dm.case.case_type.cols_match</t>
  </si>
  <si>
    <t>dm.organization.id</t>
  </si>
  <si>
    <t>dm.organization_access_case_policy.row</t>
  </si>
  <si>
    <t>dm.key</t>
  </si>
  <si>
    <t>dm.user_access_case_policy.row</t>
  </si>
  <si>
    <t>dm.user.roles.is_ge_app_admin</t>
  </si>
  <si>
    <t>dm.is_ge_app_admin</t>
  </si>
  <si>
    <t>dm.roles.is_root</t>
  </si>
  <si>
    <t>dm.roles.is_app_admin</t>
  </si>
  <si>
    <t>dm.roles.is_org_user</t>
  </si>
  <si>
    <t>dm.organization_access_case_policy.case_type_set.contains_case_type</t>
  </si>
  <si>
    <t>dm.user_access_case_policy.case_type_set.contains_case_type</t>
  </si>
  <si>
    <t>dm.case.content.case_type_col_code1</t>
  </si>
  <si>
    <t>dm.case.created_in_data_collection.name</t>
  </si>
  <si>
    <t>dm.case.content.case_type_col_code2</t>
  </si>
  <si>
    <t>dm.case.content.case_type_col_code3</t>
  </si>
  <si>
    <t>dm.organization_access_case_policy.read_case_type_col_set.contains_col1</t>
  </si>
  <si>
    <t>dm.organization_access_case_policy.write_case_type_col_set.contains_col1</t>
  </si>
  <si>
    <t>dm.organization_access_case_policy.read_case_type_col_set.contains_col2</t>
  </si>
  <si>
    <t>dm.organization_access_case_policy.write_case_type_col_set.contains_col2</t>
  </si>
  <si>
    <t>dm.organization_access_case_policy.read_case_type_col_set.contains_col3</t>
  </si>
  <si>
    <t>dm.organization_access_case_policy.write_case_type_col_set.contains_col3</t>
  </si>
  <si>
    <t>dm.user_access_case_policy.read_case_type_col_set.contains_col1</t>
  </si>
  <si>
    <t>dm.user_access_case_policy.write_case_type_col_set.contains_col1</t>
  </si>
  <si>
    <t>dm.user_access_case_policy.read_case_type_col_set.contains_col2</t>
  </si>
  <si>
    <t>dm.user_access_case_policy.write_case_type_col_set.contains_col2</t>
  </si>
  <si>
    <t>dm.user_access_case_policy.read_case_type_col_set.contains_col3</t>
  </si>
  <si>
    <t>dm.user_access_case_policy.write_case_type_col_set.contains_col3</t>
  </si>
  <si>
    <t>icd_code</t>
  </si>
  <si>
    <t>disease1</t>
  </si>
  <si>
    <t>disease2</t>
  </si>
  <si>
    <t>disease3</t>
  </si>
  <si>
    <t>disease4</t>
  </si>
  <si>
    <t>disease5</t>
  </si>
  <si>
    <t>type</t>
  </si>
  <si>
    <t>etiological_agent1</t>
  </si>
  <si>
    <t>etiological_agent2</t>
  </si>
  <si>
    <t>etiological_agent3</t>
  </si>
  <si>
    <t>etiological_agent4</t>
  </si>
  <si>
    <t>etiological_agent5</t>
  </si>
  <si>
    <t>dm.disease.name</t>
  </si>
  <si>
    <t>dm.etiological_agent.name</t>
  </si>
  <si>
    <t>ORGANISM</t>
  </si>
  <si>
    <t>case.content.case_type_col_value2</t>
  </si>
  <si>
    <t>case.content.case_type_col_value3</t>
  </si>
  <si>
    <t>0198221b-5adb-d596-0352-8ae2fe336894</t>
  </si>
  <si>
    <t>0198221b-5adb-068a-e2eb-3e3da27aaf5c</t>
  </si>
  <si>
    <t>0198221b-5adb-ea6d-fc5c-e1198ac9e42f</t>
  </si>
  <si>
    <t>0198221b-5adb-2258-c194-eab8a8e94b90</t>
  </si>
  <si>
    <t>0198221b-5adb-f506-672a-860dee7d4d46</t>
  </si>
  <si>
    <t>0198221b-5adb-97fb-41db-bca5efc1bbb6</t>
  </si>
  <si>
    <t>0198221b-5adb-ac88-8aac-4b199ae92773</t>
  </si>
  <si>
    <t>0198221b-5adb-bbaa-606d-fc0c31bc55ee</t>
  </si>
  <si>
    <t>user.name</t>
  </si>
  <si>
    <t>dm.roles.is_refdata_admin</t>
  </si>
  <si>
    <t>refdata_admin1_1@org1.org</t>
  </si>
  <si>
    <t>["REFDATA_ADMIN"]</t>
  </si>
  <si>
    <t>CREATE_CASES</t>
  </si>
  <si>
    <t>dm.is_active</t>
  </si>
  <si>
    <t>019542cc-8225-8f5d-fa30-d9c3f2629703</t>
  </si>
  <si>
    <t>0198221b-5adb-cc25-3960-745ee0095571</t>
  </si>
  <si>
    <t>0198221b-5adb-8e4f-2557-bd1a9714a5a9</t>
  </si>
  <si>
    <t>vE5%</t>
  </si>
  <si>
    <t>0198221b-5adb-cc25-3960-745ee0095572</t>
  </si>
  <si>
    <t>0198221b-5adb-cc25-3960-745ee0095573</t>
  </si>
  <si>
    <t>0198221b-5adb-cc25-3960-745ee0095574</t>
  </si>
  <si>
    <t>0198221b-5adb-cc25-3960-745ee0095575</t>
  </si>
  <si>
    <t>0198221b-5adb-cc25-3960-745ee0095576</t>
  </si>
  <si>
    <t>0198221b-5adb-cc25-3960-745ee0095577</t>
  </si>
  <si>
    <t>0198221b-5adb-cc25-3960-745ee0095578</t>
  </si>
  <si>
    <t>0198221b-5adb-cc25-3960-745ee0095579</t>
  </si>
  <si>
    <t>0198221b-5adb-cc25-3960-745ee0095580</t>
  </si>
  <si>
    <t>0198221b-5adb-cc25-3960-745ee0095581</t>
  </si>
  <si>
    <t>0198221b-5adb-cc25-3960-745ee0095582</t>
  </si>
  <si>
    <t>0198221b-5adb-cc25-3960-745ee0095583</t>
  </si>
  <si>
    <t>a(9K</t>
  </si>
  <si>
    <t>0198221b-5adb-cc25-3960-745ee0095584</t>
  </si>
  <si>
    <t>0198221b-5adb-cc25-3960-745ee0095585</t>
  </si>
  <si>
    <t>0198221b-5adb-cc25-3960-745ee0095586</t>
  </si>
  <si>
    <t>0198221b-5adb-cc25-3960-745ee0095587</t>
  </si>
  <si>
    <t>jD7&amp;</t>
  </si>
  <si>
    <t>0198221b-5adb-cc25-3960-745ee0095588</t>
  </si>
  <si>
    <t>0198221b-5adb-cc25-3960-745ee0095589</t>
  </si>
  <si>
    <t>0198221b-5adb-cc25-3960-745ee0095590</t>
  </si>
  <si>
    <t>0198221b-5adb-cc25-3960-745ee0095591</t>
  </si>
  <si>
    <t>0198221b-5adb-8e4f-2557-bd1a9714a5a0</t>
  </si>
  <si>
    <t>0198221b-5adb-cc25-3960-745ee0095592</t>
  </si>
  <si>
    <t>0198221b-5adb-8e4f-2557-bd1a9714a5a1</t>
  </si>
  <si>
    <t>0198221b-5adb-cc25-3960-745ee0095593</t>
  </si>
  <si>
    <t>0198221b-5adb-8e4f-2557-bd1a9714a5a3</t>
  </si>
  <si>
    <t>0198221b-5adb-cc25-3960-745ee0095594</t>
  </si>
  <si>
    <t>0198221b-5adb-cc25-3960-745ee0095595</t>
  </si>
  <si>
    <t>0198221b-5adb-cc25-3960-745ee0095596</t>
  </si>
  <si>
    <t>AWRgAJauetua3476</t>
  </si>
  <si>
    <t>0198221b-5adb-cc25-3960-745ee0095597</t>
  </si>
  <si>
    <t>0198221b-5adb-cc25-3960-745ee0095598</t>
  </si>
  <si>
    <t>0198221b-5adb-cc25-3960-745ee0095599</t>
  </si>
  <si>
    <t>0198221b-5adb-cc25-3960-745ee0095600</t>
  </si>
  <si>
    <t>0198221b-5adb-cc25-3960-745ee0095601</t>
  </si>
  <si>
    <t>0198221b-5adb-cc25-3960-745ee0095602</t>
  </si>
  <si>
    <t>0198221b-5adb-cc25-3960-745ee0095603</t>
  </si>
  <si>
    <t>0198221b-5adb-cc25-3960-745ee0095604</t>
  </si>
  <si>
    <t>0198221b-5adb-cc25-3960-745ee0095605</t>
  </si>
  <si>
    <t>0198221b-5adb-cc25-3960-745ee0095606</t>
  </si>
  <si>
    <t>0198221b-5adb-cc25-3960-745ee0095607</t>
  </si>
  <si>
    <t>0198221b-5adb-cc25-3960-745ee0095608</t>
  </si>
  <si>
    <t>0198221b-5adb-cc25-3960-745ee0095609</t>
  </si>
  <si>
    <t>0198221b-5adb-cc25-3960-745ee0095610</t>
  </si>
  <si>
    <t>0198221b-5adb-cc25-3960-745ee0095611</t>
  </si>
  <si>
    <t>0198221b-5adb-cc25-3960-745ee0095612</t>
  </si>
  <si>
    <t>abc</t>
  </si>
  <si>
    <t>awgr</t>
  </si>
  <si>
    <t>GAERGErg</t>
  </si>
  <si>
    <t>argarg987awrga</t>
  </si>
  <si>
    <t>argarg978</t>
  </si>
  <si>
    <t>argarg</t>
  </si>
  <si>
    <t>arg</t>
  </si>
  <si>
    <t>ragrh</t>
  </si>
  <si>
    <t>aerhaer</t>
  </si>
  <si>
    <t>aerhaerh</t>
  </si>
  <si>
    <t>key</t>
  </si>
  <si>
    <t>["CASEDB_ROOT"]</t>
  </si>
  <si>
    <t>["CASEDB_APP_ADMIN"]</t>
  </si>
  <si>
    <t>["CASEDB_REFDATA_ADMIN"]</t>
  </si>
  <si>
    <t>["CASEDB_ORG_ADMIN"]</t>
  </si>
  <si>
    <t>["CASEDB_ORG_USER"]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</si>
</sst>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top"/>
    </xf>
    <xf numFmtId="0" fontId="0" fillId="3" borderId="0" xfId="0" applyFill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 vertical="top"/>
    </xf>
    <xf numFmtId="0" fontId="0" fillId="0" borderId="0" xfId="0" quotePrefix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14" fontId="0" fillId="0" borderId="0" xfId="0" applyNumberFormat="1"/>
    <xf numFmtId="0" fontId="0" fillId="3" borderId="0" xfId="0" applyFill="1" applyAlignment="1">
      <alignment horizontal="left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0" fillId="5" borderId="0" xfId="0" applyFill="1"/>
    <xf numFmtId="0" fontId="5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refdata_admin1_1@org1.org" TargetMode="External"/><Relationship Id="rId1" Type="http://schemas.openxmlformats.org/officeDocument/2006/relationships/hyperlink" Target="mailto:refdata_admin1_1@org1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>
      <selection activeCell="D4" sqref="D4"/>
    </sheetView>
  </sheetViews>
  <sheetFormatPr defaultColWidth="8.6640625" defaultRowHeight="14.4" x14ac:dyDescent="0.3"/>
  <cols>
    <col min="1" max="1" width="36" bestFit="1" customWidth="1"/>
    <col min="2" max="2" width="5.6640625" bestFit="1" customWidth="1"/>
    <col min="3" max="3" width="16" bestFit="1" customWidth="1"/>
    <col min="4" max="4" width="13.6640625" bestFit="1" customWidth="1"/>
    <col min="5" max="5" width="11.109375" bestFit="1" customWidth="1"/>
  </cols>
  <sheetData>
    <row r="1" spans="1:5" x14ac:dyDescent="0.3">
      <c r="A1" s="1" t="s">
        <v>0</v>
      </c>
      <c r="B1" s="1" t="s">
        <v>57</v>
      </c>
      <c r="C1" s="1" t="s">
        <v>483</v>
      </c>
      <c r="D1" s="1" t="s">
        <v>484</v>
      </c>
      <c r="E1" s="1" t="s">
        <v>485</v>
      </c>
    </row>
    <row r="2" spans="1:5" x14ac:dyDescent="0.3">
      <c r="A2" t="s">
        <v>43</v>
      </c>
      <c r="B2" t="s">
        <v>486</v>
      </c>
      <c r="C2" t="s">
        <v>486</v>
      </c>
    </row>
    <row r="3" spans="1:5" x14ac:dyDescent="0.3">
      <c r="A3" t="s">
        <v>46</v>
      </c>
      <c r="B3" t="s">
        <v>487</v>
      </c>
      <c r="C3" t="s">
        <v>487</v>
      </c>
    </row>
    <row r="4" spans="1:5" x14ac:dyDescent="0.3">
      <c r="A4" t="s">
        <v>49</v>
      </c>
      <c r="B4" t="s">
        <v>488</v>
      </c>
      <c r="C4" t="s">
        <v>488</v>
      </c>
    </row>
    <row r="5" spans="1:5" x14ac:dyDescent="0.3">
      <c r="A5" t="s">
        <v>52</v>
      </c>
      <c r="B5" t="s">
        <v>489</v>
      </c>
      <c r="C5" t="s">
        <v>489</v>
      </c>
    </row>
    <row r="6" spans="1:5" x14ac:dyDescent="0.3">
      <c r="A6" t="s">
        <v>55</v>
      </c>
      <c r="B6" t="s">
        <v>490</v>
      </c>
      <c r="C6" t="s">
        <v>490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2"/>
  <sheetViews>
    <sheetView workbookViewId="0">
      <selection activeCell="A2" sqref="A2"/>
    </sheetView>
  </sheetViews>
  <sheetFormatPr defaultColWidth="8.6640625" defaultRowHeight="14.4" x14ac:dyDescent="0.3"/>
  <cols>
    <col min="1" max="1" width="36.44140625" bestFit="1" customWidth="1"/>
    <col min="2" max="2" width="16.109375" bestFit="1" customWidth="1"/>
    <col min="3" max="3" width="10.33203125" style="6" bestFit="1" customWidth="1"/>
  </cols>
  <sheetData>
    <row r="1" spans="1:3" x14ac:dyDescent="0.3">
      <c r="A1" s="1" t="s">
        <v>0</v>
      </c>
      <c r="B1" s="1" t="s">
        <v>57</v>
      </c>
      <c r="C1" s="10" t="s">
        <v>82</v>
      </c>
    </row>
    <row r="2" spans="1:3" x14ac:dyDescent="0.3">
      <c r="A2" t="s">
        <v>11</v>
      </c>
      <c r="B2" t="s">
        <v>472</v>
      </c>
      <c r="C2" s="6" t="str">
        <f>"dc"&amp;RIGHT($B2,LEN($B2)-15)</f>
        <v>dc1</v>
      </c>
    </row>
    <row r="3" spans="1:3" x14ac:dyDescent="0.3">
      <c r="A3" t="s">
        <v>17</v>
      </c>
      <c r="B3" t="s">
        <v>473</v>
      </c>
      <c r="C3" s="6" t="str">
        <f t="shared" ref="C3:C12" si="0">"dc"&amp;RIGHT($B3,LEN($B3)-15)</f>
        <v>dc2</v>
      </c>
    </row>
    <row r="4" spans="1:3" x14ac:dyDescent="0.3">
      <c r="A4" t="s">
        <v>23</v>
      </c>
      <c r="B4" t="s">
        <v>474</v>
      </c>
      <c r="C4" s="6" t="str">
        <f t="shared" si="0"/>
        <v>dc3</v>
      </c>
    </row>
    <row r="5" spans="1:3" x14ac:dyDescent="0.3">
      <c r="A5" t="s">
        <v>29</v>
      </c>
      <c r="B5" t="s">
        <v>475</v>
      </c>
      <c r="C5" s="6" t="str">
        <f t="shared" si="0"/>
        <v>dc4</v>
      </c>
    </row>
    <row r="6" spans="1:3" x14ac:dyDescent="0.3">
      <c r="A6" t="s">
        <v>35</v>
      </c>
      <c r="B6" t="s">
        <v>476</v>
      </c>
      <c r="C6" s="6" t="str">
        <f t="shared" si="0"/>
        <v>dc5</v>
      </c>
    </row>
    <row r="7" spans="1:3" x14ac:dyDescent="0.3">
      <c r="A7" t="s">
        <v>15</v>
      </c>
      <c r="B7" t="s">
        <v>477</v>
      </c>
      <c r="C7" s="6" t="str">
        <f t="shared" si="0"/>
        <v>dc6</v>
      </c>
    </row>
    <row r="8" spans="1:3" x14ac:dyDescent="0.3">
      <c r="A8" t="s">
        <v>21</v>
      </c>
      <c r="B8" t="s">
        <v>478</v>
      </c>
      <c r="C8" s="6" t="str">
        <f t="shared" si="0"/>
        <v>dc7</v>
      </c>
    </row>
    <row r="9" spans="1:3" x14ac:dyDescent="0.3">
      <c r="A9" t="s">
        <v>27</v>
      </c>
      <c r="B9" t="s">
        <v>479</v>
      </c>
      <c r="C9" s="6" t="str">
        <f t="shared" si="0"/>
        <v>dc8</v>
      </c>
    </row>
    <row r="10" spans="1:3" x14ac:dyDescent="0.3">
      <c r="A10" t="s">
        <v>33</v>
      </c>
      <c r="B10" t="s">
        <v>480</v>
      </c>
      <c r="C10" s="6" t="str">
        <f t="shared" si="0"/>
        <v>dc9</v>
      </c>
    </row>
    <row r="11" spans="1:3" x14ac:dyDescent="0.3">
      <c r="A11" t="s">
        <v>39</v>
      </c>
      <c r="B11" t="s">
        <v>481</v>
      </c>
      <c r="C11" s="6" t="str">
        <f t="shared" si="0"/>
        <v>dc10</v>
      </c>
    </row>
    <row r="12" spans="1:3" x14ac:dyDescent="0.3">
      <c r="A12" t="s">
        <v>40</v>
      </c>
      <c r="B12" t="s">
        <v>482</v>
      </c>
      <c r="C12" s="6" t="str">
        <f t="shared" si="0"/>
        <v>dc11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"/>
  <sheetViews>
    <sheetView tabSelected="1" workbookViewId="0">
      <selection activeCell="F2" sqref="F2"/>
    </sheetView>
  </sheetViews>
  <sheetFormatPr defaultColWidth="8.6640625" defaultRowHeight="14.4" x14ac:dyDescent="0.3"/>
  <cols>
    <col min="1" max="1" width="36.33203125" bestFit="1" customWidth="1"/>
    <col min="2" max="2" width="36.33203125" customWidth="1"/>
    <col min="3" max="3" width="27.6640625" bestFit="1" customWidth="1"/>
    <col min="4" max="4" width="18.6640625" bestFit="1" customWidth="1"/>
    <col min="6" max="6" width="21" bestFit="1" customWidth="1"/>
    <col min="7" max="7" width="36" bestFit="1" customWidth="1"/>
    <col min="8" max="8" width="20.33203125" style="6" bestFit="1" customWidth="1"/>
    <col min="9" max="10" width="14.44140625" style="6" bestFit="1" customWidth="1"/>
    <col min="11" max="11" width="25.44140625" style="6" bestFit="1" customWidth="1"/>
    <col min="12" max="12" width="18.109375" style="6" bestFit="1" customWidth="1"/>
    <col min="13" max="13" width="18.6640625" style="6" bestFit="1" customWidth="1"/>
  </cols>
  <sheetData>
    <row r="1" spans="1:13" x14ac:dyDescent="0.3">
      <c r="A1" s="1" t="s">
        <v>0</v>
      </c>
      <c r="B1" s="1" t="s">
        <v>784</v>
      </c>
      <c r="C1" s="1" t="s">
        <v>441</v>
      </c>
      <c r="D1" s="1" t="s">
        <v>57</v>
      </c>
      <c r="E1" s="1" t="s">
        <v>3</v>
      </c>
      <c r="F1" s="1" t="s">
        <v>442</v>
      </c>
      <c r="G1" s="1" t="s">
        <v>41</v>
      </c>
      <c r="H1" s="5" t="s">
        <v>562</v>
      </c>
      <c r="I1" s="5" t="s">
        <v>671</v>
      </c>
      <c r="J1" s="5" t="s">
        <v>672</v>
      </c>
      <c r="K1" s="5" t="s">
        <v>718</v>
      </c>
      <c r="L1" s="5" t="s">
        <v>673</v>
      </c>
      <c r="M1" s="17" t="s">
        <v>670</v>
      </c>
    </row>
    <row r="2" spans="1:13" x14ac:dyDescent="0.3">
      <c r="A2" t="s">
        <v>723</v>
      </c>
      <c r="B2" t="s">
        <v>443</v>
      </c>
      <c r="C2" t="s">
        <v>443</v>
      </c>
      <c r="D2" t="str">
        <f>LEFT(C2,FIND("@",C2)-1)</f>
        <v>root1_1</v>
      </c>
      <c r="E2" t="b">
        <v>1</v>
      </c>
      <c r="F2" t="s">
        <v>785</v>
      </c>
      <c r="G2" t="s">
        <v>43</v>
      </c>
      <c r="H2" s="18" t="str">
        <f>INDEX(Organization!$B:$B,MATCH($G2,Organization!$A:$A,0))</f>
        <v>org1</v>
      </c>
      <c r="I2" s="18" t="b">
        <f>ISNUMBER(SEARCH("ROOT", F2))</f>
        <v>1</v>
      </c>
      <c r="J2" s="18" t="b">
        <f>ISNUMBER(SEARCH("APP_ADMIN", $F2))</f>
        <v>0</v>
      </c>
      <c r="K2" s="18" t="b">
        <f>ISNUMBER(SEARCH("METADATA_ADMIN", $F2))</f>
        <v>0</v>
      </c>
      <c r="L2" s="18" t="b">
        <f>ISNUMBER(SEARCH("ORG_USER", $F2))</f>
        <v>0</v>
      </c>
      <c r="M2" s="6" t="b">
        <f>OR($I2,$J2)</f>
        <v>1</v>
      </c>
    </row>
    <row r="3" spans="1:13" x14ac:dyDescent="0.3">
      <c r="A3" t="s">
        <v>444</v>
      </c>
      <c r="B3" t="s">
        <v>445</v>
      </c>
      <c r="C3" t="s">
        <v>445</v>
      </c>
      <c r="D3" t="str">
        <f t="shared" ref="D3:D29" si="0">LEFT(C3,FIND("@",C3)-1)</f>
        <v>app_admin1_1</v>
      </c>
      <c r="E3" t="b">
        <v>1</v>
      </c>
      <c r="F3" t="s">
        <v>786</v>
      </c>
      <c r="G3" t="s">
        <v>43</v>
      </c>
      <c r="H3" s="18" t="str">
        <f>INDEX(Organization!$B:$B,MATCH($G3,Organization!$A:$A,0))</f>
        <v>org1</v>
      </c>
      <c r="I3" s="18" t="b">
        <f t="shared" ref="I3:I29" si="1">ISNUMBER(SEARCH("ROOT", F3))</f>
        <v>0</v>
      </c>
      <c r="J3" s="18" t="b">
        <f t="shared" ref="J3:J29" si="2">ISNUMBER(SEARCH("APP_ADMIN", $F3))</f>
        <v>1</v>
      </c>
      <c r="K3" s="18" t="b">
        <f t="shared" ref="K3:K29" si="3">ISNUMBER(SEARCH("METADATA_ADMIN", $F3))</f>
        <v>0</v>
      </c>
      <c r="L3" s="18" t="b">
        <f t="shared" ref="L3:L29" si="4">ISNUMBER(SEARCH("ORG_USER", $F3))</f>
        <v>0</v>
      </c>
      <c r="M3" s="6" t="b">
        <f t="shared" ref="M3:M29" si="5">OR($I3,$J3)</f>
        <v>1</v>
      </c>
    </row>
    <row r="4" spans="1:13" x14ac:dyDescent="0.3">
      <c r="A4" t="s">
        <v>446</v>
      </c>
      <c r="B4" s="20" t="s">
        <v>719</v>
      </c>
      <c r="C4" s="20" t="s">
        <v>719</v>
      </c>
      <c r="D4" t="str">
        <f t="shared" si="0"/>
        <v>refdata_admin1_1</v>
      </c>
      <c r="E4" t="b">
        <v>1</v>
      </c>
      <c r="F4" t="s">
        <v>787</v>
      </c>
      <c r="G4" t="s">
        <v>43</v>
      </c>
      <c r="H4" s="18" t="str">
        <f>INDEX(Organization!$B:$B,MATCH($G4,Organization!$A:$A,0))</f>
        <v>org1</v>
      </c>
      <c r="I4" s="18" t="b">
        <f t="shared" si="1"/>
        <v>0</v>
      </c>
      <c r="J4" s="18" t="b">
        <f t="shared" si="2"/>
        <v>0</v>
      </c>
      <c r="K4" s="18" t="b">
        <f t="shared" si="3"/>
        <v>0</v>
      </c>
      <c r="L4" s="18" t="b">
        <f t="shared" si="4"/>
        <v>0</v>
      </c>
      <c r="M4" s="6" t="b">
        <f t="shared" si="5"/>
        <v>0</v>
      </c>
    </row>
    <row r="5" spans="1:13" x14ac:dyDescent="0.3">
      <c r="A5" t="s">
        <v>44</v>
      </c>
      <c r="B5" t="s">
        <v>447</v>
      </c>
      <c r="C5" t="s">
        <v>447</v>
      </c>
      <c r="D5" t="str">
        <f t="shared" si="0"/>
        <v>org_admin1_1</v>
      </c>
      <c r="E5" t="b">
        <v>1</v>
      </c>
      <c r="F5" t="s">
        <v>788</v>
      </c>
      <c r="G5" t="s">
        <v>43</v>
      </c>
      <c r="H5" s="18" t="str">
        <f>INDEX(Organization!$B:$B,MATCH($G5,Organization!$A:$A,0))</f>
        <v>org1</v>
      </c>
      <c r="I5" s="18" t="b">
        <f t="shared" si="1"/>
        <v>0</v>
      </c>
      <c r="J5" s="18" t="b">
        <f t="shared" si="2"/>
        <v>0</v>
      </c>
      <c r="K5" s="18" t="b">
        <f t="shared" si="3"/>
        <v>0</v>
      </c>
      <c r="L5" s="18" t="b">
        <f t="shared" si="4"/>
        <v>0</v>
      </c>
      <c r="M5" s="6" t="b">
        <f t="shared" si="5"/>
        <v>0</v>
      </c>
    </row>
    <row r="6" spans="1:13" x14ac:dyDescent="0.3">
      <c r="A6" t="s">
        <v>47</v>
      </c>
      <c r="B6" t="s">
        <v>448</v>
      </c>
      <c r="C6" t="s">
        <v>448</v>
      </c>
      <c r="D6" t="str">
        <f t="shared" si="0"/>
        <v>org_admin2_1</v>
      </c>
      <c r="E6" t="b">
        <v>1</v>
      </c>
      <c r="F6" t="s">
        <v>788</v>
      </c>
      <c r="G6" t="s">
        <v>46</v>
      </c>
      <c r="H6" s="18" t="str">
        <f>INDEX(Organization!$B:$B,MATCH($G6,Organization!$A:$A,0))</f>
        <v>org2</v>
      </c>
      <c r="I6" s="18" t="b">
        <f t="shared" si="1"/>
        <v>0</v>
      </c>
      <c r="J6" s="18" t="b">
        <f t="shared" si="2"/>
        <v>0</v>
      </c>
      <c r="K6" s="18" t="b">
        <f t="shared" si="3"/>
        <v>0</v>
      </c>
      <c r="L6" s="18" t="b">
        <f t="shared" si="4"/>
        <v>0</v>
      </c>
      <c r="M6" s="6" t="b">
        <f t="shared" si="5"/>
        <v>0</v>
      </c>
    </row>
    <row r="7" spans="1:13" x14ac:dyDescent="0.3">
      <c r="A7" t="s">
        <v>50</v>
      </c>
      <c r="B7" t="s">
        <v>449</v>
      </c>
      <c r="C7" t="s">
        <v>449</v>
      </c>
      <c r="D7" t="str">
        <f t="shared" si="0"/>
        <v>org_admin3_1</v>
      </c>
      <c r="E7" t="b">
        <v>1</v>
      </c>
      <c r="F7" t="s">
        <v>788</v>
      </c>
      <c r="G7" t="s">
        <v>49</v>
      </c>
      <c r="H7" s="18" t="str">
        <f>INDEX(Organization!$B:$B,MATCH($G7,Organization!$A:$A,0))</f>
        <v>org3</v>
      </c>
      <c r="I7" s="18" t="b">
        <f t="shared" si="1"/>
        <v>0</v>
      </c>
      <c r="J7" s="18" t="b">
        <f t="shared" si="2"/>
        <v>0</v>
      </c>
      <c r="K7" s="18" t="b">
        <f t="shared" si="3"/>
        <v>0</v>
      </c>
      <c r="L7" s="18" t="b">
        <f t="shared" si="4"/>
        <v>0</v>
      </c>
      <c r="M7" s="6" t="b">
        <f t="shared" si="5"/>
        <v>0</v>
      </c>
    </row>
    <row r="8" spans="1:13" x14ac:dyDescent="0.3">
      <c r="A8" t="s">
        <v>53</v>
      </c>
      <c r="B8" t="s">
        <v>450</v>
      </c>
      <c r="C8" t="s">
        <v>450</v>
      </c>
      <c r="D8" t="str">
        <f t="shared" si="0"/>
        <v>org_admin4_1</v>
      </c>
      <c r="E8" t="b">
        <v>1</v>
      </c>
      <c r="F8" t="s">
        <v>788</v>
      </c>
      <c r="G8" t="s">
        <v>52</v>
      </c>
      <c r="H8" s="18" t="str">
        <f>INDEX(Organization!$B:$B,MATCH($G8,Organization!$A:$A,0))</f>
        <v>org4</v>
      </c>
      <c r="I8" s="18" t="b">
        <f t="shared" si="1"/>
        <v>0</v>
      </c>
      <c r="J8" s="18" t="b">
        <f t="shared" si="2"/>
        <v>0</v>
      </c>
      <c r="K8" s="18" t="b">
        <f t="shared" si="3"/>
        <v>0</v>
      </c>
      <c r="L8" s="18" t="b">
        <f t="shared" si="4"/>
        <v>0</v>
      </c>
      <c r="M8" s="6" t="b">
        <f t="shared" si="5"/>
        <v>0</v>
      </c>
    </row>
    <row r="9" spans="1:13" x14ac:dyDescent="0.3">
      <c r="A9" t="s">
        <v>56</v>
      </c>
      <c r="B9" t="s">
        <v>451</v>
      </c>
      <c r="C9" t="s">
        <v>451</v>
      </c>
      <c r="D9" t="str">
        <f t="shared" si="0"/>
        <v>org_admin5_1</v>
      </c>
      <c r="E9" t="b">
        <v>1</v>
      </c>
      <c r="F9" t="s">
        <v>788</v>
      </c>
      <c r="G9" t="s">
        <v>55</v>
      </c>
      <c r="H9" s="18" t="str">
        <f>INDEX(Organization!$B:$B,MATCH($G9,Organization!$A:$A,0))</f>
        <v>org5</v>
      </c>
      <c r="I9" s="18" t="b">
        <f t="shared" si="1"/>
        <v>0</v>
      </c>
      <c r="J9" s="18" t="b">
        <f t="shared" si="2"/>
        <v>0</v>
      </c>
      <c r="K9" s="18" t="b">
        <f t="shared" si="3"/>
        <v>0</v>
      </c>
      <c r="L9" s="18" t="b">
        <f t="shared" si="4"/>
        <v>0</v>
      </c>
      <c r="M9" s="6" t="b">
        <f t="shared" si="5"/>
        <v>0</v>
      </c>
    </row>
    <row r="10" spans="1:13" x14ac:dyDescent="0.3">
      <c r="A10" t="s">
        <v>10</v>
      </c>
      <c r="B10" t="s">
        <v>452</v>
      </c>
      <c r="C10" t="s">
        <v>452</v>
      </c>
      <c r="D10" t="str">
        <f t="shared" si="0"/>
        <v>org_user1_1</v>
      </c>
      <c r="E10" t="b">
        <v>1</v>
      </c>
      <c r="F10" t="s">
        <v>789</v>
      </c>
      <c r="G10" t="s">
        <v>43</v>
      </c>
      <c r="H10" s="18" t="str">
        <f>INDEX(Organization!$B:$B,MATCH($G10,Organization!$A:$A,0))</f>
        <v>org1</v>
      </c>
      <c r="I10" s="18" t="b">
        <f t="shared" si="1"/>
        <v>0</v>
      </c>
      <c r="J10" s="18" t="b">
        <f t="shared" si="2"/>
        <v>0</v>
      </c>
      <c r="K10" s="18" t="b">
        <f t="shared" si="3"/>
        <v>0</v>
      </c>
      <c r="L10" s="18" t="b">
        <f t="shared" si="4"/>
        <v>1</v>
      </c>
      <c r="M10" s="6" t="b">
        <f t="shared" si="5"/>
        <v>0</v>
      </c>
    </row>
    <row r="11" spans="1:13" x14ac:dyDescent="0.3">
      <c r="A11" t="s">
        <v>12</v>
      </c>
      <c r="B11" t="s">
        <v>453</v>
      </c>
      <c r="C11" t="s">
        <v>453</v>
      </c>
      <c r="D11" t="str">
        <f t="shared" si="0"/>
        <v>org_user1_2</v>
      </c>
      <c r="E11" t="b">
        <v>1</v>
      </c>
      <c r="F11" t="s">
        <v>789</v>
      </c>
      <c r="G11" t="s">
        <v>43</v>
      </c>
      <c r="H11" s="18" t="str">
        <f>INDEX(Organization!$B:$B,MATCH($G11,Organization!$A:$A,0))</f>
        <v>org1</v>
      </c>
      <c r="I11" s="18" t="b">
        <f t="shared" si="1"/>
        <v>0</v>
      </c>
      <c r="J11" s="18" t="b">
        <f t="shared" si="2"/>
        <v>0</v>
      </c>
      <c r="K11" s="18" t="b">
        <f t="shared" si="3"/>
        <v>0</v>
      </c>
      <c r="L11" s="18" t="b">
        <f t="shared" si="4"/>
        <v>1</v>
      </c>
      <c r="M11" s="6" t="b">
        <f t="shared" si="5"/>
        <v>0</v>
      </c>
    </row>
    <row r="12" spans="1:13" x14ac:dyDescent="0.3">
      <c r="A12" t="s">
        <v>13</v>
      </c>
      <c r="B12" t="s">
        <v>454</v>
      </c>
      <c r="C12" t="s">
        <v>454</v>
      </c>
      <c r="D12" t="str">
        <f t="shared" si="0"/>
        <v>org_user1_3</v>
      </c>
      <c r="E12" t="b">
        <v>1</v>
      </c>
      <c r="F12" t="s">
        <v>789</v>
      </c>
      <c r="G12" t="s">
        <v>43</v>
      </c>
      <c r="H12" s="18" t="str">
        <f>INDEX(Organization!$B:$B,MATCH($G12,Organization!$A:$A,0))</f>
        <v>org1</v>
      </c>
      <c r="I12" s="18" t="b">
        <f t="shared" si="1"/>
        <v>0</v>
      </c>
      <c r="J12" s="18" t="b">
        <f t="shared" si="2"/>
        <v>0</v>
      </c>
      <c r="K12" s="18" t="b">
        <f t="shared" si="3"/>
        <v>0</v>
      </c>
      <c r="L12" s="18" t="b">
        <f t="shared" si="4"/>
        <v>1</v>
      </c>
      <c r="M12" s="6" t="b">
        <f t="shared" si="5"/>
        <v>0</v>
      </c>
    </row>
    <row r="13" spans="1:13" x14ac:dyDescent="0.3">
      <c r="A13" t="s">
        <v>14</v>
      </c>
      <c r="B13" t="s">
        <v>455</v>
      </c>
      <c r="C13" t="s">
        <v>455</v>
      </c>
      <c r="D13" t="str">
        <f t="shared" si="0"/>
        <v>org_user1_4</v>
      </c>
      <c r="E13" t="b">
        <v>1</v>
      </c>
      <c r="F13" t="s">
        <v>789</v>
      </c>
      <c r="G13" t="s">
        <v>43</v>
      </c>
      <c r="H13" s="18" t="str">
        <f>INDEX(Organization!$B:$B,MATCH($G13,Organization!$A:$A,0))</f>
        <v>org1</v>
      </c>
      <c r="I13" s="18" t="b">
        <f t="shared" si="1"/>
        <v>0</v>
      </c>
      <c r="J13" s="18" t="b">
        <f t="shared" si="2"/>
        <v>0</v>
      </c>
      <c r="K13" s="18" t="b">
        <f t="shared" si="3"/>
        <v>0</v>
      </c>
      <c r="L13" s="18" t="b">
        <f t="shared" si="4"/>
        <v>1</v>
      </c>
      <c r="M13" s="6" t="b">
        <f t="shared" si="5"/>
        <v>0</v>
      </c>
    </row>
    <row r="14" spans="1:13" x14ac:dyDescent="0.3">
      <c r="A14" t="s">
        <v>16</v>
      </c>
      <c r="B14" t="s">
        <v>456</v>
      </c>
      <c r="C14" t="s">
        <v>456</v>
      </c>
      <c r="D14" t="str">
        <f t="shared" si="0"/>
        <v>org_user2_1</v>
      </c>
      <c r="E14" t="b">
        <v>1</v>
      </c>
      <c r="F14" t="s">
        <v>789</v>
      </c>
      <c r="G14" t="s">
        <v>46</v>
      </c>
      <c r="H14" s="18" t="str">
        <f>INDEX(Organization!$B:$B,MATCH($G14,Organization!$A:$A,0))</f>
        <v>org2</v>
      </c>
      <c r="I14" s="18" t="b">
        <f t="shared" si="1"/>
        <v>0</v>
      </c>
      <c r="J14" s="18" t="b">
        <f t="shared" si="2"/>
        <v>0</v>
      </c>
      <c r="K14" s="18" t="b">
        <f t="shared" si="3"/>
        <v>0</v>
      </c>
      <c r="L14" s="18" t="b">
        <f t="shared" si="4"/>
        <v>1</v>
      </c>
      <c r="M14" s="6" t="b">
        <f t="shared" si="5"/>
        <v>0</v>
      </c>
    </row>
    <row r="15" spans="1:13" x14ac:dyDescent="0.3">
      <c r="A15" t="s">
        <v>18</v>
      </c>
      <c r="B15" t="s">
        <v>457</v>
      </c>
      <c r="C15" t="s">
        <v>457</v>
      </c>
      <c r="D15" t="str">
        <f t="shared" si="0"/>
        <v>org_user2_2</v>
      </c>
      <c r="E15" t="b">
        <v>1</v>
      </c>
      <c r="F15" t="s">
        <v>789</v>
      </c>
      <c r="G15" t="s">
        <v>46</v>
      </c>
      <c r="H15" s="18" t="str">
        <f>INDEX(Organization!$B:$B,MATCH($G15,Organization!$A:$A,0))</f>
        <v>org2</v>
      </c>
      <c r="I15" s="18" t="b">
        <f t="shared" si="1"/>
        <v>0</v>
      </c>
      <c r="J15" s="18" t="b">
        <f t="shared" si="2"/>
        <v>0</v>
      </c>
      <c r="K15" s="18" t="b">
        <f t="shared" si="3"/>
        <v>0</v>
      </c>
      <c r="L15" s="18" t="b">
        <f t="shared" si="4"/>
        <v>1</v>
      </c>
      <c r="M15" s="6" t="b">
        <f t="shared" si="5"/>
        <v>0</v>
      </c>
    </row>
    <row r="16" spans="1:13" x14ac:dyDescent="0.3">
      <c r="A16" t="s">
        <v>19</v>
      </c>
      <c r="B16" t="s">
        <v>458</v>
      </c>
      <c r="C16" t="s">
        <v>458</v>
      </c>
      <c r="D16" t="str">
        <f t="shared" si="0"/>
        <v>org_user2_3</v>
      </c>
      <c r="E16" t="b">
        <v>1</v>
      </c>
      <c r="F16" t="s">
        <v>789</v>
      </c>
      <c r="G16" t="s">
        <v>46</v>
      </c>
      <c r="H16" s="18" t="str">
        <f>INDEX(Organization!$B:$B,MATCH($G16,Organization!$A:$A,0))</f>
        <v>org2</v>
      </c>
      <c r="I16" s="18" t="b">
        <f t="shared" si="1"/>
        <v>0</v>
      </c>
      <c r="J16" s="18" t="b">
        <f t="shared" si="2"/>
        <v>0</v>
      </c>
      <c r="K16" s="18" t="b">
        <f t="shared" si="3"/>
        <v>0</v>
      </c>
      <c r="L16" s="18" t="b">
        <f t="shared" si="4"/>
        <v>1</v>
      </c>
      <c r="M16" s="6" t="b">
        <f t="shared" si="5"/>
        <v>0</v>
      </c>
    </row>
    <row r="17" spans="1:13" x14ac:dyDescent="0.3">
      <c r="A17" t="s">
        <v>20</v>
      </c>
      <c r="B17" t="s">
        <v>459</v>
      </c>
      <c r="C17" t="s">
        <v>459</v>
      </c>
      <c r="D17" t="str">
        <f t="shared" si="0"/>
        <v>org_user2_4</v>
      </c>
      <c r="E17" t="b">
        <v>1</v>
      </c>
      <c r="F17" t="s">
        <v>789</v>
      </c>
      <c r="G17" t="s">
        <v>46</v>
      </c>
      <c r="H17" s="18" t="str">
        <f>INDEX(Organization!$B:$B,MATCH($G17,Organization!$A:$A,0))</f>
        <v>org2</v>
      </c>
      <c r="I17" s="18" t="b">
        <f t="shared" si="1"/>
        <v>0</v>
      </c>
      <c r="J17" s="18" t="b">
        <f t="shared" si="2"/>
        <v>0</v>
      </c>
      <c r="K17" s="18" t="b">
        <f t="shared" si="3"/>
        <v>0</v>
      </c>
      <c r="L17" s="18" t="b">
        <f t="shared" si="4"/>
        <v>1</v>
      </c>
      <c r="M17" s="6" t="b">
        <f t="shared" si="5"/>
        <v>0</v>
      </c>
    </row>
    <row r="18" spans="1:13" x14ac:dyDescent="0.3">
      <c r="A18" t="s">
        <v>22</v>
      </c>
      <c r="B18" t="s">
        <v>460</v>
      </c>
      <c r="C18" t="s">
        <v>460</v>
      </c>
      <c r="D18" t="str">
        <f t="shared" si="0"/>
        <v>org_user3_1</v>
      </c>
      <c r="E18" t="b">
        <v>1</v>
      </c>
      <c r="F18" t="s">
        <v>789</v>
      </c>
      <c r="G18" t="s">
        <v>49</v>
      </c>
      <c r="H18" s="18" t="str">
        <f>INDEX(Organization!$B:$B,MATCH($G18,Organization!$A:$A,0))</f>
        <v>org3</v>
      </c>
      <c r="I18" s="18" t="b">
        <f t="shared" si="1"/>
        <v>0</v>
      </c>
      <c r="J18" s="18" t="b">
        <f t="shared" si="2"/>
        <v>0</v>
      </c>
      <c r="K18" s="18" t="b">
        <f t="shared" si="3"/>
        <v>0</v>
      </c>
      <c r="L18" s="18" t="b">
        <f t="shared" si="4"/>
        <v>1</v>
      </c>
      <c r="M18" s="6" t="b">
        <f t="shared" si="5"/>
        <v>0</v>
      </c>
    </row>
    <row r="19" spans="1:13" x14ac:dyDescent="0.3">
      <c r="A19" t="s">
        <v>24</v>
      </c>
      <c r="B19" t="s">
        <v>461</v>
      </c>
      <c r="C19" t="s">
        <v>461</v>
      </c>
      <c r="D19" t="str">
        <f t="shared" si="0"/>
        <v>org_user3_2</v>
      </c>
      <c r="E19" t="b">
        <v>1</v>
      </c>
      <c r="F19" t="s">
        <v>789</v>
      </c>
      <c r="G19" t="s">
        <v>49</v>
      </c>
      <c r="H19" s="18" t="str">
        <f>INDEX(Organization!$B:$B,MATCH($G19,Organization!$A:$A,0))</f>
        <v>org3</v>
      </c>
      <c r="I19" s="18" t="b">
        <f t="shared" si="1"/>
        <v>0</v>
      </c>
      <c r="J19" s="18" t="b">
        <f t="shared" si="2"/>
        <v>0</v>
      </c>
      <c r="K19" s="18" t="b">
        <f t="shared" si="3"/>
        <v>0</v>
      </c>
      <c r="L19" s="18" t="b">
        <f t="shared" si="4"/>
        <v>1</v>
      </c>
      <c r="M19" s="6" t="b">
        <f t="shared" si="5"/>
        <v>0</v>
      </c>
    </row>
    <row r="20" spans="1:13" x14ac:dyDescent="0.3">
      <c r="A20" t="s">
        <v>25</v>
      </c>
      <c r="B20" t="s">
        <v>462</v>
      </c>
      <c r="C20" t="s">
        <v>462</v>
      </c>
      <c r="D20" t="str">
        <f t="shared" si="0"/>
        <v>org_user3_3</v>
      </c>
      <c r="E20" t="b">
        <v>1</v>
      </c>
      <c r="F20" t="s">
        <v>789</v>
      </c>
      <c r="G20" t="s">
        <v>49</v>
      </c>
      <c r="H20" s="18" t="str">
        <f>INDEX(Organization!$B:$B,MATCH($G20,Organization!$A:$A,0))</f>
        <v>org3</v>
      </c>
      <c r="I20" s="18" t="b">
        <f t="shared" si="1"/>
        <v>0</v>
      </c>
      <c r="J20" s="18" t="b">
        <f t="shared" si="2"/>
        <v>0</v>
      </c>
      <c r="K20" s="18" t="b">
        <f t="shared" si="3"/>
        <v>0</v>
      </c>
      <c r="L20" s="18" t="b">
        <f t="shared" si="4"/>
        <v>1</v>
      </c>
      <c r="M20" s="6" t="b">
        <f t="shared" si="5"/>
        <v>0</v>
      </c>
    </row>
    <row r="21" spans="1:13" x14ac:dyDescent="0.3">
      <c r="A21" t="s">
        <v>26</v>
      </c>
      <c r="B21" t="s">
        <v>463</v>
      </c>
      <c r="C21" t="s">
        <v>463</v>
      </c>
      <c r="D21" t="str">
        <f t="shared" si="0"/>
        <v>org_user3_4</v>
      </c>
      <c r="E21" t="b">
        <v>1</v>
      </c>
      <c r="F21" t="s">
        <v>789</v>
      </c>
      <c r="G21" t="s">
        <v>49</v>
      </c>
      <c r="H21" s="18" t="str">
        <f>INDEX(Organization!$B:$B,MATCH($G21,Organization!$A:$A,0))</f>
        <v>org3</v>
      </c>
      <c r="I21" s="18" t="b">
        <f t="shared" si="1"/>
        <v>0</v>
      </c>
      <c r="J21" s="18" t="b">
        <f t="shared" si="2"/>
        <v>0</v>
      </c>
      <c r="K21" s="18" t="b">
        <f t="shared" si="3"/>
        <v>0</v>
      </c>
      <c r="L21" s="18" t="b">
        <f t="shared" si="4"/>
        <v>1</v>
      </c>
      <c r="M21" s="6" t="b">
        <f t="shared" si="5"/>
        <v>0</v>
      </c>
    </row>
    <row r="22" spans="1:13" x14ac:dyDescent="0.3">
      <c r="A22" t="s">
        <v>28</v>
      </c>
      <c r="B22" t="s">
        <v>464</v>
      </c>
      <c r="C22" t="s">
        <v>464</v>
      </c>
      <c r="D22" t="str">
        <f t="shared" si="0"/>
        <v>org_user4_1</v>
      </c>
      <c r="E22" t="b">
        <v>1</v>
      </c>
      <c r="F22" t="s">
        <v>789</v>
      </c>
      <c r="G22" t="s">
        <v>52</v>
      </c>
      <c r="H22" s="18" t="str">
        <f>INDEX(Organization!$B:$B,MATCH($G22,Organization!$A:$A,0))</f>
        <v>org4</v>
      </c>
      <c r="I22" s="18" t="b">
        <f t="shared" si="1"/>
        <v>0</v>
      </c>
      <c r="J22" s="18" t="b">
        <f t="shared" si="2"/>
        <v>0</v>
      </c>
      <c r="K22" s="18" t="b">
        <f t="shared" si="3"/>
        <v>0</v>
      </c>
      <c r="L22" s="18" t="b">
        <f t="shared" si="4"/>
        <v>1</v>
      </c>
      <c r="M22" s="6" t="b">
        <f t="shared" si="5"/>
        <v>0</v>
      </c>
    </row>
    <row r="23" spans="1:13" x14ac:dyDescent="0.3">
      <c r="A23" t="s">
        <v>30</v>
      </c>
      <c r="B23" t="s">
        <v>465</v>
      </c>
      <c r="C23" t="s">
        <v>465</v>
      </c>
      <c r="D23" t="str">
        <f t="shared" si="0"/>
        <v>org_user4_2</v>
      </c>
      <c r="E23" t="b">
        <v>1</v>
      </c>
      <c r="F23" t="s">
        <v>789</v>
      </c>
      <c r="G23" t="s">
        <v>52</v>
      </c>
      <c r="H23" s="18" t="str">
        <f>INDEX(Organization!$B:$B,MATCH($G23,Organization!$A:$A,0))</f>
        <v>org4</v>
      </c>
      <c r="I23" s="18" t="b">
        <f t="shared" si="1"/>
        <v>0</v>
      </c>
      <c r="J23" s="18" t="b">
        <f t="shared" si="2"/>
        <v>0</v>
      </c>
      <c r="K23" s="18" t="b">
        <f t="shared" si="3"/>
        <v>0</v>
      </c>
      <c r="L23" s="18" t="b">
        <f t="shared" si="4"/>
        <v>1</v>
      </c>
      <c r="M23" s="6" t="b">
        <f t="shared" si="5"/>
        <v>0</v>
      </c>
    </row>
    <row r="24" spans="1:13" x14ac:dyDescent="0.3">
      <c r="A24" t="s">
        <v>31</v>
      </c>
      <c r="B24" t="s">
        <v>466</v>
      </c>
      <c r="C24" t="s">
        <v>466</v>
      </c>
      <c r="D24" t="str">
        <f t="shared" si="0"/>
        <v>org_user4_3</v>
      </c>
      <c r="E24" t="b">
        <v>1</v>
      </c>
      <c r="F24" t="s">
        <v>789</v>
      </c>
      <c r="G24" t="s">
        <v>52</v>
      </c>
      <c r="H24" s="18" t="str">
        <f>INDEX(Organization!$B:$B,MATCH($G24,Organization!$A:$A,0))</f>
        <v>org4</v>
      </c>
      <c r="I24" s="18" t="b">
        <f t="shared" si="1"/>
        <v>0</v>
      </c>
      <c r="J24" s="18" t="b">
        <f t="shared" si="2"/>
        <v>0</v>
      </c>
      <c r="K24" s="18" t="b">
        <f t="shared" si="3"/>
        <v>0</v>
      </c>
      <c r="L24" s="18" t="b">
        <f t="shared" si="4"/>
        <v>1</v>
      </c>
      <c r="M24" s="6" t="b">
        <f t="shared" si="5"/>
        <v>0</v>
      </c>
    </row>
    <row r="25" spans="1:13" x14ac:dyDescent="0.3">
      <c r="A25" t="s">
        <v>32</v>
      </c>
      <c r="B25" t="s">
        <v>467</v>
      </c>
      <c r="C25" t="s">
        <v>467</v>
      </c>
      <c r="D25" t="str">
        <f t="shared" si="0"/>
        <v>org_user4_4</v>
      </c>
      <c r="E25" t="b">
        <v>1</v>
      </c>
      <c r="F25" t="s">
        <v>789</v>
      </c>
      <c r="G25" t="s">
        <v>52</v>
      </c>
      <c r="H25" s="18" t="str">
        <f>INDEX(Organization!$B:$B,MATCH($G25,Organization!$A:$A,0))</f>
        <v>org4</v>
      </c>
      <c r="I25" s="18" t="b">
        <f t="shared" si="1"/>
        <v>0</v>
      </c>
      <c r="J25" s="18" t="b">
        <f t="shared" si="2"/>
        <v>0</v>
      </c>
      <c r="K25" s="18" t="b">
        <f t="shared" si="3"/>
        <v>0</v>
      </c>
      <c r="L25" s="18" t="b">
        <f t="shared" si="4"/>
        <v>1</v>
      </c>
      <c r="M25" s="6" t="b">
        <f t="shared" si="5"/>
        <v>0</v>
      </c>
    </row>
    <row r="26" spans="1:13" x14ac:dyDescent="0.3">
      <c r="A26" t="s">
        <v>34</v>
      </c>
      <c r="B26" t="s">
        <v>468</v>
      </c>
      <c r="C26" t="s">
        <v>468</v>
      </c>
      <c r="D26" t="str">
        <f t="shared" si="0"/>
        <v>org_user5_1</v>
      </c>
      <c r="E26" t="b">
        <v>1</v>
      </c>
      <c r="F26" t="s">
        <v>789</v>
      </c>
      <c r="G26" t="s">
        <v>55</v>
      </c>
      <c r="H26" s="18" t="str">
        <f>INDEX(Organization!$B:$B,MATCH($G26,Organization!$A:$A,0))</f>
        <v>org5</v>
      </c>
      <c r="I26" s="18" t="b">
        <f t="shared" si="1"/>
        <v>0</v>
      </c>
      <c r="J26" s="18" t="b">
        <f t="shared" si="2"/>
        <v>0</v>
      </c>
      <c r="K26" s="18" t="b">
        <f t="shared" si="3"/>
        <v>0</v>
      </c>
      <c r="L26" s="18" t="b">
        <f t="shared" si="4"/>
        <v>1</v>
      </c>
      <c r="M26" s="6" t="b">
        <f t="shared" si="5"/>
        <v>0</v>
      </c>
    </row>
    <row r="27" spans="1:13" x14ac:dyDescent="0.3">
      <c r="A27" t="s">
        <v>36</v>
      </c>
      <c r="B27" t="s">
        <v>469</v>
      </c>
      <c r="C27" t="s">
        <v>469</v>
      </c>
      <c r="D27" t="str">
        <f t="shared" si="0"/>
        <v>org_user5_2</v>
      </c>
      <c r="E27" t="b">
        <v>1</v>
      </c>
      <c r="F27" t="s">
        <v>789</v>
      </c>
      <c r="G27" t="s">
        <v>55</v>
      </c>
      <c r="H27" s="18" t="str">
        <f>INDEX(Organization!$B:$B,MATCH($G27,Organization!$A:$A,0))</f>
        <v>org5</v>
      </c>
      <c r="I27" s="18" t="b">
        <f t="shared" si="1"/>
        <v>0</v>
      </c>
      <c r="J27" s="18" t="b">
        <f t="shared" si="2"/>
        <v>0</v>
      </c>
      <c r="K27" s="18" t="b">
        <f t="shared" si="3"/>
        <v>0</v>
      </c>
      <c r="L27" s="18" t="b">
        <f t="shared" si="4"/>
        <v>1</v>
      </c>
      <c r="M27" s="6" t="b">
        <f t="shared" si="5"/>
        <v>0</v>
      </c>
    </row>
    <row r="28" spans="1:13" x14ac:dyDescent="0.3">
      <c r="A28" t="s">
        <v>37</v>
      </c>
      <c r="B28" t="s">
        <v>470</v>
      </c>
      <c r="C28" t="s">
        <v>470</v>
      </c>
      <c r="D28" t="str">
        <f t="shared" si="0"/>
        <v>org_user5_3</v>
      </c>
      <c r="E28" t="b">
        <v>1</v>
      </c>
      <c r="F28" t="s">
        <v>789</v>
      </c>
      <c r="G28" t="s">
        <v>55</v>
      </c>
      <c r="H28" s="18" t="str">
        <f>INDEX(Organization!$B:$B,MATCH($G28,Organization!$A:$A,0))</f>
        <v>org5</v>
      </c>
      <c r="I28" s="18" t="b">
        <f t="shared" si="1"/>
        <v>0</v>
      </c>
      <c r="J28" s="18" t="b">
        <f t="shared" si="2"/>
        <v>0</v>
      </c>
      <c r="K28" s="18" t="b">
        <f t="shared" si="3"/>
        <v>0</v>
      </c>
      <c r="L28" s="18" t="b">
        <f t="shared" si="4"/>
        <v>1</v>
      </c>
      <c r="M28" s="6" t="b">
        <f t="shared" si="5"/>
        <v>0</v>
      </c>
    </row>
    <row r="29" spans="1:13" x14ac:dyDescent="0.3">
      <c r="A29" t="s">
        <v>38</v>
      </c>
      <c r="B29" t="s">
        <v>471</v>
      </c>
      <c r="C29" t="s">
        <v>471</v>
      </c>
      <c r="D29" t="str">
        <f t="shared" si="0"/>
        <v>org_user5_4</v>
      </c>
      <c r="E29" t="b">
        <v>1</v>
      </c>
      <c r="F29" t="s">
        <v>789</v>
      </c>
      <c r="G29" t="s">
        <v>55</v>
      </c>
      <c r="H29" s="18" t="str">
        <f>INDEX(Organization!$B:$B,MATCH($G29,Organization!$A:$A,0))</f>
        <v>org5</v>
      </c>
      <c r="I29" s="18" t="b">
        <f t="shared" si="1"/>
        <v>0</v>
      </c>
      <c r="J29" s="18" t="b">
        <f t="shared" si="2"/>
        <v>0</v>
      </c>
      <c r="K29" s="18" t="b">
        <f t="shared" si="3"/>
        <v>0</v>
      </c>
      <c r="L29" s="18" t="b">
        <f t="shared" si="4"/>
        <v>1</v>
      </c>
      <c r="M29" s="6" t="b">
        <f t="shared" si="5"/>
        <v>0</v>
      </c>
    </row>
  </sheetData>
  <hyperlinks>
    <hyperlink ref="C4" r:id="rId1" xr:uid="{6720259D-8B8B-404B-BBFC-255A858BC201}"/>
    <hyperlink ref="B4" r:id="rId2" xr:uid="{435E28A2-EB4A-48BC-ADD4-50C397ED999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8"/>
  <sheetViews>
    <sheetView workbookViewId="0">
      <selection activeCell="E5" sqref="E5"/>
    </sheetView>
  </sheetViews>
  <sheetFormatPr defaultColWidth="8.6640625" defaultRowHeight="14.4" x14ac:dyDescent="0.3"/>
  <cols>
    <col min="1" max="1" width="36" bestFit="1" customWidth="1"/>
    <col min="2" max="3" width="27" bestFit="1" customWidth="1"/>
    <col min="4" max="4" width="18" style="6" bestFit="1" customWidth="1"/>
    <col min="5" max="5" width="36.109375" bestFit="1" customWidth="1"/>
    <col min="6" max="6" width="18" bestFit="1" customWidth="1"/>
    <col min="7" max="7" width="20.109375" bestFit="1" customWidth="1"/>
    <col min="8" max="8" width="35.6640625" bestFit="1" customWidth="1"/>
    <col min="9" max="9" width="14.44140625" style="6" bestFit="1" customWidth="1"/>
    <col min="10" max="10" width="36" bestFit="1" customWidth="1"/>
    <col min="11" max="11" width="11.44140625" style="6" bestFit="1" customWidth="1"/>
  </cols>
  <sheetData>
    <row r="1" spans="1:11" x14ac:dyDescent="0.3">
      <c r="A1" s="1" t="s">
        <v>0</v>
      </c>
      <c r="B1" s="1" t="s">
        <v>784</v>
      </c>
      <c r="C1" s="1" t="s">
        <v>441</v>
      </c>
      <c r="D1" s="10" t="s">
        <v>563</v>
      </c>
      <c r="E1" s="1" t="s">
        <v>492</v>
      </c>
      <c r="F1" s="1" t="s">
        <v>493</v>
      </c>
      <c r="G1" s="1" t="s">
        <v>442</v>
      </c>
      <c r="H1" s="1" t="s">
        <v>494</v>
      </c>
      <c r="I1" s="10" t="s">
        <v>582</v>
      </c>
      <c r="J1" s="1" t="s">
        <v>41</v>
      </c>
      <c r="K1" s="10" t="s">
        <v>551</v>
      </c>
    </row>
    <row r="2" spans="1:11" x14ac:dyDescent="0.3">
      <c r="A2" t="s">
        <v>495</v>
      </c>
      <c r="B2" t="s">
        <v>445</v>
      </c>
      <c r="C2" t="s">
        <v>445</v>
      </c>
      <c r="D2" s="6" t="str">
        <f>LEFT($C2,LEN($C2)-9)</f>
        <v>app_admin1_1</v>
      </c>
      <c r="E2" t="s">
        <v>496</v>
      </c>
      <c r="F2" s="2">
        <v>45743.390918726589</v>
      </c>
      <c r="G2" t="s">
        <v>552</v>
      </c>
      <c r="H2" t="s">
        <v>723</v>
      </c>
      <c r="I2" s="6" t="str">
        <f>INDEX(User!$D:$D,MATCH($H2,User!$A:$A,0))</f>
        <v>root1_1</v>
      </c>
      <c r="J2" t="s">
        <v>43</v>
      </c>
      <c r="K2" s="6" t="str">
        <f>INDEX(Organization!$B:$B,MATCH($J2,Organization!$A:$A,0))</f>
        <v>org1</v>
      </c>
    </row>
    <row r="3" spans="1:11" x14ac:dyDescent="0.3">
      <c r="A3" t="s">
        <v>497</v>
      </c>
      <c r="B3" s="20" t="s">
        <v>719</v>
      </c>
      <c r="C3" s="20" t="s">
        <v>719</v>
      </c>
      <c r="D3" s="6" t="str">
        <f t="shared" ref="D3:D28" si="0">LEFT($C3,LEN($C3)-9)</f>
        <v>refdata_admin1_1</v>
      </c>
      <c r="E3" t="s">
        <v>498</v>
      </c>
      <c r="F3" s="2">
        <v>45743.390918741461</v>
      </c>
      <c r="G3" t="s">
        <v>720</v>
      </c>
      <c r="H3" t="s">
        <v>444</v>
      </c>
      <c r="I3" s="6" t="str">
        <f>INDEX(User!$D:$D,MATCH($H3,User!$A:$A,0))</f>
        <v>app_admin1_1</v>
      </c>
      <c r="J3" t="s">
        <v>43</v>
      </c>
      <c r="K3" s="6" t="str">
        <f>INDEX(Organization!$B:$B,MATCH($J3,Organization!$A:$A,0))</f>
        <v>org1</v>
      </c>
    </row>
    <row r="4" spans="1:11" x14ac:dyDescent="0.3">
      <c r="A4" t="s">
        <v>499</v>
      </c>
      <c r="B4" t="s">
        <v>447</v>
      </c>
      <c r="C4" t="s">
        <v>447</v>
      </c>
      <c r="D4" s="6" t="str">
        <f t="shared" si="0"/>
        <v>org_admin1_1</v>
      </c>
      <c r="E4" t="s">
        <v>500</v>
      </c>
      <c r="F4" s="2">
        <v>45743.390918746562</v>
      </c>
      <c r="G4" t="s">
        <v>553</v>
      </c>
      <c r="H4" t="s">
        <v>444</v>
      </c>
      <c r="I4" s="6" t="str">
        <f>INDEX(User!$D:$D,MATCH($H4,User!$A:$A,0))</f>
        <v>app_admin1_1</v>
      </c>
      <c r="J4" t="s">
        <v>43</v>
      </c>
      <c r="K4" s="6" t="str">
        <f>INDEX(Organization!$B:$B,MATCH($J4,Organization!$A:$A,0))</f>
        <v>org1</v>
      </c>
    </row>
    <row r="5" spans="1:11" x14ac:dyDescent="0.3">
      <c r="A5" t="s">
        <v>501</v>
      </c>
      <c r="B5" t="s">
        <v>448</v>
      </c>
      <c r="C5" t="s">
        <v>448</v>
      </c>
      <c r="D5" s="6" t="str">
        <f t="shared" si="0"/>
        <v>org_admin2_1</v>
      </c>
      <c r="E5" t="s">
        <v>502</v>
      </c>
      <c r="F5" s="2">
        <v>45743.390918763551</v>
      </c>
      <c r="G5" t="s">
        <v>553</v>
      </c>
      <c r="H5" t="s">
        <v>444</v>
      </c>
      <c r="I5" s="6" t="str">
        <f>INDEX(User!$D:$D,MATCH($H5,User!$A:$A,0))</f>
        <v>app_admin1_1</v>
      </c>
      <c r="J5" t="s">
        <v>46</v>
      </c>
      <c r="K5" s="6" t="str">
        <f>INDEX(Organization!$B:$B,MATCH($J5,Organization!$A:$A,0))</f>
        <v>org2</v>
      </c>
    </row>
    <row r="6" spans="1:11" x14ac:dyDescent="0.3">
      <c r="A6" t="s">
        <v>503</v>
      </c>
      <c r="B6" t="s">
        <v>449</v>
      </c>
      <c r="C6" t="s">
        <v>449</v>
      </c>
      <c r="D6" s="6" t="str">
        <f t="shared" si="0"/>
        <v>org_admin3_1</v>
      </c>
      <c r="E6" t="s">
        <v>504</v>
      </c>
      <c r="F6" s="2">
        <v>45743.390918772537</v>
      </c>
      <c r="G6" t="s">
        <v>553</v>
      </c>
      <c r="H6" t="s">
        <v>444</v>
      </c>
      <c r="I6" s="6" t="str">
        <f>INDEX(User!$D:$D,MATCH($H6,User!$A:$A,0))</f>
        <v>app_admin1_1</v>
      </c>
      <c r="J6" t="s">
        <v>49</v>
      </c>
      <c r="K6" s="6" t="str">
        <f>INDEX(Organization!$B:$B,MATCH($J6,Organization!$A:$A,0))</f>
        <v>org3</v>
      </c>
    </row>
    <row r="7" spans="1:11" x14ac:dyDescent="0.3">
      <c r="A7" t="s">
        <v>505</v>
      </c>
      <c r="B7" t="s">
        <v>450</v>
      </c>
      <c r="C7" t="s">
        <v>450</v>
      </c>
      <c r="D7" s="6" t="str">
        <f t="shared" si="0"/>
        <v>org_admin4_1</v>
      </c>
      <c r="E7" t="s">
        <v>506</v>
      </c>
      <c r="F7" s="2">
        <v>45743.390918781181</v>
      </c>
      <c r="G7" t="s">
        <v>553</v>
      </c>
      <c r="H7" t="s">
        <v>444</v>
      </c>
      <c r="I7" s="6" t="str">
        <f>INDEX(User!$D:$D,MATCH($H7,User!$A:$A,0))</f>
        <v>app_admin1_1</v>
      </c>
      <c r="J7" t="s">
        <v>52</v>
      </c>
      <c r="K7" s="6" t="str">
        <f>INDEX(Organization!$B:$B,MATCH($J7,Organization!$A:$A,0))</f>
        <v>org4</v>
      </c>
    </row>
    <row r="8" spans="1:11" x14ac:dyDescent="0.3">
      <c r="A8" t="s">
        <v>507</v>
      </c>
      <c r="B8" t="s">
        <v>451</v>
      </c>
      <c r="C8" t="s">
        <v>451</v>
      </c>
      <c r="D8" s="6" t="str">
        <f t="shared" si="0"/>
        <v>org_admin5_1</v>
      </c>
      <c r="E8" t="s">
        <v>508</v>
      </c>
      <c r="F8" s="2">
        <v>45743.3909187889</v>
      </c>
      <c r="G8" t="s">
        <v>553</v>
      </c>
      <c r="H8" t="s">
        <v>444</v>
      </c>
      <c r="I8" s="6" t="str">
        <f>INDEX(User!$D:$D,MATCH($H8,User!$A:$A,0))</f>
        <v>app_admin1_1</v>
      </c>
      <c r="J8" t="s">
        <v>55</v>
      </c>
      <c r="K8" s="6" t="str">
        <f>INDEX(Organization!$B:$B,MATCH($J8,Organization!$A:$A,0))</f>
        <v>org5</v>
      </c>
    </row>
    <row r="9" spans="1:11" x14ac:dyDescent="0.3">
      <c r="A9" t="s">
        <v>509</v>
      </c>
      <c r="B9" t="s">
        <v>452</v>
      </c>
      <c r="C9" t="s">
        <v>452</v>
      </c>
      <c r="D9" s="6" t="str">
        <f t="shared" si="0"/>
        <v>org_user1_1</v>
      </c>
      <c r="E9" t="s">
        <v>510</v>
      </c>
      <c r="F9" s="2">
        <v>45743.390918796598</v>
      </c>
      <c r="G9" t="s">
        <v>554</v>
      </c>
      <c r="H9" t="s">
        <v>444</v>
      </c>
      <c r="I9" s="6" t="str">
        <f>INDEX(User!$D:$D,MATCH($H9,User!$A:$A,0))</f>
        <v>app_admin1_1</v>
      </c>
      <c r="J9" t="s">
        <v>43</v>
      </c>
      <c r="K9" s="6" t="str">
        <f>INDEX(Organization!$B:$B,MATCH($J9,Organization!$A:$A,0))</f>
        <v>org1</v>
      </c>
    </row>
    <row r="10" spans="1:11" x14ac:dyDescent="0.3">
      <c r="A10" t="s">
        <v>511</v>
      </c>
      <c r="B10" t="s">
        <v>453</v>
      </c>
      <c r="C10" t="s">
        <v>453</v>
      </c>
      <c r="D10" s="6" t="str">
        <f t="shared" si="0"/>
        <v>org_user1_2</v>
      </c>
      <c r="E10" t="s">
        <v>512</v>
      </c>
      <c r="F10" s="2">
        <v>45743.390918801953</v>
      </c>
      <c r="G10" t="s">
        <v>554</v>
      </c>
      <c r="H10" t="s">
        <v>444</v>
      </c>
      <c r="I10" s="6" t="str">
        <f>INDEX(User!$D:$D,MATCH($H10,User!$A:$A,0))</f>
        <v>app_admin1_1</v>
      </c>
      <c r="J10" t="s">
        <v>43</v>
      </c>
      <c r="K10" s="6" t="str">
        <f>INDEX(Organization!$B:$B,MATCH($J10,Organization!$A:$A,0))</f>
        <v>org1</v>
      </c>
    </row>
    <row r="11" spans="1:11" x14ac:dyDescent="0.3">
      <c r="A11" t="s">
        <v>513</v>
      </c>
      <c r="B11" t="s">
        <v>454</v>
      </c>
      <c r="C11" t="s">
        <v>454</v>
      </c>
      <c r="D11" s="6" t="str">
        <f t="shared" si="0"/>
        <v>org_user1_3</v>
      </c>
      <c r="E11" t="s">
        <v>514</v>
      </c>
      <c r="F11" s="2">
        <v>45743.390918807163</v>
      </c>
      <c r="G11" t="s">
        <v>554</v>
      </c>
      <c r="H11" t="s">
        <v>444</v>
      </c>
      <c r="I11" s="6" t="str">
        <f>INDEX(User!$D:$D,MATCH($H11,User!$A:$A,0))</f>
        <v>app_admin1_1</v>
      </c>
      <c r="J11" t="s">
        <v>43</v>
      </c>
      <c r="K11" s="6" t="str">
        <f>INDEX(Organization!$B:$B,MATCH($J11,Organization!$A:$A,0))</f>
        <v>org1</v>
      </c>
    </row>
    <row r="12" spans="1:11" x14ac:dyDescent="0.3">
      <c r="A12" t="s">
        <v>515</v>
      </c>
      <c r="B12" t="s">
        <v>455</v>
      </c>
      <c r="C12" t="s">
        <v>455</v>
      </c>
      <c r="D12" s="6" t="str">
        <f t="shared" si="0"/>
        <v>org_user1_4</v>
      </c>
      <c r="E12" t="s">
        <v>516</v>
      </c>
      <c r="F12" s="2">
        <v>45743.3909188123</v>
      </c>
      <c r="G12" t="s">
        <v>554</v>
      </c>
      <c r="H12" t="s">
        <v>444</v>
      </c>
      <c r="I12" s="6" t="str">
        <f>INDEX(User!$D:$D,MATCH($H12,User!$A:$A,0))</f>
        <v>app_admin1_1</v>
      </c>
      <c r="J12" t="s">
        <v>43</v>
      </c>
      <c r="K12" s="6" t="str">
        <f>INDEX(Organization!$B:$B,MATCH($J12,Organization!$A:$A,0))</f>
        <v>org1</v>
      </c>
    </row>
    <row r="13" spans="1:11" x14ac:dyDescent="0.3">
      <c r="A13" t="s">
        <v>517</v>
      </c>
      <c r="B13" t="s">
        <v>456</v>
      </c>
      <c r="C13" t="s">
        <v>456</v>
      </c>
      <c r="D13" s="6" t="str">
        <f t="shared" si="0"/>
        <v>org_user2_1</v>
      </c>
      <c r="E13" t="s">
        <v>518</v>
      </c>
      <c r="F13" s="2">
        <v>45743.390918817633</v>
      </c>
      <c r="G13" t="s">
        <v>554</v>
      </c>
      <c r="H13" t="s">
        <v>444</v>
      </c>
      <c r="I13" s="6" t="str">
        <f>INDEX(User!$D:$D,MATCH($H13,User!$A:$A,0))</f>
        <v>app_admin1_1</v>
      </c>
      <c r="J13" t="s">
        <v>46</v>
      </c>
      <c r="K13" s="6" t="str">
        <f>INDEX(Organization!$B:$B,MATCH($J13,Organization!$A:$A,0))</f>
        <v>org2</v>
      </c>
    </row>
    <row r="14" spans="1:11" x14ac:dyDescent="0.3">
      <c r="A14" t="s">
        <v>519</v>
      </c>
      <c r="B14" t="s">
        <v>457</v>
      </c>
      <c r="C14" t="s">
        <v>457</v>
      </c>
      <c r="D14" s="6" t="str">
        <f t="shared" si="0"/>
        <v>org_user2_2</v>
      </c>
      <c r="E14" t="s">
        <v>520</v>
      </c>
      <c r="F14" s="2">
        <v>45743.390918822908</v>
      </c>
      <c r="G14" t="s">
        <v>554</v>
      </c>
      <c r="H14" t="s">
        <v>444</v>
      </c>
      <c r="I14" s="6" t="str">
        <f>INDEX(User!$D:$D,MATCH($H14,User!$A:$A,0))</f>
        <v>app_admin1_1</v>
      </c>
      <c r="J14" t="s">
        <v>46</v>
      </c>
      <c r="K14" s="6" t="str">
        <f>INDEX(Organization!$B:$B,MATCH($J14,Organization!$A:$A,0))</f>
        <v>org2</v>
      </c>
    </row>
    <row r="15" spans="1:11" x14ac:dyDescent="0.3">
      <c r="A15" t="s">
        <v>521</v>
      </c>
      <c r="B15" t="s">
        <v>458</v>
      </c>
      <c r="C15" t="s">
        <v>458</v>
      </c>
      <c r="D15" s="6" t="str">
        <f t="shared" si="0"/>
        <v>org_user2_3</v>
      </c>
      <c r="E15" t="s">
        <v>522</v>
      </c>
      <c r="F15" s="2">
        <v>45743.390918828743</v>
      </c>
      <c r="G15" t="s">
        <v>554</v>
      </c>
      <c r="H15" t="s">
        <v>444</v>
      </c>
      <c r="I15" s="6" t="str">
        <f>INDEX(User!$D:$D,MATCH($H15,User!$A:$A,0))</f>
        <v>app_admin1_1</v>
      </c>
      <c r="J15" t="s">
        <v>46</v>
      </c>
      <c r="K15" s="6" t="str">
        <f>INDEX(Organization!$B:$B,MATCH($J15,Organization!$A:$A,0))</f>
        <v>org2</v>
      </c>
    </row>
    <row r="16" spans="1:11" x14ac:dyDescent="0.3">
      <c r="A16" t="s">
        <v>523</v>
      </c>
      <c r="B16" t="s">
        <v>459</v>
      </c>
      <c r="C16" t="s">
        <v>459</v>
      </c>
      <c r="D16" s="6" t="str">
        <f t="shared" si="0"/>
        <v>org_user2_4</v>
      </c>
      <c r="E16" t="s">
        <v>524</v>
      </c>
      <c r="F16" s="2">
        <v>45743.390918834302</v>
      </c>
      <c r="G16" t="s">
        <v>554</v>
      </c>
      <c r="H16" t="s">
        <v>444</v>
      </c>
      <c r="I16" s="6" t="str">
        <f>INDEX(User!$D:$D,MATCH($H16,User!$A:$A,0))</f>
        <v>app_admin1_1</v>
      </c>
      <c r="J16" t="s">
        <v>46</v>
      </c>
      <c r="K16" s="6" t="str">
        <f>INDEX(Organization!$B:$B,MATCH($J16,Organization!$A:$A,0))</f>
        <v>org2</v>
      </c>
    </row>
    <row r="17" spans="1:11" x14ac:dyDescent="0.3">
      <c r="A17" t="s">
        <v>525</v>
      </c>
      <c r="B17" t="s">
        <v>460</v>
      </c>
      <c r="C17" t="s">
        <v>460</v>
      </c>
      <c r="D17" s="6" t="str">
        <f t="shared" si="0"/>
        <v>org_user3_1</v>
      </c>
      <c r="E17" t="s">
        <v>526</v>
      </c>
      <c r="F17" s="2">
        <v>45743.390918839839</v>
      </c>
      <c r="G17" t="s">
        <v>554</v>
      </c>
      <c r="H17" t="s">
        <v>444</v>
      </c>
      <c r="I17" s="6" t="str">
        <f>INDEX(User!$D:$D,MATCH($H17,User!$A:$A,0))</f>
        <v>app_admin1_1</v>
      </c>
      <c r="J17" t="s">
        <v>49</v>
      </c>
      <c r="K17" s="6" t="str">
        <f>INDEX(Organization!$B:$B,MATCH($J17,Organization!$A:$A,0))</f>
        <v>org3</v>
      </c>
    </row>
    <row r="18" spans="1:11" x14ac:dyDescent="0.3">
      <c r="A18" t="s">
        <v>527</v>
      </c>
      <c r="B18" t="s">
        <v>461</v>
      </c>
      <c r="C18" t="s">
        <v>461</v>
      </c>
      <c r="D18" s="6" t="str">
        <f t="shared" si="0"/>
        <v>org_user3_2</v>
      </c>
      <c r="E18" t="s">
        <v>528</v>
      </c>
      <c r="F18" s="2">
        <v>45743.390918845187</v>
      </c>
      <c r="G18" t="s">
        <v>554</v>
      </c>
      <c r="H18" t="s">
        <v>444</v>
      </c>
      <c r="I18" s="6" t="str">
        <f>INDEX(User!$D:$D,MATCH($H18,User!$A:$A,0))</f>
        <v>app_admin1_1</v>
      </c>
      <c r="J18" t="s">
        <v>49</v>
      </c>
      <c r="K18" s="6" t="str">
        <f>INDEX(Organization!$B:$B,MATCH($J18,Organization!$A:$A,0))</f>
        <v>org3</v>
      </c>
    </row>
    <row r="19" spans="1:11" x14ac:dyDescent="0.3">
      <c r="A19" t="s">
        <v>529</v>
      </c>
      <c r="B19" t="s">
        <v>462</v>
      </c>
      <c r="C19" t="s">
        <v>462</v>
      </c>
      <c r="D19" s="6" t="str">
        <f t="shared" si="0"/>
        <v>org_user3_3</v>
      </c>
      <c r="E19" t="s">
        <v>530</v>
      </c>
      <c r="F19" s="2">
        <v>45743.390918851088</v>
      </c>
      <c r="G19" t="s">
        <v>554</v>
      </c>
      <c r="H19" t="s">
        <v>444</v>
      </c>
      <c r="I19" s="6" t="str">
        <f>INDEX(User!$D:$D,MATCH($H19,User!$A:$A,0))</f>
        <v>app_admin1_1</v>
      </c>
      <c r="J19" t="s">
        <v>49</v>
      </c>
      <c r="K19" s="6" t="str">
        <f>INDEX(Organization!$B:$B,MATCH($J19,Organization!$A:$A,0))</f>
        <v>org3</v>
      </c>
    </row>
    <row r="20" spans="1:11" x14ac:dyDescent="0.3">
      <c r="A20" t="s">
        <v>531</v>
      </c>
      <c r="B20" t="s">
        <v>463</v>
      </c>
      <c r="C20" t="s">
        <v>463</v>
      </c>
      <c r="D20" s="6" t="str">
        <f t="shared" si="0"/>
        <v>org_user3_4</v>
      </c>
      <c r="E20" t="s">
        <v>532</v>
      </c>
      <c r="F20" s="2">
        <v>45743.39091885696</v>
      </c>
      <c r="G20" t="s">
        <v>554</v>
      </c>
      <c r="H20" t="s">
        <v>444</v>
      </c>
      <c r="I20" s="6" t="str">
        <f>INDEX(User!$D:$D,MATCH($H20,User!$A:$A,0))</f>
        <v>app_admin1_1</v>
      </c>
      <c r="J20" t="s">
        <v>49</v>
      </c>
      <c r="K20" s="6" t="str">
        <f>INDEX(Organization!$B:$B,MATCH($J20,Organization!$A:$A,0))</f>
        <v>org3</v>
      </c>
    </row>
    <row r="21" spans="1:11" x14ac:dyDescent="0.3">
      <c r="A21" t="s">
        <v>533</v>
      </c>
      <c r="B21" t="s">
        <v>464</v>
      </c>
      <c r="C21" t="s">
        <v>464</v>
      </c>
      <c r="D21" s="6" t="str">
        <f t="shared" si="0"/>
        <v>org_user4_1</v>
      </c>
      <c r="E21" t="s">
        <v>534</v>
      </c>
      <c r="F21" s="2">
        <v>45743.390918862962</v>
      </c>
      <c r="G21" t="s">
        <v>554</v>
      </c>
      <c r="H21" t="s">
        <v>444</v>
      </c>
      <c r="I21" s="6" t="str">
        <f>INDEX(User!$D:$D,MATCH($H21,User!$A:$A,0))</f>
        <v>app_admin1_1</v>
      </c>
      <c r="J21" t="s">
        <v>52</v>
      </c>
      <c r="K21" s="6" t="str">
        <f>INDEX(Organization!$B:$B,MATCH($J21,Organization!$A:$A,0))</f>
        <v>org4</v>
      </c>
    </row>
    <row r="22" spans="1:11" x14ac:dyDescent="0.3">
      <c r="A22" t="s">
        <v>535</v>
      </c>
      <c r="B22" t="s">
        <v>465</v>
      </c>
      <c r="C22" t="s">
        <v>465</v>
      </c>
      <c r="D22" s="6" t="str">
        <f t="shared" si="0"/>
        <v>org_user4_2</v>
      </c>
      <c r="E22" t="s">
        <v>536</v>
      </c>
      <c r="F22" s="2">
        <v>45743.390918868739</v>
      </c>
      <c r="G22" t="s">
        <v>554</v>
      </c>
      <c r="H22" t="s">
        <v>444</v>
      </c>
      <c r="I22" s="6" t="str">
        <f>INDEX(User!$D:$D,MATCH($H22,User!$A:$A,0))</f>
        <v>app_admin1_1</v>
      </c>
      <c r="J22" t="s">
        <v>52</v>
      </c>
      <c r="K22" s="6" t="str">
        <f>INDEX(Organization!$B:$B,MATCH($J22,Organization!$A:$A,0))</f>
        <v>org4</v>
      </c>
    </row>
    <row r="23" spans="1:11" x14ac:dyDescent="0.3">
      <c r="A23" t="s">
        <v>537</v>
      </c>
      <c r="B23" t="s">
        <v>466</v>
      </c>
      <c r="C23" t="s">
        <v>466</v>
      </c>
      <c r="D23" s="6" t="str">
        <f t="shared" si="0"/>
        <v>org_user4_3</v>
      </c>
      <c r="E23" t="s">
        <v>538</v>
      </c>
      <c r="F23" s="2">
        <v>45743.390918874728</v>
      </c>
      <c r="G23" t="s">
        <v>554</v>
      </c>
      <c r="H23" t="s">
        <v>444</v>
      </c>
      <c r="I23" s="6" t="str">
        <f>INDEX(User!$D:$D,MATCH($H23,User!$A:$A,0))</f>
        <v>app_admin1_1</v>
      </c>
      <c r="J23" t="s">
        <v>52</v>
      </c>
      <c r="K23" s="6" t="str">
        <f>INDEX(Organization!$B:$B,MATCH($J23,Organization!$A:$A,0))</f>
        <v>org4</v>
      </c>
    </row>
    <row r="24" spans="1:11" x14ac:dyDescent="0.3">
      <c r="A24" t="s">
        <v>539</v>
      </c>
      <c r="B24" t="s">
        <v>467</v>
      </c>
      <c r="C24" t="s">
        <v>467</v>
      </c>
      <c r="D24" s="6" t="str">
        <f t="shared" si="0"/>
        <v>org_user4_4</v>
      </c>
      <c r="E24" t="s">
        <v>540</v>
      </c>
      <c r="F24" s="2">
        <v>45743.390918881109</v>
      </c>
      <c r="G24" t="s">
        <v>554</v>
      </c>
      <c r="H24" t="s">
        <v>444</v>
      </c>
      <c r="I24" s="6" t="str">
        <f>INDEX(User!$D:$D,MATCH($H24,User!$A:$A,0))</f>
        <v>app_admin1_1</v>
      </c>
      <c r="J24" t="s">
        <v>52</v>
      </c>
      <c r="K24" s="6" t="str">
        <f>INDEX(Organization!$B:$B,MATCH($J24,Organization!$A:$A,0))</f>
        <v>org4</v>
      </c>
    </row>
    <row r="25" spans="1:11" x14ac:dyDescent="0.3">
      <c r="A25" t="s">
        <v>541</v>
      </c>
      <c r="B25" t="s">
        <v>468</v>
      </c>
      <c r="C25" t="s">
        <v>468</v>
      </c>
      <c r="D25" s="6" t="str">
        <f t="shared" si="0"/>
        <v>org_user5_1</v>
      </c>
      <c r="E25" t="s">
        <v>542</v>
      </c>
      <c r="F25" s="2">
        <v>45743.390918887373</v>
      </c>
      <c r="G25" t="s">
        <v>554</v>
      </c>
      <c r="H25" t="s">
        <v>444</v>
      </c>
      <c r="I25" s="6" t="str">
        <f>INDEX(User!$D:$D,MATCH($H25,User!$A:$A,0))</f>
        <v>app_admin1_1</v>
      </c>
      <c r="J25" t="s">
        <v>55</v>
      </c>
      <c r="K25" s="6" t="str">
        <f>INDEX(Organization!$B:$B,MATCH($J25,Organization!$A:$A,0))</f>
        <v>org5</v>
      </c>
    </row>
    <row r="26" spans="1:11" x14ac:dyDescent="0.3">
      <c r="A26" t="s">
        <v>543</v>
      </c>
      <c r="B26" t="s">
        <v>469</v>
      </c>
      <c r="C26" t="s">
        <v>469</v>
      </c>
      <c r="D26" s="6" t="str">
        <f t="shared" si="0"/>
        <v>org_user5_2</v>
      </c>
      <c r="E26" t="s">
        <v>544</v>
      </c>
      <c r="F26" s="2">
        <v>45743.39091889358</v>
      </c>
      <c r="G26" t="s">
        <v>554</v>
      </c>
      <c r="H26" t="s">
        <v>444</v>
      </c>
      <c r="I26" s="6" t="str">
        <f>INDEX(User!$D:$D,MATCH($H26,User!$A:$A,0))</f>
        <v>app_admin1_1</v>
      </c>
      <c r="J26" t="s">
        <v>55</v>
      </c>
      <c r="K26" s="6" t="str">
        <f>INDEX(Organization!$B:$B,MATCH($J26,Organization!$A:$A,0))</f>
        <v>org5</v>
      </c>
    </row>
    <row r="27" spans="1:11" x14ac:dyDescent="0.3">
      <c r="A27" t="s">
        <v>545</v>
      </c>
      <c r="B27" t="s">
        <v>470</v>
      </c>
      <c r="C27" t="s">
        <v>470</v>
      </c>
      <c r="D27" s="6" t="str">
        <f t="shared" si="0"/>
        <v>org_user5_3</v>
      </c>
      <c r="E27" t="s">
        <v>546</v>
      </c>
      <c r="F27" s="2">
        <v>45743.390918900091</v>
      </c>
      <c r="G27" t="s">
        <v>554</v>
      </c>
      <c r="H27" t="s">
        <v>444</v>
      </c>
      <c r="I27" s="6" t="str">
        <f>INDEX(User!$D:$D,MATCH($H27,User!$A:$A,0))</f>
        <v>app_admin1_1</v>
      </c>
      <c r="J27" t="s">
        <v>55</v>
      </c>
      <c r="K27" s="6" t="str">
        <f>INDEX(Organization!$B:$B,MATCH($J27,Organization!$A:$A,0))</f>
        <v>org5</v>
      </c>
    </row>
    <row r="28" spans="1:11" x14ac:dyDescent="0.3">
      <c r="A28" t="s">
        <v>547</v>
      </c>
      <c r="B28" t="s">
        <v>471</v>
      </c>
      <c r="C28" t="s">
        <v>471</v>
      </c>
      <c r="D28" s="6" t="str">
        <f t="shared" si="0"/>
        <v>org_user5_4</v>
      </c>
      <c r="E28" t="s">
        <v>548</v>
      </c>
      <c r="F28" s="2">
        <v>45743.390918906553</v>
      </c>
      <c r="G28" t="s">
        <v>554</v>
      </c>
      <c r="H28" t="s">
        <v>444</v>
      </c>
      <c r="I28" s="6" t="str">
        <f>INDEX(User!$D:$D,MATCH($H28,User!$A:$A,0))</f>
        <v>app_admin1_1</v>
      </c>
      <c r="J28" t="s">
        <v>55</v>
      </c>
      <c r="K28" s="6" t="str">
        <f>INDEX(Organization!$B:$B,MATCH($J28,Organization!$A:$A,0))</f>
        <v>org5</v>
      </c>
    </row>
  </sheetData>
  <hyperlinks>
    <hyperlink ref="C3" r:id="rId1" xr:uid="{C6CE08DD-189A-544E-9566-622F7BE1E7EA}"/>
    <hyperlink ref="B3" r:id="rId2" xr:uid="{1AB25901-5E29-4750-A5D2-4671396BC369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activeCell="G2" sqref="G2"/>
    </sheetView>
  </sheetViews>
  <sheetFormatPr defaultColWidth="8.6640625" defaultRowHeight="14.4" x14ac:dyDescent="0.3"/>
  <cols>
    <col min="1" max="1" width="35.6640625" bestFit="1" customWidth="1"/>
    <col min="2" max="2" width="9" bestFit="1" customWidth="1"/>
    <col min="3" max="4" width="5" bestFit="1" customWidth="1"/>
    <col min="5" max="5" width="4.6640625" bestFit="1" customWidth="1"/>
    <col min="6" max="6" width="14.44140625" bestFit="1" customWidth="1"/>
    <col min="7" max="7" width="10.33203125" style="6" bestFit="1" customWidth="1"/>
    <col min="8" max="8" width="5.6640625" bestFit="1" customWidth="1"/>
  </cols>
  <sheetData>
    <row r="1" spans="1:8" x14ac:dyDescent="0.3">
      <c r="A1" s="1" t="s">
        <v>0</v>
      </c>
      <c r="B1" s="1" t="s">
        <v>436</v>
      </c>
      <c r="C1" s="1" t="s">
        <v>321</v>
      </c>
      <c r="D1" s="1" t="s">
        <v>322</v>
      </c>
      <c r="E1" s="1" t="s">
        <v>85</v>
      </c>
      <c r="F1" s="1" t="s">
        <v>437</v>
      </c>
      <c r="G1" s="10" t="s">
        <v>82</v>
      </c>
      <c r="H1" s="1" t="s">
        <v>332</v>
      </c>
    </row>
    <row r="2" spans="1:8" x14ac:dyDescent="0.3">
      <c r="A2" t="s">
        <v>424</v>
      </c>
      <c r="B2" t="s">
        <v>549</v>
      </c>
      <c r="C2" s="11" t="s">
        <v>570</v>
      </c>
      <c r="D2" t="s">
        <v>438</v>
      </c>
      <c r="G2" s="6" t="str">
        <f>"dim"&amp;$C2&amp;"("&amp;$B2&amp;")"</f>
        <v>dim1(TEXT)</v>
      </c>
      <c r="H2" t="s">
        <v>335</v>
      </c>
    </row>
    <row r="3" spans="1:8" x14ac:dyDescent="0.3">
      <c r="A3" t="s">
        <v>428</v>
      </c>
      <c r="B3" t="s">
        <v>549</v>
      </c>
      <c r="C3" s="11" t="s">
        <v>571</v>
      </c>
      <c r="D3" t="s">
        <v>439</v>
      </c>
      <c r="G3" s="6" t="str">
        <f>"dim"&amp;$C3&amp;"("&amp;$B3&amp;")"</f>
        <v>dim2(TEXT)</v>
      </c>
      <c r="H3" t="s">
        <v>335</v>
      </c>
    </row>
    <row r="4" spans="1:8" x14ac:dyDescent="0.3">
      <c r="A4" t="s">
        <v>432</v>
      </c>
      <c r="B4" t="s">
        <v>549</v>
      </c>
      <c r="C4" s="11" t="s">
        <v>572</v>
      </c>
      <c r="D4" t="s">
        <v>440</v>
      </c>
      <c r="G4" s="6" t="str">
        <f>"dim"&amp;$C4&amp;"("&amp;$B4&amp;")"</f>
        <v>dim3(TEXT)</v>
      </c>
      <c r="H4" t="s">
        <v>335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10"/>
  <sheetViews>
    <sheetView workbookViewId="0">
      <selection activeCell="D1" sqref="D1"/>
    </sheetView>
  </sheetViews>
  <sheetFormatPr defaultColWidth="8.6640625" defaultRowHeight="14.4" x14ac:dyDescent="0.3"/>
  <cols>
    <col min="1" max="1" width="36" bestFit="1" customWidth="1"/>
    <col min="2" max="2" width="35.6640625" bestFit="1" customWidth="1"/>
    <col min="3" max="3" width="4.109375" bestFit="1" customWidth="1"/>
    <col min="4" max="4" width="10.6640625" bestFit="1" customWidth="1"/>
    <col min="5" max="5" width="11.109375" bestFit="1" customWidth="1"/>
    <col min="6" max="6" width="11.44140625" bestFit="1" customWidth="1"/>
    <col min="7" max="7" width="11.109375" bestFit="1" customWidth="1"/>
    <col min="8" max="8" width="8.109375" bestFit="1" customWidth="1"/>
    <col min="9" max="9" width="13.6640625" bestFit="1" customWidth="1"/>
    <col min="10" max="10" width="11.109375" bestFit="1" customWidth="1"/>
    <col min="11" max="11" width="12.33203125" bestFit="1" customWidth="1"/>
    <col min="12" max="12" width="9.6640625" bestFit="1" customWidth="1"/>
    <col min="13" max="13" width="26.109375" bestFit="1" customWidth="1"/>
    <col min="14" max="14" width="23.44140625" bestFit="1" customWidth="1"/>
    <col min="15" max="15" width="12.6640625" style="13" customWidth="1"/>
    <col min="16" max="16" width="5.6640625" bestFit="1" customWidth="1"/>
  </cols>
  <sheetData>
    <row r="1" spans="1:16" x14ac:dyDescent="0.3">
      <c r="A1" s="1" t="s">
        <v>0</v>
      </c>
      <c r="B1" s="1" t="s">
        <v>413</v>
      </c>
      <c r="C1" s="1" t="s">
        <v>414</v>
      </c>
      <c r="D1" s="1" t="s">
        <v>415</v>
      </c>
      <c r="E1" s="1" t="s">
        <v>321</v>
      </c>
      <c r="F1" s="1" t="s">
        <v>416</v>
      </c>
      <c r="G1" s="1" t="s">
        <v>322</v>
      </c>
      <c r="H1" s="1" t="s">
        <v>417</v>
      </c>
      <c r="I1" s="1" t="s">
        <v>418</v>
      </c>
      <c r="J1" s="1" t="s">
        <v>419</v>
      </c>
      <c r="K1" s="1" t="s">
        <v>420</v>
      </c>
      <c r="L1" s="1" t="s">
        <v>421</v>
      </c>
      <c r="M1" s="1" t="s">
        <v>422</v>
      </c>
      <c r="N1" s="1" t="s">
        <v>423</v>
      </c>
      <c r="O1" s="12" t="s">
        <v>82</v>
      </c>
      <c r="P1" s="1" t="s">
        <v>332</v>
      </c>
    </row>
    <row r="2" spans="1:16" x14ac:dyDescent="0.3">
      <c r="A2" t="s">
        <v>333</v>
      </c>
      <c r="B2" t="s">
        <v>424</v>
      </c>
      <c r="E2" t="s">
        <v>573</v>
      </c>
      <c r="F2">
        <v>1</v>
      </c>
      <c r="G2" t="s">
        <v>425</v>
      </c>
      <c r="H2" t="s">
        <v>549</v>
      </c>
      <c r="O2" s="13" t="str">
        <f>"col"&amp;$E2&amp;"("&amp;$H2&amp;")"</f>
        <v>col1_1(TEXT)</v>
      </c>
      <c r="P2" t="s">
        <v>335</v>
      </c>
    </row>
    <row r="3" spans="1:16" x14ac:dyDescent="0.3">
      <c r="A3" t="s">
        <v>336</v>
      </c>
      <c r="B3" t="s">
        <v>424</v>
      </c>
      <c r="E3" t="s">
        <v>574</v>
      </c>
      <c r="F3">
        <v>2</v>
      </c>
      <c r="G3" t="s">
        <v>426</v>
      </c>
      <c r="H3" t="s">
        <v>549</v>
      </c>
      <c r="O3" s="13" t="str">
        <f t="shared" ref="O3:O10" si="0">"col"&amp;$E3&amp;"("&amp;$H3&amp;")"</f>
        <v>col1_2(TEXT)</v>
      </c>
      <c r="P3" t="s">
        <v>335</v>
      </c>
    </row>
    <row r="4" spans="1:16" x14ac:dyDescent="0.3">
      <c r="A4" t="s">
        <v>338</v>
      </c>
      <c r="B4" t="s">
        <v>424</v>
      </c>
      <c r="E4" t="s">
        <v>575</v>
      </c>
      <c r="F4">
        <v>3</v>
      </c>
      <c r="G4" t="s">
        <v>427</v>
      </c>
      <c r="H4" t="s">
        <v>549</v>
      </c>
      <c r="O4" s="13" t="str">
        <f t="shared" si="0"/>
        <v>col1_3(TEXT)</v>
      </c>
      <c r="P4" t="s">
        <v>335</v>
      </c>
    </row>
    <row r="5" spans="1:16" x14ac:dyDescent="0.3">
      <c r="A5" t="s">
        <v>340</v>
      </c>
      <c r="B5" t="s">
        <v>428</v>
      </c>
      <c r="E5" t="s">
        <v>576</v>
      </c>
      <c r="F5">
        <v>1</v>
      </c>
      <c r="G5" t="s">
        <v>429</v>
      </c>
      <c r="H5" t="s">
        <v>549</v>
      </c>
      <c r="O5" s="13" t="str">
        <f t="shared" si="0"/>
        <v>col2_1(TEXT)</v>
      </c>
      <c r="P5" t="s">
        <v>335</v>
      </c>
    </row>
    <row r="6" spans="1:16" x14ac:dyDescent="0.3">
      <c r="A6" t="s">
        <v>342</v>
      </c>
      <c r="B6" t="s">
        <v>428</v>
      </c>
      <c r="E6" t="s">
        <v>577</v>
      </c>
      <c r="F6">
        <v>2</v>
      </c>
      <c r="G6" t="s">
        <v>430</v>
      </c>
      <c r="H6" t="s">
        <v>549</v>
      </c>
      <c r="O6" s="13" t="str">
        <f t="shared" si="0"/>
        <v>col2_2(TEXT)</v>
      </c>
      <c r="P6" t="s">
        <v>335</v>
      </c>
    </row>
    <row r="7" spans="1:16" x14ac:dyDescent="0.3">
      <c r="A7" t="s">
        <v>344</v>
      </c>
      <c r="B7" t="s">
        <v>428</v>
      </c>
      <c r="E7" t="s">
        <v>578</v>
      </c>
      <c r="F7">
        <v>3</v>
      </c>
      <c r="G7" t="s">
        <v>431</v>
      </c>
      <c r="H7" t="s">
        <v>549</v>
      </c>
      <c r="O7" s="13" t="str">
        <f t="shared" si="0"/>
        <v>col2_3(TEXT)</v>
      </c>
      <c r="P7" t="s">
        <v>335</v>
      </c>
    </row>
    <row r="8" spans="1:16" x14ac:dyDescent="0.3">
      <c r="A8" t="s">
        <v>346</v>
      </c>
      <c r="B8" t="s">
        <v>432</v>
      </c>
      <c r="E8" t="s">
        <v>579</v>
      </c>
      <c r="F8">
        <v>1</v>
      </c>
      <c r="G8" t="s">
        <v>433</v>
      </c>
      <c r="H8" t="s">
        <v>549</v>
      </c>
      <c r="O8" s="13" t="str">
        <f t="shared" si="0"/>
        <v>col3_1(TEXT)</v>
      </c>
      <c r="P8" t="s">
        <v>335</v>
      </c>
    </row>
    <row r="9" spans="1:16" x14ac:dyDescent="0.3">
      <c r="A9" t="s">
        <v>348</v>
      </c>
      <c r="B9" t="s">
        <v>432</v>
      </c>
      <c r="E9" t="s">
        <v>580</v>
      </c>
      <c r="F9">
        <v>2</v>
      </c>
      <c r="G9" t="s">
        <v>434</v>
      </c>
      <c r="H9" t="s">
        <v>549</v>
      </c>
      <c r="O9" s="13" t="str">
        <f t="shared" si="0"/>
        <v>col3_2(TEXT)</v>
      </c>
      <c r="P9" t="s">
        <v>335</v>
      </c>
    </row>
    <row r="10" spans="1:16" x14ac:dyDescent="0.3">
      <c r="A10" t="s">
        <v>350</v>
      </c>
      <c r="B10" t="s">
        <v>432</v>
      </c>
      <c r="E10" t="s">
        <v>581</v>
      </c>
      <c r="F10">
        <v>3</v>
      </c>
      <c r="G10" t="s">
        <v>435</v>
      </c>
      <c r="H10" t="s">
        <v>549</v>
      </c>
      <c r="O10" s="13" t="str">
        <f t="shared" si="0"/>
        <v>col3_3(TEXT)</v>
      </c>
      <c r="P10" t="s">
        <v>335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9DBA-4D09-4E45-A394-72AC78245E1D}">
  <dimension ref="A1:C6"/>
  <sheetViews>
    <sheetView workbookViewId="0">
      <selection activeCell="C2" sqref="C2"/>
    </sheetView>
  </sheetViews>
  <sheetFormatPr defaultColWidth="8.6640625" defaultRowHeight="14.4" x14ac:dyDescent="0.3"/>
  <cols>
    <col min="1" max="1" width="34.6640625" bestFit="1" customWidth="1"/>
  </cols>
  <sheetData>
    <row r="1" spans="1:3" x14ac:dyDescent="0.3">
      <c r="A1" t="s">
        <v>0</v>
      </c>
      <c r="B1" t="s">
        <v>57</v>
      </c>
      <c r="C1" t="s">
        <v>692</v>
      </c>
    </row>
    <row r="2" spans="1:3" x14ac:dyDescent="0.3">
      <c r="A2" t="s">
        <v>121</v>
      </c>
      <c r="B2" t="s">
        <v>693</v>
      </c>
    </row>
    <row r="3" spans="1:3" x14ac:dyDescent="0.3">
      <c r="A3" t="s">
        <v>125</v>
      </c>
      <c r="B3" t="s">
        <v>694</v>
      </c>
    </row>
    <row r="4" spans="1:3" x14ac:dyDescent="0.3">
      <c r="A4" t="s">
        <v>129</v>
      </c>
      <c r="B4" t="s">
        <v>695</v>
      </c>
    </row>
    <row r="5" spans="1:3" x14ac:dyDescent="0.3">
      <c r="A5" t="s">
        <v>133</v>
      </c>
      <c r="B5" t="s">
        <v>696</v>
      </c>
    </row>
    <row r="6" spans="1:3" x14ac:dyDescent="0.3">
      <c r="A6" t="s">
        <v>137</v>
      </c>
      <c r="B6" t="s">
        <v>697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5204-3F7C-438F-A194-7543BC84CF2A}">
  <dimension ref="A1:C6"/>
  <sheetViews>
    <sheetView workbookViewId="0">
      <selection activeCell="B2" sqref="B2"/>
    </sheetView>
  </sheetViews>
  <sheetFormatPr defaultColWidth="8.6640625" defaultRowHeight="14.4" x14ac:dyDescent="0.3"/>
  <cols>
    <col min="1" max="1" width="35.33203125" bestFit="1" customWidth="1"/>
    <col min="2" max="2" width="16" bestFit="1" customWidth="1"/>
    <col min="3" max="3" width="10" bestFit="1" customWidth="1"/>
  </cols>
  <sheetData>
    <row r="1" spans="1:3" x14ac:dyDescent="0.3">
      <c r="A1" t="s">
        <v>0</v>
      </c>
      <c r="B1" t="s">
        <v>57</v>
      </c>
      <c r="C1" t="s">
        <v>698</v>
      </c>
    </row>
    <row r="2" spans="1:3" x14ac:dyDescent="0.3">
      <c r="A2" t="s">
        <v>122</v>
      </c>
      <c r="B2" t="s">
        <v>699</v>
      </c>
      <c r="C2" t="s">
        <v>706</v>
      </c>
    </row>
    <row r="3" spans="1:3" x14ac:dyDescent="0.3">
      <c r="A3" t="s">
        <v>126</v>
      </c>
      <c r="B3" t="s">
        <v>700</v>
      </c>
      <c r="C3" t="s">
        <v>706</v>
      </c>
    </row>
    <row r="4" spans="1:3" x14ac:dyDescent="0.3">
      <c r="A4" t="s">
        <v>130</v>
      </c>
      <c r="B4" t="s">
        <v>701</v>
      </c>
      <c r="C4" t="s">
        <v>706</v>
      </c>
    </row>
    <row r="5" spans="1:3" x14ac:dyDescent="0.3">
      <c r="A5" t="s">
        <v>134</v>
      </c>
      <c r="B5" t="s">
        <v>702</v>
      </c>
      <c r="C5" t="s">
        <v>706</v>
      </c>
    </row>
    <row r="6" spans="1:3" x14ac:dyDescent="0.3">
      <c r="A6" t="s">
        <v>138</v>
      </c>
      <c r="B6" t="s">
        <v>703</v>
      </c>
      <c r="C6" t="s">
        <v>706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"/>
  <sheetViews>
    <sheetView workbookViewId="0">
      <selection activeCell="D2" sqref="D2"/>
    </sheetView>
  </sheetViews>
  <sheetFormatPr defaultColWidth="8.6640625" defaultRowHeight="14.4" x14ac:dyDescent="0.3"/>
  <cols>
    <col min="1" max="1" width="35.44140625" bestFit="1" customWidth="1"/>
    <col min="2" max="3" width="10" bestFit="1" customWidth="1"/>
    <col min="4" max="4" width="34.6640625" bestFit="1" customWidth="1"/>
    <col min="5" max="5" width="34.6640625" style="13" customWidth="1"/>
    <col min="6" max="6" width="7" bestFit="1" customWidth="1"/>
    <col min="7" max="7" width="35.33203125" bestFit="1" customWidth="1"/>
    <col min="8" max="8" width="35.33203125" style="13" customWidth="1"/>
    <col min="9" max="9" width="15" bestFit="1" customWidth="1"/>
  </cols>
  <sheetData>
    <row r="1" spans="1:9" x14ac:dyDescent="0.3">
      <c r="A1" s="1" t="s">
        <v>0</v>
      </c>
      <c r="B1" s="1" t="s">
        <v>57</v>
      </c>
      <c r="C1" s="1" t="s">
        <v>82</v>
      </c>
      <c r="D1" s="1" t="s">
        <v>115</v>
      </c>
      <c r="E1" s="12" t="s">
        <v>704</v>
      </c>
      <c r="F1" s="1" t="s">
        <v>116</v>
      </c>
      <c r="G1" s="1" t="s">
        <v>117</v>
      </c>
      <c r="H1" s="12" t="s">
        <v>705</v>
      </c>
      <c r="I1" s="1" t="s">
        <v>118</v>
      </c>
    </row>
    <row r="2" spans="1:9" x14ac:dyDescent="0.3">
      <c r="A2" t="s">
        <v>119</v>
      </c>
      <c r="B2" t="s">
        <v>120</v>
      </c>
      <c r="D2" t="s">
        <v>121</v>
      </c>
      <c r="E2" s="13" t="str">
        <f>INDEX(Disease!$B:$B,MATCH($D2,Disease!$A:$A,0))</f>
        <v>disease1</v>
      </c>
      <c r="G2" t="s">
        <v>122</v>
      </c>
      <c r="H2" s="13" t="str">
        <f>INDEX(EtiologicalAgent!$B:$B,MATCH($G2,EtiologicalAgent!$A:$A,0))</f>
        <v>etiological_agent1</v>
      </c>
    </row>
    <row r="3" spans="1:9" x14ac:dyDescent="0.3">
      <c r="A3" t="s">
        <v>123</v>
      </c>
      <c r="B3" t="s">
        <v>124</v>
      </c>
      <c r="D3" t="s">
        <v>125</v>
      </c>
      <c r="E3" s="13" t="str">
        <f>INDEX(Disease!$B:$B,MATCH($D3,Disease!$A:$A,0))</f>
        <v>disease2</v>
      </c>
      <c r="G3" t="s">
        <v>126</v>
      </c>
      <c r="H3" s="13" t="str">
        <f>INDEX(EtiologicalAgent!$B:$B,MATCH($G3,EtiologicalAgent!$A:$A,0))</f>
        <v>etiological_agent2</v>
      </c>
    </row>
    <row r="4" spans="1:9" x14ac:dyDescent="0.3">
      <c r="A4" t="s">
        <v>127</v>
      </c>
      <c r="B4" t="s">
        <v>128</v>
      </c>
      <c r="D4" t="s">
        <v>129</v>
      </c>
      <c r="E4" s="13" t="str">
        <f>INDEX(Disease!$B:$B,MATCH($D4,Disease!$A:$A,0))</f>
        <v>disease3</v>
      </c>
      <c r="G4" t="s">
        <v>130</v>
      </c>
      <c r="H4" s="13" t="str">
        <f>INDEX(EtiologicalAgent!$B:$B,MATCH($G4,EtiologicalAgent!$A:$A,0))</f>
        <v>etiological_agent3</v>
      </c>
    </row>
    <row r="5" spans="1:9" x14ac:dyDescent="0.3">
      <c r="A5" t="s">
        <v>131</v>
      </c>
      <c r="B5" t="s">
        <v>132</v>
      </c>
      <c r="D5" t="s">
        <v>133</v>
      </c>
      <c r="E5" s="13" t="str">
        <f>INDEX(Disease!$B:$B,MATCH($D5,Disease!$A:$A,0))</f>
        <v>disease4</v>
      </c>
      <c r="G5" t="s">
        <v>134</v>
      </c>
      <c r="H5" s="13" t="str">
        <f>INDEX(EtiologicalAgent!$B:$B,MATCH($G5,EtiologicalAgent!$A:$A,0))</f>
        <v>etiological_agent4</v>
      </c>
    </row>
    <row r="6" spans="1:9" x14ac:dyDescent="0.3">
      <c r="A6" t="s">
        <v>135</v>
      </c>
      <c r="B6" t="s">
        <v>136</v>
      </c>
      <c r="D6" t="s">
        <v>137</v>
      </c>
      <c r="E6" s="13" t="str">
        <f>INDEX(Disease!$B:$B,MATCH($D6,Disease!$A:$A,0))</f>
        <v>disease5</v>
      </c>
      <c r="G6" t="s">
        <v>138</v>
      </c>
      <c r="H6" s="13" t="str">
        <f>INDEX(EtiologicalAgent!$B:$B,MATCH($G6,EtiologicalAgent!$A:$A,0))</f>
        <v>etiological_agent5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>
      <selection activeCell="A3" sqref="A3"/>
    </sheetView>
  </sheetViews>
  <sheetFormatPr defaultColWidth="8.6640625" defaultRowHeight="14.4" x14ac:dyDescent="0.3"/>
  <cols>
    <col min="1" max="1" width="34.109375" bestFit="1" customWidth="1"/>
    <col min="2" max="2" width="21.6640625" bestFit="1" customWidth="1"/>
    <col min="3" max="3" width="10" bestFit="1" customWidth="1"/>
    <col min="4" max="4" width="4.44140625" bestFit="1" customWidth="1"/>
    <col min="5" max="5" width="8.6640625" bestFit="1" customWidth="1"/>
  </cols>
  <sheetData>
    <row r="1" spans="1:5" x14ac:dyDescent="0.3">
      <c r="A1" s="1" t="s">
        <v>0</v>
      </c>
      <c r="B1" s="1" t="s">
        <v>57</v>
      </c>
      <c r="C1" s="1" t="s">
        <v>82</v>
      </c>
      <c r="D1" s="1" t="s">
        <v>85</v>
      </c>
      <c r="E1" s="1" t="s">
        <v>112</v>
      </c>
    </row>
    <row r="2" spans="1:5" x14ac:dyDescent="0.3">
      <c r="A2" t="s">
        <v>87</v>
      </c>
      <c r="B2" t="s">
        <v>113</v>
      </c>
      <c r="D2">
        <v>0</v>
      </c>
      <c r="E2" t="s">
        <v>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D2" sqref="D2"/>
    </sheetView>
  </sheetViews>
  <sheetFormatPr defaultColWidth="8.6640625" defaultRowHeight="14.4" x14ac:dyDescent="0.3"/>
  <cols>
    <col min="1" max="1" width="35.6640625" bestFit="1" customWidth="1"/>
    <col min="2" max="2" width="15" bestFit="1" customWidth="1"/>
    <col min="3" max="3" width="10" bestFit="1" customWidth="1"/>
    <col min="4" max="4" width="34.109375" bestFit="1" customWidth="1"/>
    <col min="5" max="5" width="29.6640625" style="6" bestFit="1" customWidth="1"/>
    <col min="6" max="6" width="21" bestFit="1" customWidth="1"/>
    <col min="7" max="7" width="4.44140625" bestFit="1" customWidth="1"/>
  </cols>
  <sheetData>
    <row r="1" spans="1:7" x14ac:dyDescent="0.3">
      <c r="A1" s="1" t="s">
        <v>0</v>
      </c>
      <c r="B1" s="1" t="s">
        <v>57</v>
      </c>
      <c r="C1" s="1" t="s">
        <v>82</v>
      </c>
      <c r="D1" s="1" t="s">
        <v>83</v>
      </c>
      <c r="E1" s="10" t="s">
        <v>586</v>
      </c>
      <c r="F1" s="1" t="s">
        <v>84</v>
      </c>
      <c r="G1" s="1" t="s">
        <v>85</v>
      </c>
    </row>
    <row r="2" spans="1:7" x14ac:dyDescent="0.3">
      <c r="A2" t="s">
        <v>63</v>
      </c>
      <c r="B2" t="s">
        <v>86</v>
      </c>
      <c r="D2" t="s">
        <v>87</v>
      </c>
      <c r="E2" s="6" t="str">
        <f>INDEX(CaseTypeSetCategory!$B:$B,MATCH($D2,CaseTypeSetCategory!$A:$A,0))</f>
        <v>case_type_set_category1</v>
      </c>
      <c r="G2">
        <v>0</v>
      </c>
    </row>
    <row r="3" spans="1:7" x14ac:dyDescent="0.3">
      <c r="A3" t="s">
        <v>65</v>
      </c>
      <c r="B3" t="s">
        <v>88</v>
      </c>
      <c r="D3" t="s">
        <v>87</v>
      </c>
      <c r="E3" s="6" t="str">
        <f>INDEX(CaseTypeSetCategory!$B:$B,MATCH($D3,CaseTypeSetCategory!$A:$A,0))</f>
        <v>case_type_set_category1</v>
      </c>
      <c r="G3">
        <v>0</v>
      </c>
    </row>
    <row r="4" spans="1:7" x14ac:dyDescent="0.3">
      <c r="A4" t="s">
        <v>67</v>
      </c>
      <c r="B4" t="s">
        <v>89</v>
      </c>
      <c r="D4" t="s">
        <v>87</v>
      </c>
      <c r="E4" s="6" t="str">
        <f>INDEX(CaseTypeSetCategory!$B:$B,MATCH($D4,CaseTypeSetCategory!$A:$A,0))</f>
        <v>case_type_set_category1</v>
      </c>
      <c r="G4">
        <v>0</v>
      </c>
    </row>
    <row r="5" spans="1:7" x14ac:dyDescent="0.3">
      <c r="A5" t="s">
        <v>69</v>
      </c>
      <c r="B5" t="s">
        <v>90</v>
      </c>
      <c r="D5" t="s">
        <v>87</v>
      </c>
      <c r="E5" s="6" t="str">
        <f>INDEX(CaseTypeSetCategory!$B:$B,MATCH($D5,CaseTypeSetCategory!$A:$A,0))</f>
        <v>case_type_set_category1</v>
      </c>
      <c r="G5">
        <v>0</v>
      </c>
    </row>
    <row r="6" spans="1:7" x14ac:dyDescent="0.3">
      <c r="A6" t="s">
        <v>71</v>
      </c>
      <c r="B6" t="s">
        <v>91</v>
      </c>
      <c r="D6" t="s">
        <v>87</v>
      </c>
      <c r="E6" s="6" t="str">
        <f>INDEX(CaseTypeSetCategory!$B:$B,MATCH($D6,CaseTypeSetCategory!$A:$A,0))</f>
        <v>case_type_set_category1</v>
      </c>
      <c r="G6">
        <v>0</v>
      </c>
    </row>
    <row r="7" spans="1:7" x14ac:dyDescent="0.3">
      <c r="A7" t="s">
        <v>92</v>
      </c>
      <c r="B7" t="s">
        <v>93</v>
      </c>
      <c r="D7" t="s">
        <v>87</v>
      </c>
      <c r="E7" s="6" t="str">
        <f>INDEX(CaseTypeSetCategory!$B:$B,MATCH($D7,CaseTypeSetCategory!$A:$A,0))</f>
        <v>case_type_set_category1</v>
      </c>
      <c r="G7">
        <v>0</v>
      </c>
    </row>
    <row r="8" spans="1:7" x14ac:dyDescent="0.3">
      <c r="A8" t="s">
        <v>94</v>
      </c>
      <c r="B8" t="s">
        <v>95</v>
      </c>
      <c r="D8" t="s">
        <v>87</v>
      </c>
      <c r="E8" s="6" t="str">
        <f>INDEX(CaseTypeSetCategory!$B:$B,MATCH($D8,CaseTypeSetCategory!$A:$A,0))</f>
        <v>case_type_set_category1</v>
      </c>
      <c r="G8">
        <v>0</v>
      </c>
    </row>
    <row r="9" spans="1:7" x14ac:dyDescent="0.3">
      <c r="A9" t="s">
        <v>96</v>
      </c>
      <c r="B9" t="s">
        <v>97</v>
      </c>
      <c r="D9" t="s">
        <v>87</v>
      </c>
      <c r="E9" s="6" t="str">
        <f>INDEX(CaseTypeSetCategory!$B:$B,MATCH($D9,CaseTypeSetCategory!$A:$A,0))</f>
        <v>case_type_set_category1</v>
      </c>
      <c r="G9">
        <v>0</v>
      </c>
    </row>
    <row r="10" spans="1:7" x14ac:dyDescent="0.3">
      <c r="A10" t="s">
        <v>98</v>
      </c>
      <c r="B10" t="s">
        <v>99</v>
      </c>
      <c r="D10" t="s">
        <v>87</v>
      </c>
      <c r="E10" s="6" t="str">
        <f>INDEX(CaseTypeSetCategory!$B:$B,MATCH($D10,CaseTypeSetCategory!$A:$A,0))</f>
        <v>case_type_set_category1</v>
      </c>
      <c r="G10">
        <v>0</v>
      </c>
    </row>
    <row r="11" spans="1:7" x14ac:dyDescent="0.3">
      <c r="A11" t="s">
        <v>100</v>
      </c>
      <c r="B11" t="s">
        <v>101</v>
      </c>
      <c r="D11" t="s">
        <v>87</v>
      </c>
      <c r="E11" s="6" t="str">
        <f>INDEX(CaseTypeSetCategory!$B:$B,MATCH($D11,CaseTypeSetCategory!$A:$A,0))</f>
        <v>case_type_set_category1</v>
      </c>
      <c r="G11">
        <v>0</v>
      </c>
    </row>
    <row r="12" spans="1:7" x14ac:dyDescent="0.3">
      <c r="A12" t="s">
        <v>102</v>
      </c>
      <c r="B12" t="s">
        <v>103</v>
      </c>
      <c r="D12" t="s">
        <v>87</v>
      </c>
      <c r="E12" s="6" t="str">
        <f>INDEX(CaseTypeSetCategory!$B:$B,MATCH($D12,CaseTypeSetCategory!$A:$A,0))</f>
        <v>case_type_set_category1</v>
      </c>
      <c r="G12">
        <v>0</v>
      </c>
    </row>
    <row r="13" spans="1:7" x14ac:dyDescent="0.3">
      <c r="A13" t="s">
        <v>104</v>
      </c>
      <c r="B13" t="s">
        <v>105</v>
      </c>
      <c r="D13" t="s">
        <v>87</v>
      </c>
      <c r="E13" s="6" t="str">
        <f>INDEX(CaseTypeSetCategory!$B:$B,MATCH($D13,CaseTypeSetCategory!$A:$A,0))</f>
        <v>case_type_set_category1</v>
      </c>
      <c r="G13">
        <v>0</v>
      </c>
    </row>
    <row r="14" spans="1:7" x14ac:dyDescent="0.3">
      <c r="A14" t="s">
        <v>106</v>
      </c>
      <c r="B14" t="s">
        <v>107</v>
      </c>
      <c r="D14" t="s">
        <v>87</v>
      </c>
      <c r="E14" s="6" t="str">
        <f>INDEX(CaseTypeSetCategory!$B:$B,MATCH($D14,CaseTypeSetCategory!$A:$A,0))</f>
        <v>case_type_set_category1</v>
      </c>
      <c r="G14">
        <v>0</v>
      </c>
    </row>
    <row r="15" spans="1:7" x14ac:dyDescent="0.3">
      <c r="A15" t="s">
        <v>108</v>
      </c>
      <c r="B15" t="s">
        <v>109</v>
      </c>
      <c r="D15" t="s">
        <v>87</v>
      </c>
      <c r="E15" s="6" t="str">
        <f>INDEX(CaseTypeSetCategory!$B:$B,MATCH($D15,CaseTypeSetCategory!$A:$A,0))</f>
        <v>case_type_set_category1</v>
      </c>
      <c r="G15">
        <v>0</v>
      </c>
    </row>
    <row r="16" spans="1:7" x14ac:dyDescent="0.3">
      <c r="A16" t="s">
        <v>110</v>
      </c>
      <c r="B16" t="s">
        <v>111</v>
      </c>
      <c r="D16" t="s">
        <v>87</v>
      </c>
      <c r="E16" s="6" t="str">
        <f>INDEX(CaseTypeSetCategory!$B:$B,MATCH($D16,CaseTypeSetCategory!$A:$A,0))</f>
        <v>case_type_set_category1</v>
      </c>
      <c r="G1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26"/>
  <sheetViews>
    <sheetView workbookViewId="0">
      <selection activeCell="H1" sqref="A1:H26"/>
    </sheetView>
  </sheetViews>
  <sheetFormatPr defaultColWidth="8.6640625" defaultRowHeight="14.4" x14ac:dyDescent="0.3"/>
  <cols>
    <col min="1" max="2" width="35.6640625" bestFit="1" customWidth="1"/>
    <col min="3" max="3" width="20.44140625" style="6" bestFit="1" customWidth="1"/>
    <col min="4" max="4" width="12.6640625" bestFit="1" customWidth="1"/>
    <col min="5" max="5" width="35.44140625" bestFit="1" customWidth="1"/>
    <col min="6" max="6" width="17" style="6" bestFit="1" customWidth="1"/>
    <col min="7" max="7" width="9.109375" bestFit="1" customWidth="1"/>
    <col min="8" max="8" width="9.109375" style="6"/>
  </cols>
  <sheetData>
    <row r="1" spans="1:8" x14ac:dyDescent="0.3">
      <c r="A1" s="1" t="s">
        <v>0</v>
      </c>
      <c r="B1" s="1" t="s">
        <v>58</v>
      </c>
      <c r="C1" s="10" t="s">
        <v>556</v>
      </c>
      <c r="D1" s="1" t="s">
        <v>59</v>
      </c>
      <c r="E1" s="1" t="s">
        <v>316</v>
      </c>
      <c r="F1" s="10" t="s">
        <v>583</v>
      </c>
      <c r="G1" s="1" t="s">
        <v>317</v>
      </c>
      <c r="H1" s="16" t="s">
        <v>667</v>
      </c>
    </row>
    <row r="2" spans="1:8" x14ac:dyDescent="0.3">
      <c r="A2" t="s">
        <v>388</v>
      </c>
      <c r="B2" t="s">
        <v>63</v>
      </c>
      <c r="C2" s="6" t="str">
        <f>INDEX(CaseTypeSet!$B:$B,MATCH($B2,CaseTypeSet!$A:$A,0))</f>
        <v>case_type_set1</v>
      </c>
      <c r="E2" t="s">
        <v>119</v>
      </c>
      <c r="F2" s="6" t="str">
        <f>INDEX(CaseType!$B:$B,MATCH($E2,CaseType!$A:$A,0))</f>
        <v>case_type1</v>
      </c>
      <c r="H2" s="6" t="str">
        <f>$B2&amp;"|"&amp;$E2</f>
        <v>0195d18c-1cb8-5af5-9939-74dc8b5d3b5b|0195d18c-1ca6-fd99-9d76-fcfa0c0cf400</v>
      </c>
    </row>
    <row r="3" spans="1:8" hidden="1" x14ac:dyDescent="0.3">
      <c r="A3" t="s">
        <v>389</v>
      </c>
      <c r="B3" t="s">
        <v>65</v>
      </c>
      <c r="C3" s="6" t="str">
        <f>INDEX(CaseTypeSet!$B:$B,MATCH($B3,CaseTypeSet!$A:$A,0))</f>
        <v>case_type_set2</v>
      </c>
      <c r="E3" t="s">
        <v>123</v>
      </c>
      <c r="F3" s="6" t="str">
        <f>INDEX(CaseType!$B:$B,MATCH($E3,CaseType!$A:$A,0))</f>
        <v>case_type2</v>
      </c>
      <c r="H3"/>
    </row>
    <row r="4" spans="1:8" hidden="1" x14ac:dyDescent="0.3">
      <c r="A4" t="s">
        <v>390</v>
      </c>
      <c r="B4" t="s">
        <v>67</v>
      </c>
      <c r="C4" s="6" t="str">
        <f>INDEX(CaseTypeSet!$B:$B,MATCH($B4,CaseTypeSet!$A:$A,0))</f>
        <v>case_type_set3</v>
      </c>
      <c r="E4" t="s">
        <v>127</v>
      </c>
      <c r="F4" s="6" t="str">
        <f>INDEX(CaseType!$B:$B,MATCH($E4,CaseType!$A:$A,0))</f>
        <v>case_type3</v>
      </c>
      <c r="H4"/>
    </row>
    <row r="5" spans="1:8" hidden="1" x14ac:dyDescent="0.3">
      <c r="A5" t="s">
        <v>391</v>
      </c>
      <c r="B5" t="s">
        <v>69</v>
      </c>
      <c r="C5" s="6" t="str">
        <f>INDEX(CaseTypeSet!$B:$B,MATCH($B5,CaseTypeSet!$A:$A,0))</f>
        <v>case_type_set4</v>
      </c>
      <c r="E5" t="s">
        <v>131</v>
      </c>
      <c r="F5" s="6" t="str">
        <f>INDEX(CaseType!$B:$B,MATCH($E5,CaseType!$A:$A,0))</f>
        <v>case_type4</v>
      </c>
      <c r="H5"/>
    </row>
    <row r="6" spans="1:8" hidden="1" x14ac:dyDescent="0.3">
      <c r="A6" t="s">
        <v>392</v>
      </c>
      <c r="B6" t="s">
        <v>71</v>
      </c>
      <c r="C6" s="6" t="str">
        <f>INDEX(CaseTypeSet!$B:$B,MATCH($B6,CaseTypeSet!$A:$A,0))</f>
        <v>case_type_set5</v>
      </c>
      <c r="E6" t="s">
        <v>135</v>
      </c>
      <c r="F6" s="6" t="str">
        <f>INDEX(CaseType!$B:$B,MATCH($E6,CaseType!$A:$A,0))</f>
        <v>case_type5</v>
      </c>
      <c r="H6"/>
    </row>
    <row r="7" spans="1:8" x14ac:dyDescent="0.3">
      <c r="A7" t="s">
        <v>393</v>
      </c>
      <c r="B7" t="s">
        <v>92</v>
      </c>
      <c r="C7" s="6" t="str">
        <f>INDEX(CaseTypeSet!$B:$B,MATCH($B7,CaseTypeSet!$A:$A,0))</f>
        <v>case_type_set1,2</v>
      </c>
      <c r="E7" t="s">
        <v>119</v>
      </c>
      <c r="F7" s="6" t="str">
        <f>INDEX(CaseType!$B:$B,MATCH($E7,CaseType!$A:$A,0))</f>
        <v>case_type1</v>
      </c>
      <c r="H7" s="6" t="str">
        <f>$B7&amp;"|"&amp;$E7</f>
        <v>0195d18c-1cbb-d7b8-d852-987a801e0ad5|0195d18c-1ca6-fd99-9d76-fcfa0c0cf400</v>
      </c>
    </row>
    <row r="8" spans="1:8" hidden="1" x14ac:dyDescent="0.3">
      <c r="A8" t="s">
        <v>394</v>
      </c>
      <c r="B8" t="s">
        <v>92</v>
      </c>
      <c r="C8" s="6" t="str">
        <f>INDEX(CaseTypeSet!$B:$B,MATCH($B8,CaseTypeSet!$A:$A,0))</f>
        <v>case_type_set1,2</v>
      </c>
      <c r="E8" t="s">
        <v>123</v>
      </c>
      <c r="F8" s="6" t="str">
        <f>INDEX(CaseType!$B:$B,MATCH($E8,CaseType!$A:$A,0))</f>
        <v>case_type2</v>
      </c>
      <c r="H8"/>
    </row>
    <row r="9" spans="1:8" hidden="1" x14ac:dyDescent="0.3">
      <c r="A9" t="s">
        <v>395</v>
      </c>
      <c r="B9" t="s">
        <v>94</v>
      </c>
      <c r="C9" s="6" t="str">
        <f>INDEX(CaseTypeSet!$B:$B,MATCH($B9,CaseTypeSet!$A:$A,0))</f>
        <v>case_type_set1,3</v>
      </c>
      <c r="E9" t="s">
        <v>127</v>
      </c>
      <c r="F9" s="6" t="str">
        <f>INDEX(CaseType!$B:$B,MATCH($E9,CaseType!$A:$A,0))</f>
        <v>case_type3</v>
      </c>
      <c r="H9"/>
    </row>
    <row r="10" spans="1:8" x14ac:dyDescent="0.3">
      <c r="A10" t="s">
        <v>396</v>
      </c>
      <c r="B10" t="s">
        <v>94</v>
      </c>
      <c r="C10" s="6" t="str">
        <f>INDEX(CaseTypeSet!$B:$B,MATCH($B10,CaseTypeSet!$A:$A,0))</f>
        <v>case_type_set1,3</v>
      </c>
      <c r="E10" t="s">
        <v>119</v>
      </c>
      <c r="F10" s="6" t="str">
        <f>INDEX(CaseType!$B:$B,MATCH($E10,CaseType!$A:$A,0))</f>
        <v>case_type1</v>
      </c>
      <c r="H10" s="6" t="str">
        <f t="shared" ref="H10:H11" si="0">$B10&amp;"|"&amp;$E10</f>
        <v>0195d18c-1cbb-5047-ab67-71cb2cb84047|0195d18c-1ca6-fd99-9d76-fcfa0c0cf400</v>
      </c>
    </row>
    <row r="11" spans="1:8" x14ac:dyDescent="0.3">
      <c r="A11" t="s">
        <v>397</v>
      </c>
      <c r="B11" t="s">
        <v>96</v>
      </c>
      <c r="C11" s="6" t="str">
        <f>INDEX(CaseTypeSet!$B:$B,MATCH($B11,CaseTypeSet!$A:$A,0))</f>
        <v>case_type_set1,4</v>
      </c>
      <c r="E11" t="s">
        <v>119</v>
      </c>
      <c r="F11" s="6" t="str">
        <f>INDEX(CaseType!$B:$B,MATCH($E11,CaseType!$A:$A,0))</f>
        <v>case_type1</v>
      </c>
      <c r="H11" s="6" t="str">
        <f t="shared" si="0"/>
        <v>0195d18c-1cbc-41fb-3ad7-2eed31140bd6|0195d18c-1ca6-fd99-9d76-fcfa0c0cf400</v>
      </c>
    </row>
    <row r="12" spans="1:8" hidden="1" x14ac:dyDescent="0.3">
      <c r="A12" t="s">
        <v>398</v>
      </c>
      <c r="B12" t="s">
        <v>96</v>
      </c>
      <c r="C12" s="6" t="str">
        <f>INDEX(CaseTypeSet!$B:$B,MATCH($B12,CaseTypeSet!$A:$A,0))</f>
        <v>case_type_set1,4</v>
      </c>
      <c r="E12" t="s">
        <v>131</v>
      </c>
      <c r="F12" s="6" t="str">
        <f>INDEX(CaseType!$B:$B,MATCH($E12,CaseType!$A:$A,0))</f>
        <v>case_type4</v>
      </c>
      <c r="H12"/>
    </row>
    <row r="13" spans="1:8" hidden="1" x14ac:dyDescent="0.3">
      <c r="A13" t="s">
        <v>399</v>
      </c>
      <c r="B13" t="s">
        <v>98</v>
      </c>
      <c r="C13" s="6" t="str">
        <f>INDEX(CaseTypeSet!$B:$B,MATCH($B13,CaseTypeSet!$A:$A,0))</f>
        <v>case_type_set1,5</v>
      </c>
      <c r="E13" t="s">
        <v>135</v>
      </c>
      <c r="F13" s="6" t="str">
        <f>INDEX(CaseType!$B:$B,MATCH($E13,CaseType!$A:$A,0))</f>
        <v>case_type5</v>
      </c>
      <c r="H13"/>
    </row>
    <row r="14" spans="1:8" x14ac:dyDescent="0.3">
      <c r="A14" t="s">
        <v>400</v>
      </c>
      <c r="B14" t="s">
        <v>98</v>
      </c>
      <c r="C14" s="6" t="str">
        <f>INDEX(CaseTypeSet!$B:$B,MATCH($B14,CaseTypeSet!$A:$A,0))</f>
        <v>case_type_set1,5</v>
      </c>
      <c r="E14" t="s">
        <v>119</v>
      </c>
      <c r="F14" s="6" t="str">
        <f>INDEX(CaseType!$B:$B,MATCH($E14,CaseType!$A:$A,0))</f>
        <v>case_type1</v>
      </c>
      <c r="H14" s="6" t="str">
        <f>$B14&amp;"|"&amp;$E14</f>
        <v>0195d18c-1cbc-cf9a-b28d-bd77d3b30365|0195d18c-1ca6-fd99-9d76-fcfa0c0cf400</v>
      </c>
    </row>
    <row r="15" spans="1:8" hidden="1" x14ac:dyDescent="0.3">
      <c r="A15" t="s">
        <v>401</v>
      </c>
      <c r="B15" t="s">
        <v>100</v>
      </c>
      <c r="C15" s="6" t="str">
        <f>INDEX(CaseTypeSet!$B:$B,MATCH($B15,CaseTypeSet!$A:$A,0))</f>
        <v>case_type_set2,3</v>
      </c>
      <c r="E15" t="s">
        <v>127</v>
      </c>
      <c r="F15" s="6" t="str">
        <f>INDEX(CaseType!$B:$B,MATCH($E15,CaseType!$A:$A,0))</f>
        <v>case_type3</v>
      </c>
      <c r="H15"/>
    </row>
    <row r="16" spans="1:8" hidden="1" x14ac:dyDescent="0.3">
      <c r="A16" t="s">
        <v>402</v>
      </c>
      <c r="B16" t="s">
        <v>100</v>
      </c>
      <c r="C16" s="6" t="str">
        <f>INDEX(CaseTypeSet!$B:$B,MATCH($B16,CaseTypeSet!$A:$A,0))</f>
        <v>case_type_set2,3</v>
      </c>
      <c r="E16" t="s">
        <v>123</v>
      </c>
      <c r="F16" s="6" t="str">
        <f>INDEX(CaseType!$B:$B,MATCH($E16,CaseType!$A:$A,0))</f>
        <v>case_type2</v>
      </c>
      <c r="H16"/>
    </row>
    <row r="17" spans="1:6" customFormat="1" hidden="1" x14ac:dyDescent="0.3">
      <c r="A17" t="s">
        <v>403</v>
      </c>
      <c r="B17" t="s">
        <v>102</v>
      </c>
      <c r="C17" s="6" t="str">
        <f>INDEX(CaseTypeSet!$B:$B,MATCH($B17,CaseTypeSet!$A:$A,0))</f>
        <v>case_type_set2,4</v>
      </c>
      <c r="E17" t="s">
        <v>131</v>
      </c>
      <c r="F17" s="6" t="str">
        <f>INDEX(CaseType!$B:$B,MATCH($E17,CaseType!$A:$A,0))</f>
        <v>case_type4</v>
      </c>
    </row>
    <row r="18" spans="1:6" customFormat="1" hidden="1" x14ac:dyDescent="0.3">
      <c r="A18" t="s">
        <v>404</v>
      </c>
      <c r="B18" t="s">
        <v>102</v>
      </c>
      <c r="C18" s="6" t="str">
        <f>INDEX(CaseTypeSet!$B:$B,MATCH($B18,CaseTypeSet!$A:$A,0))</f>
        <v>case_type_set2,4</v>
      </c>
      <c r="E18" t="s">
        <v>123</v>
      </c>
      <c r="F18" s="6" t="str">
        <f>INDEX(CaseType!$B:$B,MATCH($E18,CaseType!$A:$A,0))</f>
        <v>case_type2</v>
      </c>
    </row>
    <row r="19" spans="1:6" customFormat="1" hidden="1" x14ac:dyDescent="0.3">
      <c r="A19" t="s">
        <v>405</v>
      </c>
      <c r="B19" t="s">
        <v>104</v>
      </c>
      <c r="C19" s="6" t="str">
        <f>INDEX(CaseTypeSet!$B:$B,MATCH($B19,CaseTypeSet!$A:$A,0))</f>
        <v>case_type_set2,5</v>
      </c>
      <c r="E19" t="s">
        <v>135</v>
      </c>
      <c r="F19" s="6" t="str">
        <f>INDEX(CaseType!$B:$B,MATCH($E19,CaseType!$A:$A,0))</f>
        <v>case_type5</v>
      </c>
    </row>
    <row r="20" spans="1:6" customFormat="1" hidden="1" x14ac:dyDescent="0.3">
      <c r="A20" t="s">
        <v>406</v>
      </c>
      <c r="B20" t="s">
        <v>104</v>
      </c>
      <c r="C20" s="6" t="str">
        <f>INDEX(CaseTypeSet!$B:$B,MATCH($B20,CaseTypeSet!$A:$A,0))</f>
        <v>case_type_set2,5</v>
      </c>
      <c r="E20" t="s">
        <v>123</v>
      </c>
      <c r="F20" s="6" t="str">
        <f>INDEX(CaseType!$B:$B,MATCH($E20,CaseType!$A:$A,0))</f>
        <v>case_type2</v>
      </c>
    </row>
    <row r="21" spans="1:6" customFormat="1" hidden="1" x14ac:dyDescent="0.3">
      <c r="A21" t="s">
        <v>407</v>
      </c>
      <c r="B21" t="s">
        <v>106</v>
      </c>
      <c r="C21" s="6" t="str">
        <f>INDEX(CaseTypeSet!$B:$B,MATCH($B21,CaseTypeSet!$A:$A,0))</f>
        <v>case_type_set3,4</v>
      </c>
      <c r="E21" t="s">
        <v>127</v>
      </c>
      <c r="F21" s="6" t="str">
        <f>INDEX(CaseType!$B:$B,MATCH($E21,CaseType!$A:$A,0))</f>
        <v>case_type3</v>
      </c>
    </row>
    <row r="22" spans="1:6" customFormat="1" hidden="1" x14ac:dyDescent="0.3">
      <c r="A22" t="s">
        <v>408</v>
      </c>
      <c r="B22" t="s">
        <v>106</v>
      </c>
      <c r="C22" s="6" t="str">
        <f>INDEX(CaseTypeSet!$B:$B,MATCH($B22,CaseTypeSet!$A:$A,0))</f>
        <v>case_type_set3,4</v>
      </c>
      <c r="E22" t="s">
        <v>131</v>
      </c>
      <c r="F22" s="6" t="str">
        <f>INDEX(CaseType!$B:$B,MATCH($E22,CaseType!$A:$A,0))</f>
        <v>case_type4</v>
      </c>
    </row>
    <row r="23" spans="1:6" customFormat="1" hidden="1" x14ac:dyDescent="0.3">
      <c r="A23" t="s">
        <v>409</v>
      </c>
      <c r="B23" t="s">
        <v>108</v>
      </c>
      <c r="C23" s="6" t="str">
        <f>INDEX(CaseTypeSet!$B:$B,MATCH($B23,CaseTypeSet!$A:$A,0))</f>
        <v>case_type_set3,5</v>
      </c>
      <c r="E23" t="s">
        <v>127</v>
      </c>
      <c r="F23" s="6" t="str">
        <f>INDEX(CaseType!$B:$B,MATCH($E23,CaseType!$A:$A,0))</f>
        <v>case_type3</v>
      </c>
    </row>
    <row r="24" spans="1:6" customFormat="1" hidden="1" x14ac:dyDescent="0.3">
      <c r="A24" t="s">
        <v>410</v>
      </c>
      <c r="B24" t="s">
        <v>108</v>
      </c>
      <c r="C24" s="6" t="str">
        <f>INDEX(CaseTypeSet!$B:$B,MATCH($B24,CaseTypeSet!$A:$A,0))</f>
        <v>case_type_set3,5</v>
      </c>
      <c r="E24" t="s">
        <v>135</v>
      </c>
      <c r="F24" s="6" t="str">
        <f>INDEX(CaseType!$B:$B,MATCH($E24,CaseType!$A:$A,0))</f>
        <v>case_type5</v>
      </c>
    </row>
    <row r="25" spans="1:6" customFormat="1" hidden="1" x14ac:dyDescent="0.3">
      <c r="A25" t="s">
        <v>411</v>
      </c>
      <c r="B25" t="s">
        <v>110</v>
      </c>
      <c r="C25" s="6" t="str">
        <f>INDEX(CaseTypeSet!$B:$B,MATCH($B25,CaseTypeSet!$A:$A,0))</f>
        <v>case_type_set4,5</v>
      </c>
      <c r="E25" t="s">
        <v>135</v>
      </c>
      <c r="F25" s="6" t="str">
        <f>INDEX(CaseType!$B:$B,MATCH($E25,CaseType!$A:$A,0))</f>
        <v>case_type5</v>
      </c>
    </row>
    <row r="26" spans="1:6" customFormat="1" hidden="1" x14ac:dyDescent="0.3">
      <c r="A26" t="s">
        <v>412</v>
      </c>
      <c r="B26" t="s">
        <v>110</v>
      </c>
      <c r="C26" s="6" t="str">
        <f>INDEX(CaseTypeSet!$B:$B,MATCH($B26,CaseTypeSet!$A:$A,0))</f>
        <v>case_type_set4,5</v>
      </c>
      <c r="E26" t="s">
        <v>131</v>
      </c>
      <c r="F26" s="6" t="str">
        <f>INDEX(CaseType!$B:$B,MATCH($E26,CaseType!$A:$A,0))</f>
        <v>case_type4</v>
      </c>
    </row>
  </sheetData>
  <autoFilter ref="A1:G26" xr:uid="{00000000-0001-0000-0B00-000000000000}">
    <filterColumn colId="5">
      <filters>
        <filter val="case_type1"/>
      </filters>
    </filterColumn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46"/>
  <sheetViews>
    <sheetView workbookViewId="0">
      <selection activeCell="A33" sqref="A33"/>
    </sheetView>
  </sheetViews>
  <sheetFormatPr defaultColWidth="8.6640625" defaultRowHeight="14.4" x14ac:dyDescent="0.3"/>
  <cols>
    <col min="1" max="1" width="35.6640625" bestFit="1" customWidth="1"/>
    <col min="2" max="2" width="35.44140625" bestFit="1" customWidth="1"/>
    <col min="3" max="3" width="9.109375" bestFit="1" customWidth="1"/>
    <col min="4" max="4" width="35.33203125" bestFit="1" customWidth="1"/>
    <col min="5" max="5" width="3.109375" bestFit="1" customWidth="1"/>
    <col min="6" max="6" width="10" bestFit="1" customWidth="1"/>
    <col min="7" max="7" width="21.6640625" bestFit="1" customWidth="1"/>
    <col min="8" max="8" width="4.44140625" bestFit="1" customWidth="1"/>
    <col min="9" max="9" width="4.6640625" bestFit="1" customWidth="1"/>
    <col min="10" max="10" width="10" bestFit="1" customWidth="1"/>
    <col min="11" max="11" width="9.44140625" bestFit="1" customWidth="1"/>
    <col min="12" max="12" width="9.6640625" bestFit="1" customWidth="1"/>
    <col min="13" max="13" width="12.44140625" bestFit="1" customWidth="1"/>
    <col min="14" max="14" width="13" bestFit="1" customWidth="1"/>
    <col min="15" max="15" width="10.109375" bestFit="1" customWidth="1"/>
    <col min="16" max="16" width="10.6640625" bestFit="1" customWidth="1"/>
    <col min="17" max="17" width="7" bestFit="1" customWidth="1"/>
    <col min="18" max="18" width="31.33203125" bestFit="1" customWidth="1"/>
    <col min="19" max="19" width="19.109375" bestFit="1" customWidth="1"/>
    <col min="20" max="20" width="5.44140625" bestFit="1" customWidth="1"/>
  </cols>
  <sheetData>
    <row r="1" spans="1:20" x14ac:dyDescent="0.3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85</v>
      </c>
      <c r="I1" s="1" t="s">
        <v>322</v>
      </c>
      <c r="J1" s="1" t="s">
        <v>82</v>
      </c>
      <c r="K1" s="1" t="s">
        <v>323</v>
      </c>
      <c r="L1" s="1" t="s">
        <v>324</v>
      </c>
      <c r="M1" s="1" t="s">
        <v>325</v>
      </c>
      <c r="N1" s="1" t="s">
        <v>326</v>
      </c>
      <c r="O1" s="1" t="s">
        <v>327</v>
      </c>
      <c r="P1" s="1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  <row r="2" spans="1:20" x14ac:dyDescent="0.3">
      <c r="A2" t="s">
        <v>142</v>
      </c>
      <c r="B2" t="s">
        <v>119</v>
      </c>
      <c r="D2" t="s">
        <v>333</v>
      </c>
      <c r="G2" t="s">
        <v>334</v>
      </c>
      <c r="T2" t="s">
        <v>335</v>
      </c>
    </row>
    <row r="3" spans="1:20" x14ac:dyDescent="0.3">
      <c r="A3" t="s">
        <v>145</v>
      </c>
      <c r="B3" t="s">
        <v>119</v>
      </c>
      <c r="D3" t="s">
        <v>336</v>
      </c>
      <c r="G3" t="s">
        <v>337</v>
      </c>
      <c r="T3" t="s">
        <v>335</v>
      </c>
    </row>
    <row r="4" spans="1:20" x14ac:dyDescent="0.3">
      <c r="A4" t="s">
        <v>148</v>
      </c>
      <c r="B4" t="s">
        <v>119</v>
      </c>
      <c r="D4" t="s">
        <v>338</v>
      </c>
      <c r="G4" t="s">
        <v>339</v>
      </c>
      <c r="T4" t="s">
        <v>335</v>
      </c>
    </row>
    <row r="5" spans="1:20" x14ac:dyDescent="0.3">
      <c r="A5" t="s">
        <v>151</v>
      </c>
      <c r="B5" t="s">
        <v>119</v>
      </c>
      <c r="D5" t="s">
        <v>340</v>
      </c>
      <c r="G5" t="s">
        <v>341</v>
      </c>
      <c r="T5" t="s">
        <v>335</v>
      </c>
    </row>
    <row r="6" spans="1:20" x14ac:dyDescent="0.3">
      <c r="A6" t="s">
        <v>154</v>
      </c>
      <c r="B6" t="s">
        <v>119</v>
      </c>
      <c r="D6" t="s">
        <v>342</v>
      </c>
      <c r="G6" t="s">
        <v>343</v>
      </c>
      <c r="T6" t="s">
        <v>335</v>
      </c>
    </row>
    <row r="7" spans="1:20" x14ac:dyDescent="0.3">
      <c r="A7" t="s">
        <v>157</v>
      </c>
      <c r="B7" t="s">
        <v>119</v>
      </c>
      <c r="D7" t="s">
        <v>344</v>
      </c>
      <c r="G7" t="s">
        <v>345</v>
      </c>
      <c r="T7" t="s">
        <v>335</v>
      </c>
    </row>
    <row r="8" spans="1:20" x14ac:dyDescent="0.3">
      <c r="A8" t="s">
        <v>160</v>
      </c>
      <c r="B8" t="s">
        <v>119</v>
      </c>
      <c r="D8" t="s">
        <v>346</v>
      </c>
      <c r="G8" t="s">
        <v>347</v>
      </c>
      <c r="T8" t="s">
        <v>335</v>
      </c>
    </row>
    <row r="9" spans="1:20" x14ac:dyDescent="0.3">
      <c r="A9" t="s">
        <v>163</v>
      </c>
      <c r="B9" t="s">
        <v>119</v>
      </c>
      <c r="D9" t="s">
        <v>348</v>
      </c>
      <c r="G9" t="s">
        <v>349</v>
      </c>
      <c r="T9" t="s">
        <v>335</v>
      </c>
    </row>
    <row r="10" spans="1:20" x14ac:dyDescent="0.3">
      <c r="A10" t="s">
        <v>166</v>
      </c>
      <c r="B10" t="s">
        <v>119</v>
      </c>
      <c r="D10" t="s">
        <v>350</v>
      </c>
      <c r="G10" t="s">
        <v>351</v>
      </c>
      <c r="T10" t="s">
        <v>335</v>
      </c>
    </row>
    <row r="11" spans="1:20" x14ac:dyDescent="0.3">
      <c r="A11" t="s">
        <v>168</v>
      </c>
      <c r="B11" t="s">
        <v>123</v>
      </c>
      <c r="D11" t="s">
        <v>333</v>
      </c>
      <c r="G11" t="s">
        <v>352</v>
      </c>
      <c r="T11" t="s">
        <v>335</v>
      </c>
    </row>
    <row r="12" spans="1:20" x14ac:dyDescent="0.3">
      <c r="A12" t="s">
        <v>171</v>
      </c>
      <c r="B12" t="s">
        <v>123</v>
      </c>
      <c r="D12" t="s">
        <v>336</v>
      </c>
      <c r="G12" t="s">
        <v>353</v>
      </c>
      <c r="T12" t="s">
        <v>335</v>
      </c>
    </row>
    <row r="13" spans="1:20" x14ac:dyDescent="0.3">
      <c r="A13" t="s">
        <v>174</v>
      </c>
      <c r="B13" t="s">
        <v>123</v>
      </c>
      <c r="D13" t="s">
        <v>338</v>
      </c>
      <c r="G13" t="s">
        <v>354</v>
      </c>
      <c r="T13" t="s">
        <v>335</v>
      </c>
    </row>
    <row r="14" spans="1:20" x14ac:dyDescent="0.3">
      <c r="A14" t="s">
        <v>177</v>
      </c>
      <c r="B14" t="s">
        <v>123</v>
      </c>
      <c r="D14" t="s">
        <v>340</v>
      </c>
      <c r="G14" t="s">
        <v>355</v>
      </c>
      <c r="T14" t="s">
        <v>335</v>
      </c>
    </row>
    <row r="15" spans="1:20" x14ac:dyDescent="0.3">
      <c r="A15" t="s">
        <v>180</v>
      </c>
      <c r="B15" t="s">
        <v>123</v>
      </c>
      <c r="D15" t="s">
        <v>342</v>
      </c>
      <c r="G15" t="s">
        <v>356</v>
      </c>
      <c r="T15" t="s">
        <v>335</v>
      </c>
    </row>
    <row r="16" spans="1:20" x14ac:dyDescent="0.3">
      <c r="A16" t="s">
        <v>183</v>
      </c>
      <c r="B16" t="s">
        <v>123</v>
      </c>
      <c r="D16" t="s">
        <v>344</v>
      </c>
      <c r="G16" t="s">
        <v>357</v>
      </c>
      <c r="T16" t="s">
        <v>335</v>
      </c>
    </row>
    <row r="17" spans="1:20" x14ac:dyDescent="0.3">
      <c r="A17" t="s">
        <v>186</v>
      </c>
      <c r="B17" t="s">
        <v>123</v>
      </c>
      <c r="D17" t="s">
        <v>346</v>
      </c>
      <c r="G17" t="s">
        <v>358</v>
      </c>
      <c r="T17" t="s">
        <v>335</v>
      </c>
    </row>
    <row r="18" spans="1:20" x14ac:dyDescent="0.3">
      <c r="A18" t="s">
        <v>189</v>
      </c>
      <c r="B18" t="s">
        <v>123</v>
      </c>
      <c r="D18" t="s">
        <v>348</v>
      </c>
      <c r="G18" t="s">
        <v>359</v>
      </c>
      <c r="T18" t="s">
        <v>335</v>
      </c>
    </row>
    <row r="19" spans="1:20" x14ac:dyDescent="0.3">
      <c r="A19" t="s">
        <v>192</v>
      </c>
      <c r="B19" t="s">
        <v>123</v>
      </c>
      <c r="D19" t="s">
        <v>350</v>
      </c>
      <c r="G19" t="s">
        <v>360</v>
      </c>
      <c r="T19" t="s">
        <v>335</v>
      </c>
    </row>
    <row r="20" spans="1:20" x14ac:dyDescent="0.3">
      <c r="A20" t="s">
        <v>194</v>
      </c>
      <c r="B20" t="s">
        <v>127</v>
      </c>
      <c r="D20" t="s">
        <v>333</v>
      </c>
      <c r="G20" t="s">
        <v>361</v>
      </c>
      <c r="T20" t="s">
        <v>335</v>
      </c>
    </row>
    <row r="21" spans="1:20" x14ac:dyDescent="0.3">
      <c r="A21" t="s">
        <v>197</v>
      </c>
      <c r="B21" t="s">
        <v>127</v>
      </c>
      <c r="D21" t="s">
        <v>336</v>
      </c>
      <c r="G21" t="s">
        <v>362</v>
      </c>
      <c r="T21" t="s">
        <v>335</v>
      </c>
    </row>
    <row r="22" spans="1:20" x14ac:dyDescent="0.3">
      <c r="A22" t="s">
        <v>200</v>
      </c>
      <c r="B22" t="s">
        <v>127</v>
      </c>
      <c r="D22" t="s">
        <v>338</v>
      </c>
      <c r="G22" t="s">
        <v>363</v>
      </c>
      <c r="T22" t="s">
        <v>335</v>
      </c>
    </row>
    <row r="23" spans="1:20" x14ac:dyDescent="0.3">
      <c r="A23" t="s">
        <v>203</v>
      </c>
      <c r="B23" t="s">
        <v>127</v>
      </c>
      <c r="D23" t="s">
        <v>340</v>
      </c>
      <c r="G23" t="s">
        <v>364</v>
      </c>
      <c r="T23" t="s">
        <v>335</v>
      </c>
    </row>
    <row r="24" spans="1:20" x14ac:dyDescent="0.3">
      <c r="A24" t="s">
        <v>206</v>
      </c>
      <c r="B24" t="s">
        <v>127</v>
      </c>
      <c r="D24" t="s">
        <v>342</v>
      </c>
      <c r="G24" t="s">
        <v>365</v>
      </c>
      <c r="T24" t="s">
        <v>335</v>
      </c>
    </row>
    <row r="25" spans="1:20" x14ac:dyDescent="0.3">
      <c r="A25" t="s">
        <v>209</v>
      </c>
      <c r="B25" t="s">
        <v>127</v>
      </c>
      <c r="D25" t="s">
        <v>344</v>
      </c>
      <c r="G25" t="s">
        <v>366</v>
      </c>
      <c r="T25" t="s">
        <v>335</v>
      </c>
    </row>
    <row r="26" spans="1:20" x14ac:dyDescent="0.3">
      <c r="A26" t="s">
        <v>212</v>
      </c>
      <c r="B26" t="s">
        <v>127</v>
      </c>
      <c r="D26" t="s">
        <v>346</v>
      </c>
      <c r="G26" t="s">
        <v>367</v>
      </c>
      <c r="T26" t="s">
        <v>335</v>
      </c>
    </row>
    <row r="27" spans="1:20" x14ac:dyDescent="0.3">
      <c r="A27" t="s">
        <v>215</v>
      </c>
      <c r="B27" t="s">
        <v>127</v>
      </c>
      <c r="D27" t="s">
        <v>348</v>
      </c>
      <c r="G27" t="s">
        <v>368</v>
      </c>
      <c r="T27" t="s">
        <v>335</v>
      </c>
    </row>
    <row r="28" spans="1:20" x14ac:dyDescent="0.3">
      <c r="A28" t="s">
        <v>218</v>
      </c>
      <c r="B28" t="s">
        <v>127</v>
      </c>
      <c r="D28" t="s">
        <v>350</v>
      </c>
      <c r="G28" t="s">
        <v>369</v>
      </c>
      <c r="T28" t="s">
        <v>335</v>
      </c>
    </row>
    <row r="29" spans="1:20" x14ac:dyDescent="0.3">
      <c r="A29" t="s">
        <v>220</v>
      </c>
      <c r="B29" t="s">
        <v>131</v>
      </c>
      <c r="D29" t="s">
        <v>333</v>
      </c>
      <c r="G29" t="s">
        <v>370</v>
      </c>
      <c r="T29" t="s">
        <v>335</v>
      </c>
    </row>
    <row r="30" spans="1:20" x14ac:dyDescent="0.3">
      <c r="A30" t="s">
        <v>223</v>
      </c>
      <c r="B30" t="s">
        <v>131</v>
      </c>
      <c r="D30" t="s">
        <v>336</v>
      </c>
      <c r="G30" t="s">
        <v>371</v>
      </c>
      <c r="T30" t="s">
        <v>335</v>
      </c>
    </row>
    <row r="31" spans="1:20" x14ac:dyDescent="0.3">
      <c r="A31" t="s">
        <v>226</v>
      </c>
      <c r="B31" t="s">
        <v>131</v>
      </c>
      <c r="D31" t="s">
        <v>338</v>
      </c>
      <c r="G31" t="s">
        <v>372</v>
      </c>
      <c r="T31" t="s">
        <v>335</v>
      </c>
    </row>
    <row r="32" spans="1:20" x14ac:dyDescent="0.3">
      <c r="A32" t="s">
        <v>229</v>
      </c>
      <c r="B32" t="s">
        <v>131</v>
      </c>
      <c r="D32" t="s">
        <v>340</v>
      </c>
      <c r="G32" t="s">
        <v>373</v>
      </c>
      <c r="T32" t="s">
        <v>335</v>
      </c>
    </row>
    <row r="33" spans="1:20" x14ac:dyDescent="0.3">
      <c r="A33" t="s">
        <v>232</v>
      </c>
      <c r="B33" t="s">
        <v>131</v>
      </c>
      <c r="D33" t="s">
        <v>342</v>
      </c>
      <c r="G33" t="s">
        <v>374</v>
      </c>
      <c r="T33" t="s">
        <v>335</v>
      </c>
    </row>
    <row r="34" spans="1:20" x14ac:dyDescent="0.3">
      <c r="A34" t="s">
        <v>235</v>
      </c>
      <c r="B34" t="s">
        <v>131</v>
      </c>
      <c r="D34" t="s">
        <v>344</v>
      </c>
      <c r="G34" t="s">
        <v>375</v>
      </c>
      <c r="T34" t="s">
        <v>335</v>
      </c>
    </row>
    <row r="35" spans="1:20" x14ac:dyDescent="0.3">
      <c r="A35" t="s">
        <v>238</v>
      </c>
      <c r="B35" t="s">
        <v>131</v>
      </c>
      <c r="D35" t="s">
        <v>346</v>
      </c>
      <c r="G35" t="s">
        <v>376</v>
      </c>
      <c r="T35" t="s">
        <v>335</v>
      </c>
    </row>
    <row r="36" spans="1:20" x14ac:dyDescent="0.3">
      <c r="A36" t="s">
        <v>241</v>
      </c>
      <c r="B36" t="s">
        <v>131</v>
      </c>
      <c r="D36" t="s">
        <v>348</v>
      </c>
      <c r="G36" t="s">
        <v>377</v>
      </c>
      <c r="T36" t="s">
        <v>335</v>
      </c>
    </row>
    <row r="37" spans="1:20" x14ac:dyDescent="0.3">
      <c r="A37" t="s">
        <v>244</v>
      </c>
      <c r="B37" t="s">
        <v>131</v>
      </c>
      <c r="D37" t="s">
        <v>350</v>
      </c>
      <c r="G37" t="s">
        <v>378</v>
      </c>
      <c r="T37" t="s">
        <v>335</v>
      </c>
    </row>
    <row r="38" spans="1:20" x14ac:dyDescent="0.3">
      <c r="A38" t="s">
        <v>246</v>
      </c>
      <c r="B38" t="s">
        <v>135</v>
      </c>
      <c r="D38" t="s">
        <v>333</v>
      </c>
      <c r="G38" t="s">
        <v>379</v>
      </c>
      <c r="T38" t="s">
        <v>335</v>
      </c>
    </row>
    <row r="39" spans="1:20" x14ac:dyDescent="0.3">
      <c r="A39" t="s">
        <v>249</v>
      </c>
      <c r="B39" t="s">
        <v>135</v>
      </c>
      <c r="D39" t="s">
        <v>336</v>
      </c>
      <c r="G39" t="s">
        <v>380</v>
      </c>
      <c r="T39" t="s">
        <v>335</v>
      </c>
    </row>
    <row r="40" spans="1:20" x14ac:dyDescent="0.3">
      <c r="A40" t="s">
        <v>252</v>
      </c>
      <c r="B40" t="s">
        <v>135</v>
      </c>
      <c r="D40" t="s">
        <v>338</v>
      </c>
      <c r="G40" t="s">
        <v>381</v>
      </c>
      <c r="T40" t="s">
        <v>335</v>
      </c>
    </row>
    <row r="41" spans="1:20" x14ac:dyDescent="0.3">
      <c r="A41" t="s">
        <v>255</v>
      </c>
      <c r="B41" t="s">
        <v>135</v>
      </c>
      <c r="D41" t="s">
        <v>340</v>
      </c>
      <c r="G41" t="s">
        <v>382</v>
      </c>
      <c r="T41" t="s">
        <v>335</v>
      </c>
    </row>
    <row r="42" spans="1:20" x14ac:dyDescent="0.3">
      <c r="A42" t="s">
        <v>258</v>
      </c>
      <c r="B42" t="s">
        <v>135</v>
      </c>
      <c r="D42" t="s">
        <v>342</v>
      </c>
      <c r="G42" t="s">
        <v>383</v>
      </c>
      <c r="T42" t="s">
        <v>335</v>
      </c>
    </row>
    <row r="43" spans="1:20" x14ac:dyDescent="0.3">
      <c r="A43" t="s">
        <v>261</v>
      </c>
      <c r="B43" t="s">
        <v>135</v>
      </c>
      <c r="D43" t="s">
        <v>344</v>
      </c>
      <c r="G43" t="s">
        <v>384</v>
      </c>
      <c r="T43" t="s">
        <v>335</v>
      </c>
    </row>
    <row r="44" spans="1:20" x14ac:dyDescent="0.3">
      <c r="A44" t="s">
        <v>264</v>
      </c>
      <c r="B44" t="s">
        <v>135</v>
      </c>
      <c r="D44" t="s">
        <v>346</v>
      </c>
      <c r="G44" t="s">
        <v>385</v>
      </c>
      <c r="T44" t="s">
        <v>335</v>
      </c>
    </row>
    <row r="45" spans="1:20" x14ac:dyDescent="0.3">
      <c r="A45" t="s">
        <v>267</v>
      </c>
      <c r="B45" t="s">
        <v>135</v>
      </c>
      <c r="D45" t="s">
        <v>348</v>
      </c>
      <c r="G45" t="s">
        <v>386</v>
      </c>
      <c r="T45" t="s">
        <v>335</v>
      </c>
    </row>
    <row r="46" spans="1:20" x14ac:dyDescent="0.3">
      <c r="A46" t="s">
        <v>270</v>
      </c>
      <c r="B46" t="s">
        <v>135</v>
      </c>
      <c r="D46" t="s">
        <v>350</v>
      </c>
      <c r="G46" t="s">
        <v>387</v>
      </c>
      <c r="T46" t="s">
        <v>335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6"/>
  <sheetViews>
    <sheetView workbookViewId="0">
      <selection activeCell="A2" sqref="A2"/>
    </sheetView>
  </sheetViews>
  <sheetFormatPr defaultColWidth="8.6640625" defaultRowHeight="14.4" x14ac:dyDescent="0.3"/>
  <cols>
    <col min="1" max="1" width="35.6640625" bestFit="1" customWidth="1"/>
    <col min="2" max="3" width="21.109375" bestFit="1" customWidth="1"/>
  </cols>
  <sheetData>
    <row r="1" spans="1:3" x14ac:dyDescent="0.3">
      <c r="A1" s="1" t="s">
        <v>0</v>
      </c>
      <c r="B1" s="1" t="s">
        <v>57</v>
      </c>
      <c r="C1" s="1" t="s">
        <v>82</v>
      </c>
    </row>
    <row r="2" spans="1:3" x14ac:dyDescent="0.3">
      <c r="A2" t="s">
        <v>64</v>
      </c>
      <c r="B2" t="s">
        <v>271</v>
      </c>
      <c r="C2" t="s">
        <v>271</v>
      </c>
    </row>
    <row r="3" spans="1:3" x14ac:dyDescent="0.3">
      <c r="A3" t="s">
        <v>144</v>
      </c>
      <c r="B3" t="s">
        <v>272</v>
      </c>
      <c r="C3" t="s">
        <v>272</v>
      </c>
    </row>
    <row r="4" spans="1:3" x14ac:dyDescent="0.3">
      <c r="A4" t="s">
        <v>147</v>
      </c>
      <c r="B4" t="s">
        <v>273</v>
      </c>
      <c r="C4" t="s">
        <v>273</v>
      </c>
    </row>
    <row r="5" spans="1:3" x14ac:dyDescent="0.3">
      <c r="A5" t="s">
        <v>150</v>
      </c>
      <c r="B5" t="s">
        <v>274</v>
      </c>
      <c r="C5" t="s">
        <v>274</v>
      </c>
    </row>
    <row r="6" spans="1:3" x14ac:dyDescent="0.3">
      <c r="A6" t="s">
        <v>153</v>
      </c>
      <c r="B6" t="s">
        <v>275</v>
      </c>
      <c r="C6" t="s">
        <v>275</v>
      </c>
    </row>
    <row r="7" spans="1:3" x14ac:dyDescent="0.3">
      <c r="A7" t="s">
        <v>156</v>
      </c>
      <c r="B7" t="s">
        <v>276</v>
      </c>
      <c r="C7" t="s">
        <v>276</v>
      </c>
    </row>
    <row r="8" spans="1:3" x14ac:dyDescent="0.3">
      <c r="A8" t="s">
        <v>159</v>
      </c>
      <c r="B8" t="s">
        <v>277</v>
      </c>
      <c r="C8" t="s">
        <v>277</v>
      </c>
    </row>
    <row r="9" spans="1:3" x14ac:dyDescent="0.3">
      <c r="A9" t="s">
        <v>162</v>
      </c>
      <c r="B9" t="s">
        <v>278</v>
      </c>
      <c r="C9" t="s">
        <v>278</v>
      </c>
    </row>
    <row r="10" spans="1:3" x14ac:dyDescent="0.3">
      <c r="A10" t="s">
        <v>165</v>
      </c>
      <c r="B10" t="s">
        <v>279</v>
      </c>
      <c r="C10" t="s">
        <v>279</v>
      </c>
    </row>
    <row r="11" spans="1:3" x14ac:dyDescent="0.3">
      <c r="A11" t="s">
        <v>66</v>
      </c>
      <c r="B11" t="s">
        <v>280</v>
      </c>
      <c r="C11" t="s">
        <v>280</v>
      </c>
    </row>
    <row r="12" spans="1:3" x14ac:dyDescent="0.3">
      <c r="A12" t="s">
        <v>170</v>
      </c>
      <c r="B12" t="s">
        <v>281</v>
      </c>
      <c r="C12" t="s">
        <v>281</v>
      </c>
    </row>
    <row r="13" spans="1:3" x14ac:dyDescent="0.3">
      <c r="A13" t="s">
        <v>173</v>
      </c>
      <c r="B13" t="s">
        <v>282</v>
      </c>
      <c r="C13" t="s">
        <v>282</v>
      </c>
    </row>
    <row r="14" spans="1:3" x14ac:dyDescent="0.3">
      <c r="A14" t="s">
        <v>176</v>
      </c>
      <c r="B14" t="s">
        <v>283</v>
      </c>
      <c r="C14" t="s">
        <v>283</v>
      </c>
    </row>
    <row r="15" spans="1:3" x14ac:dyDescent="0.3">
      <c r="A15" t="s">
        <v>179</v>
      </c>
      <c r="B15" t="s">
        <v>284</v>
      </c>
      <c r="C15" t="s">
        <v>284</v>
      </c>
    </row>
    <row r="16" spans="1:3" x14ac:dyDescent="0.3">
      <c r="A16" t="s">
        <v>182</v>
      </c>
      <c r="B16" t="s">
        <v>285</v>
      </c>
      <c r="C16" t="s">
        <v>285</v>
      </c>
    </row>
    <row r="17" spans="1:3" x14ac:dyDescent="0.3">
      <c r="A17" t="s">
        <v>185</v>
      </c>
      <c r="B17" t="s">
        <v>286</v>
      </c>
      <c r="C17" t="s">
        <v>286</v>
      </c>
    </row>
    <row r="18" spans="1:3" x14ac:dyDescent="0.3">
      <c r="A18" t="s">
        <v>188</v>
      </c>
      <c r="B18" t="s">
        <v>287</v>
      </c>
      <c r="C18" t="s">
        <v>287</v>
      </c>
    </row>
    <row r="19" spans="1:3" x14ac:dyDescent="0.3">
      <c r="A19" t="s">
        <v>191</v>
      </c>
      <c r="B19" t="s">
        <v>288</v>
      </c>
      <c r="C19" t="s">
        <v>288</v>
      </c>
    </row>
    <row r="20" spans="1:3" x14ac:dyDescent="0.3">
      <c r="A20" t="s">
        <v>68</v>
      </c>
      <c r="B20" t="s">
        <v>289</v>
      </c>
      <c r="C20" t="s">
        <v>289</v>
      </c>
    </row>
    <row r="21" spans="1:3" x14ac:dyDescent="0.3">
      <c r="A21" t="s">
        <v>196</v>
      </c>
      <c r="B21" t="s">
        <v>290</v>
      </c>
      <c r="C21" t="s">
        <v>290</v>
      </c>
    </row>
    <row r="22" spans="1:3" x14ac:dyDescent="0.3">
      <c r="A22" t="s">
        <v>199</v>
      </c>
      <c r="B22" t="s">
        <v>291</v>
      </c>
      <c r="C22" t="s">
        <v>291</v>
      </c>
    </row>
    <row r="23" spans="1:3" x14ac:dyDescent="0.3">
      <c r="A23" t="s">
        <v>202</v>
      </c>
      <c r="B23" t="s">
        <v>292</v>
      </c>
      <c r="C23" t="s">
        <v>292</v>
      </c>
    </row>
    <row r="24" spans="1:3" x14ac:dyDescent="0.3">
      <c r="A24" t="s">
        <v>205</v>
      </c>
      <c r="B24" t="s">
        <v>293</v>
      </c>
      <c r="C24" t="s">
        <v>293</v>
      </c>
    </row>
    <row r="25" spans="1:3" x14ac:dyDescent="0.3">
      <c r="A25" t="s">
        <v>208</v>
      </c>
      <c r="B25" t="s">
        <v>294</v>
      </c>
      <c r="C25" t="s">
        <v>294</v>
      </c>
    </row>
    <row r="26" spans="1:3" x14ac:dyDescent="0.3">
      <c r="A26" t="s">
        <v>211</v>
      </c>
      <c r="B26" t="s">
        <v>295</v>
      </c>
      <c r="C26" t="s">
        <v>295</v>
      </c>
    </row>
    <row r="27" spans="1:3" x14ac:dyDescent="0.3">
      <c r="A27" t="s">
        <v>214</v>
      </c>
      <c r="B27" t="s">
        <v>296</v>
      </c>
      <c r="C27" t="s">
        <v>296</v>
      </c>
    </row>
    <row r="28" spans="1:3" x14ac:dyDescent="0.3">
      <c r="A28" t="s">
        <v>217</v>
      </c>
      <c r="B28" t="s">
        <v>297</v>
      </c>
      <c r="C28" t="s">
        <v>297</v>
      </c>
    </row>
    <row r="29" spans="1:3" x14ac:dyDescent="0.3">
      <c r="A29" t="s">
        <v>70</v>
      </c>
      <c r="B29" t="s">
        <v>298</v>
      </c>
      <c r="C29" t="s">
        <v>298</v>
      </c>
    </row>
    <row r="30" spans="1:3" x14ac:dyDescent="0.3">
      <c r="A30" t="s">
        <v>222</v>
      </c>
      <c r="B30" t="s">
        <v>299</v>
      </c>
      <c r="C30" t="s">
        <v>299</v>
      </c>
    </row>
    <row r="31" spans="1:3" x14ac:dyDescent="0.3">
      <c r="A31" t="s">
        <v>225</v>
      </c>
      <c r="B31" t="s">
        <v>300</v>
      </c>
      <c r="C31" t="s">
        <v>300</v>
      </c>
    </row>
    <row r="32" spans="1:3" x14ac:dyDescent="0.3">
      <c r="A32" t="s">
        <v>228</v>
      </c>
      <c r="B32" t="s">
        <v>301</v>
      </c>
      <c r="C32" t="s">
        <v>301</v>
      </c>
    </row>
    <row r="33" spans="1:3" x14ac:dyDescent="0.3">
      <c r="A33" t="s">
        <v>231</v>
      </c>
      <c r="B33" t="s">
        <v>302</v>
      </c>
      <c r="C33" t="s">
        <v>302</v>
      </c>
    </row>
    <row r="34" spans="1:3" x14ac:dyDescent="0.3">
      <c r="A34" t="s">
        <v>234</v>
      </c>
      <c r="B34" t="s">
        <v>303</v>
      </c>
      <c r="C34" t="s">
        <v>303</v>
      </c>
    </row>
    <row r="35" spans="1:3" x14ac:dyDescent="0.3">
      <c r="A35" t="s">
        <v>237</v>
      </c>
      <c r="B35" t="s">
        <v>304</v>
      </c>
      <c r="C35" t="s">
        <v>304</v>
      </c>
    </row>
    <row r="36" spans="1:3" x14ac:dyDescent="0.3">
      <c r="A36" t="s">
        <v>240</v>
      </c>
      <c r="B36" t="s">
        <v>305</v>
      </c>
      <c r="C36" t="s">
        <v>305</v>
      </c>
    </row>
    <row r="37" spans="1:3" x14ac:dyDescent="0.3">
      <c r="A37" t="s">
        <v>243</v>
      </c>
      <c r="B37" t="s">
        <v>306</v>
      </c>
      <c r="C37" t="s">
        <v>306</v>
      </c>
    </row>
    <row r="38" spans="1:3" x14ac:dyDescent="0.3">
      <c r="A38" t="s">
        <v>72</v>
      </c>
      <c r="B38" t="s">
        <v>307</v>
      </c>
      <c r="C38" t="s">
        <v>307</v>
      </c>
    </row>
    <row r="39" spans="1:3" x14ac:dyDescent="0.3">
      <c r="A39" t="s">
        <v>248</v>
      </c>
      <c r="B39" t="s">
        <v>308</v>
      </c>
      <c r="C39" t="s">
        <v>308</v>
      </c>
    </row>
    <row r="40" spans="1:3" x14ac:dyDescent="0.3">
      <c r="A40" t="s">
        <v>251</v>
      </c>
      <c r="B40" t="s">
        <v>309</v>
      </c>
      <c r="C40" t="s">
        <v>309</v>
      </c>
    </row>
    <row r="41" spans="1:3" x14ac:dyDescent="0.3">
      <c r="A41" t="s">
        <v>254</v>
      </c>
      <c r="B41" t="s">
        <v>310</v>
      </c>
      <c r="C41" t="s">
        <v>310</v>
      </c>
    </row>
    <row r="42" spans="1:3" x14ac:dyDescent="0.3">
      <c r="A42" t="s">
        <v>257</v>
      </c>
      <c r="B42" t="s">
        <v>311</v>
      </c>
      <c r="C42" t="s">
        <v>311</v>
      </c>
    </row>
    <row r="43" spans="1:3" x14ac:dyDescent="0.3">
      <c r="A43" t="s">
        <v>260</v>
      </c>
      <c r="B43" t="s">
        <v>312</v>
      </c>
      <c r="C43" t="s">
        <v>312</v>
      </c>
    </row>
    <row r="44" spans="1:3" x14ac:dyDescent="0.3">
      <c r="A44" t="s">
        <v>263</v>
      </c>
      <c r="B44" t="s">
        <v>313</v>
      </c>
      <c r="C44" t="s">
        <v>313</v>
      </c>
    </row>
    <row r="45" spans="1:3" x14ac:dyDescent="0.3">
      <c r="A45" t="s">
        <v>266</v>
      </c>
      <c r="B45" t="s">
        <v>314</v>
      </c>
      <c r="C45" t="s">
        <v>314</v>
      </c>
    </row>
    <row r="46" spans="1:3" x14ac:dyDescent="0.3">
      <c r="A46" t="s">
        <v>269</v>
      </c>
      <c r="B46" t="s">
        <v>315</v>
      </c>
      <c r="C46" t="s">
        <v>315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6"/>
  <sheetViews>
    <sheetView workbookViewId="0">
      <selection activeCell="E2" sqref="E2"/>
    </sheetView>
  </sheetViews>
  <sheetFormatPr defaultColWidth="8.6640625" defaultRowHeight="14.4" x14ac:dyDescent="0.3"/>
  <cols>
    <col min="1" max="2" width="35.6640625" bestFit="1" customWidth="1"/>
    <col min="3" max="3" width="24" style="6" bestFit="1" customWidth="1"/>
    <col min="4" max="4" width="16" bestFit="1" customWidth="1"/>
    <col min="5" max="5" width="35.6640625" bestFit="1" customWidth="1"/>
    <col min="6" max="6" width="35.6640625" style="6" customWidth="1"/>
    <col min="7" max="7" width="12.44140625" bestFit="1" customWidth="1"/>
    <col min="8" max="8" width="9.109375" style="6"/>
  </cols>
  <sheetData>
    <row r="1" spans="1:8" x14ac:dyDescent="0.3">
      <c r="A1" s="1" t="s">
        <v>0</v>
      </c>
      <c r="B1" s="1" t="s">
        <v>60</v>
      </c>
      <c r="C1" s="10" t="s">
        <v>584</v>
      </c>
      <c r="D1" s="1" t="s">
        <v>61</v>
      </c>
      <c r="E1" s="1" t="s">
        <v>139</v>
      </c>
      <c r="F1" s="10" t="s">
        <v>585</v>
      </c>
      <c r="G1" s="1" t="s">
        <v>140</v>
      </c>
      <c r="H1" s="16" t="s">
        <v>667</v>
      </c>
    </row>
    <row r="2" spans="1:8" x14ac:dyDescent="0.3">
      <c r="A2" t="s">
        <v>141</v>
      </c>
      <c r="B2" t="s">
        <v>64</v>
      </c>
      <c r="C2" s="6" t="str">
        <f>INDEX(CaseTypeColSet!$B:$B,MATCH($B2,CaseTypeColSet!$A:$A,0))</f>
        <v>case_type_col_set1_1_1</v>
      </c>
      <c r="E2" t="s">
        <v>142</v>
      </c>
      <c r="F2" s="6" t="str">
        <f>INDEX(CaseTypeCol!$G:$G,MATCH($E2,CaseTypeCol!$A:$A,0))</f>
        <v>case_type1_dim1_1_text</v>
      </c>
      <c r="H2" s="6" t="str">
        <f>$B2&amp;"|"&amp;$E2</f>
        <v>0195d18c-1cc1-44c2-1d6e-874dad333458|0195d18c-1caa-1722-0366-f73bd3f09ee8</v>
      </c>
    </row>
    <row r="3" spans="1:8" x14ac:dyDescent="0.3">
      <c r="A3" t="s">
        <v>143</v>
      </c>
      <c r="B3" t="s">
        <v>144</v>
      </c>
      <c r="C3" s="6" t="str">
        <f>INDEX(CaseTypeColSet!$B:$B,MATCH($B3,CaseTypeColSet!$A:$A,0))</f>
        <v>case_type_col_set1_1_2</v>
      </c>
      <c r="E3" t="s">
        <v>145</v>
      </c>
      <c r="F3" s="6" t="str">
        <f>INDEX(CaseTypeCol!$G:$G,MATCH($E3,CaseTypeCol!$A:$A,0))</f>
        <v>case_type1_dim1_2_text</v>
      </c>
      <c r="H3" s="6" t="str">
        <f t="shared" ref="H3:H46" si="0">$B3&amp;"|"&amp;$E3</f>
        <v>0195d18c-1cc1-c475-eba4-c3df5aea8858|0195d18c-1cab-86f3-5faf-507bfa221cf6</v>
      </c>
    </row>
    <row r="4" spans="1:8" x14ac:dyDescent="0.3">
      <c r="A4" t="s">
        <v>146</v>
      </c>
      <c r="B4" t="s">
        <v>147</v>
      </c>
      <c r="C4" s="6" t="str">
        <f>INDEX(CaseTypeColSet!$B:$B,MATCH($B4,CaseTypeColSet!$A:$A,0))</f>
        <v>case_type_col_set1_1_3</v>
      </c>
      <c r="E4" t="s">
        <v>148</v>
      </c>
      <c r="F4" s="6" t="str">
        <f>INDEX(CaseTypeCol!$G:$G,MATCH($E4,CaseTypeCol!$A:$A,0))</f>
        <v>case_type1_dim1_3_text</v>
      </c>
      <c r="H4" s="6" t="str">
        <f t="shared" si="0"/>
        <v>0195d18c-1cc2-37d1-f6c3-0e7c8d6b1f07|0195d18c-1cab-b4e5-a81b-6acdcc710af2</v>
      </c>
    </row>
    <row r="5" spans="1:8" x14ac:dyDescent="0.3">
      <c r="A5" t="s">
        <v>149</v>
      </c>
      <c r="B5" t="s">
        <v>150</v>
      </c>
      <c r="C5" s="6" t="str">
        <f>INDEX(CaseTypeColSet!$B:$B,MATCH($B5,CaseTypeColSet!$A:$A,0))</f>
        <v>case_type_col_set1_2_1</v>
      </c>
      <c r="E5" t="s">
        <v>151</v>
      </c>
      <c r="F5" s="6" t="str">
        <f>INDEX(CaseTypeCol!$G:$G,MATCH($E5,CaseTypeCol!$A:$A,0))</f>
        <v>case_type1_dim2_1_text</v>
      </c>
      <c r="H5" s="6" t="str">
        <f t="shared" si="0"/>
        <v>0195d18c-1cc2-7cf5-8b5c-03f41714d8b8|0195d18c-1cab-3208-7ccc-820a8c522208</v>
      </c>
    </row>
    <row r="6" spans="1:8" x14ac:dyDescent="0.3">
      <c r="A6" t="s">
        <v>152</v>
      </c>
      <c r="B6" t="s">
        <v>153</v>
      </c>
      <c r="C6" s="6" t="str">
        <f>INDEX(CaseTypeColSet!$B:$B,MATCH($B6,CaseTypeColSet!$A:$A,0))</f>
        <v>case_type_col_set1_2_2</v>
      </c>
      <c r="E6" t="s">
        <v>154</v>
      </c>
      <c r="F6" s="6" t="str">
        <f>INDEX(CaseTypeCol!$G:$G,MATCH($E6,CaseTypeCol!$A:$A,0))</f>
        <v>case_type1_dim2_2_text</v>
      </c>
      <c r="H6" s="6" t="str">
        <f t="shared" si="0"/>
        <v>0195d18c-1cc2-50aa-7113-6b261eaeec7a|0195d18c-1cab-767e-81b1-986e918827fb</v>
      </c>
    </row>
    <row r="7" spans="1:8" x14ac:dyDescent="0.3">
      <c r="A7" t="s">
        <v>155</v>
      </c>
      <c r="B7" t="s">
        <v>156</v>
      </c>
      <c r="C7" s="6" t="str">
        <f>INDEX(CaseTypeColSet!$B:$B,MATCH($B7,CaseTypeColSet!$A:$A,0))</f>
        <v>case_type_col_set1_2_3</v>
      </c>
      <c r="E7" t="s">
        <v>157</v>
      </c>
      <c r="F7" s="6" t="str">
        <f>INDEX(CaseTypeCol!$G:$G,MATCH($E7,CaseTypeCol!$A:$A,0))</f>
        <v>case_type1_dim2_3_text</v>
      </c>
      <c r="H7" s="6" t="str">
        <f t="shared" si="0"/>
        <v>0195d18c-1cc3-0cbc-2362-c1cfe3fdec5a|0195d18c-1cab-22f7-dda1-cc74cee303ca</v>
      </c>
    </row>
    <row r="8" spans="1:8" x14ac:dyDescent="0.3">
      <c r="A8" t="s">
        <v>158</v>
      </c>
      <c r="B8" t="s">
        <v>159</v>
      </c>
      <c r="C8" s="6" t="str">
        <f>INDEX(CaseTypeColSet!$B:$B,MATCH($B8,CaseTypeColSet!$A:$A,0))</f>
        <v>case_type_col_set1_3_1</v>
      </c>
      <c r="E8" t="s">
        <v>160</v>
      </c>
      <c r="F8" s="6" t="str">
        <f>INDEX(CaseTypeCol!$G:$G,MATCH($E8,CaseTypeCol!$A:$A,0))</f>
        <v>case_type1_dim3_1_text</v>
      </c>
      <c r="H8" s="6" t="str">
        <f t="shared" si="0"/>
        <v>0195d18c-1cc3-e9c0-5858-8bf9d9d8c36f|0195d18c-1cac-4ed2-2296-a46fa423ce99</v>
      </c>
    </row>
    <row r="9" spans="1:8" x14ac:dyDescent="0.3">
      <c r="A9" t="s">
        <v>161</v>
      </c>
      <c r="B9" t="s">
        <v>162</v>
      </c>
      <c r="C9" s="6" t="str">
        <f>INDEX(CaseTypeColSet!$B:$B,MATCH($B9,CaseTypeColSet!$A:$A,0))</f>
        <v>case_type_col_set1_3_2</v>
      </c>
      <c r="E9" t="s">
        <v>163</v>
      </c>
      <c r="F9" s="6" t="str">
        <f>INDEX(CaseTypeCol!$G:$G,MATCH($E9,CaseTypeCol!$A:$A,0))</f>
        <v>case_type1_dim3_2_text</v>
      </c>
      <c r="H9" s="6" t="str">
        <f t="shared" si="0"/>
        <v>0195d18c-1cc4-9f18-3767-29d288f47190|0195d18c-1cac-9221-a9c7-72e70e09dea9</v>
      </c>
    </row>
    <row r="10" spans="1:8" x14ac:dyDescent="0.3">
      <c r="A10" t="s">
        <v>164</v>
      </c>
      <c r="B10" t="s">
        <v>165</v>
      </c>
      <c r="C10" s="6" t="str">
        <f>INDEX(CaseTypeColSet!$B:$B,MATCH($B10,CaseTypeColSet!$A:$A,0))</f>
        <v>case_type_col_set1_3_3</v>
      </c>
      <c r="E10" t="s">
        <v>166</v>
      </c>
      <c r="F10" s="6" t="str">
        <f>INDEX(CaseTypeCol!$G:$G,MATCH($E10,CaseTypeCol!$A:$A,0))</f>
        <v>case_type1_dim3_3_text</v>
      </c>
      <c r="H10" s="6" t="str">
        <f t="shared" si="0"/>
        <v>0195d18c-1cc5-2ea3-8102-7b410f3146c8|0195d18c-1cac-4d0a-db2e-5a54065df180</v>
      </c>
    </row>
    <row r="11" spans="1:8" x14ac:dyDescent="0.3">
      <c r="A11" t="s">
        <v>167</v>
      </c>
      <c r="B11" t="s">
        <v>66</v>
      </c>
      <c r="C11" s="6" t="str">
        <f>INDEX(CaseTypeColSet!$B:$B,MATCH($B11,CaseTypeColSet!$A:$A,0))</f>
        <v>case_type_col_set2_1_1</v>
      </c>
      <c r="E11" t="s">
        <v>168</v>
      </c>
      <c r="F11" s="6" t="str">
        <f>INDEX(CaseTypeCol!$G:$G,MATCH($E11,CaseTypeCol!$A:$A,0))</f>
        <v>case_type2_dim1_1_text</v>
      </c>
      <c r="H11" s="6" t="str">
        <f t="shared" si="0"/>
        <v>0195d18c-1cc6-a324-3f72-222014292515|0195d18c-1cad-37c6-0826-9671f313fb2b</v>
      </c>
    </row>
    <row r="12" spans="1:8" x14ac:dyDescent="0.3">
      <c r="A12" t="s">
        <v>169</v>
      </c>
      <c r="B12" t="s">
        <v>170</v>
      </c>
      <c r="C12" s="6" t="str">
        <f>INDEX(CaseTypeColSet!$B:$B,MATCH($B12,CaseTypeColSet!$A:$A,0))</f>
        <v>case_type_col_set2_1_2</v>
      </c>
      <c r="E12" t="s">
        <v>171</v>
      </c>
      <c r="F12" s="6" t="str">
        <f>INDEX(CaseTypeCol!$G:$G,MATCH($E12,CaseTypeCol!$A:$A,0))</f>
        <v>case_type2_dim1_2_text</v>
      </c>
      <c r="H12" s="6" t="str">
        <f t="shared" si="0"/>
        <v>0195d18c-1cc7-243f-f4e7-3dbdfe691c71|0195d18c-1cad-5b48-8a72-25050cbf379e</v>
      </c>
    </row>
    <row r="13" spans="1:8" x14ac:dyDescent="0.3">
      <c r="A13" t="s">
        <v>172</v>
      </c>
      <c r="B13" t="s">
        <v>173</v>
      </c>
      <c r="C13" s="6" t="str">
        <f>INDEX(CaseTypeColSet!$B:$B,MATCH($B13,CaseTypeColSet!$A:$A,0))</f>
        <v>case_type_col_set2_1_3</v>
      </c>
      <c r="E13" t="s">
        <v>174</v>
      </c>
      <c r="F13" s="6" t="str">
        <f>INDEX(CaseTypeCol!$G:$G,MATCH($E13,CaseTypeCol!$A:$A,0))</f>
        <v>case_type2_dim1_3_text</v>
      </c>
      <c r="H13" s="6" t="str">
        <f t="shared" si="0"/>
        <v>0195d18c-1cc7-60b4-b4e6-8ff7fabb2b09|0195d18c-1cad-e18e-a87d-8af6760d00e1</v>
      </c>
    </row>
    <row r="14" spans="1:8" x14ac:dyDescent="0.3">
      <c r="A14" t="s">
        <v>175</v>
      </c>
      <c r="B14" t="s">
        <v>176</v>
      </c>
      <c r="C14" s="6" t="str">
        <f>INDEX(CaseTypeColSet!$B:$B,MATCH($B14,CaseTypeColSet!$A:$A,0))</f>
        <v>case_type_col_set2_2_1</v>
      </c>
      <c r="E14" t="s">
        <v>177</v>
      </c>
      <c r="F14" s="6" t="str">
        <f>INDEX(CaseTypeCol!$G:$G,MATCH($E14,CaseTypeCol!$A:$A,0))</f>
        <v>case_type2_dim2_1_text</v>
      </c>
      <c r="H14" s="6" t="str">
        <f t="shared" si="0"/>
        <v>0195d18c-1cc8-bcf2-c56f-04928f2e3635|0195d18c-1cad-9467-449f-6341c820b944</v>
      </c>
    </row>
    <row r="15" spans="1:8" x14ac:dyDescent="0.3">
      <c r="A15" t="s">
        <v>178</v>
      </c>
      <c r="B15" t="s">
        <v>179</v>
      </c>
      <c r="C15" s="6" t="str">
        <f>INDEX(CaseTypeColSet!$B:$B,MATCH($B15,CaseTypeColSet!$A:$A,0))</f>
        <v>case_type_col_set2_2_2</v>
      </c>
      <c r="E15" t="s">
        <v>180</v>
      </c>
      <c r="F15" s="6" t="str">
        <f>INDEX(CaseTypeCol!$G:$G,MATCH($E15,CaseTypeCol!$A:$A,0))</f>
        <v>case_type2_dim2_2_text</v>
      </c>
      <c r="H15" s="6" t="str">
        <f t="shared" si="0"/>
        <v>0195d18c-1cc8-18f5-27a5-fd3874e6b78b|0195d18c-1cae-fcea-56fe-4577ada0491d</v>
      </c>
    </row>
    <row r="16" spans="1:8" x14ac:dyDescent="0.3">
      <c r="A16" t="s">
        <v>181</v>
      </c>
      <c r="B16" t="s">
        <v>182</v>
      </c>
      <c r="C16" s="6" t="str">
        <f>INDEX(CaseTypeColSet!$B:$B,MATCH($B16,CaseTypeColSet!$A:$A,0))</f>
        <v>case_type_col_set2_2_3</v>
      </c>
      <c r="E16" t="s">
        <v>183</v>
      </c>
      <c r="F16" s="6" t="str">
        <f>INDEX(CaseTypeCol!$G:$G,MATCH($E16,CaseTypeCol!$A:$A,0))</f>
        <v>case_type2_dim2_3_text</v>
      </c>
      <c r="H16" s="6" t="str">
        <f t="shared" si="0"/>
        <v>0195d18c-1cc8-5a76-0a72-16117b0a5a5e|0195d18c-1cae-cdba-00d9-e8405172259e</v>
      </c>
    </row>
    <row r="17" spans="1:8" x14ac:dyDescent="0.3">
      <c r="A17" t="s">
        <v>184</v>
      </c>
      <c r="B17" t="s">
        <v>185</v>
      </c>
      <c r="C17" s="6" t="str">
        <f>INDEX(CaseTypeColSet!$B:$B,MATCH($B17,CaseTypeColSet!$A:$A,0))</f>
        <v>case_type_col_set2_3_1</v>
      </c>
      <c r="E17" t="s">
        <v>186</v>
      </c>
      <c r="F17" s="6" t="str">
        <f>INDEX(CaseTypeCol!$G:$G,MATCH($E17,CaseTypeCol!$A:$A,0))</f>
        <v>case_type2_dim3_1_text</v>
      </c>
      <c r="H17" s="6" t="str">
        <f t="shared" si="0"/>
        <v>0195d18c-1cc9-7181-fd5b-078012e228f2|0195d18c-1cae-faa7-ac0d-22cce7d230ec</v>
      </c>
    </row>
    <row r="18" spans="1:8" x14ac:dyDescent="0.3">
      <c r="A18" t="s">
        <v>187</v>
      </c>
      <c r="B18" t="s">
        <v>188</v>
      </c>
      <c r="C18" s="6" t="str">
        <f>INDEX(CaseTypeColSet!$B:$B,MATCH($B18,CaseTypeColSet!$A:$A,0))</f>
        <v>case_type_col_set2_3_2</v>
      </c>
      <c r="E18" t="s">
        <v>189</v>
      </c>
      <c r="F18" s="6" t="str">
        <f>INDEX(CaseTypeCol!$G:$G,MATCH($E18,CaseTypeCol!$A:$A,0))</f>
        <v>case_type2_dim3_2_text</v>
      </c>
      <c r="H18" s="6" t="str">
        <f t="shared" si="0"/>
        <v>0195d18c-1cc9-c61f-4e7e-a00189d3cc75|0195d18c-1cae-45ab-ca21-9cee527b9482</v>
      </c>
    </row>
    <row r="19" spans="1:8" x14ac:dyDescent="0.3">
      <c r="A19" t="s">
        <v>190</v>
      </c>
      <c r="B19" t="s">
        <v>191</v>
      </c>
      <c r="C19" s="6" t="str">
        <f>INDEX(CaseTypeColSet!$B:$B,MATCH($B19,CaseTypeColSet!$A:$A,0))</f>
        <v>case_type_col_set2_3_3</v>
      </c>
      <c r="E19" t="s">
        <v>192</v>
      </c>
      <c r="F19" s="6" t="str">
        <f>INDEX(CaseTypeCol!$G:$G,MATCH($E19,CaseTypeCol!$A:$A,0))</f>
        <v>case_type2_dim3_3_text</v>
      </c>
      <c r="H19" s="6" t="str">
        <f t="shared" si="0"/>
        <v>0195d18c-1cca-878e-2110-0116e848541b|0195d18c-1caf-d364-c3b5-e73ba434270e</v>
      </c>
    </row>
    <row r="20" spans="1:8" x14ac:dyDescent="0.3">
      <c r="A20" t="s">
        <v>193</v>
      </c>
      <c r="B20" t="s">
        <v>68</v>
      </c>
      <c r="C20" s="6" t="str">
        <f>INDEX(CaseTypeColSet!$B:$B,MATCH($B20,CaseTypeColSet!$A:$A,0))</f>
        <v>case_type_col_set3_1_1</v>
      </c>
      <c r="E20" t="s">
        <v>194</v>
      </c>
      <c r="F20" s="6" t="str">
        <f>INDEX(CaseTypeCol!$G:$G,MATCH($E20,CaseTypeCol!$A:$A,0))</f>
        <v>case_type3_dim1_1_text</v>
      </c>
      <c r="H20" s="6" t="str">
        <f t="shared" si="0"/>
        <v>0195d18c-1cca-26c0-66df-979380a43b16|0195d18c-1caf-b3af-f64e-bd18810c4521</v>
      </c>
    </row>
    <row r="21" spans="1:8" x14ac:dyDescent="0.3">
      <c r="A21" t="s">
        <v>195</v>
      </c>
      <c r="B21" t="s">
        <v>196</v>
      </c>
      <c r="C21" s="6" t="str">
        <f>INDEX(CaseTypeColSet!$B:$B,MATCH($B21,CaseTypeColSet!$A:$A,0))</f>
        <v>case_type_col_set3_1_2</v>
      </c>
      <c r="E21" t="s">
        <v>197</v>
      </c>
      <c r="F21" s="6" t="str">
        <f>INDEX(CaseTypeCol!$G:$G,MATCH($E21,CaseTypeCol!$A:$A,0))</f>
        <v>case_type3_dim1_2_text</v>
      </c>
      <c r="H21" s="6" t="str">
        <f t="shared" si="0"/>
        <v>0195d18c-1ccb-f06f-162f-a5dc745a5198|0195d18c-1caf-84ca-1737-a8f8788cd464</v>
      </c>
    </row>
    <row r="22" spans="1:8" x14ac:dyDescent="0.3">
      <c r="A22" t="s">
        <v>198</v>
      </c>
      <c r="B22" t="s">
        <v>199</v>
      </c>
      <c r="C22" s="6" t="str">
        <f>INDEX(CaseTypeColSet!$B:$B,MATCH($B22,CaseTypeColSet!$A:$A,0))</f>
        <v>case_type_col_set3_1_3</v>
      </c>
      <c r="E22" t="s">
        <v>200</v>
      </c>
      <c r="F22" s="6" t="str">
        <f>INDEX(CaseTypeCol!$G:$G,MATCH($E22,CaseTypeCol!$A:$A,0))</f>
        <v>case_type3_dim1_3_text</v>
      </c>
      <c r="H22" s="6" t="str">
        <f t="shared" si="0"/>
        <v>0195d18c-1ccb-b068-d845-d61fb54721f1|0195d18c-1cb0-7655-a8bb-f656b1b8b72c</v>
      </c>
    </row>
    <row r="23" spans="1:8" x14ac:dyDescent="0.3">
      <c r="A23" t="s">
        <v>201</v>
      </c>
      <c r="B23" t="s">
        <v>202</v>
      </c>
      <c r="C23" s="6" t="str">
        <f>INDEX(CaseTypeColSet!$B:$B,MATCH($B23,CaseTypeColSet!$A:$A,0))</f>
        <v>case_type_col_set3_2_1</v>
      </c>
      <c r="E23" t="s">
        <v>203</v>
      </c>
      <c r="F23" s="6" t="str">
        <f>INDEX(CaseTypeCol!$G:$G,MATCH($E23,CaseTypeCol!$A:$A,0))</f>
        <v>case_type3_dim2_1_text</v>
      </c>
      <c r="H23" s="6" t="str">
        <f t="shared" si="0"/>
        <v>0195d18c-1ccc-f754-4a4f-89cdc532a3be|0195d18c-1cb0-4c24-e2e8-b92cfc74f7cc</v>
      </c>
    </row>
    <row r="24" spans="1:8" x14ac:dyDescent="0.3">
      <c r="A24" t="s">
        <v>204</v>
      </c>
      <c r="B24" t="s">
        <v>205</v>
      </c>
      <c r="C24" s="6" t="str">
        <f>INDEX(CaseTypeColSet!$B:$B,MATCH($B24,CaseTypeColSet!$A:$A,0))</f>
        <v>case_type_col_set3_2_2</v>
      </c>
      <c r="E24" t="s">
        <v>206</v>
      </c>
      <c r="F24" s="6" t="str">
        <f>INDEX(CaseTypeCol!$G:$G,MATCH($E24,CaseTypeCol!$A:$A,0))</f>
        <v>case_type3_dim2_2_text</v>
      </c>
      <c r="H24" s="6" t="str">
        <f t="shared" si="0"/>
        <v>0195d18c-1ccc-3f10-cc4e-636793b1e9dd|0195d18c-1cb0-8d34-e3f0-ab091b80ab8f</v>
      </c>
    </row>
    <row r="25" spans="1:8" x14ac:dyDescent="0.3">
      <c r="A25" t="s">
        <v>207</v>
      </c>
      <c r="B25" t="s">
        <v>208</v>
      </c>
      <c r="C25" s="6" t="str">
        <f>INDEX(CaseTypeColSet!$B:$B,MATCH($B25,CaseTypeColSet!$A:$A,0))</f>
        <v>case_type_col_set3_2_3</v>
      </c>
      <c r="E25" t="s">
        <v>209</v>
      </c>
      <c r="F25" s="6" t="str">
        <f>INDEX(CaseTypeCol!$G:$G,MATCH($E25,CaseTypeCol!$A:$A,0))</f>
        <v>case_type3_dim2_3_text</v>
      </c>
      <c r="H25" s="6" t="str">
        <f t="shared" si="0"/>
        <v>0195d18c-1ccd-3f53-ad72-f2d3c667b246|0195d18c-1cb0-db51-ed28-2a4481c5f1ac</v>
      </c>
    </row>
    <row r="26" spans="1:8" x14ac:dyDescent="0.3">
      <c r="A26" t="s">
        <v>210</v>
      </c>
      <c r="B26" t="s">
        <v>211</v>
      </c>
      <c r="C26" s="6" t="str">
        <f>INDEX(CaseTypeColSet!$B:$B,MATCH($B26,CaseTypeColSet!$A:$A,0))</f>
        <v>case_type_col_set3_3_1</v>
      </c>
      <c r="E26" t="s">
        <v>212</v>
      </c>
      <c r="F26" s="6" t="str">
        <f>INDEX(CaseTypeCol!$G:$G,MATCH($E26,CaseTypeCol!$A:$A,0))</f>
        <v>case_type3_dim3_1_text</v>
      </c>
      <c r="H26" s="6" t="str">
        <f t="shared" si="0"/>
        <v>0195d18c-1ccd-d664-179c-a1a90c3c886c|0195d18c-1cb1-b5d5-ee26-96c6a9678489</v>
      </c>
    </row>
    <row r="27" spans="1:8" x14ac:dyDescent="0.3">
      <c r="A27" t="s">
        <v>213</v>
      </c>
      <c r="B27" t="s">
        <v>214</v>
      </c>
      <c r="C27" s="6" t="str">
        <f>INDEX(CaseTypeColSet!$B:$B,MATCH($B27,CaseTypeColSet!$A:$A,0))</f>
        <v>case_type_col_set3_3_2</v>
      </c>
      <c r="E27" t="s">
        <v>215</v>
      </c>
      <c r="F27" s="6" t="str">
        <f>INDEX(CaseTypeCol!$G:$G,MATCH($E27,CaseTypeCol!$A:$A,0))</f>
        <v>case_type3_dim3_2_text</v>
      </c>
      <c r="H27" s="6" t="str">
        <f t="shared" si="0"/>
        <v>0195d18c-1ccd-12ae-b807-5b71d1b4e1f1|0195d18c-1cb1-f7bb-aa5b-6f2c6f5d3696</v>
      </c>
    </row>
    <row r="28" spans="1:8" x14ac:dyDescent="0.3">
      <c r="A28" t="s">
        <v>216</v>
      </c>
      <c r="B28" t="s">
        <v>217</v>
      </c>
      <c r="C28" s="6" t="str">
        <f>INDEX(CaseTypeColSet!$B:$B,MATCH($B28,CaseTypeColSet!$A:$A,0))</f>
        <v>case_type_col_set3_3_3</v>
      </c>
      <c r="E28" t="s">
        <v>218</v>
      </c>
      <c r="F28" s="6" t="str">
        <f>INDEX(CaseTypeCol!$G:$G,MATCH($E28,CaseTypeCol!$A:$A,0))</f>
        <v>case_type3_dim3_3_text</v>
      </c>
      <c r="H28" s="6" t="str">
        <f t="shared" si="0"/>
        <v>0195d18c-1cce-3516-017e-cf05c78d4433|0195d18c-1cb1-2097-fae7-ffcb7e109be5</v>
      </c>
    </row>
    <row r="29" spans="1:8" x14ac:dyDescent="0.3">
      <c r="A29" t="s">
        <v>219</v>
      </c>
      <c r="B29" t="s">
        <v>70</v>
      </c>
      <c r="C29" s="6" t="str">
        <f>INDEX(CaseTypeColSet!$B:$B,MATCH($B29,CaseTypeColSet!$A:$A,0))</f>
        <v>case_type_col_set4_1_1</v>
      </c>
      <c r="E29" t="s">
        <v>220</v>
      </c>
      <c r="F29" s="6" t="str">
        <f>INDEX(CaseTypeCol!$G:$G,MATCH($E29,CaseTypeCol!$A:$A,0))</f>
        <v>case_type4_dim1_1_text</v>
      </c>
      <c r="H29" s="6" t="str">
        <f t="shared" si="0"/>
        <v>0195d18c-1cce-585d-e95b-79f3fbfdd12b|0195d18c-1cb2-95e6-139d-1dbe7ffdd3d0</v>
      </c>
    </row>
    <row r="30" spans="1:8" x14ac:dyDescent="0.3">
      <c r="A30" t="s">
        <v>221</v>
      </c>
      <c r="B30" t="s">
        <v>222</v>
      </c>
      <c r="C30" s="6" t="str">
        <f>INDEX(CaseTypeColSet!$B:$B,MATCH($B30,CaseTypeColSet!$A:$A,0))</f>
        <v>case_type_col_set4_1_2</v>
      </c>
      <c r="E30" t="s">
        <v>223</v>
      </c>
      <c r="F30" s="6" t="str">
        <f>INDEX(CaseTypeCol!$G:$G,MATCH($E30,CaseTypeCol!$A:$A,0))</f>
        <v>case_type4_dim1_2_text</v>
      </c>
      <c r="H30" s="6" t="str">
        <f t="shared" si="0"/>
        <v>0195d18c-1ccf-c9fa-4e69-800cfa6c5e86|0195d18c-1cb2-995c-625d-dfa62a674ff8</v>
      </c>
    </row>
    <row r="31" spans="1:8" x14ac:dyDescent="0.3">
      <c r="A31" t="s">
        <v>224</v>
      </c>
      <c r="B31" t="s">
        <v>225</v>
      </c>
      <c r="C31" s="6" t="str">
        <f>INDEX(CaseTypeColSet!$B:$B,MATCH($B31,CaseTypeColSet!$A:$A,0))</f>
        <v>case_type_col_set4_1_3</v>
      </c>
      <c r="E31" t="s">
        <v>226</v>
      </c>
      <c r="F31" s="6" t="str">
        <f>INDEX(CaseTypeCol!$G:$G,MATCH($E31,CaseTypeCol!$A:$A,0))</f>
        <v>case_type4_dim1_3_text</v>
      </c>
      <c r="H31" s="6" t="str">
        <f t="shared" si="0"/>
        <v>0195d18c-1ccf-d319-afba-0f13f0d06256|0195d18c-1cb2-7a1f-c2f8-ce2096e4cbbc</v>
      </c>
    </row>
    <row r="32" spans="1:8" x14ac:dyDescent="0.3">
      <c r="A32" t="s">
        <v>227</v>
      </c>
      <c r="B32" t="s">
        <v>228</v>
      </c>
      <c r="C32" s="6" t="str">
        <f>INDEX(CaseTypeColSet!$B:$B,MATCH($B32,CaseTypeColSet!$A:$A,0))</f>
        <v>case_type_col_set4_2_1</v>
      </c>
      <c r="E32" t="s">
        <v>229</v>
      </c>
      <c r="F32" s="6" t="str">
        <f>INDEX(CaseTypeCol!$G:$G,MATCH($E32,CaseTypeCol!$A:$A,0))</f>
        <v>case_type4_dim2_1_text</v>
      </c>
      <c r="H32" s="6" t="str">
        <f t="shared" si="0"/>
        <v>0195d18c-1cd0-951a-878d-5fe5fcd0015a|0195d18c-1cb3-b49c-ddc2-f5174414bfdc</v>
      </c>
    </row>
    <row r="33" spans="1:8" x14ac:dyDescent="0.3">
      <c r="A33" t="s">
        <v>230</v>
      </c>
      <c r="B33" t="s">
        <v>231</v>
      </c>
      <c r="C33" s="6" t="str">
        <f>INDEX(CaseTypeColSet!$B:$B,MATCH($B33,CaseTypeColSet!$A:$A,0))</f>
        <v>case_type_col_set4_2_2</v>
      </c>
      <c r="E33" t="s">
        <v>232</v>
      </c>
      <c r="F33" s="6" t="str">
        <f>INDEX(CaseTypeCol!$G:$G,MATCH($E33,CaseTypeCol!$A:$A,0))</f>
        <v>case_type4_dim2_2_text</v>
      </c>
      <c r="H33" s="6" t="str">
        <f t="shared" si="0"/>
        <v>0195d18c-1cd0-0128-08ed-42804fabb534|0195d18c-1cb3-9495-0b74-a14fa0378944</v>
      </c>
    </row>
    <row r="34" spans="1:8" x14ac:dyDescent="0.3">
      <c r="A34" t="s">
        <v>233</v>
      </c>
      <c r="B34" t="s">
        <v>234</v>
      </c>
      <c r="C34" s="6" t="str">
        <f>INDEX(CaseTypeColSet!$B:$B,MATCH($B34,CaseTypeColSet!$A:$A,0))</f>
        <v>case_type_col_set4_2_3</v>
      </c>
      <c r="E34" t="s">
        <v>235</v>
      </c>
      <c r="F34" s="6" t="str">
        <f>INDEX(CaseTypeCol!$G:$G,MATCH($E34,CaseTypeCol!$A:$A,0))</f>
        <v>case_type4_dim2_3_text</v>
      </c>
      <c r="H34" s="6" t="str">
        <f t="shared" si="0"/>
        <v>0195d18c-1cd1-9702-2218-87932d7bfde7|0195d18c-1cb3-7165-f2c8-1549624bce57</v>
      </c>
    </row>
    <row r="35" spans="1:8" x14ac:dyDescent="0.3">
      <c r="A35" t="s">
        <v>236</v>
      </c>
      <c r="B35" t="s">
        <v>237</v>
      </c>
      <c r="C35" s="6" t="str">
        <f>INDEX(CaseTypeColSet!$B:$B,MATCH($B35,CaseTypeColSet!$A:$A,0))</f>
        <v>case_type_col_set4_3_1</v>
      </c>
      <c r="E35" t="s">
        <v>238</v>
      </c>
      <c r="F35" s="6" t="str">
        <f>INDEX(CaseTypeCol!$G:$G,MATCH($E35,CaseTypeCol!$A:$A,0))</f>
        <v>case_type4_dim3_1_text</v>
      </c>
      <c r="H35" s="6" t="str">
        <f t="shared" si="0"/>
        <v>0195d18c-1cd1-a4b4-2764-66bf69a9f28c|0195d18c-1cb4-62ef-acc3-d4754efbcff5</v>
      </c>
    </row>
    <row r="36" spans="1:8" x14ac:dyDescent="0.3">
      <c r="A36" t="s">
        <v>239</v>
      </c>
      <c r="B36" t="s">
        <v>240</v>
      </c>
      <c r="C36" s="6" t="str">
        <f>INDEX(CaseTypeColSet!$B:$B,MATCH($B36,CaseTypeColSet!$A:$A,0))</f>
        <v>case_type_col_set4_3_2</v>
      </c>
      <c r="E36" t="s">
        <v>241</v>
      </c>
      <c r="F36" s="6" t="str">
        <f>INDEX(CaseTypeCol!$G:$G,MATCH($E36,CaseTypeCol!$A:$A,0))</f>
        <v>case_type4_dim3_2_text</v>
      </c>
      <c r="H36" s="6" t="str">
        <f t="shared" si="0"/>
        <v>0195d18c-1cd2-3359-f0c5-d09dfe10cbd9|0195d18c-1cb4-4080-ce72-0ae401b350e2</v>
      </c>
    </row>
    <row r="37" spans="1:8" x14ac:dyDescent="0.3">
      <c r="A37" t="s">
        <v>242</v>
      </c>
      <c r="B37" t="s">
        <v>243</v>
      </c>
      <c r="C37" s="6" t="str">
        <f>INDEX(CaseTypeColSet!$B:$B,MATCH($B37,CaseTypeColSet!$A:$A,0))</f>
        <v>case_type_col_set4_3_3</v>
      </c>
      <c r="E37" t="s">
        <v>244</v>
      </c>
      <c r="F37" s="6" t="str">
        <f>INDEX(CaseTypeCol!$G:$G,MATCH($E37,CaseTypeCol!$A:$A,0))</f>
        <v>case_type4_dim3_3_text</v>
      </c>
      <c r="H37" s="6" t="str">
        <f t="shared" si="0"/>
        <v>0195d18c-1cd2-c028-2759-dfa197e2e6c0|0195d18c-1cb4-7eca-c0f5-e64333747c9b</v>
      </c>
    </row>
    <row r="38" spans="1:8" x14ac:dyDescent="0.3">
      <c r="A38" t="s">
        <v>245</v>
      </c>
      <c r="B38" t="s">
        <v>72</v>
      </c>
      <c r="C38" s="6" t="str">
        <f>INDEX(CaseTypeColSet!$B:$B,MATCH($B38,CaseTypeColSet!$A:$A,0))</f>
        <v>case_type_col_set5_1_1</v>
      </c>
      <c r="E38" t="s">
        <v>246</v>
      </c>
      <c r="F38" s="6" t="str">
        <f>INDEX(CaseTypeCol!$G:$G,MATCH($E38,CaseTypeCol!$A:$A,0))</f>
        <v>case_type5_dim1_1_text</v>
      </c>
      <c r="H38" s="6" t="str">
        <f t="shared" si="0"/>
        <v>0195d18c-1cd3-02c7-4a0d-80f544cc425a|0195d18c-1cb5-c3e7-b945-7d438ce70962</v>
      </c>
    </row>
    <row r="39" spans="1:8" x14ac:dyDescent="0.3">
      <c r="A39" t="s">
        <v>247</v>
      </c>
      <c r="B39" t="s">
        <v>248</v>
      </c>
      <c r="C39" s="6" t="str">
        <f>INDEX(CaseTypeColSet!$B:$B,MATCH($B39,CaseTypeColSet!$A:$A,0))</f>
        <v>case_type_col_set5_1_2</v>
      </c>
      <c r="E39" t="s">
        <v>249</v>
      </c>
      <c r="F39" s="6" t="str">
        <f>INDEX(CaseTypeCol!$G:$G,MATCH($E39,CaseTypeCol!$A:$A,0))</f>
        <v>case_type5_dim1_2_text</v>
      </c>
      <c r="H39" s="6" t="str">
        <f t="shared" si="0"/>
        <v>0195d18c-1cd3-acd1-2f6c-f9db7a3cd290|0195d18c-1cb5-8fdb-b13a-19f20c06817d</v>
      </c>
    </row>
    <row r="40" spans="1:8" x14ac:dyDescent="0.3">
      <c r="A40" t="s">
        <v>250</v>
      </c>
      <c r="B40" t="s">
        <v>251</v>
      </c>
      <c r="C40" s="6" t="str">
        <f>INDEX(CaseTypeColSet!$B:$B,MATCH($B40,CaseTypeColSet!$A:$A,0))</f>
        <v>case_type_col_set5_1_3</v>
      </c>
      <c r="E40" t="s">
        <v>252</v>
      </c>
      <c r="F40" s="6" t="str">
        <f>INDEX(CaseTypeCol!$G:$G,MATCH($E40,CaseTypeCol!$A:$A,0))</f>
        <v>case_type5_dim1_3_text</v>
      </c>
      <c r="H40" s="6" t="str">
        <f t="shared" si="0"/>
        <v>0195d18c-1cd4-44f9-ea4c-4ab401e03f8f|0195d18c-1cb5-5dbb-4903-872ca139254e</v>
      </c>
    </row>
    <row r="41" spans="1:8" x14ac:dyDescent="0.3">
      <c r="A41" t="s">
        <v>253</v>
      </c>
      <c r="B41" t="s">
        <v>254</v>
      </c>
      <c r="C41" s="6" t="str">
        <f>INDEX(CaseTypeColSet!$B:$B,MATCH($B41,CaseTypeColSet!$A:$A,0))</f>
        <v>case_type_col_set5_2_1</v>
      </c>
      <c r="E41" t="s">
        <v>255</v>
      </c>
      <c r="F41" s="6" t="str">
        <f>INDEX(CaseTypeCol!$G:$G,MATCH($E41,CaseTypeCol!$A:$A,0))</f>
        <v>case_type5_dim2_1_text</v>
      </c>
      <c r="H41" s="6" t="str">
        <f t="shared" si="0"/>
        <v>0195d18c-1cd4-a35d-3e85-41eb9f24a911|0195d18c-1cb6-9ffa-e835-0b70cc4b0ae9</v>
      </c>
    </row>
    <row r="42" spans="1:8" x14ac:dyDescent="0.3">
      <c r="A42" t="s">
        <v>256</v>
      </c>
      <c r="B42" t="s">
        <v>257</v>
      </c>
      <c r="C42" s="6" t="str">
        <f>INDEX(CaseTypeColSet!$B:$B,MATCH($B42,CaseTypeColSet!$A:$A,0))</f>
        <v>case_type_col_set5_2_2</v>
      </c>
      <c r="E42" t="s">
        <v>258</v>
      </c>
      <c r="F42" s="6" t="str">
        <f>INDEX(CaseTypeCol!$G:$G,MATCH($E42,CaseTypeCol!$A:$A,0))</f>
        <v>case_type5_dim2_2_text</v>
      </c>
      <c r="H42" s="6" t="str">
        <f t="shared" si="0"/>
        <v>0195d18c-1cd5-e8f4-76f8-56e13a8aec12|0195d18c-1cb6-a2b9-4827-77425c5ab615</v>
      </c>
    </row>
    <row r="43" spans="1:8" x14ac:dyDescent="0.3">
      <c r="A43" t="s">
        <v>259</v>
      </c>
      <c r="B43" t="s">
        <v>260</v>
      </c>
      <c r="C43" s="6" t="str">
        <f>INDEX(CaseTypeColSet!$B:$B,MATCH($B43,CaseTypeColSet!$A:$A,0))</f>
        <v>case_type_col_set5_2_3</v>
      </c>
      <c r="E43" t="s">
        <v>261</v>
      </c>
      <c r="F43" s="6" t="str">
        <f>INDEX(CaseTypeCol!$G:$G,MATCH($E43,CaseTypeCol!$A:$A,0))</f>
        <v>case_type5_dim2_3_text</v>
      </c>
      <c r="H43" s="6" t="str">
        <f t="shared" si="0"/>
        <v>0195d18c-1cd6-da43-ec75-25feee641928|0195d18c-1cb6-04b0-5474-a6411b693a97</v>
      </c>
    </row>
    <row r="44" spans="1:8" x14ac:dyDescent="0.3">
      <c r="A44" t="s">
        <v>262</v>
      </c>
      <c r="B44" t="s">
        <v>263</v>
      </c>
      <c r="C44" s="6" t="str">
        <f>INDEX(CaseTypeColSet!$B:$B,MATCH($B44,CaseTypeColSet!$A:$A,0))</f>
        <v>case_type_col_set5_3_1</v>
      </c>
      <c r="E44" t="s">
        <v>264</v>
      </c>
      <c r="F44" s="6" t="str">
        <f>INDEX(CaseTypeCol!$G:$G,MATCH($E44,CaseTypeCol!$A:$A,0))</f>
        <v>case_type5_dim3_1_text</v>
      </c>
      <c r="H44" s="6" t="str">
        <f t="shared" si="0"/>
        <v>0195d18c-1cd6-2f81-aefd-93fce854296f|0195d18c-1cb7-05e5-fd6b-6914a124e649</v>
      </c>
    </row>
    <row r="45" spans="1:8" x14ac:dyDescent="0.3">
      <c r="A45" t="s">
        <v>265</v>
      </c>
      <c r="B45" t="s">
        <v>266</v>
      </c>
      <c r="C45" s="6" t="str">
        <f>INDEX(CaseTypeColSet!$B:$B,MATCH($B45,CaseTypeColSet!$A:$A,0))</f>
        <v>case_type_col_set5_3_2</v>
      </c>
      <c r="E45" t="s">
        <v>267</v>
      </c>
      <c r="F45" s="6" t="str">
        <f>INDEX(CaseTypeCol!$G:$G,MATCH($E45,CaseTypeCol!$A:$A,0))</f>
        <v>case_type5_dim3_2_text</v>
      </c>
      <c r="H45" s="6" t="str">
        <f t="shared" si="0"/>
        <v>0195d18c-1cd7-22bb-71ce-9110669bbfef|0195d18c-1cb7-44c6-2f56-594e12327604</v>
      </c>
    </row>
    <row r="46" spans="1:8" x14ac:dyDescent="0.3">
      <c r="A46" t="s">
        <v>268</v>
      </c>
      <c r="B46" t="s">
        <v>269</v>
      </c>
      <c r="C46" s="6" t="str">
        <f>INDEX(CaseTypeColSet!$B:$B,MATCH($B46,CaseTypeColSet!$A:$A,0))</f>
        <v>case_type_col_set5_3_3</v>
      </c>
      <c r="E46" t="s">
        <v>270</v>
      </c>
      <c r="F46" s="6" t="str">
        <f>INDEX(CaseTypeCol!$G:$G,MATCH($E46,CaseTypeCol!$A:$A,0))</f>
        <v>case_type5_dim3_3_text</v>
      </c>
      <c r="H46" s="6" t="str">
        <f t="shared" si="0"/>
        <v>0195d18c-1cd7-b95b-ced6-589a63e3e6eb|0195d18c-1cb7-e7f7-a41d-bacd0f861a06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 activeCell="D1" sqref="D1"/>
    </sheetView>
  </sheetViews>
  <sheetFormatPr defaultColWidth="8.6640625" defaultRowHeight="14.4" x14ac:dyDescent="0.3"/>
  <cols>
    <col min="1" max="1" width="35.6640625" bestFit="1" customWidth="1"/>
    <col min="2" max="2" width="36" bestFit="1" customWidth="1"/>
    <col min="3" max="3" width="14.33203125" bestFit="1" customWidth="1"/>
    <col min="4" max="4" width="36" bestFit="1" customWidth="1"/>
    <col min="5" max="5" width="12.6640625" bestFit="1" customWidth="1"/>
    <col min="6" max="6" width="8" bestFit="1" customWidth="1"/>
  </cols>
  <sheetData>
    <row r="1" spans="1:6" s="9" customFormat="1" x14ac:dyDescent="0.3">
      <c r="A1" s="7" t="s">
        <v>0</v>
      </c>
      <c r="B1" s="7" t="s">
        <v>41</v>
      </c>
      <c r="C1" s="7" t="s">
        <v>551</v>
      </c>
      <c r="D1" s="7" t="s">
        <v>1</v>
      </c>
      <c r="E1" s="7" t="s">
        <v>550</v>
      </c>
      <c r="F1" s="7" t="s">
        <v>3</v>
      </c>
    </row>
    <row r="2" spans="1:6" x14ac:dyDescent="0.3">
      <c r="A2" t="s">
        <v>42</v>
      </c>
      <c r="B2" t="s">
        <v>43</v>
      </c>
      <c r="C2" t="str">
        <f>VLOOKUP(B2,Organization!$A:$B,2,0)</f>
        <v>org1</v>
      </c>
      <c r="D2" t="s">
        <v>44</v>
      </c>
      <c r="E2" t="str">
        <f>VLOOKUP(D2,User!$A:$D,3,0)</f>
        <v>org_admin1_1@org1.org</v>
      </c>
      <c r="F2" t="b">
        <v>1</v>
      </c>
    </row>
    <row r="3" spans="1:6" x14ac:dyDescent="0.3">
      <c r="A3" t="s">
        <v>45</v>
      </c>
      <c r="B3" t="s">
        <v>46</v>
      </c>
      <c r="C3" t="str">
        <f>VLOOKUP(B3,Organization!$A:$B,2,0)</f>
        <v>org2</v>
      </c>
      <c r="D3" t="s">
        <v>47</v>
      </c>
      <c r="E3" t="str">
        <f>VLOOKUP(D3,User!$A:$D,3,0)</f>
        <v>org_admin2_1@org2.org</v>
      </c>
      <c r="F3" t="b">
        <v>1</v>
      </c>
    </row>
    <row r="4" spans="1:6" x14ac:dyDescent="0.3">
      <c r="A4" t="s">
        <v>48</v>
      </c>
      <c r="B4" t="s">
        <v>49</v>
      </c>
      <c r="C4" t="str">
        <f>VLOOKUP(B4,Organization!$A:$B,2,0)</f>
        <v>org3</v>
      </c>
      <c r="D4" t="s">
        <v>50</v>
      </c>
      <c r="E4" t="str">
        <f>VLOOKUP(D4,User!$A:$D,3,0)</f>
        <v>org_admin3_1@org3.org</v>
      </c>
      <c r="F4" t="b">
        <v>1</v>
      </c>
    </row>
    <row r="5" spans="1:6" x14ac:dyDescent="0.3">
      <c r="A5" t="s">
        <v>51</v>
      </c>
      <c r="B5" t="s">
        <v>52</v>
      </c>
      <c r="C5" t="str">
        <f>VLOOKUP(B5,Organization!$A:$B,2,0)</f>
        <v>org4</v>
      </c>
      <c r="D5" t="s">
        <v>53</v>
      </c>
      <c r="E5" t="str">
        <f>VLOOKUP(D5,User!$A:$D,3,0)</f>
        <v>org_admin4_1@org4.org</v>
      </c>
      <c r="F5" t="b">
        <v>1</v>
      </c>
    </row>
    <row r="6" spans="1:6" x14ac:dyDescent="0.3">
      <c r="A6" t="s">
        <v>54</v>
      </c>
      <c r="B6" t="s">
        <v>55</v>
      </c>
      <c r="C6" t="str">
        <f>VLOOKUP(B6,Organization!$A:$B,2,0)</f>
        <v>org5</v>
      </c>
      <c r="D6" t="s">
        <v>56</v>
      </c>
      <c r="E6" t="str">
        <f>VLOOKUP(D6,User!$A:$D,3,0)</f>
        <v>org_admin5_1@org5.org</v>
      </c>
      <c r="F6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7C33-6768-4AAE-A57E-F80585DED472}">
  <dimension ref="A1:AU75"/>
  <sheetViews>
    <sheetView topLeftCell="AS1" zoomScale="110" zoomScaleNormal="110" workbookViewId="0">
      <pane ySplit="1" topLeftCell="A17" activePane="bottomLeft" state="frozen"/>
      <selection pane="bottomLeft" activeCell="AW30" sqref="AW30"/>
    </sheetView>
  </sheetViews>
  <sheetFormatPr defaultColWidth="5.6640625" defaultRowHeight="14.4" x14ac:dyDescent="0.3"/>
  <cols>
    <col min="1" max="1" width="7.44140625" bestFit="1" customWidth="1"/>
    <col min="2" max="2" width="7.44140625" customWidth="1"/>
    <col min="3" max="3" width="36.109375" bestFit="1" customWidth="1"/>
    <col min="4" max="4" width="35.6640625" bestFit="1" customWidth="1"/>
    <col min="5" max="5" width="18" style="6" bestFit="1" customWidth="1"/>
    <col min="6" max="6" width="13.33203125" bestFit="1" customWidth="1"/>
    <col min="7" max="7" width="11.6640625" style="19" bestFit="1" customWidth="1"/>
    <col min="8" max="8" width="35.44140625" style="6" bestFit="1" customWidth="1"/>
    <col min="9" max="9" width="29.6640625" style="6" bestFit="1" customWidth="1"/>
    <col min="10" max="10" width="37.109375" style="6" bestFit="1" customWidth="1"/>
    <col min="11" max="11" width="62.6640625" style="6" bestFit="1" customWidth="1"/>
    <col min="12" max="12" width="41.6640625" style="6" bestFit="1" customWidth="1"/>
    <col min="13" max="13" width="45" style="6" bestFit="1" customWidth="1"/>
    <col min="14" max="14" width="30.44140625" style="6" bestFit="1" customWidth="1"/>
    <col min="15" max="15" width="56.109375" style="6" bestFit="1" customWidth="1"/>
    <col min="16" max="16" width="35" style="6" bestFit="1" customWidth="1"/>
    <col min="17" max="17" width="38.109375" style="6" bestFit="1" customWidth="1"/>
    <col min="18" max="18" width="36.109375" bestFit="1" customWidth="1"/>
    <col min="19" max="19" width="33.44140625" bestFit="1" customWidth="1"/>
    <col min="20" max="20" width="23.33203125" style="6" bestFit="1" customWidth="1"/>
    <col min="21" max="21" width="28.6640625" style="6" bestFit="1" customWidth="1"/>
    <col min="22" max="22" width="15.6640625" bestFit="1" customWidth="1"/>
    <col min="23" max="23" width="34.44140625" bestFit="1" customWidth="1"/>
    <col min="24" max="24" width="38.33203125" style="6" bestFit="1" customWidth="1"/>
    <col min="25" max="25" width="12" bestFit="1" customWidth="1"/>
    <col min="26" max="26" width="15.44140625" bestFit="1" customWidth="1"/>
    <col min="27" max="27" width="34.6640625" bestFit="1" customWidth="1"/>
    <col min="28" max="28" width="32.44140625" bestFit="1" customWidth="1"/>
    <col min="29" max="29" width="35.33203125" style="6" bestFit="1" customWidth="1"/>
    <col min="30" max="30" width="66.109375" style="6" bestFit="1" customWidth="1"/>
    <col min="31" max="31" width="66.6640625" style="6" bestFit="1" customWidth="1"/>
    <col min="32" max="32" width="59.33203125" style="6" bestFit="1" customWidth="1"/>
    <col min="33" max="33" width="60" style="6" bestFit="1" customWidth="1"/>
    <col min="34" max="34" width="29.6640625" bestFit="1" customWidth="1"/>
    <col min="35" max="35" width="32.44140625" bestFit="1" customWidth="1"/>
    <col min="36" max="36" width="35.33203125" style="6" bestFit="1" customWidth="1"/>
    <col min="37" max="37" width="66.109375" style="6" bestFit="1" customWidth="1"/>
    <col min="38" max="38" width="66.6640625" style="6" bestFit="1" customWidth="1"/>
    <col min="39" max="39" width="59.33203125" style="6" bestFit="1" customWidth="1"/>
    <col min="40" max="40" width="60" style="6" bestFit="1" customWidth="1"/>
    <col min="41" max="41" width="29.6640625" bestFit="1" customWidth="1"/>
    <col min="42" max="42" width="32.44140625" bestFit="1" customWidth="1"/>
    <col min="43" max="43" width="35.33203125" style="6" bestFit="1" customWidth="1"/>
    <col min="44" max="44" width="66.109375" style="6" bestFit="1" customWidth="1"/>
    <col min="45" max="45" width="66.6640625" style="6" bestFit="1" customWidth="1"/>
    <col min="46" max="46" width="59.33203125" style="6" bestFit="1" customWidth="1"/>
    <col min="47" max="47" width="60" style="6" bestFit="1" customWidth="1"/>
  </cols>
  <sheetData>
    <row r="1" spans="1:47" x14ac:dyDescent="0.3">
      <c r="A1" t="s">
        <v>587</v>
      </c>
      <c r="B1" t="s">
        <v>722</v>
      </c>
      <c r="C1" t="s">
        <v>0</v>
      </c>
      <c r="D1" t="s">
        <v>590</v>
      </c>
      <c r="E1" s="6" t="s">
        <v>717</v>
      </c>
      <c r="F1" t="s">
        <v>588</v>
      </c>
      <c r="G1" s="19" t="s">
        <v>598</v>
      </c>
      <c r="H1" s="6" t="s">
        <v>665</v>
      </c>
      <c r="I1" s="6" t="s">
        <v>669</v>
      </c>
      <c r="J1" s="6" t="s">
        <v>666</v>
      </c>
      <c r="K1" s="6" t="s">
        <v>674</v>
      </c>
      <c r="L1" s="6" t="s">
        <v>599</v>
      </c>
      <c r="M1" s="6" t="s">
        <v>600</v>
      </c>
      <c r="N1" s="6" t="s">
        <v>668</v>
      </c>
      <c r="O1" s="6" t="s">
        <v>675</v>
      </c>
      <c r="P1" s="6" t="s">
        <v>601</v>
      </c>
      <c r="Q1" s="6" t="s">
        <v>602</v>
      </c>
      <c r="R1" t="s">
        <v>589</v>
      </c>
      <c r="S1" t="s">
        <v>591</v>
      </c>
      <c r="T1" s="6" t="s">
        <v>659</v>
      </c>
      <c r="U1" s="6" t="s">
        <v>664</v>
      </c>
      <c r="V1" t="s">
        <v>592</v>
      </c>
      <c r="W1" t="s">
        <v>593</v>
      </c>
      <c r="X1" s="6" t="s">
        <v>677</v>
      </c>
      <c r="Y1" t="s">
        <v>594</v>
      </c>
      <c r="Z1" t="s">
        <v>595</v>
      </c>
      <c r="AA1" t="s">
        <v>596</v>
      </c>
      <c r="AB1" t="s">
        <v>597</v>
      </c>
      <c r="AC1" s="6" t="s">
        <v>676</v>
      </c>
      <c r="AD1" s="6" t="s">
        <v>680</v>
      </c>
      <c r="AE1" s="6" t="s">
        <v>681</v>
      </c>
      <c r="AF1" s="6" t="s">
        <v>686</v>
      </c>
      <c r="AG1" s="6" t="s">
        <v>687</v>
      </c>
      <c r="AH1" t="s">
        <v>661</v>
      </c>
      <c r="AI1" t="s">
        <v>707</v>
      </c>
      <c r="AJ1" s="6" t="s">
        <v>678</v>
      </c>
      <c r="AK1" s="6" t="s">
        <v>682</v>
      </c>
      <c r="AL1" s="6" t="s">
        <v>683</v>
      </c>
      <c r="AM1" s="6" t="s">
        <v>688</v>
      </c>
      <c r="AN1" s="6" t="s">
        <v>689</v>
      </c>
      <c r="AO1" t="s">
        <v>662</v>
      </c>
      <c r="AP1" t="s">
        <v>708</v>
      </c>
      <c r="AQ1" s="6" t="s">
        <v>679</v>
      </c>
      <c r="AR1" s="6" t="s">
        <v>684</v>
      </c>
      <c r="AS1" s="6" t="s">
        <v>685</v>
      </c>
      <c r="AT1" s="6" t="s">
        <v>690</v>
      </c>
      <c r="AU1" s="6" t="s">
        <v>691</v>
      </c>
    </row>
    <row r="2" spans="1:47" x14ac:dyDescent="0.3">
      <c r="A2">
        <v>1</v>
      </c>
      <c r="B2" t="b">
        <v>1</v>
      </c>
      <c r="C2" t="s">
        <v>606</v>
      </c>
      <c r="D2" t="s">
        <v>723</v>
      </c>
      <c r="E2" s="6" t="str">
        <f>INDEX(User!$D:$D,MATCH($D2,User!$A:$A,0))</f>
        <v>root1_1</v>
      </c>
      <c r="F2" t="s">
        <v>660</v>
      </c>
      <c r="G2" s="19" t="b">
        <f t="shared" ref="G2:G65" si="0">IF($F2="CREATE",$I2,IF($F2="CREATE_CASES",OR($I2,AND($K2,$L2,$O2,$P2,$AE2,AG2,$AL2,$AN2,$AS2,$AU2)),"TBD"))</f>
        <v>1</v>
      </c>
      <c r="H2" s="6" t="str">
        <f>INDEX(User!$G:$G,MATCH($D2,User!$A:$A,0))</f>
        <v>018d074d-ea0c-e942-07db-a3cc0ba1d653</v>
      </c>
      <c r="I2" s="6" t="b">
        <f>INDEX(User!$M:$M,MATCH($D2,User!$A:$A,0))</f>
        <v>1</v>
      </c>
      <c r="J2" s="6">
        <f>IF(ISNA(MATCH($H2&amp;"|"&amp;$W2,OrganizationAccessCasePolicy!$V:$V,0)),"",MATCH($H2&amp;"|"&amp;$W2,OrganizationAccessCasePolicy!$V:$V,0))</f>
        <v>2</v>
      </c>
      <c r="K2" s="6" t="b" cm="1">
        <f t="array" aca="1" ref="K2" ca="1">IF($J2="",FALSE,NOT(ISNA(MATCH(INDIRECT("OrganizationAccessCasePolicy!D"&amp;$J2)&amp;"|"&amp;$S2,CaseTypeSetMember!$H:$H,0))))</f>
        <v>1</v>
      </c>
      <c r="L2" s="6" t="b" cm="1">
        <f t="array" aca="1" ref="L2" ca="1">IF($J2="",FALSE,AND(INDIRECT("OrganizationAccessCasePolicy!H"&amp;$J2),NOT(ISNA(MATCH(INDIRECT("OrganizationAccessCasePolicy!D"&amp;$J2)&amp;"|"&amp;$S2,CaseTypeSetMember!$H:$H,0)))))</f>
        <v>1</v>
      </c>
      <c r="M2" s="6" t="b" cm="1">
        <f t="array" aca="1" ref="M2" ca="1">IF($J2="",FALSE,AND(INDIRECT("OrganizationAccessCasePolicy!I"&amp;$J2),NOT(ISNA(MATCH(INDIRECT("OrganizationAccessCasePolicy!D"&amp;$J2)&amp;"|"&amp;$S2,CaseTypeSetMember!$H:$H,0)))))</f>
        <v>1</v>
      </c>
      <c r="N2" s="6" t="str">
        <f>IF(ISNA(MATCH($D2&amp;"|"&amp;$W2,UserAccessCasePolicy!$W:$W,0)),"",MATCH($D2&amp;"|"&amp;$W2,UserAccessCasePolicy!$W:$W,0))</f>
        <v/>
      </c>
      <c r="O2" s="6" t="b" cm="1">
        <f t="array" aca="1" ref="O2" ca="1">IF($N2="",FALSE,NOT(ISNA(MATCH(INDIRECT("UserAccessCasePolicy!D"&amp;$N2)&amp;"|"&amp;$S2,CaseTypeSetMember!$H:$H,0))))</f>
        <v>0</v>
      </c>
      <c r="P2" s="6" t="b" cm="1">
        <f t="array" aca="1" ref="P2" ca="1">IF($N2="",FALSE,AND(INDIRECT("UserAccessCasePolicy!G"&amp;$N2),NOT(ISNA(MATCH(INDIRECT("UserAccessCasePolicy!D"&amp;$N2)&amp;"|"&amp;$S2,CaseTypeSetMember!$H:$H,0)))))</f>
        <v>0</v>
      </c>
      <c r="Q2" s="6" t="b" cm="1">
        <f t="array" aca="1" ref="Q2" ca="1">IF($N2="",FALSE,AND(INDIRECT("UserAccessCasePolicy!H"&amp;$N2),NOT(ISNA(MATCH(INDIRECT("UserAccessCasePolicy!D"&amp;$N2)&amp;"|"&amp;$S2,CaseTypeSetMember!$H:$H,0)))))</f>
        <v>0</v>
      </c>
      <c r="R2" t="s">
        <v>605</v>
      </c>
      <c r="S2" t="s">
        <v>119</v>
      </c>
      <c r="T2" s="6" t="str">
        <f>INDEX(CaseType!$B:$B,MATCH($S2,CaseType!$A:$A,0))</f>
        <v>case_type1</v>
      </c>
      <c r="U2" s="6" t="b">
        <f>AND(IF($AA2="",TRUE,$S2=INDEX(CaseTypeCol!$B:$B,MATCH($AA2,CaseTypeCol!$A:$A,0))),IF($AH2="",TRUE,$S2=INDEX(CaseTypeCol!$B:$B,MATCH($AH2,CaseTypeCol!$A:$A,0))),IF($AO2="",TRUE,$S2=INDEX(CaseTypeCol!$B:$B,MATCH($AO2,CaseTypeCol!$A:$A,0))))</f>
        <v>1</v>
      </c>
      <c r="W2" t="s">
        <v>11</v>
      </c>
      <c r="X2" s="6" t="str">
        <f>INDEX(DataCollection!$B:$B,MATCH($W2,DataCollection!$A:$A,0))</f>
        <v>data_collection1</v>
      </c>
      <c r="Z2" s="14">
        <v>36526</v>
      </c>
      <c r="AA2" t="s">
        <v>142</v>
      </c>
      <c r="AB2" t="s">
        <v>663</v>
      </c>
      <c r="AC2" s="6" t="str">
        <f>IF($AA2="","",INDEX(CaseTypeCol!$G:$G,MATCH($AA2,CaseTypeCol!$A:$A,0)))</f>
        <v>case_type1_dim1_1_text</v>
      </c>
      <c r="AD2" s="6" t="b" cm="1">
        <f t="array" aca="1" ref="AD2" ca="1">IF($AA2="",TRUE,IF($J2="",FALSE,IF(INDIRECT("OrganizationAccessCasePolicy!J"&amp;$J2)="",FALSE,NOT(ISNA(MATCH(INDIRECT("OrganizationAccessCasePolicy!J"&amp;$J2)&amp;"|"&amp;$AA2,CaseTypeColSetMember!$H:$H,0))))))</f>
        <v>1</v>
      </c>
      <c r="AE2" s="6" t="b" cm="1">
        <f t="array" aca="1" ref="AE2" ca="1">IF($AA2="",TRUE,IF($J2="",FALSE,IF(INDIRECT("OrganizationAccessCasePolicy!L"&amp;$J2)="",FALSE,NOT(ISNA(MATCH(INDIRECT("OrganizationAccessCasePolicy!L"&amp;$J2)&amp;"|"&amp;$AA2,CaseTypeColSetMember!$H:$H,0))))))</f>
        <v>1</v>
      </c>
      <c r="AF2" s="6" t="b" cm="1">
        <f t="array" aca="1" ref="AF2" ca="1">IF($AA2="",TRUE,IF($N2="",FALSE,IF(INDIRECT("UserAccessCasePolicy!I"&amp;$N2)="",FALSE,NOT(ISNA(MATCH(INDIRECT("UserAccessCasePolicy!I"&amp;$N2)&amp;"|"&amp;$AA2,CaseTypeColSetMember!$H:$H,0))))))</f>
        <v>0</v>
      </c>
      <c r="AG2" s="6" t="b" cm="1">
        <f t="array" aca="1" ref="AG2" ca="1">IF($AA2="",TRUE,IF($N2="",FALSE,IF(INDIRECT("UserAccessCasePolicy!K"&amp;$N2)="",FALSE,NOT(ISNA(MATCH(INDIRECT("UserAccessCasePolicy!K"&amp;$N2)&amp;"|"&amp;$AA2,CaseTypeColSetMember!$H:$H,0))))))</f>
        <v>0</v>
      </c>
      <c r="AJ2" s="6" t="str">
        <f>IF($AH2="","",INDEX(CaseTypeCol!$G:$G,MATCH($AH2,CaseTypeCol!$A:$A,0)))</f>
        <v/>
      </c>
      <c r="AK2" s="6" t="b" cm="1">
        <f t="array" aca="1" ref="AK2" ca="1">IF($AH2="",TRUE,IF($J2="",FALSE,IF(INDIRECT("OrganizationAccessCasePolicy!J"&amp;$J2)="",FALSE,NOT(ISNA(MATCH(INDIRECT("OrganizationAccessCasePolicy!J"&amp;$J2)&amp;"|"&amp;$AH2,CaseTypeColSetMember!$H:$H,0))))))</f>
        <v>1</v>
      </c>
      <c r="AL2" s="6" t="b" cm="1">
        <f t="array" aca="1" ref="AL2" ca="1">IF($AH2="",TRUE,IF($J2="",FALSE,IF(INDIRECT("OrganizationAccessCasePolicy!L"&amp;$J2)="",FALSE,NOT(ISNA(MATCH(INDIRECT("OrganizationAccessCasePolicy!L"&amp;$J2)&amp;"|"&amp;$AH2,CaseTypeColSetMember!$H:$H,0))))))</f>
        <v>1</v>
      </c>
      <c r="AM2" s="6" t="b" cm="1">
        <f t="array" aca="1" ref="AM2" ca="1">IF($AH2="",TRUE,IF($N2="",FALSE,IF(INDIRECT("UserAccessCasePolicy!I"&amp;$N2)="",FALSE,NOT(ISNA(MATCH(INDIRECT("UserAccessCasePolicy!I"&amp;$N2)&amp;"|"&amp;$AH2,CaseTypeColSetMember!$H:$H,0))))))</f>
        <v>1</v>
      </c>
      <c r="AN2" s="6" t="b" cm="1">
        <f t="array" aca="1" ref="AN2" ca="1">IF($AH2="",TRUE,IF($N2="",FALSE,IF(INDIRECT("UserAccessCasePolicy!K"&amp;$N2)="",FALSE,NOT(ISNA(MATCH(INDIRECT("UserAccessCasePolicy!K"&amp;$N2)&amp;"|"&amp;$AH2,CaseTypeColSetMember!$H:$H,0))))))</f>
        <v>1</v>
      </c>
      <c r="AQ2" s="6" t="str">
        <f>IF($AO2="","",INDEX(CaseTypeCol!$G:$G,MATCH($AO2,CaseTypeCol!$A:$A,0)))</f>
        <v/>
      </c>
      <c r="AR2" s="6" t="b" cm="1">
        <f t="array" aca="1" ref="AR2" ca="1">IF($AO2="",TRUE,IF($J2="",FALSE,IF(INDIRECT("OrganizationAccessCasePolicy!J"&amp;$J2)="",FALSE,NOT(ISNA(MATCH(INDIRECT("OrganizationAccessCasePolicy!J"&amp;$J2)&amp;"|"&amp;$AO2,CaseTypeColSetMember!$H:$H,0))))))</f>
        <v>1</v>
      </c>
      <c r="AS2" s="6" t="b" cm="1">
        <f t="array" aca="1" ref="AS2" ca="1">IF($AO2="",TRUE,IF($J2="",FALSE,IF(INDIRECT("OrganizationAccessCasePolicy!L"&amp;$J2)="",FALSE,NOT(ISNA(MATCH(INDIRECT("OrganizationAccessCasePolicy!L"&amp;$J2)&amp;"|"&amp;$AO2,CaseTypeColSetMember!$H:$H,0))))))</f>
        <v>1</v>
      </c>
      <c r="AT2" s="6" t="b" cm="1">
        <f t="array" aca="1" ref="AT2" ca="1">IF($AO2="",TRUE,IF($N2="",FALSE,IF(INDIRECT("UserAccessCasePolicy!I"&amp;$N2)="",FALSE,NOT(ISNA(MATCH(INDIRECT("UserAccessCasePolicy!I"&amp;$N2)&amp;"|"&amp;$AO2,CaseTypeColSetMember!$H:$H,0))))))</f>
        <v>1</v>
      </c>
      <c r="AU2" s="6" t="b" cm="1">
        <f t="array" aca="1" ref="AU2" ca="1">IF($AO2="",TRUE,IF($N2="",FALSE,IF(INDIRECT("UserAccessCasePolicy!K"&amp;$N2)="",FALSE,NOT(ISNA(MATCH(INDIRECT("UserAccessCasePolicy!K"&amp;$N2)&amp;"|"&amp;$AO2,CaseTypeColSetMember!$H:$H,0))))))</f>
        <v>1</v>
      </c>
    </row>
    <row r="3" spans="1:47" x14ac:dyDescent="0.3">
      <c r="A3">
        <v>2</v>
      </c>
      <c r="B3" t="b">
        <v>1</v>
      </c>
      <c r="C3" t="s">
        <v>604</v>
      </c>
      <c r="D3" t="s">
        <v>444</v>
      </c>
      <c r="E3" s="6" t="str">
        <f>INDEX(User!$D:$D,MATCH($D3,User!$A:$A,0))</f>
        <v>app_admin1_1</v>
      </c>
      <c r="F3" t="s">
        <v>660</v>
      </c>
      <c r="G3" s="19" t="b">
        <f t="shared" si="0"/>
        <v>1</v>
      </c>
      <c r="H3" s="6" t="str">
        <f>INDEX(User!$G:$G,MATCH($D3,User!$A:$A,0))</f>
        <v>018d074d-ea0c-e942-07db-a3cc0ba1d653</v>
      </c>
      <c r="I3" s="6" t="b">
        <f>INDEX(User!$M:$M,MATCH($D3,User!$A:$A,0))</f>
        <v>1</v>
      </c>
      <c r="J3" s="6">
        <f>IF(ISNA(MATCH($H3&amp;"|"&amp;$W3,OrganizationAccessCasePolicy!$V:$V,0)),"",MATCH($H3&amp;"|"&amp;$W3,OrganizationAccessCasePolicy!$V:$V,0))</f>
        <v>2</v>
      </c>
      <c r="K3" s="6" t="b" cm="1">
        <f t="array" aca="1" ref="K3" ca="1">IF($J3="",FALSE,NOT(ISNA(MATCH(INDIRECT("OrganizationAccessCasePolicy!D"&amp;$J3)&amp;"|"&amp;$S3,CaseTypeSetMember!$H:$H,0))))</f>
        <v>1</v>
      </c>
      <c r="L3" s="6" t="b" cm="1">
        <f t="array" aca="1" ref="L3" ca="1">IF($J3="",FALSE,AND(INDIRECT("OrganizationAccessCasePolicy!H"&amp;$J3),NOT(ISNA(MATCH(INDIRECT("OrganizationAccessCasePolicy!D"&amp;$J3)&amp;"|"&amp;$S3,CaseTypeSetMember!$H:$H,0)))))</f>
        <v>1</v>
      </c>
      <c r="M3" s="6" t="b" cm="1">
        <f t="array" aca="1" ref="M3" ca="1">IF($J3="",FALSE,AND(INDIRECT("OrganizationAccessCasePolicy!I"&amp;$J3),NOT(ISNA(MATCH(INDIRECT("OrganizationAccessCasePolicy!D"&amp;$J3)&amp;"|"&amp;$S3,CaseTypeSetMember!$H:$H,0)))))</f>
        <v>1</v>
      </c>
      <c r="N3" s="6" t="str">
        <f>IF(ISNA(MATCH($D3&amp;"|"&amp;$W3,UserAccessCasePolicy!$W:$W,0)),"",MATCH($D3&amp;"|"&amp;$W3,UserAccessCasePolicy!$W:$W,0))</f>
        <v/>
      </c>
      <c r="O3" s="6" t="b" cm="1">
        <f t="array" aca="1" ref="O3" ca="1">IF($N3="",FALSE,NOT(ISNA(MATCH(INDIRECT("UserAccessCasePolicy!D"&amp;$N3)&amp;"|"&amp;$S3,CaseTypeSetMember!$H:$H,0))))</f>
        <v>0</v>
      </c>
      <c r="P3" s="6" t="b" cm="1">
        <f t="array" aca="1" ref="P3" ca="1">IF($N3="",FALSE,AND(INDIRECT("UserAccessCasePolicy!G"&amp;$N3),NOT(ISNA(MATCH(INDIRECT("UserAccessCasePolicy!D"&amp;$N3)&amp;"|"&amp;$S3,CaseTypeSetMember!$H:$H,0)))))</f>
        <v>0</v>
      </c>
      <c r="Q3" s="6" t="b" cm="1">
        <f t="array" aca="1" ref="Q3" ca="1">IF($N3="",FALSE,AND(INDIRECT("UserAccessCasePolicy!H"&amp;$N3),NOT(ISNA(MATCH(INDIRECT("UserAccessCasePolicy!D"&amp;$N3)&amp;"|"&amp;$S3,CaseTypeSetMember!$H:$H,0)))))</f>
        <v>0</v>
      </c>
      <c r="R3" t="s">
        <v>603</v>
      </c>
      <c r="S3" t="s">
        <v>119</v>
      </c>
      <c r="T3" s="6" t="str">
        <f>INDEX(CaseType!$B:$B,MATCH($S3,CaseType!$A:$A,0))</f>
        <v>case_type1</v>
      </c>
      <c r="U3" s="6" t="b">
        <f>AND(IF($AA3="",TRUE,$S3=INDEX(CaseTypeCol!$B:$B,MATCH($AA3,CaseTypeCol!$A:$A,0))),IF($AH3="",TRUE,$S3=INDEX(CaseTypeCol!$B:$B,MATCH($AH3,CaseTypeCol!$A:$A,0))),IF($AO3="",TRUE,$S3=INDEX(CaseTypeCol!$B:$B,MATCH($AO3,CaseTypeCol!$A:$A,0))))</f>
        <v>1</v>
      </c>
      <c r="W3" t="s">
        <v>11</v>
      </c>
      <c r="X3" s="6" t="str">
        <f>INDEX(DataCollection!$B:$B,MATCH($W3,DataCollection!$A:$A,0))</f>
        <v>data_collection1</v>
      </c>
      <c r="Z3" s="14">
        <v>36526</v>
      </c>
      <c r="AA3" t="s">
        <v>142</v>
      </c>
      <c r="AB3" t="s">
        <v>663</v>
      </c>
      <c r="AC3" s="6" t="str">
        <f>IF($AA3="","",INDEX(CaseTypeCol!$G:$G,MATCH($AA3,CaseTypeCol!$A:$A,0)))</f>
        <v>case_type1_dim1_1_text</v>
      </c>
      <c r="AD3" s="6" t="b" cm="1">
        <f t="array" aca="1" ref="AD3" ca="1">IF($AA3="",TRUE,IF($J3="",FALSE,IF(INDIRECT("OrganizationAccessCasePolicy!J"&amp;$J3)="",FALSE,NOT(ISNA(MATCH(INDIRECT("OrganizationAccessCasePolicy!J"&amp;$J3)&amp;"|"&amp;$AA3,CaseTypeColSetMember!$H:$H,0))))))</f>
        <v>1</v>
      </c>
      <c r="AE3" s="6" t="b" cm="1">
        <f t="array" aca="1" ref="AE3" ca="1">IF($AA3="",TRUE,IF($J3="",FALSE,IF(INDIRECT("OrganizationAccessCasePolicy!L"&amp;$J3)="",FALSE,NOT(ISNA(MATCH(INDIRECT("OrganizationAccessCasePolicy!L"&amp;$J3)&amp;"|"&amp;$AA3,CaseTypeColSetMember!$H:$H,0))))))</f>
        <v>1</v>
      </c>
      <c r="AF3" s="6" t="b" cm="1">
        <f t="array" aca="1" ref="AF3" ca="1">IF($AA3="",TRUE,IF($N3="",FALSE,IF(INDIRECT("UserAccessCasePolicy!I"&amp;$N3)="",FALSE,NOT(ISNA(MATCH(INDIRECT("UserAccessCasePolicy!I"&amp;$N3)&amp;"|"&amp;$AA3,CaseTypeColSetMember!$H:$H,0))))))</f>
        <v>0</v>
      </c>
      <c r="AG3" s="6" t="b" cm="1">
        <f t="array" aca="1" ref="AG3" ca="1">IF($AA3="",TRUE,IF($N3="",FALSE,IF(INDIRECT("UserAccessCasePolicy!K"&amp;$N3)="",FALSE,NOT(ISNA(MATCH(INDIRECT("UserAccessCasePolicy!K"&amp;$N3)&amp;"|"&amp;$AA3,CaseTypeColSetMember!$H:$H,0))))))</f>
        <v>0</v>
      </c>
      <c r="AJ3" s="6" t="str">
        <f>IF($AH3="","",INDEX(CaseTypeCol!$G:$G,MATCH($AH3,CaseTypeCol!$A:$A,0)))</f>
        <v/>
      </c>
      <c r="AK3" s="6" t="b" cm="1">
        <f t="array" aca="1" ref="AK3" ca="1">IF($AH3="",TRUE,IF($J3="",FALSE,IF(INDIRECT("OrganizationAccessCasePolicy!J"&amp;$J3)="",FALSE,NOT(ISNA(MATCH(INDIRECT("OrganizationAccessCasePolicy!J"&amp;$J3)&amp;"|"&amp;$AH3,CaseTypeColSetMember!$H:$H,0))))))</f>
        <v>1</v>
      </c>
      <c r="AL3" s="6" t="b" cm="1">
        <f t="array" aca="1" ref="AL3" ca="1">IF($AH3="",TRUE,IF($J3="",FALSE,IF(INDIRECT("OrganizationAccessCasePolicy!L"&amp;$J3)="",FALSE,NOT(ISNA(MATCH(INDIRECT("OrganizationAccessCasePolicy!L"&amp;$J3)&amp;"|"&amp;$AH3,CaseTypeColSetMember!$H:$H,0))))))</f>
        <v>1</v>
      </c>
      <c r="AM3" s="6" t="b" cm="1">
        <f t="array" aca="1" ref="AM3" ca="1">IF($AH3="",TRUE,IF($N3="",FALSE,IF(INDIRECT("UserAccessCasePolicy!I"&amp;$N3)="",FALSE,NOT(ISNA(MATCH(INDIRECT("UserAccessCasePolicy!I"&amp;$N3)&amp;"|"&amp;$AH3,CaseTypeColSetMember!$H:$H,0))))))</f>
        <v>1</v>
      </c>
      <c r="AN3" s="6" t="b" cm="1">
        <f t="array" aca="1" ref="AN3" ca="1">IF($AH3="",TRUE,IF($N3="",FALSE,IF(INDIRECT("UserAccessCasePolicy!K"&amp;$N3)="",FALSE,NOT(ISNA(MATCH(INDIRECT("UserAccessCasePolicy!K"&amp;$N3)&amp;"|"&amp;$AH3,CaseTypeColSetMember!$H:$H,0))))))</f>
        <v>1</v>
      </c>
      <c r="AQ3" s="6" t="str">
        <f>IF($AO3="","",INDEX(CaseTypeCol!$G:$G,MATCH($AO3,CaseTypeCol!$A:$A,0)))</f>
        <v/>
      </c>
      <c r="AR3" s="6" t="b" cm="1">
        <f t="array" aca="1" ref="AR3" ca="1">IF($AO3="",TRUE,IF($J3="",FALSE,IF(INDIRECT("OrganizationAccessCasePolicy!J"&amp;$J3)="",FALSE,NOT(ISNA(MATCH(INDIRECT("OrganizationAccessCasePolicy!J"&amp;$J3)&amp;"|"&amp;$AO3,CaseTypeColSetMember!$H:$H,0))))))</f>
        <v>1</v>
      </c>
      <c r="AS3" s="6" t="b" cm="1">
        <f t="array" aca="1" ref="AS3" ca="1">IF($AO3="",TRUE,IF($J3="",FALSE,IF(INDIRECT("OrganizationAccessCasePolicy!L"&amp;$J3)="",FALSE,NOT(ISNA(MATCH(INDIRECT("OrganizationAccessCasePolicy!L"&amp;$J3)&amp;"|"&amp;$AO3,CaseTypeColSetMember!$H:$H,0))))))</f>
        <v>1</v>
      </c>
      <c r="AT3" s="6" t="b" cm="1">
        <f t="array" aca="1" ref="AT3" ca="1">IF($AO3="",TRUE,IF($N3="",FALSE,IF(INDIRECT("UserAccessCasePolicy!I"&amp;$N3)="",FALSE,NOT(ISNA(MATCH(INDIRECT("UserAccessCasePolicy!I"&amp;$N3)&amp;"|"&amp;$AO3,CaseTypeColSetMember!$H:$H,0))))))</f>
        <v>1</v>
      </c>
      <c r="AU3" s="6" t="b" cm="1">
        <f t="array" aca="1" ref="AU3" ca="1">IF($AO3="",TRUE,IF($N3="",FALSE,IF(INDIRECT("UserAccessCasePolicy!K"&amp;$N3)="",FALSE,NOT(ISNA(MATCH(INDIRECT("UserAccessCasePolicy!K"&amp;$N3)&amp;"|"&amp;$AO3,CaseTypeColSetMember!$H:$H,0))))))</f>
        <v>1</v>
      </c>
    </row>
    <row r="4" spans="1:47" x14ac:dyDescent="0.3">
      <c r="A4">
        <v>3</v>
      </c>
      <c r="B4" t="b">
        <v>1</v>
      </c>
      <c r="C4" t="s">
        <v>607</v>
      </c>
      <c r="D4" t="s">
        <v>446</v>
      </c>
      <c r="E4" s="6" t="str">
        <f>INDEX(User!$D:$D,MATCH($D4,User!$A:$A,0))</f>
        <v>refdata_admin1_1</v>
      </c>
      <c r="F4" t="s">
        <v>660</v>
      </c>
      <c r="G4" s="19" t="b">
        <f t="shared" si="0"/>
        <v>0</v>
      </c>
      <c r="H4" s="6" t="str">
        <f>INDEX(User!$G:$G,MATCH($D4,User!$A:$A,0))</f>
        <v>018d074d-ea0c-e942-07db-a3cc0ba1d653</v>
      </c>
      <c r="I4" s="6" t="b">
        <f>INDEX(User!$M:$M,MATCH($D4,User!$A:$A,0))</f>
        <v>0</v>
      </c>
      <c r="J4" s="6">
        <f>IF(ISNA(MATCH($H4&amp;"|"&amp;$W4,OrganizationAccessCasePolicy!$V:$V,0)),"",MATCH($H4&amp;"|"&amp;$W4,OrganizationAccessCasePolicy!$V:$V,0))</f>
        <v>2</v>
      </c>
      <c r="K4" s="6" t="b" cm="1">
        <f t="array" aca="1" ref="K4" ca="1">IF($J4="",FALSE,NOT(ISNA(MATCH(INDIRECT("OrganizationAccessCasePolicy!D"&amp;$J4)&amp;"|"&amp;$S4,CaseTypeSetMember!$H:$H,0))))</f>
        <v>1</v>
      </c>
      <c r="L4" s="6" t="b" cm="1">
        <f t="array" aca="1" ref="L4" ca="1">IF($J4="",FALSE,AND(INDIRECT("OrganizationAccessCasePolicy!H"&amp;$J4),NOT(ISNA(MATCH(INDIRECT("OrganizationAccessCasePolicy!D"&amp;$J4)&amp;"|"&amp;$S4,CaseTypeSetMember!$H:$H,0)))))</f>
        <v>1</v>
      </c>
      <c r="M4" s="6" t="b" cm="1">
        <f t="array" aca="1" ref="M4" ca="1">IF($J4="",FALSE,AND(INDIRECT("OrganizationAccessCasePolicy!I"&amp;$J4),NOT(ISNA(MATCH(INDIRECT("OrganizationAccessCasePolicy!D"&amp;$J4)&amp;"|"&amp;$S4,CaseTypeSetMember!$H:$H,0)))))</f>
        <v>1</v>
      </c>
      <c r="N4" s="6" t="str">
        <f>IF(ISNA(MATCH($D4&amp;"|"&amp;$W4,UserAccessCasePolicy!$W:$W,0)),"",MATCH($D4&amp;"|"&amp;$W4,UserAccessCasePolicy!$W:$W,0))</f>
        <v/>
      </c>
      <c r="O4" s="6" t="b" cm="1">
        <f t="array" aca="1" ref="O4" ca="1">IF($N4="",FALSE,NOT(ISNA(MATCH(INDIRECT("UserAccessCasePolicy!D"&amp;$N4)&amp;"|"&amp;$S4,CaseTypeSetMember!$H:$H,0))))</f>
        <v>0</v>
      </c>
      <c r="P4" s="6" t="b" cm="1">
        <f t="array" aca="1" ref="P4" ca="1">IF($N4="",FALSE,AND(INDIRECT("UserAccessCasePolicy!G"&amp;$N4),NOT(ISNA(MATCH(INDIRECT("UserAccessCasePolicy!D"&amp;$N4)&amp;"|"&amp;$S4,CaseTypeSetMember!$H:$H,0)))))</f>
        <v>0</v>
      </c>
      <c r="Q4" s="6" t="b" cm="1">
        <f t="array" aca="1" ref="Q4" ca="1">IF($N4="",FALSE,AND(INDIRECT("UserAccessCasePolicy!H"&amp;$N4),NOT(ISNA(MATCH(INDIRECT("UserAccessCasePolicy!D"&amp;$N4)&amp;"|"&amp;$S4,CaseTypeSetMember!$H:$H,0)))))</f>
        <v>0</v>
      </c>
      <c r="R4" t="s">
        <v>633</v>
      </c>
      <c r="S4" t="s">
        <v>119</v>
      </c>
      <c r="T4" s="6" t="str">
        <f>INDEX(CaseType!$B:$B,MATCH($S4,CaseType!$A:$A,0))</f>
        <v>case_type1</v>
      </c>
      <c r="U4" s="6" t="b">
        <f>AND(IF($AA4="",TRUE,$S4=INDEX(CaseTypeCol!$B:$B,MATCH($AA4,CaseTypeCol!$A:$A,0))),IF($AH4="",TRUE,$S4=INDEX(CaseTypeCol!$B:$B,MATCH($AH4,CaseTypeCol!$A:$A,0))),IF($AO4="",TRUE,$S4=INDEX(CaseTypeCol!$B:$B,MATCH($AO4,CaseTypeCol!$A:$A,0))))</f>
        <v>1</v>
      </c>
      <c r="W4" t="s">
        <v>11</v>
      </c>
      <c r="X4" s="6" t="str">
        <f>INDEX(DataCollection!$B:$B,MATCH($W4,DataCollection!$A:$A,0))</f>
        <v>data_collection1</v>
      </c>
      <c r="Z4" s="14">
        <v>36526</v>
      </c>
      <c r="AA4" t="s">
        <v>142</v>
      </c>
      <c r="AB4" t="s">
        <v>663</v>
      </c>
      <c r="AC4" s="6" t="str">
        <f>IF($AA4="","",INDEX(CaseTypeCol!$G:$G,MATCH($AA4,CaseTypeCol!$A:$A,0)))</f>
        <v>case_type1_dim1_1_text</v>
      </c>
      <c r="AD4" s="6" t="b" cm="1">
        <f t="array" aca="1" ref="AD4" ca="1">IF($AA4="",TRUE,IF($J4="",FALSE,IF(INDIRECT("OrganizationAccessCasePolicy!J"&amp;$J4)="",FALSE,NOT(ISNA(MATCH(INDIRECT("OrganizationAccessCasePolicy!J"&amp;$J4)&amp;"|"&amp;$AA4,CaseTypeColSetMember!$H:$H,0))))))</f>
        <v>1</v>
      </c>
      <c r="AE4" s="6" t="b" cm="1">
        <f t="array" aca="1" ref="AE4" ca="1">IF($AA4="",TRUE,IF($J4="",FALSE,IF(INDIRECT("OrganizationAccessCasePolicy!L"&amp;$J4)="",FALSE,NOT(ISNA(MATCH(INDIRECT("OrganizationAccessCasePolicy!L"&amp;$J4)&amp;"|"&amp;$AA4,CaseTypeColSetMember!$H:$H,0))))))</f>
        <v>1</v>
      </c>
      <c r="AF4" s="6" t="b" cm="1">
        <f t="array" aca="1" ref="AF4" ca="1">IF($AA4="",TRUE,IF($N4="",FALSE,IF(INDIRECT("UserAccessCasePolicy!I"&amp;$N4)="",FALSE,NOT(ISNA(MATCH(INDIRECT("UserAccessCasePolicy!I"&amp;$N4)&amp;"|"&amp;$AA4,CaseTypeColSetMember!$H:$H,0))))))</f>
        <v>0</v>
      </c>
      <c r="AG4" s="6" t="b" cm="1">
        <f t="array" aca="1" ref="AG4" ca="1">IF($AA4="",TRUE,IF($N4="",FALSE,IF(INDIRECT("UserAccessCasePolicy!K"&amp;$N4)="",FALSE,NOT(ISNA(MATCH(INDIRECT("UserAccessCasePolicy!K"&amp;$N4)&amp;"|"&amp;$AA4,CaseTypeColSetMember!$H:$H,0))))))</f>
        <v>0</v>
      </c>
      <c r="AJ4" s="6" t="str">
        <f>IF($AH4="","",INDEX(CaseTypeCol!$G:$G,MATCH($AH4,CaseTypeCol!$A:$A,0)))</f>
        <v/>
      </c>
      <c r="AK4" s="6" t="b" cm="1">
        <f t="array" aca="1" ref="AK4" ca="1">IF($AH4="",TRUE,IF($J4="",FALSE,IF(INDIRECT("OrganizationAccessCasePolicy!J"&amp;$J4)="",FALSE,NOT(ISNA(MATCH(INDIRECT("OrganizationAccessCasePolicy!J"&amp;$J4)&amp;"|"&amp;$AH4,CaseTypeColSetMember!$H:$H,0))))))</f>
        <v>1</v>
      </c>
      <c r="AL4" s="6" t="b" cm="1">
        <f t="array" aca="1" ref="AL4" ca="1">IF($AH4="",TRUE,IF($J4="",FALSE,IF(INDIRECT("OrganizationAccessCasePolicy!L"&amp;$J4)="",FALSE,NOT(ISNA(MATCH(INDIRECT("OrganizationAccessCasePolicy!L"&amp;$J4)&amp;"|"&amp;$AH4,CaseTypeColSetMember!$H:$H,0))))))</f>
        <v>1</v>
      </c>
      <c r="AM4" s="6" t="b" cm="1">
        <f t="array" aca="1" ref="AM4" ca="1">IF($AH4="",TRUE,IF($N4="",FALSE,IF(INDIRECT("UserAccessCasePolicy!I"&amp;$N4)="",FALSE,NOT(ISNA(MATCH(INDIRECT("UserAccessCasePolicy!I"&amp;$N4)&amp;"|"&amp;$AH4,CaseTypeColSetMember!$H:$H,0))))))</f>
        <v>1</v>
      </c>
      <c r="AN4" s="6" t="b" cm="1">
        <f t="array" aca="1" ref="AN4" ca="1">IF($AH4="",TRUE,IF($N4="",FALSE,IF(INDIRECT("UserAccessCasePolicy!K"&amp;$N4)="",FALSE,NOT(ISNA(MATCH(INDIRECT("UserAccessCasePolicy!K"&amp;$N4)&amp;"|"&amp;$AH4,CaseTypeColSetMember!$H:$H,0))))))</f>
        <v>1</v>
      </c>
      <c r="AQ4" s="6" t="str">
        <f>IF($AO4="","",INDEX(CaseTypeCol!$G:$G,MATCH($AO4,CaseTypeCol!$A:$A,0)))</f>
        <v/>
      </c>
      <c r="AR4" s="6" t="b" cm="1">
        <f t="array" aca="1" ref="AR4" ca="1">IF($AO4="",TRUE,IF($J4="",FALSE,IF(INDIRECT("OrganizationAccessCasePolicy!J"&amp;$J4)="",FALSE,NOT(ISNA(MATCH(INDIRECT("OrganizationAccessCasePolicy!J"&amp;$J4)&amp;"|"&amp;$AO4,CaseTypeColSetMember!$H:$H,0))))))</f>
        <v>1</v>
      </c>
      <c r="AS4" s="6" t="b" cm="1">
        <f t="array" aca="1" ref="AS4" ca="1">IF($AO4="",TRUE,IF($J4="",FALSE,IF(INDIRECT("OrganizationAccessCasePolicy!L"&amp;$J4)="",FALSE,NOT(ISNA(MATCH(INDIRECT("OrganizationAccessCasePolicy!L"&amp;$J4)&amp;"|"&amp;$AO4,CaseTypeColSetMember!$H:$H,0))))))</f>
        <v>1</v>
      </c>
      <c r="AT4" s="6" t="b" cm="1">
        <f t="array" aca="1" ref="AT4" ca="1">IF($AO4="",TRUE,IF($N4="",FALSE,IF(INDIRECT("UserAccessCasePolicy!I"&amp;$N4)="",FALSE,NOT(ISNA(MATCH(INDIRECT("UserAccessCasePolicy!I"&amp;$N4)&amp;"|"&amp;$AO4,CaseTypeColSetMember!$H:$H,0))))))</f>
        <v>1</v>
      </c>
      <c r="AU4" s="6" t="b" cm="1">
        <f t="array" aca="1" ref="AU4" ca="1">IF($AO4="",TRUE,IF($N4="",FALSE,IF(INDIRECT("UserAccessCasePolicy!K"&amp;$N4)="",FALSE,NOT(ISNA(MATCH(INDIRECT("UserAccessCasePolicy!K"&amp;$N4)&amp;"|"&amp;$AO4,CaseTypeColSetMember!$H:$H,0))))))</f>
        <v>1</v>
      </c>
    </row>
    <row r="5" spans="1:47" x14ac:dyDescent="0.3">
      <c r="A5">
        <v>4</v>
      </c>
      <c r="B5" t="b">
        <v>1</v>
      </c>
      <c r="C5" t="s">
        <v>709</v>
      </c>
      <c r="D5" t="s">
        <v>44</v>
      </c>
      <c r="E5" s="6" t="str">
        <f>INDEX(User!$D:$D,MATCH($D5,User!$A:$A,0))</f>
        <v>org_admin1_1</v>
      </c>
      <c r="F5" t="s">
        <v>660</v>
      </c>
      <c r="G5" s="19" t="b">
        <f t="shared" si="0"/>
        <v>0</v>
      </c>
      <c r="H5" s="6" t="str">
        <f>INDEX(User!$G:$G,MATCH($D5,User!$A:$A,0))</f>
        <v>018d074d-ea0c-e942-07db-a3cc0ba1d653</v>
      </c>
      <c r="I5" s="6" t="b">
        <f>INDEX(User!$M:$M,MATCH($D5,User!$A:$A,0))</f>
        <v>0</v>
      </c>
      <c r="J5" s="6">
        <f>IF(ISNA(MATCH($H5&amp;"|"&amp;$W5,OrganizationAccessCasePolicy!$V:$V,0)),"",MATCH($H5&amp;"|"&amp;$W5,OrganizationAccessCasePolicy!$V:$V,0))</f>
        <v>2</v>
      </c>
      <c r="K5" s="6" t="b" cm="1">
        <f t="array" aca="1" ref="K5" ca="1">IF($J5="",FALSE,NOT(ISNA(MATCH(INDIRECT("OrganizationAccessCasePolicy!D"&amp;$J5)&amp;"|"&amp;$S5,CaseTypeSetMember!$H:$H,0))))</f>
        <v>1</v>
      </c>
      <c r="L5" s="6" t="b" cm="1">
        <f t="array" aca="1" ref="L5" ca="1">IF($J5="",FALSE,AND(INDIRECT("OrganizationAccessCasePolicy!H"&amp;$J5),NOT(ISNA(MATCH(INDIRECT("OrganizationAccessCasePolicy!D"&amp;$J5)&amp;"|"&amp;$S5,CaseTypeSetMember!$H:$H,0)))))</f>
        <v>1</v>
      </c>
      <c r="M5" s="6" t="b" cm="1">
        <f t="array" aca="1" ref="M5" ca="1">IF($J5="",FALSE,AND(INDIRECT("OrganizationAccessCasePolicy!I"&amp;$J5),NOT(ISNA(MATCH(INDIRECT("OrganizationAccessCasePolicy!D"&amp;$J5)&amp;"|"&amp;$S5,CaseTypeSetMember!$H:$H,0)))))</f>
        <v>1</v>
      </c>
      <c r="N5" s="6" t="str">
        <f>IF(ISNA(MATCH($D5&amp;"|"&amp;$W5,UserAccessCasePolicy!$W:$W,0)),"",MATCH($D5&amp;"|"&amp;$W5,UserAccessCasePolicy!$W:$W,0))</f>
        <v/>
      </c>
      <c r="O5" s="6" t="b" cm="1">
        <f t="array" aca="1" ref="O5" ca="1">IF($N5="",FALSE,NOT(ISNA(MATCH(INDIRECT("UserAccessCasePolicy!D"&amp;$N5)&amp;"|"&amp;$S5,CaseTypeSetMember!$H:$H,0))))</f>
        <v>0</v>
      </c>
      <c r="P5" s="6" t="b" cm="1">
        <f t="array" aca="1" ref="P5" ca="1">IF($N5="",FALSE,AND(INDIRECT("UserAccessCasePolicy!G"&amp;$N5),NOT(ISNA(MATCH(INDIRECT("UserAccessCasePolicy!D"&amp;$N5)&amp;"|"&amp;$S5,CaseTypeSetMember!$H:$H,0)))))</f>
        <v>0</v>
      </c>
      <c r="Q5" s="6" t="b" cm="1">
        <f t="array" aca="1" ref="Q5" ca="1">IF($N5="",FALSE,AND(INDIRECT("UserAccessCasePolicy!H"&amp;$N5),NOT(ISNA(MATCH(INDIRECT("UserAccessCasePolicy!D"&amp;$N5)&amp;"|"&amp;$S5,CaseTypeSetMember!$H:$H,0)))))</f>
        <v>0</v>
      </c>
      <c r="R5" t="s">
        <v>713</v>
      </c>
      <c r="S5" t="s">
        <v>119</v>
      </c>
      <c r="T5" s="6" t="str">
        <f>INDEX(CaseType!$B:$B,MATCH($S5,CaseType!$A:$A,0))</f>
        <v>case_type1</v>
      </c>
      <c r="U5" s="6" t="b">
        <f>AND(IF($AA5="",TRUE,$S5=INDEX(CaseTypeCol!$B:$B,MATCH($AA5,CaseTypeCol!$A:$A,0))),IF($AH5="",TRUE,$S5=INDEX(CaseTypeCol!$B:$B,MATCH($AH5,CaseTypeCol!$A:$A,0))),IF($AO5="",TRUE,$S5=INDEX(CaseTypeCol!$B:$B,MATCH($AO5,CaseTypeCol!$A:$A,0))))</f>
        <v>1</v>
      </c>
      <c r="W5" t="s">
        <v>11</v>
      </c>
      <c r="X5" s="6" t="str">
        <f>INDEX(DataCollection!$B:$B,MATCH($W5,DataCollection!$A:$A,0))</f>
        <v>data_collection1</v>
      </c>
      <c r="Z5" s="14">
        <v>36526</v>
      </c>
      <c r="AA5" t="s">
        <v>142</v>
      </c>
      <c r="AB5" t="s">
        <v>663</v>
      </c>
      <c r="AC5" s="6" t="str">
        <f>IF($AA5="","",INDEX(CaseTypeCol!$G:$G,MATCH($AA5,CaseTypeCol!$A:$A,0)))</f>
        <v>case_type1_dim1_1_text</v>
      </c>
      <c r="AD5" s="6" t="b" cm="1">
        <f t="array" aca="1" ref="AD5" ca="1">IF($AA5="",TRUE,IF($J5="",FALSE,IF(INDIRECT("OrganizationAccessCasePolicy!J"&amp;$J5)="",FALSE,NOT(ISNA(MATCH(INDIRECT("OrganizationAccessCasePolicy!J"&amp;$J5)&amp;"|"&amp;$AA5,CaseTypeColSetMember!$H:$H,0))))))</f>
        <v>1</v>
      </c>
      <c r="AE5" s="6" t="b" cm="1">
        <f t="array" aca="1" ref="AE5" ca="1">IF($AA5="",TRUE,IF($J5="",FALSE,IF(INDIRECT("OrganizationAccessCasePolicy!L"&amp;$J5)="",FALSE,NOT(ISNA(MATCH(INDIRECT("OrganizationAccessCasePolicy!L"&amp;$J5)&amp;"|"&amp;$AA5,CaseTypeColSetMember!$H:$H,0))))))</f>
        <v>1</v>
      </c>
      <c r="AF5" s="6" t="b" cm="1">
        <f t="array" aca="1" ref="AF5" ca="1">IF($AA5="",TRUE,IF($N5="",FALSE,IF(INDIRECT("UserAccessCasePolicy!I"&amp;$N5)="",FALSE,NOT(ISNA(MATCH(INDIRECT("UserAccessCasePolicy!I"&amp;$N5)&amp;"|"&amp;$AA5,CaseTypeColSetMember!$H:$H,0))))))</f>
        <v>0</v>
      </c>
      <c r="AG5" s="6" t="b" cm="1">
        <f t="array" aca="1" ref="AG5" ca="1">IF($AA5="",TRUE,IF($N5="",FALSE,IF(INDIRECT("UserAccessCasePolicy!K"&amp;$N5)="",FALSE,NOT(ISNA(MATCH(INDIRECT("UserAccessCasePolicy!K"&amp;$N5)&amp;"|"&amp;$AA5,CaseTypeColSetMember!$H:$H,0))))))</f>
        <v>0</v>
      </c>
      <c r="AJ5" s="6" t="str">
        <f>IF($AH5="","",INDEX(CaseTypeCol!$G:$G,MATCH($AH5,CaseTypeCol!$A:$A,0)))</f>
        <v/>
      </c>
      <c r="AK5" s="6" t="b" cm="1">
        <f t="array" aca="1" ref="AK5" ca="1">IF($AH5="",TRUE,IF($J5="",FALSE,IF(INDIRECT("OrganizationAccessCasePolicy!J"&amp;$J5)="",FALSE,NOT(ISNA(MATCH(INDIRECT("OrganizationAccessCasePolicy!J"&amp;$J5)&amp;"|"&amp;$AH5,CaseTypeColSetMember!$H:$H,0))))))</f>
        <v>1</v>
      </c>
      <c r="AL5" s="6" t="b" cm="1">
        <f t="array" aca="1" ref="AL5" ca="1">IF($AH5="",TRUE,IF($J5="",FALSE,IF(INDIRECT("OrganizationAccessCasePolicy!L"&amp;$J5)="",FALSE,NOT(ISNA(MATCH(INDIRECT("OrganizationAccessCasePolicy!L"&amp;$J5)&amp;"|"&amp;$AH5,CaseTypeColSetMember!$H:$H,0))))))</f>
        <v>1</v>
      </c>
      <c r="AM5" s="6" t="b" cm="1">
        <f t="array" aca="1" ref="AM5" ca="1">IF($AH5="",TRUE,IF($N5="",FALSE,IF(INDIRECT("UserAccessCasePolicy!I"&amp;$N5)="",FALSE,NOT(ISNA(MATCH(INDIRECT("UserAccessCasePolicy!I"&amp;$N5)&amp;"|"&amp;$AH5,CaseTypeColSetMember!$H:$H,0))))))</f>
        <v>1</v>
      </c>
      <c r="AN5" s="6" t="b" cm="1">
        <f t="array" aca="1" ref="AN5" ca="1">IF($AH5="",TRUE,IF($N5="",FALSE,IF(INDIRECT("UserAccessCasePolicy!K"&amp;$N5)="",FALSE,NOT(ISNA(MATCH(INDIRECT("UserAccessCasePolicy!K"&amp;$N5)&amp;"|"&amp;$AH5,CaseTypeColSetMember!$H:$H,0))))))</f>
        <v>1</v>
      </c>
      <c r="AQ5" s="6" t="str">
        <f>IF($AO5="","",INDEX(CaseTypeCol!$G:$G,MATCH($AO5,CaseTypeCol!$A:$A,0)))</f>
        <v/>
      </c>
      <c r="AR5" s="6" t="b" cm="1">
        <f t="array" aca="1" ref="AR5" ca="1">IF($AO5="",TRUE,IF($J5="",FALSE,IF(INDIRECT("OrganizationAccessCasePolicy!J"&amp;$J5)="",FALSE,NOT(ISNA(MATCH(INDIRECT("OrganizationAccessCasePolicy!J"&amp;$J5)&amp;"|"&amp;$AO5,CaseTypeColSetMember!$H:$H,0))))))</f>
        <v>1</v>
      </c>
      <c r="AS5" s="6" t="b" cm="1">
        <f t="array" aca="1" ref="AS5" ca="1">IF($AO5="",TRUE,IF($J5="",FALSE,IF(INDIRECT("OrganizationAccessCasePolicy!L"&amp;$J5)="",FALSE,NOT(ISNA(MATCH(INDIRECT("OrganizationAccessCasePolicy!L"&amp;$J5)&amp;"|"&amp;$AO5,CaseTypeColSetMember!$H:$H,0))))))</f>
        <v>1</v>
      </c>
      <c r="AT5" s="6" t="b" cm="1">
        <f t="array" aca="1" ref="AT5" ca="1">IF($AO5="",TRUE,IF($N5="",FALSE,IF(INDIRECT("UserAccessCasePolicy!I"&amp;$N5)="",FALSE,NOT(ISNA(MATCH(INDIRECT("UserAccessCasePolicy!I"&amp;$N5)&amp;"|"&amp;$AO5,CaseTypeColSetMember!$H:$H,0))))))</f>
        <v>1</v>
      </c>
      <c r="AU5" s="6" t="b" cm="1">
        <f t="array" aca="1" ref="AU5" ca="1">IF($AO5="",TRUE,IF($N5="",FALSE,IF(INDIRECT("UserAccessCasePolicy!K"&amp;$N5)="",FALSE,NOT(ISNA(MATCH(INDIRECT("UserAccessCasePolicy!K"&amp;$N5)&amp;"|"&amp;$AO5,CaseTypeColSetMember!$H:$H,0))))))</f>
        <v>1</v>
      </c>
    </row>
    <row r="6" spans="1:47" x14ac:dyDescent="0.3">
      <c r="A6">
        <v>5</v>
      </c>
      <c r="B6" t="b">
        <v>1</v>
      </c>
      <c r="C6" t="s">
        <v>710</v>
      </c>
      <c r="D6" t="s">
        <v>10</v>
      </c>
      <c r="E6" s="6" t="str">
        <f>INDEX(User!$D:$D,MATCH($D6,User!$A:$A,0))</f>
        <v>org_user1_1</v>
      </c>
      <c r="F6" t="s">
        <v>660</v>
      </c>
      <c r="G6" s="19" t="b">
        <f t="shared" si="0"/>
        <v>0</v>
      </c>
      <c r="H6" s="6" t="str">
        <f>INDEX(User!$G:$G,MATCH($D6,User!$A:$A,0))</f>
        <v>018d074d-ea0c-e942-07db-a3cc0ba1d653</v>
      </c>
      <c r="I6" s="6" t="b">
        <f>INDEX(User!$M:$M,MATCH($D6,User!$A:$A,0))</f>
        <v>0</v>
      </c>
      <c r="J6" s="6">
        <f>IF(ISNA(MATCH($H6&amp;"|"&amp;$W6,OrganizationAccessCasePolicy!$V:$V,0)),"",MATCH($H6&amp;"|"&amp;$W6,OrganizationAccessCasePolicy!$V:$V,0))</f>
        <v>2</v>
      </c>
      <c r="K6" s="6" t="b" cm="1">
        <f t="array" aca="1" ref="K6" ca="1">IF($J6="",FALSE,NOT(ISNA(MATCH(INDIRECT("OrganizationAccessCasePolicy!D"&amp;$J6)&amp;"|"&amp;$S6,CaseTypeSetMember!$H:$H,0))))</f>
        <v>1</v>
      </c>
      <c r="L6" s="6" t="b" cm="1">
        <f t="array" aca="1" ref="L6" ca="1">IF($J6="",FALSE,AND(INDIRECT("OrganizationAccessCasePolicy!H"&amp;$J6),NOT(ISNA(MATCH(INDIRECT("OrganizationAccessCasePolicy!D"&amp;$J6)&amp;"|"&amp;$S6,CaseTypeSetMember!$H:$H,0)))))</f>
        <v>1</v>
      </c>
      <c r="M6" s="6" t="b" cm="1">
        <f t="array" aca="1" ref="M6" ca="1">IF($J6="",FALSE,AND(INDIRECT("OrganizationAccessCasePolicy!I"&amp;$J6),NOT(ISNA(MATCH(INDIRECT("OrganizationAccessCasePolicy!D"&amp;$J6)&amp;"|"&amp;$S6,CaseTypeSetMember!$H:$H,0)))))</f>
        <v>1</v>
      </c>
      <c r="N6" s="6">
        <f>IF(ISNA(MATCH($D6&amp;"|"&amp;$W6,UserAccessCasePolicy!$W:$W,0)),"",MATCH($D6&amp;"|"&amp;$W6,UserAccessCasePolicy!$W:$W,0))</f>
        <v>2</v>
      </c>
      <c r="O6" s="6" t="b" cm="1">
        <f t="array" aca="1" ref="O6" ca="1">IF($N6="",FALSE,NOT(ISNA(MATCH(INDIRECT("UserAccessCasePolicy!D"&amp;$N6)&amp;"|"&amp;$S6,CaseTypeSetMember!$H:$H,0))))</f>
        <v>1</v>
      </c>
      <c r="P6" s="6" t="b" cm="1">
        <f t="array" aca="1" ref="P6" ca="1">IF($N6="",FALSE,AND(INDIRECT("UserAccessCasePolicy!G"&amp;$N6),NOT(ISNA(MATCH(INDIRECT("UserAccessCasePolicy!D"&amp;$N6)&amp;"|"&amp;$S6,CaseTypeSetMember!$H:$H,0)))))</f>
        <v>1</v>
      </c>
      <c r="Q6" s="6" t="b" cm="1">
        <f t="array" aca="1" ref="Q6" ca="1">IF($N6="",FALSE,AND(INDIRECT("UserAccessCasePolicy!H"&amp;$N6),NOT(ISNA(MATCH(INDIRECT("UserAccessCasePolicy!D"&amp;$N6)&amp;"|"&amp;$S6,CaseTypeSetMember!$H:$H,0)))))</f>
        <v>1</v>
      </c>
      <c r="R6" t="s">
        <v>714</v>
      </c>
      <c r="S6" t="s">
        <v>119</v>
      </c>
      <c r="T6" s="6" t="str">
        <f>INDEX(CaseType!$B:$B,MATCH($S6,CaseType!$A:$A,0))</f>
        <v>case_type1</v>
      </c>
      <c r="U6" s="6" t="b">
        <f>AND(IF($AA6="",TRUE,$S6=INDEX(CaseTypeCol!$B:$B,MATCH($AA6,CaseTypeCol!$A:$A,0))),IF($AH6="",TRUE,$S6=INDEX(CaseTypeCol!$B:$B,MATCH($AH6,CaseTypeCol!$A:$A,0))),IF($AO6="",TRUE,$S6=INDEX(CaseTypeCol!$B:$B,MATCH($AO6,CaseTypeCol!$A:$A,0))))</f>
        <v>1</v>
      </c>
      <c r="W6" t="s">
        <v>11</v>
      </c>
      <c r="X6" s="6" t="str">
        <f>INDEX(DataCollection!$B:$B,MATCH($W6,DataCollection!$A:$A,0))</f>
        <v>data_collection1</v>
      </c>
      <c r="Z6" s="14">
        <v>36526</v>
      </c>
      <c r="AA6" t="s">
        <v>142</v>
      </c>
      <c r="AB6" t="s">
        <v>663</v>
      </c>
      <c r="AC6" s="6" t="str">
        <f>IF($AA6="","",INDEX(CaseTypeCol!$G:$G,MATCH($AA6,CaseTypeCol!$A:$A,0)))</f>
        <v>case_type1_dim1_1_text</v>
      </c>
      <c r="AD6" s="6" t="b" cm="1">
        <f t="array" aca="1" ref="AD6" ca="1">IF($AA6="",TRUE,IF($J6="",FALSE,IF(INDIRECT("OrganizationAccessCasePolicy!J"&amp;$J6)="",FALSE,NOT(ISNA(MATCH(INDIRECT("OrganizationAccessCasePolicy!J"&amp;$J6)&amp;"|"&amp;$AA6,CaseTypeColSetMember!$H:$H,0))))))</f>
        <v>1</v>
      </c>
      <c r="AE6" s="6" t="b" cm="1">
        <f t="array" aca="1" ref="AE6" ca="1">IF($AA6="",TRUE,IF($J6="",FALSE,IF(INDIRECT("OrganizationAccessCasePolicy!L"&amp;$J6)="",FALSE,NOT(ISNA(MATCH(INDIRECT("OrganizationAccessCasePolicy!L"&amp;$J6)&amp;"|"&amp;$AA6,CaseTypeColSetMember!$H:$H,0))))))</f>
        <v>1</v>
      </c>
      <c r="AF6" s="6" t="b" cm="1">
        <f t="array" aca="1" ref="AF6" ca="1">IF($AA6="",TRUE,IF($N6="",FALSE,IF(INDIRECT("UserAccessCasePolicy!I"&amp;$N6)="",FALSE,NOT(ISNA(MATCH(INDIRECT("UserAccessCasePolicy!I"&amp;$N6)&amp;"|"&amp;$AA6,CaseTypeColSetMember!$H:$H,0))))))</f>
        <v>1</v>
      </c>
      <c r="AG6" s="6" t="b" cm="1">
        <f t="array" aca="1" ref="AG6" ca="1">IF($AA6="",TRUE,IF($N6="",FALSE,IF(INDIRECT("UserAccessCasePolicy!K"&amp;$N6)="",FALSE,NOT(ISNA(MATCH(INDIRECT("UserAccessCasePolicy!K"&amp;$N6)&amp;"|"&amp;$AA6,CaseTypeColSetMember!$H:$H,0))))))</f>
        <v>1</v>
      </c>
      <c r="AJ6" s="6" t="str">
        <f>IF($AH6="","",INDEX(CaseTypeCol!$G:$G,MATCH($AH6,CaseTypeCol!$A:$A,0)))</f>
        <v/>
      </c>
      <c r="AK6" s="6" t="b" cm="1">
        <f t="array" aca="1" ref="AK6" ca="1">IF($AH6="",TRUE,IF($J6="",FALSE,IF(INDIRECT("OrganizationAccessCasePolicy!J"&amp;$J6)="",FALSE,NOT(ISNA(MATCH(INDIRECT("OrganizationAccessCasePolicy!J"&amp;$J6)&amp;"|"&amp;$AH6,CaseTypeColSetMember!$H:$H,0))))))</f>
        <v>1</v>
      </c>
      <c r="AL6" s="6" t="b" cm="1">
        <f t="array" aca="1" ref="AL6" ca="1">IF($AH6="",TRUE,IF($J6="",FALSE,IF(INDIRECT("OrganizationAccessCasePolicy!L"&amp;$J6)="",FALSE,NOT(ISNA(MATCH(INDIRECT("OrganizationAccessCasePolicy!L"&amp;$J6)&amp;"|"&amp;$AH6,CaseTypeColSetMember!$H:$H,0))))))</f>
        <v>1</v>
      </c>
      <c r="AM6" s="6" t="b" cm="1">
        <f t="array" aca="1" ref="AM6" ca="1">IF($AH6="",TRUE,IF($N6="",FALSE,IF(INDIRECT("UserAccessCasePolicy!I"&amp;$N6)="",FALSE,NOT(ISNA(MATCH(INDIRECT("UserAccessCasePolicy!I"&amp;$N6)&amp;"|"&amp;$AH6,CaseTypeColSetMember!$H:$H,0))))))</f>
        <v>1</v>
      </c>
      <c r="AN6" s="6" t="b" cm="1">
        <f t="array" aca="1" ref="AN6" ca="1">IF($AH6="",TRUE,IF($N6="",FALSE,IF(INDIRECT("UserAccessCasePolicy!K"&amp;$N6)="",FALSE,NOT(ISNA(MATCH(INDIRECT("UserAccessCasePolicy!K"&amp;$N6)&amp;"|"&amp;$AH6,CaseTypeColSetMember!$H:$H,0))))))</f>
        <v>1</v>
      </c>
      <c r="AQ6" s="6" t="str">
        <f>IF($AO6="","",INDEX(CaseTypeCol!$G:$G,MATCH($AO6,CaseTypeCol!$A:$A,0)))</f>
        <v/>
      </c>
      <c r="AR6" s="6" t="b" cm="1">
        <f t="array" aca="1" ref="AR6" ca="1">IF($AO6="",TRUE,IF($J6="",FALSE,IF(INDIRECT("OrganizationAccessCasePolicy!J"&amp;$J6)="",FALSE,NOT(ISNA(MATCH(INDIRECT("OrganizationAccessCasePolicy!J"&amp;$J6)&amp;"|"&amp;$AO6,CaseTypeColSetMember!$H:$H,0))))))</f>
        <v>1</v>
      </c>
      <c r="AS6" s="6" t="b" cm="1">
        <f t="array" aca="1" ref="AS6" ca="1">IF($AO6="",TRUE,IF($J6="",FALSE,IF(INDIRECT("OrganizationAccessCasePolicy!L"&amp;$J6)="",FALSE,NOT(ISNA(MATCH(INDIRECT("OrganizationAccessCasePolicy!L"&amp;$J6)&amp;"|"&amp;$AO6,CaseTypeColSetMember!$H:$H,0))))))</f>
        <v>1</v>
      </c>
      <c r="AT6" s="6" t="b" cm="1">
        <f t="array" aca="1" ref="AT6" ca="1">IF($AO6="",TRUE,IF($N6="",FALSE,IF(INDIRECT("UserAccessCasePolicy!I"&amp;$N6)="",FALSE,NOT(ISNA(MATCH(INDIRECT("UserAccessCasePolicy!I"&amp;$N6)&amp;"|"&amp;$AO6,CaseTypeColSetMember!$H:$H,0))))))</f>
        <v>1</v>
      </c>
      <c r="AU6" s="6" t="b" cm="1">
        <f t="array" aca="1" ref="AU6" ca="1">IF($AO6="",TRUE,IF($N6="",FALSE,IF(INDIRECT("UserAccessCasePolicy!K"&amp;$N6)="",FALSE,NOT(ISNA(MATCH(INDIRECT("UserAccessCasePolicy!K"&amp;$N6)&amp;"|"&amp;$AO6,CaseTypeColSetMember!$H:$H,0))))))</f>
        <v>1</v>
      </c>
    </row>
    <row r="7" spans="1:47" x14ac:dyDescent="0.3">
      <c r="A7">
        <v>6</v>
      </c>
      <c r="B7" t="b">
        <v>1</v>
      </c>
      <c r="C7" t="s">
        <v>711</v>
      </c>
      <c r="D7" t="s">
        <v>723</v>
      </c>
      <c r="E7" s="6" t="str">
        <f>INDEX(User!$D:$D,MATCH($D7,User!$A:$A,0))</f>
        <v>root1_1</v>
      </c>
      <c r="F7" t="s">
        <v>721</v>
      </c>
      <c r="G7" s="19" t="b">
        <f t="shared" ca="1" si="0"/>
        <v>1</v>
      </c>
      <c r="H7" s="6" t="str">
        <f>INDEX(User!$G:$G,MATCH($D7,User!$A:$A,0))</f>
        <v>018d074d-ea0c-e942-07db-a3cc0ba1d653</v>
      </c>
      <c r="I7" s="6" t="b">
        <f>INDEX(User!$M:$M,MATCH($D7,User!$A:$A,0))</f>
        <v>1</v>
      </c>
      <c r="J7" s="6">
        <f>IF(ISNA(MATCH($H7&amp;"|"&amp;$W7,OrganizationAccessCasePolicy!$V:$V,0)),"",MATCH($H7&amp;"|"&amp;$W7,OrganizationAccessCasePolicy!$V:$V,0))</f>
        <v>2</v>
      </c>
      <c r="K7" s="6" t="b" cm="1">
        <f t="array" aca="1" ref="K7" ca="1">IF($J7="",FALSE,NOT(ISNA(MATCH(INDIRECT("OrganizationAccessCasePolicy!D"&amp;$J7)&amp;"|"&amp;$S7,CaseTypeSetMember!$H:$H,0))))</f>
        <v>1</v>
      </c>
      <c r="L7" s="6" t="b" cm="1">
        <f t="array" aca="1" ref="L7" ca="1">IF($J7="",FALSE,AND(INDIRECT("OrganizationAccessCasePolicy!H"&amp;$J7),NOT(ISNA(MATCH(INDIRECT("OrganizationAccessCasePolicy!D"&amp;$J7)&amp;"|"&amp;$S7,CaseTypeSetMember!$H:$H,0)))))</f>
        <v>1</v>
      </c>
      <c r="M7" s="6" t="b" cm="1">
        <f t="array" aca="1" ref="M7" ca="1">IF($J7="",FALSE,AND(INDIRECT("OrganizationAccessCasePolicy!I"&amp;$J7),NOT(ISNA(MATCH(INDIRECT("OrganizationAccessCasePolicy!D"&amp;$J7)&amp;"|"&amp;$S7,CaseTypeSetMember!$H:$H,0)))))</f>
        <v>1</v>
      </c>
      <c r="N7" s="6" t="str">
        <f>IF(ISNA(MATCH($D7&amp;"|"&amp;$W7,UserAccessCasePolicy!$W:$W,0)),"",MATCH($D7&amp;"|"&amp;$W7,UserAccessCasePolicy!$W:$W,0))</f>
        <v/>
      </c>
      <c r="O7" s="6" t="b" cm="1">
        <f t="array" aca="1" ref="O7" ca="1">IF($N7="",FALSE,NOT(ISNA(MATCH(INDIRECT("UserAccessCasePolicy!D"&amp;$N7)&amp;"|"&amp;$S7,CaseTypeSetMember!$H:$H,0))))</f>
        <v>0</v>
      </c>
      <c r="P7" s="6" t="b" cm="1">
        <f t="array" aca="1" ref="P7" ca="1">IF($N7="",FALSE,AND(INDIRECT("UserAccessCasePolicy!G"&amp;$N7),NOT(ISNA(MATCH(INDIRECT("UserAccessCasePolicy!D"&amp;$N7)&amp;"|"&amp;$S7,CaseTypeSetMember!$H:$H,0)))))</f>
        <v>0</v>
      </c>
      <c r="Q7" s="6" t="b" cm="1">
        <f t="array" aca="1" ref="Q7" ca="1">IF($N7="",FALSE,AND(INDIRECT("UserAccessCasePolicy!H"&amp;$N7),NOT(ISNA(MATCH(INDIRECT("UserAccessCasePolicy!D"&amp;$N7)&amp;"|"&amp;$S7,CaseTypeSetMember!$H:$H,0)))))</f>
        <v>0</v>
      </c>
      <c r="R7" t="s">
        <v>715</v>
      </c>
      <c r="S7" t="s">
        <v>119</v>
      </c>
      <c r="T7" s="6" t="str">
        <f>INDEX(CaseType!$B:$B,MATCH($S7,CaseType!$A:$A,0))</f>
        <v>case_type1</v>
      </c>
      <c r="U7" s="6" t="b">
        <f>AND(IF($AA7="",TRUE,$S7=INDEX(CaseTypeCol!$B:$B,MATCH($AA7,CaseTypeCol!$A:$A,0))),IF($AH7="",TRUE,$S7=INDEX(CaseTypeCol!$B:$B,MATCH($AH7,CaseTypeCol!$A:$A,0))),IF($AO7="",TRUE,$S7=INDEX(CaseTypeCol!$B:$B,MATCH($AO7,CaseTypeCol!$A:$A,0))))</f>
        <v>1</v>
      </c>
      <c r="W7" t="s">
        <v>11</v>
      </c>
      <c r="X7" s="6" t="str">
        <f>INDEX(DataCollection!$B:$B,MATCH($W7,DataCollection!$A:$A,0))</f>
        <v>data_collection1</v>
      </c>
      <c r="Z7" s="14">
        <v>36526</v>
      </c>
      <c r="AA7" t="s">
        <v>142</v>
      </c>
      <c r="AB7" t="s">
        <v>663</v>
      </c>
      <c r="AC7" s="6" t="str">
        <f>IF($AA7="","",INDEX(CaseTypeCol!$G:$G,MATCH($AA7,CaseTypeCol!$A:$A,0)))</f>
        <v>case_type1_dim1_1_text</v>
      </c>
      <c r="AD7" s="6" t="b" cm="1">
        <f t="array" aca="1" ref="AD7" ca="1">IF($AA7="",TRUE,IF($J7="",FALSE,IF(INDIRECT("OrganizationAccessCasePolicy!J"&amp;$J7)="",FALSE,NOT(ISNA(MATCH(INDIRECT("OrganizationAccessCasePolicy!J"&amp;$J7)&amp;"|"&amp;$AA7,CaseTypeColSetMember!$H:$H,0))))))</f>
        <v>1</v>
      </c>
      <c r="AE7" s="6" t="b" cm="1">
        <f t="array" aca="1" ref="AE7" ca="1">IF($AA7="",TRUE,IF($J7="",FALSE,IF(INDIRECT("OrganizationAccessCasePolicy!L"&amp;$J7)="",FALSE,NOT(ISNA(MATCH(INDIRECT("OrganizationAccessCasePolicy!L"&amp;$J7)&amp;"|"&amp;$AA7,CaseTypeColSetMember!$H:$H,0))))))</f>
        <v>1</v>
      </c>
      <c r="AF7" s="6" t="b" cm="1">
        <f t="array" aca="1" ref="AF7" ca="1">IF($AA7="",TRUE,IF($N7="",FALSE,IF(INDIRECT("UserAccessCasePolicy!I"&amp;$N7)="",FALSE,NOT(ISNA(MATCH(INDIRECT("UserAccessCasePolicy!I"&amp;$N7)&amp;"|"&amp;$AA7,CaseTypeColSetMember!$H:$H,0))))))</f>
        <v>0</v>
      </c>
      <c r="AG7" s="6" t="b" cm="1">
        <f t="array" aca="1" ref="AG7" ca="1">IF($AA7="",TRUE,IF($N7="",FALSE,IF(INDIRECT("UserAccessCasePolicy!K"&amp;$N7)="",FALSE,NOT(ISNA(MATCH(INDIRECT("UserAccessCasePolicy!K"&amp;$N7)&amp;"|"&amp;$AA7,CaseTypeColSetMember!$H:$H,0))))))</f>
        <v>0</v>
      </c>
      <c r="AJ7" s="6" t="str">
        <f>IF($AH7="","",INDEX(CaseTypeCol!$G:$G,MATCH($AH7,CaseTypeCol!$A:$A,0)))</f>
        <v/>
      </c>
      <c r="AK7" s="6" t="b" cm="1">
        <f t="array" aca="1" ref="AK7" ca="1">IF($AH7="",TRUE,IF($J7="",FALSE,IF(INDIRECT("OrganizationAccessCasePolicy!J"&amp;$J7)="",FALSE,NOT(ISNA(MATCH(INDIRECT("OrganizationAccessCasePolicy!J"&amp;$J7)&amp;"|"&amp;$AH7,CaseTypeColSetMember!$H:$H,0))))))</f>
        <v>1</v>
      </c>
      <c r="AL7" s="6" t="b" cm="1">
        <f t="array" aca="1" ref="AL7" ca="1">IF($AH7="",TRUE,IF($J7="",FALSE,IF(INDIRECT("OrganizationAccessCasePolicy!L"&amp;$J7)="",FALSE,NOT(ISNA(MATCH(INDIRECT("OrganizationAccessCasePolicy!L"&amp;$J7)&amp;"|"&amp;$AH7,CaseTypeColSetMember!$H:$H,0))))))</f>
        <v>1</v>
      </c>
      <c r="AM7" s="6" t="b" cm="1">
        <f t="array" aca="1" ref="AM7" ca="1">IF($AH7="",TRUE,IF($N7="",FALSE,IF(INDIRECT("UserAccessCasePolicy!I"&amp;$N7)="",FALSE,NOT(ISNA(MATCH(INDIRECT("UserAccessCasePolicy!I"&amp;$N7)&amp;"|"&amp;$AH7,CaseTypeColSetMember!$H:$H,0))))))</f>
        <v>1</v>
      </c>
      <c r="AN7" s="6" t="b" cm="1">
        <f t="array" aca="1" ref="AN7" ca="1">IF($AH7="",TRUE,IF($N7="",FALSE,IF(INDIRECT("UserAccessCasePolicy!K"&amp;$N7)="",FALSE,NOT(ISNA(MATCH(INDIRECT("UserAccessCasePolicy!K"&amp;$N7)&amp;"|"&amp;$AH7,CaseTypeColSetMember!$H:$H,0))))))</f>
        <v>1</v>
      </c>
      <c r="AQ7" s="6" t="str">
        <f>IF($AO7="","",INDEX(CaseTypeCol!$G:$G,MATCH($AO7,CaseTypeCol!$A:$A,0)))</f>
        <v/>
      </c>
      <c r="AR7" s="6" t="b" cm="1">
        <f t="array" aca="1" ref="AR7" ca="1">IF($AO7="",TRUE,IF($J7="",FALSE,IF(INDIRECT("OrganizationAccessCasePolicy!J"&amp;$J7)="",FALSE,NOT(ISNA(MATCH(INDIRECT("OrganizationAccessCasePolicy!J"&amp;$J7)&amp;"|"&amp;$AO7,CaseTypeColSetMember!$H:$H,0))))))</f>
        <v>1</v>
      </c>
      <c r="AS7" s="6" t="b" cm="1">
        <f t="array" aca="1" ref="AS7" ca="1">IF($AO7="",TRUE,IF($J7="",FALSE,IF(INDIRECT("OrganizationAccessCasePolicy!L"&amp;$J7)="",FALSE,NOT(ISNA(MATCH(INDIRECT("OrganizationAccessCasePolicy!L"&amp;$J7)&amp;"|"&amp;$AO7,CaseTypeColSetMember!$H:$H,0))))))</f>
        <v>1</v>
      </c>
      <c r="AT7" s="6" t="b" cm="1">
        <f t="array" aca="1" ref="AT7" ca="1">IF($AO7="",TRUE,IF($N7="",FALSE,IF(INDIRECT("UserAccessCasePolicy!I"&amp;$N7)="",FALSE,NOT(ISNA(MATCH(INDIRECT("UserAccessCasePolicy!I"&amp;$N7)&amp;"|"&amp;$AO7,CaseTypeColSetMember!$H:$H,0))))))</f>
        <v>1</v>
      </c>
      <c r="AU7" s="6" t="b" cm="1">
        <f t="array" aca="1" ref="AU7" ca="1">IF($AO7="",TRUE,IF($N7="",FALSE,IF(INDIRECT("UserAccessCasePolicy!K"&amp;$N7)="",FALSE,NOT(ISNA(MATCH(INDIRECT("UserAccessCasePolicy!K"&amp;$N7)&amp;"|"&amp;$AO7,CaseTypeColSetMember!$H:$H,0))))))</f>
        <v>1</v>
      </c>
    </row>
    <row r="8" spans="1:47" x14ac:dyDescent="0.3">
      <c r="A8">
        <v>7</v>
      </c>
      <c r="B8" t="b">
        <v>1</v>
      </c>
      <c r="C8" t="s">
        <v>712</v>
      </c>
      <c r="D8" t="s">
        <v>444</v>
      </c>
      <c r="E8" s="6" t="str">
        <f>INDEX(User!$D:$D,MATCH($D8,User!$A:$A,0))</f>
        <v>app_admin1_1</v>
      </c>
      <c r="F8" t="s">
        <v>721</v>
      </c>
      <c r="G8" s="19" t="b">
        <f t="shared" ca="1" si="0"/>
        <v>1</v>
      </c>
      <c r="H8" s="6" t="str">
        <f>INDEX(User!$G:$G,MATCH($D8,User!$A:$A,0))</f>
        <v>018d074d-ea0c-e942-07db-a3cc0ba1d653</v>
      </c>
      <c r="I8" s="6" t="b">
        <f>INDEX(User!$M:$M,MATCH($D8,User!$A:$A,0))</f>
        <v>1</v>
      </c>
      <c r="J8" s="6">
        <f>IF(ISNA(MATCH($H8&amp;"|"&amp;$W8,OrganizationAccessCasePolicy!$V:$V,0)),"",MATCH($H8&amp;"|"&amp;$W8,OrganizationAccessCasePolicy!$V:$V,0))</f>
        <v>2</v>
      </c>
      <c r="K8" s="6" t="b" cm="1">
        <f t="array" aca="1" ref="K8" ca="1">IF($J8="",FALSE,NOT(ISNA(MATCH(INDIRECT("OrganizationAccessCasePolicy!D"&amp;$J8)&amp;"|"&amp;$S8,CaseTypeSetMember!$H:$H,0))))</f>
        <v>1</v>
      </c>
      <c r="L8" s="6" t="b" cm="1">
        <f t="array" aca="1" ref="L8" ca="1">IF($J8="",FALSE,AND(INDIRECT("OrganizationAccessCasePolicy!H"&amp;$J8),NOT(ISNA(MATCH(INDIRECT("OrganizationAccessCasePolicy!D"&amp;$J8)&amp;"|"&amp;$S8,CaseTypeSetMember!$H:$H,0)))))</f>
        <v>1</v>
      </c>
      <c r="M8" s="6" t="b" cm="1">
        <f t="array" aca="1" ref="M8" ca="1">IF($J8="",FALSE,AND(INDIRECT("OrganizationAccessCasePolicy!I"&amp;$J8),NOT(ISNA(MATCH(INDIRECT("OrganizationAccessCasePolicy!D"&amp;$J8)&amp;"|"&amp;$S8,CaseTypeSetMember!$H:$H,0)))))</f>
        <v>1</v>
      </c>
      <c r="N8" s="6" t="str">
        <f>IF(ISNA(MATCH($D8&amp;"|"&amp;$W8,UserAccessCasePolicy!$W:$W,0)),"",MATCH($D8&amp;"|"&amp;$W8,UserAccessCasePolicy!$W:$W,0))</f>
        <v/>
      </c>
      <c r="O8" s="6" t="b" cm="1">
        <f t="array" aca="1" ref="O8" ca="1">IF($N8="",FALSE,NOT(ISNA(MATCH(INDIRECT("UserAccessCasePolicy!D"&amp;$N8)&amp;"|"&amp;$S8,CaseTypeSetMember!$H:$H,0))))</f>
        <v>0</v>
      </c>
      <c r="P8" s="6" t="b" cm="1">
        <f t="array" aca="1" ref="P8" ca="1">IF($N8="",FALSE,AND(INDIRECT("UserAccessCasePolicy!G"&amp;$N8),NOT(ISNA(MATCH(INDIRECT("UserAccessCasePolicy!D"&amp;$N8)&amp;"|"&amp;$S8,CaseTypeSetMember!$H:$H,0)))))</f>
        <v>0</v>
      </c>
      <c r="Q8" s="6" t="b" cm="1">
        <f t="array" aca="1" ref="Q8" ca="1">IF($N8="",FALSE,AND(INDIRECT("UserAccessCasePolicy!H"&amp;$N8),NOT(ISNA(MATCH(INDIRECT("UserAccessCasePolicy!D"&amp;$N8)&amp;"|"&amp;$S8,CaseTypeSetMember!$H:$H,0)))))</f>
        <v>0</v>
      </c>
      <c r="R8" t="s">
        <v>716</v>
      </c>
      <c r="S8" t="s">
        <v>119</v>
      </c>
      <c r="T8" s="6" t="str">
        <f>INDEX(CaseType!$B:$B,MATCH($S8,CaseType!$A:$A,0))</f>
        <v>case_type1</v>
      </c>
      <c r="U8" s="6" t="b">
        <f>AND(IF($AA8="",TRUE,$S8=INDEX(CaseTypeCol!$B:$B,MATCH($AA8,CaseTypeCol!$A:$A,0))),IF($AH8="",TRUE,$S8=INDEX(CaseTypeCol!$B:$B,MATCH($AH8,CaseTypeCol!$A:$A,0))),IF($AO8="",TRUE,$S8=INDEX(CaseTypeCol!$B:$B,MATCH($AO8,CaseTypeCol!$A:$A,0))))</f>
        <v>1</v>
      </c>
      <c r="W8" t="s">
        <v>11</v>
      </c>
      <c r="X8" s="6" t="str">
        <f>INDEX(DataCollection!$B:$B,MATCH($W8,DataCollection!$A:$A,0))</f>
        <v>data_collection1</v>
      </c>
      <c r="Z8" s="14">
        <v>36526</v>
      </c>
      <c r="AA8" t="s">
        <v>142</v>
      </c>
      <c r="AB8" t="s">
        <v>663</v>
      </c>
      <c r="AC8" s="6" t="str">
        <f>IF($AA8="","",INDEX(CaseTypeCol!$G:$G,MATCH($AA8,CaseTypeCol!$A:$A,0)))</f>
        <v>case_type1_dim1_1_text</v>
      </c>
      <c r="AD8" s="6" t="b" cm="1">
        <f t="array" aca="1" ref="AD8" ca="1">IF($AA8="",TRUE,IF($J8="",FALSE,IF(INDIRECT("OrganizationAccessCasePolicy!J"&amp;$J8)="",FALSE,NOT(ISNA(MATCH(INDIRECT("OrganizationAccessCasePolicy!J"&amp;$J8)&amp;"|"&amp;$AA8,CaseTypeColSetMember!$H:$H,0))))))</f>
        <v>1</v>
      </c>
      <c r="AE8" s="6" t="b" cm="1">
        <f t="array" aca="1" ref="AE8" ca="1">IF($AA8="",TRUE,IF($J8="",FALSE,IF(INDIRECT("OrganizationAccessCasePolicy!L"&amp;$J8)="",FALSE,NOT(ISNA(MATCH(INDIRECT("OrganizationAccessCasePolicy!L"&amp;$J8)&amp;"|"&amp;$AA8,CaseTypeColSetMember!$H:$H,0))))))</f>
        <v>1</v>
      </c>
      <c r="AF8" s="6" t="b" cm="1">
        <f t="array" aca="1" ref="AF8" ca="1">IF($AA8="",TRUE,IF($N8="",FALSE,IF(INDIRECT("UserAccessCasePolicy!I"&amp;$N8)="",FALSE,NOT(ISNA(MATCH(INDIRECT("UserAccessCasePolicy!I"&amp;$N8)&amp;"|"&amp;$AA8,CaseTypeColSetMember!$H:$H,0))))))</f>
        <v>0</v>
      </c>
      <c r="AG8" s="6" t="b" cm="1">
        <f t="array" aca="1" ref="AG8" ca="1">IF($AA8="",TRUE,IF($N8="",FALSE,IF(INDIRECT("UserAccessCasePolicy!K"&amp;$N8)="",FALSE,NOT(ISNA(MATCH(INDIRECT("UserAccessCasePolicy!K"&amp;$N8)&amp;"|"&amp;$AA8,CaseTypeColSetMember!$H:$H,0))))))</f>
        <v>0</v>
      </c>
      <c r="AJ8" s="6" t="str">
        <f>IF($AH8="","",INDEX(CaseTypeCol!$G:$G,MATCH($AH8,CaseTypeCol!$A:$A,0)))</f>
        <v/>
      </c>
      <c r="AK8" s="6" t="b" cm="1">
        <f t="array" aca="1" ref="AK8" ca="1">IF($AH8="",TRUE,IF($J8="",FALSE,IF(INDIRECT("OrganizationAccessCasePolicy!J"&amp;$J8)="",FALSE,NOT(ISNA(MATCH(INDIRECT("OrganizationAccessCasePolicy!J"&amp;$J8)&amp;"|"&amp;$AH8,CaseTypeColSetMember!$H:$H,0))))))</f>
        <v>1</v>
      </c>
      <c r="AL8" s="6" t="b" cm="1">
        <f t="array" aca="1" ref="AL8" ca="1">IF($AH8="",TRUE,IF($J8="",FALSE,IF(INDIRECT("OrganizationAccessCasePolicy!L"&amp;$J8)="",FALSE,NOT(ISNA(MATCH(INDIRECT("OrganizationAccessCasePolicy!L"&amp;$J8)&amp;"|"&amp;$AH8,CaseTypeColSetMember!$H:$H,0))))))</f>
        <v>1</v>
      </c>
      <c r="AM8" s="6" t="b" cm="1">
        <f t="array" aca="1" ref="AM8" ca="1">IF($AH8="",TRUE,IF($N8="",FALSE,IF(INDIRECT("UserAccessCasePolicy!I"&amp;$N8)="",FALSE,NOT(ISNA(MATCH(INDIRECT("UserAccessCasePolicy!I"&amp;$N8)&amp;"|"&amp;$AH8,CaseTypeColSetMember!$H:$H,0))))))</f>
        <v>1</v>
      </c>
      <c r="AN8" s="6" t="b" cm="1">
        <f t="array" aca="1" ref="AN8" ca="1">IF($AH8="",TRUE,IF($N8="",FALSE,IF(INDIRECT("UserAccessCasePolicy!K"&amp;$N8)="",FALSE,NOT(ISNA(MATCH(INDIRECT("UserAccessCasePolicy!K"&amp;$N8)&amp;"|"&amp;$AH8,CaseTypeColSetMember!$H:$H,0))))))</f>
        <v>1</v>
      </c>
      <c r="AQ8" s="6" t="str">
        <f>IF($AO8="","",INDEX(CaseTypeCol!$G:$G,MATCH($AO8,CaseTypeCol!$A:$A,0)))</f>
        <v/>
      </c>
      <c r="AR8" s="6" t="b" cm="1">
        <f t="array" aca="1" ref="AR8" ca="1">IF($AO8="",TRUE,IF($J8="",FALSE,IF(INDIRECT("OrganizationAccessCasePolicy!J"&amp;$J8)="",FALSE,NOT(ISNA(MATCH(INDIRECT("OrganizationAccessCasePolicy!J"&amp;$J8)&amp;"|"&amp;$AO8,CaseTypeColSetMember!$H:$H,0))))))</f>
        <v>1</v>
      </c>
      <c r="AS8" s="6" t="b" cm="1">
        <f t="array" aca="1" ref="AS8" ca="1">IF($AO8="",TRUE,IF($J8="",FALSE,IF(INDIRECT("OrganizationAccessCasePolicy!L"&amp;$J8)="",FALSE,NOT(ISNA(MATCH(INDIRECT("OrganizationAccessCasePolicy!L"&amp;$J8)&amp;"|"&amp;$AO8,CaseTypeColSetMember!$H:$H,0))))))</f>
        <v>1</v>
      </c>
      <c r="AT8" s="6" t="b" cm="1">
        <f t="array" aca="1" ref="AT8" ca="1">IF($AO8="",TRUE,IF($N8="",FALSE,IF(INDIRECT("UserAccessCasePolicy!I"&amp;$N8)="",FALSE,NOT(ISNA(MATCH(INDIRECT("UserAccessCasePolicy!I"&amp;$N8)&amp;"|"&amp;$AO8,CaseTypeColSetMember!$H:$H,0))))))</f>
        <v>1</v>
      </c>
      <c r="AU8" s="6" t="b" cm="1">
        <f t="array" aca="1" ref="AU8" ca="1">IF($AO8="",TRUE,IF($N8="",FALSE,IF(INDIRECT("UserAccessCasePolicy!K"&amp;$N8)="",FALSE,NOT(ISNA(MATCH(INDIRECT("UserAccessCasePolicy!K"&amp;$N8)&amp;"|"&amp;$AO8,CaseTypeColSetMember!$H:$H,0))))))</f>
        <v>1</v>
      </c>
    </row>
    <row r="9" spans="1:47" x14ac:dyDescent="0.3">
      <c r="A9">
        <v>8</v>
      </c>
      <c r="B9" t="b">
        <v>1</v>
      </c>
      <c r="C9" t="s">
        <v>608</v>
      </c>
      <c r="D9" t="s">
        <v>44</v>
      </c>
      <c r="E9" s="6" t="str">
        <f>INDEX(User!$D:$D,MATCH($D9,User!$A:$A,0))</f>
        <v>org_admin1_1</v>
      </c>
      <c r="F9" t="s">
        <v>721</v>
      </c>
      <c r="G9" s="19" t="b">
        <f t="shared" ca="1" si="0"/>
        <v>0</v>
      </c>
      <c r="H9" s="6" t="str">
        <f>INDEX(User!$G:$G,MATCH($D9,User!$A:$A,0))</f>
        <v>018d074d-ea0c-e942-07db-a3cc0ba1d653</v>
      </c>
      <c r="I9" s="6" t="b">
        <f>INDEX(User!$M:$M,MATCH($D9,User!$A:$A,0))</f>
        <v>0</v>
      </c>
      <c r="J9" s="6">
        <f>IF(ISNA(MATCH($H9&amp;"|"&amp;$W9,OrganizationAccessCasePolicy!$V:$V,0)),"",MATCH($H9&amp;"|"&amp;$W9,OrganizationAccessCasePolicy!$V:$V,0))</f>
        <v>2</v>
      </c>
      <c r="K9" s="6" t="b" cm="1">
        <f t="array" aca="1" ref="K9" ca="1">IF($J9="",FALSE,NOT(ISNA(MATCH(INDIRECT("OrganizationAccessCasePolicy!D"&amp;$J9)&amp;"|"&amp;$S9,CaseTypeSetMember!$H:$H,0))))</f>
        <v>1</v>
      </c>
      <c r="L9" s="6" t="b" cm="1">
        <f t="array" aca="1" ref="L9" ca="1">IF($J9="",FALSE,AND(INDIRECT("OrganizationAccessCasePolicy!H"&amp;$J9),NOT(ISNA(MATCH(INDIRECT("OrganizationAccessCasePolicy!D"&amp;$J9)&amp;"|"&amp;$S9,CaseTypeSetMember!$H:$H,0)))))</f>
        <v>1</v>
      </c>
      <c r="M9" s="6" t="b" cm="1">
        <f t="array" aca="1" ref="M9" ca="1">IF($J9="",FALSE,AND(INDIRECT("OrganizationAccessCasePolicy!I"&amp;$J9),NOT(ISNA(MATCH(INDIRECT("OrganizationAccessCasePolicy!D"&amp;$J9)&amp;"|"&amp;$S9,CaseTypeSetMember!$H:$H,0)))))</f>
        <v>1</v>
      </c>
      <c r="N9" s="6" t="str">
        <f>IF(ISNA(MATCH($D9&amp;"|"&amp;$W9,UserAccessCasePolicy!$W:$W,0)),"",MATCH($D9&amp;"|"&amp;$W9,UserAccessCasePolicy!$W:$W,0))</f>
        <v/>
      </c>
      <c r="O9" s="6" t="b" cm="1">
        <f t="array" aca="1" ref="O9" ca="1">IF($N9="",FALSE,NOT(ISNA(MATCH(INDIRECT("UserAccessCasePolicy!D"&amp;$N9)&amp;"|"&amp;$S9,CaseTypeSetMember!$H:$H,0))))</f>
        <v>0</v>
      </c>
      <c r="P9" s="6" t="b" cm="1">
        <f t="array" aca="1" ref="P9" ca="1">IF($N9="",FALSE,AND(INDIRECT("UserAccessCasePolicy!G"&amp;$N9),NOT(ISNA(MATCH(INDIRECT("UserAccessCasePolicy!D"&amp;$N9)&amp;"|"&amp;$S9,CaseTypeSetMember!$H:$H,0)))))</f>
        <v>0</v>
      </c>
      <c r="Q9" s="6" t="b" cm="1">
        <f t="array" aca="1" ref="Q9" ca="1">IF($N9="",FALSE,AND(INDIRECT("UserAccessCasePolicy!H"&amp;$N9),NOT(ISNA(MATCH(INDIRECT("UserAccessCasePolicy!D"&amp;$N9)&amp;"|"&amp;$S9,CaseTypeSetMember!$H:$H,0)))))</f>
        <v>0</v>
      </c>
      <c r="R9" t="s">
        <v>634</v>
      </c>
      <c r="S9" t="s">
        <v>119</v>
      </c>
      <c r="T9" s="6" t="str">
        <f>INDEX(CaseType!$B:$B,MATCH($S9,CaseType!$A:$A,0))</f>
        <v>case_type1</v>
      </c>
      <c r="U9" s="6" t="b">
        <f>AND(IF($AA9="",TRUE,$S9=INDEX(CaseTypeCol!$B:$B,MATCH($AA9,CaseTypeCol!$A:$A,0))),IF($AH9="",TRUE,$S9=INDEX(CaseTypeCol!$B:$B,MATCH($AH9,CaseTypeCol!$A:$A,0))),IF($AO9="",TRUE,$S9=INDEX(CaseTypeCol!$B:$B,MATCH($AO9,CaseTypeCol!$A:$A,0))))</f>
        <v>1</v>
      </c>
      <c r="W9" t="s">
        <v>11</v>
      </c>
      <c r="X9" s="6" t="str">
        <f>INDEX(DataCollection!$B:$B,MATCH($W9,DataCollection!$A:$A,0))</f>
        <v>data_collection1</v>
      </c>
      <c r="Z9" s="14">
        <v>36526</v>
      </c>
      <c r="AA9" t="s">
        <v>142</v>
      </c>
      <c r="AB9" t="s">
        <v>663</v>
      </c>
      <c r="AC9" s="6" t="str">
        <f>IF($AA9="","",INDEX(CaseTypeCol!$G:$G,MATCH($AA9,CaseTypeCol!$A:$A,0)))</f>
        <v>case_type1_dim1_1_text</v>
      </c>
      <c r="AD9" s="6" t="b" cm="1">
        <f t="array" aca="1" ref="AD9" ca="1">IF($AA9="",TRUE,IF($J9="",FALSE,IF(INDIRECT("OrganizationAccessCasePolicy!J"&amp;$J9)="",FALSE,NOT(ISNA(MATCH(INDIRECT("OrganizationAccessCasePolicy!J"&amp;$J9)&amp;"|"&amp;$AA9,CaseTypeColSetMember!$H:$H,0))))))</f>
        <v>1</v>
      </c>
      <c r="AE9" s="6" t="b" cm="1">
        <f t="array" aca="1" ref="AE9" ca="1">IF($AA9="",TRUE,IF($J9="",FALSE,IF(INDIRECT("OrganizationAccessCasePolicy!L"&amp;$J9)="",FALSE,NOT(ISNA(MATCH(INDIRECT("OrganizationAccessCasePolicy!L"&amp;$J9)&amp;"|"&amp;$AA9,CaseTypeColSetMember!$H:$H,0))))))</f>
        <v>1</v>
      </c>
      <c r="AF9" s="6" t="b" cm="1">
        <f t="array" aca="1" ref="AF9" ca="1">IF($AA9="",TRUE,IF($N9="",FALSE,IF(INDIRECT("UserAccessCasePolicy!I"&amp;$N9)="",FALSE,NOT(ISNA(MATCH(INDIRECT("UserAccessCasePolicy!I"&amp;$N9)&amp;"|"&amp;$AA9,CaseTypeColSetMember!$H:$H,0))))))</f>
        <v>0</v>
      </c>
      <c r="AG9" s="6" t="b" cm="1">
        <f t="array" aca="1" ref="AG9" ca="1">IF($AA9="",TRUE,IF($N9="",FALSE,IF(INDIRECT("UserAccessCasePolicy!K"&amp;$N9)="",FALSE,NOT(ISNA(MATCH(INDIRECT("UserAccessCasePolicy!K"&amp;$N9)&amp;"|"&amp;$AA9,CaseTypeColSetMember!$H:$H,0))))))</f>
        <v>0</v>
      </c>
      <c r="AJ9" s="6" t="str">
        <f>IF($AH9="","",INDEX(CaseTypeCol!$G:$G,MATCH($AH9,CaseTypeCol!$A:$A,0)))</f>
        <v/>
      </c>
      <c r="AK9" s="6" t="b" cm="1">
        <f t="array" aca="1" ref="AK9" ca="1">IF($AH9="",TRUE,IF($J9="",FALSE,IF(INDIRECT("OrganizationAccessCasePolicy!J"&amp;$J9)="",FALSE,NOT(ISNA(MATCH(INDIRECT("OrganizationAccessCasePolicy!J"&amp;$J9)&amp;"|"&amp;$AH9,CaseTypeColSetMember!$H:$H,0))))))</f>
        <v>1</v>
      </c>
      <c r="AL9" s="6" t="b" cm="1">
        <f t="array" aca="1" ref="AL9" ca="1">IF($AH9="",TRUE,IF($J9="",FALSE,IF(INDIRECT("OrganizationAccessCasePolicy!L"&amp;$J9)="",FALSE,NOT(ISNA(MATCH(INDIRECT("OrganizationAccessCasePolicy!L"&amp;$J9)&amp;"|"&amp;$AH9,CaseTypeColSetMember!$H:$H,0))))))</f>
        <v>1</v>
      </c>
      <c r="AM9" s="6" t="b" cm="1">
        <f t="array" aca="1" ref="AM9" ca="1">IF($AH9="",TRUE,IF($N9="",FALSE,IF(INDIRECT("UserAccessCasePolicy!I"&amp;$N9)="",FALSE,NOT(ISNA(MATCH(INDIRECT("UserAccessCasePolicy!I"&amp;$N9)&amp;"|"&amp;$AH9,CaseTypeColSetMember!$H:$H,0))))))</f>
        <v>1</v>
      </c>
      <c r="AN9" s="6" t="b" cm="1">
        <f t="array" aca="1" ref="AN9" ca="1">IF($AH9="",TRUE,IF($N9="",FALSE,IF(INDIRECT("UserAccessCasePolicy!K"&amp;$N9)="",FALSE,NOT(ISNA(MATCH(INDIRECT("UserAccessCasePolicy!K"&amp;$N9)&amp;"|"&amp;$AH9,CaseTypeColSetMember!$H:$H,0))))))</f>
        <v>1</v>
      </c>
      <c r="AQ9" s="6" t="str">
        <f>IF($AO9="","",INDEX(CaseTypeCol!$G:$G,MATCH($AO9,CaseTypeCol!$A:$A,0)))</f>
        <v/>
      </c>
      <c r="AR9" s="6" t="b" cm="1">
        <f t="array" aca="1" ref="AR9" ca="1">IF($AO9="",TRUE,IF($J9="",FALSE,IF(INDIRECT("OrganizationAccessCasePolicy!J"&amp;$J9)="",FALSE,NOT(ISNA(MATCH(INDIRECT("OrganizationAccessCasePolicy!J"&amp;$J9)&amp;"|"&amp;$AO9,CaseTypeColSetMember!$H:$H,0))))))</f>
        <v>1</v>
      </c>
      <c r="AS9" s="6" t="b" cm="1">
        <f t="array" aca="1" ref="AS9" ca="1">IF($AO9="",TRUE,IF($J9="",FALSE,IF(INDIRECT("OrganizationAccessCasePolicy!L"&amp;$J9)="",FALSE,NOT(ISNA(MATCH(INDIRECT("OrganizationAccessCasePolicy!L"&amp;$J9)&amp;"|"&amp;$AO9,CaseTypeColSetMember!$H:$H,0))))))</f>
        <v>1</v>
      </c>
      <c r="AT9" s="6" t="b" cm="1">
        <f t="array" aca="1" ref="AT9" ca="1">IF($AO9="",TRUE,IF($N9="",FALSE,IF(INDIRECT("UserAccessCasePolicy!I"&amp;$N9)="",FALSE,NOT(ISNA(MATCH(INDIRECT("UserAccessCasePolicy!I"&amp;$N9)&amp;"|"&amp;$AO9,CaseTypeColSetMember!$H:$H,0))))))</f>
        <v>1</v>
      </c>
      <c r="AU9" s="6" t="b" cm="1">
        <f t="array" aca="1" ref="AU9" ca="1">IF($AO9="",TRUE,IF($N9="",FALSE,IF(INDIRECT("UserAccessCasePolicy!K"&amp;$N9)="",FALSE,NOT(ISNA(MATCH(INDIRECT("UserAccessCasePolicy!K"&amp;$N9)&amp;"|"&amp;$AO9,CaseTypeColSetMember!$H:$H,0))))))</f>
        <v>1</v>
      </c>
    </row>
    <row r="10" spans="1:47" x14ac:dyDescent="0.3">
      <c r="A10">
        <v>9</v>
      </c>
      <c r="B10" t="b">
        <v>1</v>
      </c>
      <c r="C10" t="s">
        <v>609</v>
      </c>
      <c r="D10" t="s">
        <v>47</v>
      </c>
      <c r="E10" s="6" t="str">
        <f>INDEX(User!$D:$D,MATCH($D10,User!$A:$A,0))</f>
        <v>org_admin2_1</v>
      </c>
      <c r="F10" t="s">
        <v>721</v>
      </c>
      <c r="G10" s="19" t="b">
        <f t="shared" ca="1" si="0"/>
        <v>0</v>
      </c>
      <c r="H10" s="6" t="str">
        <f>INDEX(User!$G:$G,MATCH($D10,User!$A:$A,0))</f>
        <v>0195d18c-1c92-0ed4-2e94-b4f66d82baf3</v>
      </c>
      <c r="I10" s="6" t="b">
        <f>INDEX(User!$M:$M,MATCH($D10,User!$A:$A,0))</f>
        <v>0</v>
      </c>
      <c r="J10" s="6" t="str">
        <f>IF(ISNA(MATCH($H10&amp;"|"&amp;$W10,OrganizationAccessCasePolicy!$V:$V,0)),"",MATCH($H10&amp;"|"&amp;$W10,OrganizationAccessCasePolicy!$V:$V,0))</f>
        <v/>
      </c>
      <c r="K10" s="6" t="b" cm="1">
        <f t="array" aca="1" ref="K10" ca="1">IF($J10="",FALSE,NOT(ISNA(MATCH(INDIRECT("OrganizationAccessCasePolicy!D"&amp;$J10)&amp;"|"&amp;$S10,CaseTypeSetMember!$H:$H,0))))</f>
        <v>0</v>
      </c>
      <c r="L10" s="6" t="b" cm="1">
        <f t="array" aca="1" ref="L10" ca="1">IF($J10="",FALSE,AND(INDIRECT("OrganizationAccessCasePolicy!H"&amp;$J10),NOT(ISNA(MATCH(INDIRECT("OrganizationAccessCasePolicy!D"&amp;$J10)&amp;"|"&amp;$S10,CaseTypeSetMember!$H:$H,0)))))</f>
        <v>0</v>
      </c>
      <c r="M10" s="6" t="b" cm="1">
        <f t="array" aca="1" ref="M10" ca="1">IF($J10="",FALSE,AND(INDIRECT("OrganizationAccessCasePolicy!I"&amp;$J10),NOT(ISNA(MATCH(INDIRECT("OrganizationAccessCasePolicy!D"&amp;$J10)&amp;"|"&amp;$S10,CaseTypeSetMember!$H:$H,0)))))</f>
        <v>0</v>
      </c>
      <c r="N10" s="6" t="str">
        <f>IF(ISNA(MATCH($D10&amp;"|"&amp;$W10,UserAccessCasePolicy!$W:$W,0)),"",MATCH($D10&amp;"|"&amp;$W10,UserAccessCasePolicy!$W:$W,0))</f>
        <v/>
      </c>
      <c r="O10" s="6" t="b" cm="1">
        <f t="array" aca="1" ref="O10" ca="1">IF($N10="",FALSE,NOT(ISNA(MATCH(INDIRECT("UserAccessCasePolicy!D"&amp;$N10)&amp;"|"&amp;$S10,CaseTypeSetMember!$H:$H,0))))</f>
        <v>0</v>
      </c>
      <c r="P10" s="6" t="b" cm="1">
        <f t="array" aca="1" ref="P10" ca="1">IF($N10="",FALSE,AND(INDIRECT("UserAccessCasePolicy!G"&amp;$N10),NOT(ISNA(MATCH(INDIRECT("UserAccessCasePolicy!D"&amp;$N10)&amp;"|"&amp;$S10,CaseTypeSetMember!$H:$H,0)))))</f>
        <v>0</v>
      </c>
      <c r="Q10" s="6" t="b" cm="1">
        <f t="array" aca="1" ref="Q10" ca="1">IF($N10="",FALSE,AND(INDIRECT("UserAccessCasePolicy!H"&amp;$N10),NOT(ISNA(MATCH(INDIRECT("UserAccessCasePolicy!D"&amp;$N10)&amp;"|"&amp;$S10,CaseTypeSetMember!$H:$H,0)))))</f>
        <v>0</v>
      </c>
      <c r="R10" t="s">
        <v>635</v>
      </c>
      <c r="S10" t="s">
        <v>119</v>
      </c>
      <c r="T10" s="6" t="str">
        <f>INDEX(CaseType!$B:$B,MATCH($S10,CaseType!$A:$A,0))</f>
        <v>case_type1</v>
      </c>
      <c r="U10" s="6" t="b">
        <f>AND(IF($AA10="",TRUE,$S10=INDEX(CaseTypeCol!$B:$B,MATCH($AA10,CaseTypeCol!$A:$A,0))),IF($AH10="",TRUE,$S10=INDEX(CaseTypeCol!$B:$B,MATCH($AH10,CaseTypeCol!$A:$A,0))),IF($AO10="",TRUE,$S10=INDEX(CaseTypeCol!$B:$B,MATCH($AO10,CaseTypeCol!$A:$A,0))))</f>
        <v>1</v>
      </c>
      <c r="W10" t="s">
        <v>11</v>
      </c>
      <c r="X10" s="6" t="str">
        <f>INDEX(DataCollection!$B:$B,MATCH($W10,DataCollection!$A:$A,0))</f>
        <v>data_collection1</v>
      </c>
      <c r="Z10" s="14">
        <v>36526</v>
      </c>
      <c r="AA10" t="s">
        <v>142</v>
      </c>
      <c r="AB10" t="s">
        <v>663</v>
      </c>
      <c r="AC10" s="6" t="str">
        <f>IF($AA10="","",INDEX(CaseTypeCol!$G:$G,MATCH($AA10,CaseTypeCol!$A:$A,0)))</f>
        <v>case_type1_dim1_1_text</v>
      </c>
      <c r="AD10" s="6" t="b" cm="1">
        <f t="array" aca="1" ref="AD10" ca="1">IF($AA10="",TRUE,IF($J10="",FALSE,IF(INDIRECT("OrganizationAccessCasePolicy!J"&amp;$J10)="",FALSE,NOT(ISNA(MATCH(INDIRECT("OrganizationAccessCasePolicy!J"&amp;$J10)&amp;"|"&amp;$AA10,CaseTypeColSetMember!$H:$H,0))))))</f>
        <v>0</v>
      </c>
      <c r="AE10" s="6" t="b" cm="1">
        <f t="array" aca="1" ref="AE10" ca="1">IF($AA10="",TRUE,IF($J10="",FALSE,IF(INDIRECT("OrganizationAccessCasePolicy!L"&amp;$J10)="",FALSE,NOT(ISNA(MATCH(INDIRECT("OrganizationAccessCasePolicy!L"&amp;$J10)&amp;"|"&amp;$AA10,CaseTypeColSetMember!$H:$H,0))))))</f>
        <v>0</v>
      </c>
      <c r="AF10" s="6" t="b" cm="1">
        <f t="array" aca="1" ref="AF10" ca="1">IF($AA10="",TRUE,IF($N10="",FALSE,IF(INDIRECT("UserAccessCasePolicy!I"&amp;$N10)="",FALSE,NOT(ISNA(MATCH(INDIRECT("UserAccessCasePolicy!I"&amp;$N10)&amp;"|"&amp;$AA10,CaseTypeColSetMember!$H:$H,0))))))</f>
        <v>0</v>
      </c>
      <c r="AG10" s="6" t="b" cm="1">
        <f t="array" aca="1" ref="AG10" ca="1">IF($AA10="",TRUE,IF($N10="",FALSE,IF(INDIRECT("UserAccessCasePolicy!K"&amp;$N10)="",FALSE,NOT(ISNA(MATCH(INDIRECT("UserAccessCasePolicy!K"&amp;$N10)&amp;"|"&amp;$AA10,CaseTypeColSetMember!$H:$H,0))))))</f>
        <v>0</v>
      </c>
      <c r="AJ10" s="6" t="str">
        <f>IF($AH10="","",INDEX(CaseTypeCol!$G:$G,MATCH($AH10,CaseTypeCol!$A:$A,0)))</f>
        <v/>
      </c>
      <c r="AK10" s="6" t="b" cm="1">
        <f t="array" aca="1" ref="AK10" ca="1">IF($AH10="",TRUE,IF($J10="",FALSE,IF(INDIRECT("OrganizationAccessCasePolicy!J"&amp;$J10)="",FALSE,NOT(ISNA(MATCH(INDIRECT("OrganizationAccessCasePolicy!J"&amp;$J10)&amp;"|"&amp;$AH10,CaseTypeColSetMember!$H:$H,0))))))</f>
        <v>1</v>
      </c>
      <c r="AL10" s="6" t="b" cm="1">
        <f t="array" aca="1" ref="AL10" ca="1">IF($AH10="",TRUE,IF($J10="",FALSE,IF(INDIRECT("OrganizationAccessCasePolicy!L"&amp;$J10)="",FALSE,NOT(ISNA(MATCH(INDIRECT("OrganizationAccessCasePolicy!L"&amp;$J10)&amp;"|"&amp;$AH10,CaseTypeColSetMember!$H:$H,0))))))</f>
        <v>1</v>
      </c>
      <c r="AM10" s="6" t="b" cm="1">
        <f t="array" aca="1" ref="AM10" ca="1">IF($AH10="",TRUE,IF($N10="",FALSE,IF(INDIRECT("UserAccessCasePolicy!I"&amp;$N10)="",FALSE,NOT(ISNA(MATCH(INDIRECT("UserAccessCasePolicy!I"&amp;$N10)&amp;"|"&amp;$AH10,CaseTypeColSetMember!$H:$H,0))))))</f>
        <v>1</v>
      </c>
      <c r="AN10" s="6" t="b" cm="1">
        <f t="array" aca="1" ref="AN10" ca="1">IF($AH10="",TRUE,IF($N10="",FALSE,IF(INDIRECT("UserAccessCasePolicy!K"&amp;$N10)="",FALSE,NOT(ISNA(MATCH(INDIRECT("UserAccessCasePolicy!K"&amp;$N10)&amp;"|"&amp;$AH10,CaseTypeColSetMember!$H:$H,0))))))</f>
        <v>1</v>
      </c>
      <c r="AQ10" s="6" t="str">
        <f>IF($AO10="","",INDEX(CaseTypeCol!$G:$G,MATCH($AO10,CaseTypeCol!$A:$A,0)))</f>
        <v/>
      </c>
      <c r="AR10" s="6" t="b" cm="1">
        <f t="array" aca="1" ref="AR10" ca="1">IF($AO10="",TRUE,IF($J10="",FALSE,IF(INDIRECT("OrganizationAccessCasePolicy!J"&amp;$J10)="",FALSE,NOT(ISNA(MATCH(INDIRECT("OrganizationAccessCasePolicy!J"&amp;$J10)&amp;"|"&amp;$AO10,CaseTypeColSetMember!$H:$H,0))))))</f>
        <v>1</v>
      </c>
      <c r="AS10" s="6" t="b" cm="1">
        <f t="array" aca="1" ref="AS10" ca="1">IF($AO10="",TRUE,IF($J10="",FALSE,IF(INDIRECT("OrganizationAccessCasePolicy!L"&amp;$J10)="",FALSE,NOT(ISNA(MATCH(INDIRECT("OrganizationAccessCasePolicy!L"&amp;$J10)&amp;"|"&amp;$AO10,CaseTypeColSetMember!$H:$H,0))))))</f>
        <v>1</v>
      </c>
      <c r="AT10" s="6" t="b" cm="1">
        <f t="array" aca="1" ref="AT10" ca="1">IF($AO10="",TRUE,IF($N10="",FALSE,IF(INDIRECT("UserAccessCasePolicy!I"&amp;$N10)="",FALSE,NOT(ISNA(MATCH(INDIRECT("UserAccessCasePolicy!I"&amp;$N10)&amp;"|"&amp;$AO10,CaseTypeColSetMember!$H:$H,0))))))</f>
        <v>1</v>
      </c>
      <c r="AU10" s="6" t="b" cm="1">
        <f t="array" aca="1" ref="AU10" ca="1">IF($AO10="",TRUE,IF($N10="",FALSE,IF(INDIRECT("UserAccessCasePolicy!K"&amp;$N10)="",FALSE,NOT(ISNA(MATCH(INDIRECT("UserAccessCasePolicy!K"&amp;$N10)&amp;"|"&amp;$AO10,CaseTypeColSetMember!$H:$H,0))))))</f>
        <v>1</v>
      </c>
    </row>
    <row r="11" spans="1:47" x14ac:dyDescent="0.3">
      <c r="A11">
        <v>10</v>
      </c>
      <c r="B11" t="b">
        <v>1</v>
      </c>
      <c r="C11" t="s">
        <v>610</v>
      </c>
      <c r="D11" t="s">
        <v>50</v>
      </c>
      <c r="E11" s="6" t="str">
        <f>INDEX(User!$D:$D,MATCH($D11,User!$A:$A,0))</f>
        <v>org_admin3_1</v>
      </c>
      <c r="F11" t="s">
        <v>721</v>
      </c>
      <c r="G11" s="19" t="b">
        <f t="shared" ca="1" si="0"/>
        <v>0</v>
      </c>
      <c r="H11" s="6" t="str">
        <f>INDEX(User!$G:$G,MATCH($D11,User!$A:$A,0))</f>
        <v>0195d18c-1c92-52b3-93e0-43dc1f2aa037</v>
      </c>
      <c r="I11" s="6" t="b">
        <f>INDEX(User!$M:$M,MATCH($D11,User!$A:$A,0))</f>
        <v>0</v>
      </c>
      <c r="J11" s="6" t="str">
        <f>IF(ISNA(MATCH($H11&amp;"|"&amp;$W11,OrganizationAccessCasePolicy!$V:$V,0)),"",MATCH($H11&amp;"|"&amp;$W11,OrganizationAccessCasePolicy!$V:$V,0))</f>
        <v/>
      </c>
      <c r="K11" s="6" t="b" cm="1">
        <f t="array" aca="1" ref="K11" ca="1">IF($J11="",FALSE,NOT(ISNA(MATCH(INDIRECT("OrganizationAccessCasePolicy!D"&amp;$J11)&amp;"|"&amp;$S11,CaseTypeSetMember!$H:$H,0))))</f>
        <v>0</v>
      </c>
      <c r="L11" s="6" t="b" cm="1">
        <f t="array" aca="1" ref="L11" ca="1">IF($J11="",FALSE,AND(INDIRECT("OrganizationAccessCasePolicy!H"&amp;$J11),NOT(ISNA(MATCH(INDIRECT("OrganizationAccessCasePolicy!D"&amp;$J11)&amp;"|"&amp;$S11,CaseTypeSetMember!$H:$H,0)))))</f>
        <v>0</v>
      </c>
      <c r="M11" s="6" t="b" cm="1">
        <f t="array" aca="1" ref="M11" ca="1">IF($J11="",FALSE,AND(INDIRECT("OrganizationAccessCasePolicy!I"&amp;$J11),NOT(ISNA(MATCH(INDIRECT("OrganizationAccessCasePolicy!D"&amp;$J11)&amp;"|"&amp;$S11,CaseTypeSetMember!$H:$H,0)))))</f>
        <v>0</v>
      </c>
      <c r="N11" s="6" t="str">
        <f>IF(ISNA(MATCH($D11&amp;"|"&amp;$W11,UserAccessCasePolicy!$W:$W,0)),"",MATCH($D11&amp;"|"&amp;$W11,UserAccessCasePolicy!$W:$W,0))</f>
        <v/>
      </c>
      <c r="O11" s="6" t="b" cm="1">
        <f t="array" aca="1" ref="O11" ca="1">IF($N11="",FALSE,NOT(ISNA(MATCH(INDIRECT("UserAccessCasePolicy!D"&amp;$N11)&amp;"|"&amp;$S11,CaseTypeSetMember!$H:$H,0))))</f>
        <v>0</v>
      </c>
      <c r="P11" s="6" t="b" cm="1">
        <f t="array" aca="1" ref="P11" ca="1">IF($N11="",FALSE,AND(INDIRECT("UserAccessCasePolicy!G"&amp;$N11),NOT(ISNA(MATCH(INDIRECT("UserAccessCasePolicy!D"&amp;$N11)&amp;"|"&amp;$S11,CaseTypeSetMember!$H:$H,0)))))</f>
        <v>0</v>
      </c>
      <c r="Q11" s="6" t="b" cm="1">
        <f t="array" aca="1" ref="Q11" ca="1">IF($N11="",FALSE,AND(INDIRECT("UserAccessCasePolicy!H"&amp;$N11),NOT(ISNA(MATCH(INDIRECT("UserAccessCasePolicy!D"&amp;$N11)&amp;"|"&amp;$S11,CaseTypeSetMember!$H:$H,0)))))</f>
        <v>0</v>
      </c>
      <c r="R11" t="s">
        <v>636</v>
      </c>
      <c r="S11" t="s">
        <v>119</v>
      </c>
      <c r="T11" s="6" t="str">
        <f>INDEX(CaseType!$B:$B,MATCH($S11,CaseType!$A:$A,0))</f>
        <v>case_type1</v>
      </c>
      <c r="U11" s="6" t="b">
        <f>AND(IF($AA11="",TRUE,$S11=INDEX(CaseTypeCol!$B:$B,MATCH($AA11,CaseTypeCol!$A:$A,0))),IF($AH11="",TRUE,$S11=INDEX(CaseTypeCol!$B:$B,MATCH($AH11,CaseTypeCol!$A:$A,0))),IF($AO11="",TRUE,$S11=INDEX(CaseTypeCol!$B:$B,MATCH($AO11,CaseTypeCol!$A:$A,0))))</f>
        <v>1</v>
      </c>
      <c r="W11" t="s">
        <v>11</v>
      </c>
      <c r="X11" s="6" t="str">
        <f>INDEX(DataCollection!$B:$B,MATCH($W11,DataCollection!$A:$A,0))</f>
        <v>data_collection1</v>
      </c>
      <c r="Z11" s="14">
        <v>36526</v>
      </c>
      <c r="AA11" t="s">
        <v>142</v>
      </c>
      <c r="AB11" t="s">
        <v>663</v>
      </c>
      <c r="AC11" s="6" t="str">
        <f>IF($AA11="","",INDEX(CaseTypeCol!$G:$G,MATCH($AA11,CaseTypeCol!$A:$A,0)))</f>
        <v>case_type1_dim1_1_text</v>
      </c>
      <c r="AD11" s="6" t="b" cm="1">
        <f t="array" aca="1" ref="AD11" ca="1">IF($AA11="",TRUE,IF($J11="",FALSE,IF(INDIRECT("OrganizationAccessCasePolicy!J"&amp;$J11)="",FALSE,NOT(ISNA(MATCH(INDIRECT("OrganizationAccessCasePolicy!J"&amp;$J11)&amp;"|"&amp;$AA11,CaseTypeColSetMember!$H:$H,0))))))</f>
        <v>0</v>
      </c>
      <c r="AE11" s="6" t="b" cm="1">
        <f t="array" aca="1" ref="AE11" ca="1">IF($AA11="",TRUE,IF($J11="",FALSE,IF(INDIRECT("OrganizationAccessCasePolicy!L"&amp;$J11)="",FALSE,NOT(ISNA(MATCH(INDIRECT("OrganizationAccessCasePolicy!L"&amp;$J11)&amp;"|"&amp;$AA11,CaseTypeColSetMember!$H:$H,0))))))</f>
        <v>0</v>
      </c>
      <c r="AF11" s="6" t="b" cm="1">
        <f t="array" aca="1" ref="AF11" ca="1">IF($AA11="",TRUE,IF($N11="",FALSE,IF(INDIRECT("UserAccessCasePolicy!I"&amp;$N11)="",FALSE,NOT(ISNA(MATCH(INDIRECT("UserAccessCasePolicy!I"&amp;$N11)&amp;"|"&amp;$AA11,CaseTypeColSetMember!$H:$H,0))))))</f>
        <v>0</v>
      </c>
      <c r="AG11" s="6" t="b" cm="1">
        <f t="array" aca="1" ref="AG11" ca="1">IF($AA11="",TRUE,IF($N11="",FALSE,IF(INDIRECT("UserAccessCasePolicy!K"&amp;$N11)="",FALSE,NOT(ISNA(MATCH(INDIRECT("UserAccessCasePolicy!K"&amp;$N11)&amp;"|"&amp;$AA11,CaseTypeColSetMember!$H:$H,0))))))</f>
        <v>0</v>
      </c>
      <c r="AJ11" s="6" t="str">
        <f>IF($AH11="","",INDEX(CaseTypeCol!$G:$G,MATCH($AH11,CaseTypeCol!$A:$A,0)))</f>
        <v/>
      </c>
      <c r="AK11" s="6" t="b" cm="1">
        <f t="array" aca="1" ref="AK11" ca="1">IF($AH11="",TRUE,IF($J11="",FALSE,IF(INDIRECT("OrganizationAccessCasePolicy!J"&amp;$J11)="",FALSE,NOT(ISNA(MATCH(INDIRECT("OrganizationAccessCasePolicy!J"&amp;$J11)&amp;"|"&amp;$AH11,CaseTypeColSetMember!$H:$H,0))))))</f>
        <v>1</v>
      </c>
      <c r="AL11" s="6" t="b" cm="1">
        <f t="array" aca="1" ref="AL11" ca="1">IF($AH11="",TRUE,IF($J11="",FALSE,IF(INDIRECT("OrganizationAccessCasePolicy!L"&amp;$J11)="",FALSE,NOT(ISNA(MATCH(INDIRECT("OrganizationAccessCasePolicy!L"&amp;$J11)&amp;"|"&amp;$AH11,CaseTypeColSetMember!$H:$H,0))))))</f>
        <v>1</v>
      </c>
      <c r="AM11" s="6" t="b" cm="1">
        <f t="array" aca="1" ref="AM11" ca="1">IF($AH11="",TRUE,IF($N11="",FALSE,IF(INDIRECT("UserAccessCasePolicy!I"&amp;$N11)="",FALSE,NOT(ISNA(MATCH(INDIRECT("UserAccessCasePolicy!I"&amp;$N11)&amp;"|"&amp;$AH11,CaseTypeColSetMember!$H:$H,0))))))</f>
        <v>1</v>
      </c>
      <c r="AN11" s="6" t="b" cm="1">
        <f t="array" aca="1" ref="AN11" ca="1">IF($AH11="",TRUE,IF($N11="",FALSE,IF(INDIRECT("UserAccessCasePolicy!K"&amp;$N11)="",FALSE,NOT(ISNA(MATCH(INDIRECT("UserAccessCasePolicy!K"&amp;$N11)&amp;"|"&amp;$AH11,CaseTypeColSetMember!$H:$H,0))))))</f>
        <v>1</v>
      </c>
      <c r="AQ11" s="6" t="str">
        <f>IF($AO11="","",INDEX(CaseTypeCol!$G:$G,MATCH($AO11,CaseTypeCol!$A:$A,0)))</f>
        <v/>
      </c>
      <c r="AR11" s="6" t="b" cm="1">
        <f t="array" aca="1" ref="AR11" ca="1">IF($AO11="",TRUE,IF($J11="",FALSE,IF(INDIRECT("OrganizationAccessCasePolicy!J"&amp;$J11)="",FALSE,NOT(ISNA(MATCH(INDIRECT("OrganizationAccessCasePolicy!J"&amp;$J11)&amp;"|"&amp;$AO11,CaseTypeColSetMember!$H:$H,0))))))</f>
        <v>1</v>
      </c>
      <c r="AS11" s="6" t="b" cm="1">
        <f t="array" aca="1" ref="AS11" ca="1">IF($AO11="",TRUE,IF($J11="",FALSE,IF(INDIRECT("OrganizationAccessCasePolicy!L"&amp;$J11)="",FALSE,NOT(ISNA(MATCH(INDIRECT("OrganizationAccessCasePolicy!L"&amp;$J11)&amp;"|"&amp;$AO11,CaseTypeColSetMember!$H:$H,0))))))</f>
        <v>1</v>
      </c>
      <c r="AT11" s="6" t="b" cm="1">
        <f t="array" aca="1" ref="AT11" ca="1">IF($AO11="",TRUE,IF($N11="",FALSE,IF(INDIRECT("UserAccessCasePolicy!I"&amp;$N11)="",FALSE,NOT(ISNA(MATCH(INDIRECT("UserAccessCasePolicy!I"&amp;$N11)&amp;"|"&amp;$AO11,CaseTypeColSetMember!$H:$H,0))))))</f>
        <v>1</v>
      </c>
      <c r="AU11" s="6" t="b" cm="1">
        <f t="array" aca="1" ref="AU11" ca="1">IF($AO11="",TRUE,IF($N11="",FALSE,IF(INDIRECT("UserAccessCasePolicy!K"&amp;$N11)="",FALSE,NOT(ISNA(MATCH(INDIRECT("UserAccessCasePolicy!K"&amp;$N11)&amp;"|"&amp;$AO11,CaseTypeColSetMember!$H:$H,0))))))</f>
        <v>1</v>
      </c>
    </row>
    <row r="12" spans="1:47" x14ac:dyDescent="0.3">
      <c r="A12">
        <v>11</v>
      </c>
      <c r="B12" t="b">
        <v>1</v>
      </c>
      <c r="C12" t="s">
        <v>611</v>
      </c>
      <c r="D12" t="s">
        <v>53</v>
      </c>
      <c r="E12" s="6" t="str">
        <f>INDEX(User!$D:$D,MATCH($D12,User!$A:$A,0))</f>
        <v>org_admin4_1</v>
      </c>
      <c r="F12" t="s">
        <v>721</v>
      </c>
      <c r="G12" s="19" t="b">
        <f t="shared" ca="1" si="0"/>
        <v>0</v>
      </c>
      <c r="H12" s="6" t="str">
        <f>INDEX(User!$G:$G,MATCH($D12,User!$A:$A,0))</f>
        <v>0195d18c-1c92-d419-4c71-a570f428499b</v>
      </c>
      <c r="I12" s="6" t="b">
        <f>INDEX(User!$M:$M,MATCH($D12,User!$A:$A,0))</f>
        <v>0</v>
      </c>
      <c r="J12" s="6" t="str">
        <f>IF(ISNA(MATCH($H12&amp;"|"&amp;$W12,OrganizationAccessCasePolicy!$V:$V,0)),"",MATCH($H12&amp;"|"&amp;$W12,OrganizationAccessCasePolicy!$V:$V,0))</f>
        <v/>
      </c>
      <c r="K12" s="6" t="b" cm="1">
        <f t="array" aca="1" ref="K12" ca="1">IF($J12="",FALSE,NOT(ISNA(MATCH(INDIRECT("OrganizationAccessCasePolicy!D"&amp;$J12)&amp;"|"&amp;$S12,CaseTypeSetMember!$H:$H,0))))</f>
        <v>0</v>
      </c>
      <c r="L12" s="6" t="b" cm="1">
        <f t="array" aca="1" ref="L12" ca="1">IF($J12="",FALSE,AND(INDIRECT("OrganizationAccessCasePolicy!H"&amp;$J12),NOT(ISNA(MATCH(INDIRECT("OrganizationAccessCasePolicy!D"&amp;$J12)&amp;"|"&amp;$S12,CaseTypeSetMember!$H:$H,0)))))</f>
        <v>0</v>
      </c>
      <c r="M12" s="6" t="b" cm="1">
        <f t="array" aca="1" ref="M12" ca="1">IF($J12="",FALSE,AND(INDIRECT("OrganizationAccessCasePolicy!I"&amp;$J12),NOT(ISNA(MATCH(INDIRECT("OrganizationAccessCasePolicy!D"&amp;$J12)&amp;"|"&amp;$S12,CaseTypeSetMember!$H:$H,0)))))</f>
        <v>0</v>
      </c>
      <c r="N12" s="6" t="str">
        <f>IF(ISNA(MATCH($D12&amp;"|"&amp;$W12,UserAccessCasePolicy!$W:$W,0)),"",MATCH($D12&amp;"|"&amp;$W12,UserAccessCasePolicy!$W:$W,0))</f>
        <v/>
      </c>
      <c r="O12" s="6" t="b" cm="1">
        <f t="array" aca="1" ref="O12" ca="1">IF($N12="",FALSE,NOT(ISNA(MATCH(INDIRECT("UserAccessCasePolicy!D"&amp;$N12)&amp;"|"&amp;$S12,CaseTypeSetMember!$H:$H,0))))</f>
        <v>0</v>
      </c>
      <c r="P12" s="6" t="b" cm="1">
        <f t="array" aca="1" ref="P12" ca="1">IF($N12="",FALSE,AND(INDIRECT("UserAccessCasePolicy!G"&amp;$N12),NOT(ISNA(MATCH(INDIRECT("UserAccessCasePolicy!D"&amp;$N12)&amp;"|"&amp;$S12,CaseTypeSetMember!$H:$H,0)))))</f>
        <v>0</v>
      </c>
      <c r="Q12" s="6" t="b" cm="1">
        <f t="array" aca="1" ref="Q12" ca="1">IF($N12="",FALSE,AND(INDIRECT("UserAccessCasePolicy!H"&amp;$N12),NOT(ISNA(MATCH(INDIRECT("UserAccessCasePolicy!D"&amp;$N12)&amp;"|"&amp;$S12,CaseTypeSetMember!$H:$H,0)))))</f>
        <v>0</v>
      </c>
      <c r="R12" t="s">
        <v>637</v>
      </c>
      <c r="S12" t="s">
        <v>119</v>
      </c>
      <c r="T12" s="6" t="str">
        <f>INDEX(CaseType!$B:$B,MATCH($S12,CaseType!$A:$A,0))</f>
        <v>case_type1</v>
      </c>
      <c r="U12" s="6" t="b">
        <f>AND(IF($AA12="",TRUE,$S12=INDEX(CaseTypeCol!$B:$B,MATCH($AA12,CaseTypeCol!$A:$A,0))),IF($AH12="",TRUE,$S12=INDEX(CaseTypeCol!$B:$B,MATCH($AH12,CaseTypeCol!$A:$A,0))),IF($AO12="",TRUE,$S12=INDEX(CaseTypeCol!$B:$B,MATCH($AO12,CaseTypeCol!$A:$A,0))))</f>
        <v>1</v>
      </c>
      <c r="W12" t="s">
        <v>11</v>
      </c>
      <c r="X12" s="6" t="str">
        <f>INDEX(DataCollection!$B:$B,MATCH($W12,DataCollection!$A:$A,0))</f>
        <v>data_collection1</v>
      </c>
      <c r="Z12" s="14">
        <v>36526</v>
      </c>
      <c r="AA12" t="s">
        <v>142</v>
      </c>
      <c r="AB12" t="s">
        <v>663</v>
      </c>
      <c r="AC12" s="6" t="str">
        <f>IF($AA12="","",INDEX(CaseTypeCol!$G:$G,MATCH($AA12,CaseTypeCol!$A:$A,0)))</f>
        <v>case_type1_dim1_1_text</v>
      </c>
      <c r="AD12" s="6" t="b" cm="1">
        <f t="array" aca="1" ref="AD12" ca="1">IF($AA12="",TRUE,IF($J12="",FALSE,IF(INDIRECT("OrganizationAccessCasePolicy!J"&amp;$J12)="",FALSE,NOT(ISNA(MATCH(INDIRECT("OrganizationAccessCasePolicy!J"&amp;$J12)&amp;"|"&amp;$AA12,CaseTypeColSetMember!$H:$H,0))))))</f>
        <v>0</v>
      </c>
      <c r="AE12" s="6" t="b" cm="1">
        <f t="array" aca="1" ref="AE12" ca="1">IF($AA12="",TRUE,IF($J12="",FALSE,IF(INDIRECT("OrganizationAccessCasePolicy!L"&amp;$J12)="",FALSE,NOT(ISNA(MATCH(INDIRECT("OrganizationAccessCasePolicy!L"&amp;$J12)&amp;"|"&amp;$AA12,CaseTypeColSetMember!$H:$H,0))))))</f>
        <v>0</v>
      </c>
      <c r="AF12" s="6" t="b" cm="1">
        <f t="array" aca="1" ref="AF12" ca="1">IF($AA12="",TRUE,IF($N12="",FALSE,IF(INDIRECT("UserAccessCasePolicy!I"&amp;$N12)="",FALSE,NOT(ISNA(MATCH(INDIRECT("UserAccessCasePolicy!I"&amp;$N12)&amp;"|"&amp;$AA12,CaseTypeColSetMember!$H:$H,0))))))</f>
        <v>0</v>
      </c>
      <c r="AG12" s="6" t="b" cm="1">
        <f t="array" aca="1" ref="AG12" ca="1">IF($AA12="",TRUE,IF($N12="",FALSE,IF(INDIRECT("UserAccessCasePolicy!K"&amp;$N12)="",FALSE,NOT(ISNA(MATCH(INDIRECT("UserAccessCasePolicy!K"&amp;$N12)&amp;"|"&amp;$AA12,CaseTypeColSetMember!$H:$H,0))))))</f>
        <v>0</v>
      </c>
      <c r="AJ12" s="6" t="str">
        <f>IF($AH12="","",INDEX(CaseTypeCol!$G:$G,MATCH($AH12,CaseTypeCol!$A:$A,0)))</f>
        <v/>
      </c>
      <c r="AK12" s="6" t="b" cm="1">
        <f t="array" aca="1" ref="AK12" ca="1">IF($AH12="",TRUE,IF($J12="",FALSE,IF(INDIRECT("OrganizationAccessCasePolicy!J"&amp;$J12)="",FALSE,NOT(ISNA(MATCH(INDIRECT("OrganizationAccessCasePolicy!J"&amp;$J12)&amp;"|"&amp;$AH12,CaseTypeColSetMember!$H:$H,0))))))</f>
        <v>1</v>
      </c>
      <c r="AL12" s="6" t="b" cm="1">
        <f t="array" aca="1" ref="AL12" ca="1">IF($AH12="",TRUE,IF($J12="",FALSE,IF(INDIRECT("OrganizationAccessCasePolicy!L"&amp;$J12)="",FALSE,NOT(ISNA(MATCH(INDIRECT("OrganizationAccessCasePolicy!L"&amp;$J12)&amp;"|"&amp;$AH12,CaseTypeColSetMember!$H:$H,0))))))</f>
        <v>1</v>
      </c>
      <c r="AM12" s="6" t="b" cm="1">
        <f t="array" aca="1" ref="AM12" ca="1">IF($AH12="",TRUE,IF($N12="",FALSE,IF(INDIRECT("UserAccessCasePolicy!I"&amp;$N12)="",FALSE,NOT(ISNA(MATCH(INDIRECT("UserAccessCasePolicy!I"&amp;$N12)&amp;"|"&amp;$AH12,CaseTypeColSetMember!$H:$H,0))))))</f>
        <v>1</v>
      </c>
      <c r="AN12" s="6" t="b" cm="1">
        <f t="array" aca="1" ref="AN12" ca="1">IF($AH12="",TRUE,IF($N12="",FALSE,IF(INDIRECT("UserAccessCasePolicy!K"&amp;$N12)="",FALSE,NOT(ISNA(MATCH(INDIRECT("UserAccessCasePolicy!K"&amp;$N12)&amp;"|"&amp;$AH12,CaseTypeColSetMember!$H:$H,0))))))</f>
        <v>1</v>
      </c>
      <c r="AQ12" s="6" t="str">
        <f>IF($AO12="","",INDEX(CaseTypeCol!$G:$G,MATCH($AO12,CaseTypeCol!$A:$A,0)))</f>
        <v/>
      </c>
      <c r="AR12" s="6" t="b" cm="1">
        <f t="array" aca="1" ref="AR12" ca="1">IF($AO12="",TRUE,IF($J12="",FALSE,IF(INDIRECT("OrganizationAccessCasePolicy!J"&amp;$J12)="",FALSE,NOT(ISNA(MATCH(INDIRECT("OrganizationAccessCasePolicy!J"&amp;$J12)&amp;"|"&amp;$AO12,CaseTypeColSetMember!$H:$H,0))))))</f>
        <v>1</v>
      </c>
      <c r="AS12" s="6" t="b" cm="1">
        <f t="array" aca="1" ref="AS12" ca="1">IF($AO12="",TRUE,IF($J12="",FALSE,IF(INDIRECT("OrganizationAccessCasePolicy!L"&amp;$J12)="",FALSE,NOT(ISNA(MATCH(INDIRECT("OrganizationAccessCasePolicy!L"&amp;$J12)&amp;"|"&amp;$AO12,CaseTypeColSetMember!$H:$H,0))))))</f>
        <v>1</v>
      </c>
      <c r="AT12" s="6" t="b" cm="1">
        <f t="array" aca="1" ref="AT12" ca="1">IF($AO12="",TRUE,IF($N12="",FALSE,IF(INDIRECT("UserAccessCasePolicy!I"&amp;$N12)="",FALSE,NOT(ISNA(MATCH(INDIRECT("UserAccessCasePolicy!I"&amp;$N12)&amp;"|"&amp;$AO12,CaseTypeColSetMember!$H:$H,0))))))</f>
        <v>1</v>
      </c>
      <c r="AU12" s="6" t="b" cm="1">
        <f t="array" aca="1" ref="AU12" ca="1">IF($AO12="",TRUE,IF($N12="",FALSE,IF(INDIRECT("UserAccessCasePolicy!K"&amp;$N12)="",FALSE,NOT(ISNA(MATCH(INDIRECT("UserAccessCasePolicy!K"&amp;$N12)&amp;"|"&amp;$AO12,CaseTypeColSetMember!$H:$H,0))))))</f>
        <v>1</v>
      </c>
    </row>
    <row r="13" spans="1:47" x14ac:dyDescent="0.3">
      <c r="A13">
        <v>12</v>
      </c>
      <c r="B13" t="b">
        <v>1</v>
      </c>
      <c r="C13" t="s">
        <v>612</v>
      </c>
      <c r="D13" t="s">
        <v>56</v>
      </c>
      <c r="E13" s="6" t="str">
        <f>INDEX(User!$D:$D,MATCH($D13,User!$A:$A,0))</f>
        <v>org_admin5_1</v>
      </c>
      <c r="F13" t="s">
        <v>721</v>
      </c>
      <c r="G13" s="19" t="b">
        <f t="shared" ca="1" si="0"/>
        <v>0</v>
      </c>
      <c r="H13" s="6" t="str">
        <f>INDEX(User!$G:$G,MATCH($D13,User!$A:$A,0))</f>
        <v>0195d18c-1c93-02a2-6920-7e4dbfb73ce0</v>
      </c>
      <c r="I13" s="6" t="b">
        <f>INDEX(User!$M:$M,MATCH($D13,User!$A:$A,0))</f>
        <v>0</v>
      </c>
      <c r="J13" s="6" t="str">
        <f>IF(ISNA(MATCH($H13&amp;"|"&amp;$W13,OrganizationAccessCasePolicy!$V:$V,0)),"",MATCH($H13&amp;"|"&amp;$W13,OrganizationAccessCasePolicy!$V:$V,0))</f>
        <v/>
      </c>
      <c r="K13" s="6" t="b" cm="1">
        <f t="array" aca="1" ref="K13" ca="1">IF($J13="",FALSE,NOT(ISNA(MATCH(INDIRECT("OrganizationAccessCasePolicy!D"&amp;$J13)&amp;"|"&amp;$S13,CaseTypeSetMember!$H:$H,0))))</f>
        <v>0</v>
      </c>
      <c r="L13" s="6" t="b" cm="1">
        <f t="array" aca="1" ref="L13" ca="1">IF($J13="",FALSE,AND(INDIRECT("OrganizationAccessCasePolicy!H"&amp;$J13),NOT(ISNA(MATCH(INDIRECT("OrganizationAccessCasePolicy!D"&amp;$J13)&amp;"|"&amp;$S13,CaseTypeSetMember!$H:$H,0)))))</f>
        <v>0</v>
      </c>
      <c r="M13" s="6" t="b" cm="1">
        <f t="array" aca="1" ref="M13" ca="1">IF($J13="",FALSE,AND(INDIRECT("OrganizationAccessCasePolicy!I"&amp;$J13),NOT(ISNA(MATCH(INDIRECT("OrganizationAccessCasePolicy!D"&amp;$J13)&amp;"|"&amp;$S13,CaseTypeSetMember!$H:$H,0)))))</f>
        <v>0</v>
      </c>
      <c r="N13" s="6" t="str">
        <f>IF(ISNA(MATCH($D13&amp;"|"&amp;$W13,UserAccessCasePolicy!$W:$W,0)),"",MATCH($D13&amp;"|"&amp;$W13,UserAccessCasePolicy!$W:$W,0))</f>
        <v/>
      </c>
      <c r="O13" s="6" t="b" cm="1">
        <f t="array" aca="1" ref="O13" ca="1">IF($N13="",FALSE,NOT(ISNA(MATCH(INDIRECT("UserAccessCasePolicy!D"&amp;$N13)&amp;"|"&amp;$S13,CaseTypeSetMember!$H:$H,0))))</f>
        <v>0</v>
      </c>
      <c r="P13" s="6" t="b" cm="1">
        <f t="array" aca="1" ref="P13" ca="1">IF($N13="",FALSE,AND(INDIRECT("UserAccessCasePolicy!G"&amp;$N13),NOT(ISNA(MATCH(INDIRECT("UserAccessCasePolicy!D"&amp;$N13)&amp;"|"&amp;$S13,CaseTypeSetMember!$H:$H,0)))))</f>
        <v>0</v>
      </c>
      <c r="Q13" s="6" t="b" cm="1">
        <f t="array" aca="1" ref="Q13" ca="1">IF($N13="",FALSE,AND(INDIRECT("UserAccessCasePolicy!H"&amp;$N13),NOT(ISNA(MATCH(INDIRECT("UserAccessCasePolicy!D"&amp;$N13)&amp;"|"&amp;$S13,CaseTypeSetMember!$H:$H,0)))))</f>
        <v>0</v>
      </c>
      <c r="R13" t="s">
        <v>638</v>
      </c>
      <c r="S13" t="s">
        <v>119</v>
      </c>
      <c r="T13" s="6" t="str">
        <f>INDEX(CaseType!$B:$B,MATCH($S13,CaseType!$A:$A,0))</f>
        <v>case_type1</v>
      </c>
      <c r="U13" s="6" t="b">
        <f>AND(IF($AA13="",TRUE,$S13=INDEX(CaseTypeCol!$B:$B,MATCH($AA13,CaseTypeCol!$A:$A,0))),IF($AH13="",TRUE,$S13=INDEX(CaseTypeCol!$B:$B,MATCH($AH13,CaseTypeCol!$A:$A,0))),IF($AO13="",TRUE,$S13=INDEX(CaseTypeCol!$B:$B,MATCH($AO13,CaseTypeCol!$A:$A,0))))</f>
        <v>1</v>
      </c>
      <c r="W13" t="s">
        <v>11</v>
      </c>
      <c r="X13" s="6" t="str">
        <f>INDEX(DataCollection!$B:$B,MATCH($W13,DataCollection!$A:$A,0))</f>
        <v>data_collection1</v>
      </c>
      <c r="Z13" s="14">
        <v>36526</v>
      </c>
      <c r="AA13" t="s">
        <v>142</v>
      </c>
      <c r="AB13" t="s">
        <v>663</v>
      </c>
      <c r="AC13" s="6" t="str">
        <f>IF($AA13="","",INDEX(CaseTypeCol!$G:$G,MATCH($AA13,CaseTypeCol!$A:$A,0)))</f>
        <v>case_type1_dim1_1_text</v>
      </c>
      <c r="AD13" s="6" t="b" cm="1">
        <f t="array" aca="1" ref="AD13" ca="1">IF($AA13="",TRUE,IF($J13="",FALSE,IF(INDIRECT("OrganizationAccessCasePolicy!J"&amp;$J13)="",FALSE,NOT(ISNA(MATCH(INDIRECT("OrganizationAccessCasePolicy!J"&amp;$J13)&amp;"|"&amp;$AA13,CaseTypeColSetMember!$H:$H,0))))))</f>
        <v>0</v>
      </c>
      <c r="AE13" s="6" t="b" cm="1">
        <f t="array" aca="1" ref="AE13" ca="1">IF($AA13="",TRUE,IF($J13="",FALSE,IF(INDIRECT("OrganizationAccessCasePolicy!L"&amp;$J13)="",FALSE,NOT(ISNA(MATCH(INDIRECT("OrganizationAccessCasePolicy!L"&amp;$J13)&amp;"|"&amp;$AA13,CaseTypeColSetMember!$H:$H,0))))))</f>
        <v>0</v>
      </c>
      <c r="AF13" s="6" t="b" cm="1">
        <f t="array" aca="1" ref="AF13" ca="1">IF($AA13="",TRUE,IF($N13="",FALSE,IF(INDIRECT("UserAccessCasePolicy!I"&amp;$N13)="",FALSE,NOT(ISNA(MATCH(INDIRECT("UserAccessCasePolicy!I"&amp;$N13)&amp;"|"&amp;$AA13,CaseTypeColSetMember!$H:$H,0))))))</f>
        <v>0</v>
      </c>
      <c r="AG13" s="6" t="b" cm="1">
        <f t="array" aca="1" ref="AG13" ca="1">IF($AA13="",TRUE,IF($N13="",FALSE,IF(INDIRECT("UserAccessCasePolicy!K"&amp;$N13)="",FALSE,NOT(ISNA(MATCH(INDIRECT("UserAccessCasePolicy!K"&amp;$N13)&amp;"|"&amp;$AA13,CaseTypeColSetMember!$H:$H,0))))))</f>
        <v>0</v>
      </c>
      <c r="AJ13" s="6" t="str">
        <f>IF($AH13="","",INDEX(CaseTypeCol!$G:$G,MATCH($AH13,CaseTypeCol!$A:$A,0)))</f>
        <v/>
      </c>
      <c r="AK13" s="6" t="b" cm="1">
        <f t="array" aca="1" ref="AK13" ca="1">IF($AH13="",TRUE,IF($J13="",FALSE,IF(INDIRECT("OrganizationAccessCasePolicy!J"&amp;$J13)="",FALSE,NOT(ISNA(MATCH(INDIRECT("OrganizationAccessCasePolicy!J"&amp;$J13)&amp;"|"&amp;$AH13,CaseTypeColSetMember!$H:$H,0))))))</f>
        <v>1</v>
      </c>
      <c r="AL13" s="6" t="b" cm="1">
        <f t="array" aca="1" ref="AL13" ca="1">IF($AH13="",TRUE,IF($J13="",FALSE,IF(INDIRECT("OrganizationAccessCasePolicy!L"&amp;$J13)="",FALSE,NOT(ISNA(MATCH(INDIRECT("OrganizationAccessCasePolicy!L"&amp;$J13)&amp;"|"&amp;$AH13,CaseTypeColSetMember!$H:$H,0))))))</f>
        <v>1</v>
      </c>
      <c r="AM13" s="6" t="b" cm="1">
        <f t="array" aca="1" ref="AM13" ca="1">IF($AH13="",TRUE,IF($N13="",FALSE,IF(INDIRECT("UserAccessCasePolicy!I"&amp;$N13)="",FALSE,NOT(ISNA(MATCH(INDIRECT("UserAccessCasePolicy!I"&amp;$N13)&amp;"|"&amp;$AH13,CaseTypeColSetMember!$H:$H,0))))))</f>
        <v>1</v>
      </c>
      <c r="AN13" s="6" t="b" cm="1">
        <f t="array" aca="1" ref="AN13" ca="1">IF($AH13="",TRUE,IF($N13="",FALSE,IF(INDIRECT("UserAccessCasePolicy!K"&amp;$N13)="",FALSE,NOT(ISNA(MATCH(INDIRECT("UserAccessCasePolicy!K"&amp;$N13)&amp;"|"&amp;$AH13,CaseTypeColSetMember!$H:$H,0))))))</f>
        <v>1</v>
      </c>
      <c r="AQ13" s="6" t="str">
        <f>IF($AO13="","",INDEX(CaseTypeCol!$G:$G,MATCH($AO13,CaseTypeCol!$A:$A,0)))</f>
        <v/>
      </c>
      <c r="AR13" s="6" t="b" cm="1">
        <f t="array" aca="1" ref="AR13" ca="1">IF($AO13="",TRUE,IF($J13="",FALSE,IF(INDIRECT("OrganizationAccessCasePolicy!J"&amp;$J13)="",FALSE,NOT(ISNA(MATCH(INDIRECT("OrganizationAccessCasePolicy!J"&amp;$J13)&amp;"|"&amp;$AO13,CaseTypeColSetMember!$H:$H,0))))))</f>
        <v>1</v>
      </c>
      <c r="AS13" s="6" t="b" cm="1">
        <f t="array" aca="1" ref="AS13" ca="1">IF($AO13="",TRUE,IF($J13="",FALSE,IF(INDIRECT("OrganizationAccessCasePolicy!L"&amp;$J13)="",FALSE,NOT(ISNA(MATCH(INDIRECT("OrganizationAccessCasePolicy!L"&amp;$J13)&amp;"|"&amp;$AO13,CaseTypeColSetMember!$H:$H,0))))))</f>
        <v>1</v>
      </c>
      <c r="AT13" s="6" t="b" cm="1">
        <f t="array" aca="1" ref="AT13" ca="1">IF($AO13="",TRUE,IF($N13="",FALSE,IF(INDIRECT("UserAccessCasePolicy!I"&amp;$N13)="",FALSE,NOT(ISNA(MATCH(INDIRECT("UserAccessCasePolicy!I"&amp;$N13)&amp;"|"&amp;$AO13,CaseTypeColSetMember!$H:$H,0))))))</f>
        <v>1</v>
      </c>
      <c r="AU13" s="6" t="b" cm="1">
        <f t="array" aca="1" ref="AU13" ca="1">IF($AO13="",TRUE,IF($N13="",FALSE,IF(INDIRECT("UserAccessCasePolicy!K"&amp;$N13)="",FALSE,NOT(ISNA(MATCH(INDIRECT("UserAccessCasePolicy!K"&amp;$N13)&amp;"|"&amp;$AO13,CaseTypeColSetMember!$H:$H,0))))))</f>
        <v>1</v>
      </c>
    </row>
    <row r="14" spans="1:47" x14ac:dyDescent="0.3">
      <c r="A14">
        <v>13</v>
      </c>
      <c r="B14" t="b">
        <v>1</v>
      </c>
      <c r="C14" t="s">
        <v>613</v>
      </c>
      <c r="D14" t="s">
        <v>10</v>
      </c>
      <c r="E14" s="6" t="str">
        <f>INDEX(User!$D:$D,MATCH($D14,User!$A:$A,0))</f>
        <v>org_user1_1</v>
      </c>
      <c r="F14" t="s">
        <v>721</v>
      </c>
      <c r="G14" s="19" t="b">
        <f t="shared" ca="1" si="0"/>
        <v>1</v>
      </c>
      <c r="H14" s="6" t="str">
        <f>INDEX(User!$G:$G,MATCH($D14,User!$A:$A,0))</f>
        <v>018d074d-ea0c-e942-07db-a3cc0ba1d653</v>
      </c>
      <c r="I14" s="6" t="b">
        <f>INDEX(User!$M:$M,MATCH($D14,User!$A:$A,0))</f>
        <v>0</v>
      </c>
      <c r="J14" s="6">
        <f>IF(ISNA(MATCH($H14&amp;"|"&amp;$W14,OrganizationAccessCasePolicy!$V:$V,0)),"",MATCH($H14&amp;"|"&amp;$W14,OrganizationAccessCasePolicy!$V:$V,0))</f>
        <v>2</v>
      </c>
      <c r="K14" s="6" t="b" cm="1">
        <f t="array" aca="1" ref="K14" ca="1">IF($J14="",FALSE,NOT(ISNA(MATCH(INDIRECT("OrganizationAccessCasePolicy!D"&amp;$J14)&amp;"|"&amp;$S14,CaseTypeSetMember!$H:$H,0))))</f>
        <v>1</v>
      </c>
      <c r="L14" s="6" t="b" cm="1">
        <f t="array" aca="1" ref="L14" ca="1">IF($J14="",FALSE,AND(INDIRECT("OrganizationAccessCasePolicy!H"&amp;$J14),NOT(ISNA(MATCH(INDIRECT("OrganizationAccessCasePolicy!D"&amp;$J14)&amp;"|"&amp;$S14,CaseTypeSetMember!$H:$H,0)))))</f>
        <v>1</v>
      </c>
      <c r="M14" s="6" t="b" cm="1">
        <f t="array" aca="1" ref="M14" ca="1">IF($J14="",FALSE,AND(INDIRECT("OrganizationAccessCasePolicy!I"&amp;$J14),NOT(ISNA(MATCH(INDIRECT("OrganizationAccessCasePolicy!D"&amp;$J14)&amp;"|"&amp;$S14,CaseTypeSetMember!$H:$H,0)))))</f>
        <v>1</v>
      </c>
      <c r="N14" s="6">
        <f>IF(ISNA(MATCH($D14&amp;"|"&amp;$W14,UserAccessCasePolicy!$W:$W,0)),"",MATCH($D14&amp;"|"&amp;$W14,UserAccessCasePolicy!$W:$W,0))</f>
        <v>2</v>
      </c>
      <c r="O14" s="6" t="b" cm="1">
        <f t="array" aca="1" ref="O14" ca="1">IF($N14="",FALSE,NOT(ISNA(MATCH(INDIRECT("UserAccessCasePolicy!D"&amp;$N14)&amp;"|"&amp;$S14,CaseTypeSetMember!$H:$H,0))))</f>
        <v>1</v>
      </c>
      <c r="P14" s="6" t="b" cm="1">
        <f t="array" aca="1" ref="P14" ca="1">IF($N14="",FALSE,AND(INDIRECT("UserAccessCasePolicy!G"&amp;$N14),NOT(ISNA(MATCH(INDIRECT("UserAccessCasePolicy!D"&amp;$N14)&amp;"|"&amp;$S14,CaseTypeSetMember!$H:$H,0)))))</f>
        <v>1</v>
      </c>
      <c r="Q14" s="6" t="b" cm="1">
        <f t="array" aca="1" ref="Q14" ca="1">IF($N14="",FALSE,AND(INDIRECT("UserAccessCasePolicy!H"&amp;$N14),NOT(ISNA(MATCH(INDIRECT("UserAccessCasePolicy!D"&amp;$N14)&amp;"|"&amp;$S14,CaseTypeSetMember!$H:$H,0)))))</f>
        <v>1</v>
      </c>
      <c r="R14" t="s">
        <v>639</v>
      </c>
      <c r="S14" t="s">
        <v>119</v>
      </c>
      <c r="T14" s="6" t="str">
        <f>INDEX(CaseType!$B:$B,MATCH($S14,CaseType!$A:$A,0))</f>
        <v>case_type1</v>
      </c>
      <c r="U14" s="6" t="b">
        <f>AND(IF($AA14="",TRUE,$S14=INDEX(CaseTypeCol!$B:$B,MATCH($AA14,CaseTypeCol!$A:$A,0))),IF($AH14="",TRUE,$S14=INDEX(CaseTypeCol!$B:$B,MATCH($AH14,CaseTypeCol!$A:$A,0))),IF($AO14="",TRUE,$S14=INDEX(CaseTypeCol!$B:$B,MATCH($AO14,CaseTypeCol!$A:$A,0))))</f>
        <v>1</v>
      </c>
      <c r="W14" t="s">
        <v>11</v>
      </c>
      <c r="X14" s="6" t="str">
        <f>INDEX(DataCollection!$B:$B,MATCH($W14,DataCollection!$A:$A,0))</f>
        <v>data_collection1</v>
      </c>
      <c r="Z14" s="14">
        <v>36526</v>
      </c>
      <c r="AA14" t="s">
        <v>142</v>
      </c>
      <c r="AB14" t="s">
        <v>663</v>
      </c>
      <c r="AC14" s="6" t="str">
        <f>IF($AA14="","",INDEX(CaseTypeCol!$G:$G,MATCH($AA14,CaseTypeCol!$A:$A,0)))</f>
        <v>case_type1_dim1_1_text</v>
      </c>
      <c r="AD14" s="6" t="b" cm="1">
        <f t="array" aca="1" ref="AD14" ca="1">IF($AA14="",TRUE,IF($J14="",FALSE,IF(INDIRECT("OrganizationAccessCasePolicy!J"&amp;$J14)="",FALSE,NOT(ISNA(MATCH(INDIRECT("OrganizationAccessCasePolicy!J"&amp;$J14)&amp;"|"&amp;$AA14,CaseTypeColSetMember!$H:$H,0))))))</f>
        <v>1</v>
      </c>
      <c r="AE14" s="6" t="b" cm="1">
        <f t="array" aca="1" ref="AE14" ca="1">IF($AA14="",TRUE,IF($J14="",FALSE,IF(INDIRECT("OrganizationAccessCasePolicy!L"&amp;$J14)="",FALSE,NOT(ISNA(MATCH(INDIRECT("OrganizationAccessCasePolicy!L"&amp;$J14)&amp;"|"&amp;$AA14,CaseTypeColSetMember!$H:$H,0))))))</f>
        <v>1</v>
      </c>
      <c r="AF14" s="6" t="b" cm="1">
        <f t="array" aca="1" ref="AF14" ca="1">IF($AA14="",TRUE,IF($N14="",FALSE,IF(INDIRECT("UserAccessCasePolicy!I"&amp;$N14)="",FALSE,NOT(ISNA(MATCH(INDIRECT("UserAccessCasePolicy!I"&amp;$N14)&amp;"|"&amp;$AA14,CaseTypeColSetMember!$H:$H,0))))))</f>
        <v>1</v>
      </c>
      <c r="AG14" s="6" t="b" cm="1">
        <f t="array" aca="1" ref="AG14" ca="1">IF($AA14="",TRUE,IF($N14="",FALSE,IF(INDIRECT("UserAccessCasePolicy!K"&amp;$N14)="",FALSE,NOT(ISNA(MATCH(INDIRECT("UserAccessCasePolicy!K"&amp;$N14)&amp;"|"&amp;$AA14,CaseTypeColSetMember!$H:$H,0))))))</f>
        <v>1</v>
      </c>
      <c r="AJ14" s="6" t="str">
        <f>IF($AH14="","",INDEX(CaseTypeCol!$G:$G,MATCH($AH14,CaseTypeCol!$A:$A,0)))</f>
        <v/>
      </c>
      <c r="AK14" s="6" t="b" cm="1">
        <f t="array" aca="1" ref="AK14" ca="1">IF($AH14="",TRUE,IF($J14="",FALSE,IF(INDIRECT("OrganizationAccessCasePolicy!J"&amp;$J14)="",FALSE,NOT(ISNA(MATCH(INDIRECT("OrganizationAccessCasePolicy!J"&amp;$J14)&amp;"|"&amp;$AH14,CaseTypeColSetMember!$H:$H,0))))))</f>
        <v>1</v>
      </c>
      <c r="AL14" s="6" t="b" cm="1">
        <f t="array" aca="1" ref="AL14" ca="1">IF($AH14="",TRUE,IF($J14="",FALSE,IF(INDIRECT("OrganizationAccessCasePolicy!L"&amp;$J14)="",FALSE,NOT(ISNA(MATCH(INDIRECT("OrganizationAccessCasePolicy!L"&amp;$J14)&amp;"|"&amp;$AH14,CaseTypeColSetMember!$H:$H,0))))))</f>
        <v>1</v>
      </c>
      <c r="AM14" s="6" t="b" cm="1">
        <f t="array" aca="1" ref="AM14" ca="1">IF($AH14="",TRUE,IF($N14="",FALSE,IF(INDIRECT("UserAccessCasePolicy!I"&amp;$N14)="",FALSE,NOT(ISNA(MATCH(INDIRECT("UserAccessCasePolicy!I"&amp;$N14)&amp;"|"&amp;$AH14,CaseTypeColSetMember!$H:$H,0))))))</f>
        <v>1</v>
      </c>
      <c r="AN14" s="6" t="b" cm="1">
        <f t="array" aca="1" ref="AN14" ca="1">IF($AH14="",TRUE,IF($N14="",FALSE,IF(INDIRECT("UserAccessCasePolicy!K"&amp;$N14)="",FALSE,NOT(ISNA(MATCH(INDIRECT("UserAccessCasePolicy!K"&amp;$N14)&amp;"|"&amp;$AH14,CaseTypeColSetMember!$H:$H,0))))))</f>
        <v>1</v>
      </c>
      <c r="AQ14" s="6" t="str">
        <f>IF($AO14="","",INDEX(CaseTypeCol!$G:$G,MATCH($AO14,CaseTypeCol!$A:$A,0)))</f>
        <v/>
      </c>
      <c r="AR14" s="6" t="b" cm="1">
        <f t="array" aca="1" ref="AR14" ca="1">IF($AO14="",TRUE,IF($J14="",FALSE,IF(INDIRECT("OrganizationAccessCasePolicy!J"&amp;$J14)="",FALSE,NOT(ISNA(MATCH(INDIRECT("OrganizationAccessCasePolicy!J"&amp;$J14)&amp;"|"&amp;$AO14,CaseTypeColSetMember!$H:$H,0))))))</f>
        <v>1</v>
      </c>
      <c r="AS14" s="6" t="b" cm="1">
        <f t="array" aca="1" ref="AS14" ca="1">IF($AO14="",TRUE,IF($J14="",FALSE,IF(INDIRECT("OrganizationAccessCasePolicy!L"&amp;$J14)="",FALSE,NOT(ISNA(MATCH(INDIRECT("OrganizationAccessCasePolicy!L"&amp;$J14)&amp;"|"&amp;$AO14,CaseTypeColSetMember!$H:$H,0))))))</f>
        <v>1</v>
      </c>
      <c r="AT14" s="6" t="b" cm="1">
        <f t="array" aca="1" ref="AT14" ca="1">IF($AO14="",TRUE,IF($N14="",FALSE,IF(INDIRECT("UserAccessCasePolicy!I"&amp;$N14)="",FALSE,NOT(ISNA(MATCH(INDIRECT("UserAccessCasePolicy!I"&amp;$N14)&amp;"|"&amp;$AO14,CaseTypeColSetMember!$H:$H,0))))))</f>
        <v>1</v>
      </c>
      <c r="AU14" s="6" t="b" cm="1">
        <f t="array" aca="1" ref="AU14" ca="1">IF($AO14="",TRUE,IF($N14="",FALSE,IF(INDIRECT("UserAccessCasePolicy!K"&amp;$N14)="",FALSE,NOT(ISNA(MATCH(INDIRECT("UserAccessCasePolicy!K"&amp;$N14)&amp;"|"&amp;$AO14,CaseTypeColSetMember!$H:$H,0))))))</f>
        <v>1</v>
      </c>
    </row>
    <row r="15" spans="1:47" x14ac:dyDescent="0.3">
      <c r="A15">
        <v>14</v>
      </c>
      <c r="B15" t="b">
        <v>1</v>
      </c>
      <c r="C15" t="s">
        <v>614</v>
      </c>
      <c r="D15" t="s">
        <v>12</v>
      </c>
      <c r="E15" s="6" t="str">
        <f>INDEX(User!$D:$D,MATCH($D15,User!$A:$A,0))</f>
        <v>org_user1_2</v>
      </c>
      <c r="F15" t="s">
        <v>721</v>
      </c>
      <c r="G15" s="19" t="b">
        <f t="shared" ca="1" si="0"/>
        <v>0</v>
      </c>
      <c r="H15" s="6" t="str">
        <f>INDEX(User!$G:$G,MATCH($D15,User!$A:$A,0))</f>
        <v>018d074d-ea0c-e942-07db-a3cc0ba1d653</v>
      </c>
      <c r="I15" s="6" t="b">
        <f>INDEX(User!$M:$M,MATCH($D15,User!$A:$A,0))</f>
        <v>0</v>
      </c>
      <c r="J15" s="6">
        <f>IF(ISNA(MATCH($H15&amp;"|"&amp;$W15,OrganizationAccessCasePolicy!$V:$V,0)),"",MATCH($H15&amp;"|"&amp;$W15,OrganizationAccessCasePolicy!$V:$V,0))</f>
        <v>2</v>
      </c>
      <c r="K15" s="6" t="b" cm="1">
        <f t="array" aca="1" ref="K15" ca="1">IF($J15="",FALSE,NOT(ISNA(MATCH(INDIRECT("OrganizationAccessCasePolicy!D"&amp;$J15)&amp;"|"&amp;$S15,CaseTypeSetMember!$H:$H,0))))</f>
        <v>1</v>
      </c>
      <c r="L15" s="6" t="b" cm="1">
        <f t="array" aca="1" ref="L15" ca="1">IF($J15="",FALSE,AND(INDIRECT("OrganizationAccessCasePolicy!H"&amp;$J15),NOT(ISNA(MATCH(INDIRECT("OrganizationAccessCasePolicy!D"&amp;$J15)&amp;"|"&amp;$S15,CaseTypeSetMember!$H:$H,0)))))</f>
        <v>1</v>
      </c>
      <c r="M15" s="6" t="b" cm="1">
        <f t="array" aca="1" ref="M15" ca="1">IF($J15="",FALSE,AND(INDIRECT("OrganizationAccessCasePolicy!I"&amp;$J15),NOT(ISNA(MATCH(INDIRECT("OrganizationAccessCasePolicy!D"&amp;$J15)&amp;"|"&amp;$S15,CaseTypeSetMember!$H:$H,0)))))</f>
        <v>1</v>
      </c>
      <c r="N15" s="6" t="str">
        <f>IF(ISNA(MATCH($D15&amp;"|"&amp;$W15,UserAccessCasePolicy!$W:$W,0)),"",MATCH($D15&amp;"|"&amp;$W15,UserAccessCasePolicy!$W:$W,0))</f>
        <v/>
      </c>
      <c r="O15" s="6" t="b" cm="1">
        <f t="array" aca="1" ref="O15" ca="1">IF($N15="",FALSE,NOT(ISNA(MATCH(INDIRECT("UserAccessCasePolicy!D"&amp;$N15)&amp;"|"&amp;$S15,CaseTypeSetMember!$H:$H,0))))</f>
        <v>0</v>
      </c>
      <c r="P15" s="6" t="b" cm="1">
        <f t="array" aca="1" ref="P15" ca="1">IF($N15="",FALSE,AND(INDIRECT("UserAccessCasePolicy!G"&amp;$N15),NOT(ISNA(MATCH(INDIRECT("UserAccessCasePolicy!D"&amp;$N15)&amp;"|"&amp;$S15,CaseTypeSetMember!$H:$H,0)))))</f>
        <v>0</v>
      </c>
      <c r="Q15" s="6" t="b" cm="1">
        <f t="array" aca="1" ref="Q15" ca="1">IF($N15="",FALSE,AND(INDIRECT("UserAccessCasePolicy!H"&amp;$N15),NOT(ISNA(MATCH(INDIRECT("UserAccessCasePolicy!D"&amp;$N15)&amp;"|"&amp;$S15,CaseTypeSetMember!$H:$H,0)))))</f>
        <v>0</v>
      </c>
      <c r="R15" t="s">
        <v>640</v>
      </c>
      <c r="S15" t="s">
        <v>119</v>
      </c>
      <c r="T15" s="6" t="str">
        <f>INDEX(CaseType!$B:$B,MATCH($S15,CaseType!$A:$A,0))</f>
        <v>case_type1</v>
      </c>
      <c r="U15" s="6" t="b">
        <f>AND(IF($AA15="",TRUE,$S15=INDEX(CaseTypeCol!$B:$B,MATCH($AA15,CaseTypeCol!$A:$A,0))),IF($AH15="",TRUE,$S15=INDEX(CaseTypeCol!$B:$B,MATCH($AH15,CaseTypeCol!$A:$A,0))),IF($AO15="",TRUE,$S15=INDEX(CaseTypeCol!$B:$B,MATCH($AO15,CaseTypeCol!$A:$A,0))))</f>
        <v>1</v>
      </c>
      <c r="W15" t="s">
        <v>11</v>
      </c>
      <c r="X15" s="6" t="str">
        <f>INDEX(DataCollection!$B:$B,MATCH($W15,DataCollection!$A:$A,0))</f>
        <v>data_collection1</v>
      </c>
      <c r="Z15" s="14">
        <v>36526</v>
      </c>
      <c r="AA15" t="s">
        <v>142</v>
      </c>
      <c r="AB15" t="s">
        <v>663</v>
      </c>
      <c r="AC15" s="6" t="str">
        <f>IF($AA15="","",INDEX(CaseTypeCol!$G:$G,MATCH($AA15,CaseTypeCol!$A:$A,0)))</f>
        <v>case_type1_dim1_1_text</v>
      </c>
      <c r="AD15" s="6" t="b" cm="1">
        <f t="array" aca="1" ref="AD15" ca="1">IF($AA15="",TRUE,IF($J15="",FALSE,IF(INDIRECT("OrganizationAccessCasePolicy!J"&amp;$J15)="",FALSE,NOT(ISNA(MATCH(INDIRECT("OrganizationAccessCasePolicy!J"&amp;$J15)&amp;"|"&amp;$AA15,CaseTypeColSetMember!$H:$H,0))))))</f>
        <v>1</v>
      </c>
      <c r="AE15" s="6" t="b" cm="1">
        <f t="array" aca="1" ref="AE15" ca="1">IF($AA15="",TRUE,IF($J15="",FALSE,IF(INDIRECT("OrganizationAccessCasePolicy!L"&amp;$J15)="",FALSE,NOT(ISNA(MATCH(INDIRECT("OrganizationAccessCasePolicy!L"&amp;$J15)&amp;"|"&amp;$AA15,CaseTypeColSetMember!$H:$H,0))))))</f>
        <v>1</v>
      </c>
      <c r="AF15" s="6" t="b" cm="1">
        <f t="array" aca="1" ref="AF15" ca="1">IF($AA15="",TRUE,IF($N15="",FALSE,IF(INDIRECT("UserAccessCasePolicy!I"&amp;$N15)="",FALSE,NOT(ISNA(MATCH(INDIRECT("UserAccessCasePolicy!I"&amp;$N15)&amp;"|"&amp;$AA15,CaseTypeColSetMember!$H:$H,0))))))</f>
        <v>0</v>
      </c>
      <c r="AG15" s="6" t="b" cm="1">
        <f t="array" aca="1" ref="AG15" ca="1">IF($AA15="",TRUE,IF($N15="",FALSE,IF(INDIRECT("UserAccessCasePolicy!K"&amp;$N15)="",FALSE,NOT(ISNA(MATCH(INDIRECT("UserAccessCasePolicy!K"&amp;$N15)&amp;"|"&amp;$AA15,CaseTypeColSetMember!$H:$H,0))))))</f>
        <v>0</v>
      </c>
      <c r="AJ15" s="6" t="str">
        <f>IF($AH15="","",INDEX(CaseTypeCol!$G:$G,MATCH($AH15,CaseTypeCol!$A:$A,0)))</f>
        <v/>
      </c>
      <c r="AK15" s="6" t="b" cm="1">
        <f t="array" aca="1" ref="AK15" ca="1">IF($AH15="",TRUE,IF($J15="",FALSE,IF(INDIRECT("OrganizationAccessCasePolicy!J"&amp;$J15)="",FALSE,NOT(ISNA(MATCH(INDIRECT("OrganizationAccessCasePolicy!J"&amp;$J15)&amp;"|"&amp;$AH15,CaseTypeColSetMember!$H:$H,0))))))</f>
        <v>1</v>
      </c>
      <c r="AL15" s="6" t="b" cm="1">
        <f t="array" aca="1" ref="AL15" ca="1">IF($AH15="",TRUE,IF($J15="",FALSE,IF(INDIRECT("OrganizationAccessCasePolicy!L"&amp;$J15)="",FALSE,NOT(ISNA(MATCH(INDIRECT("OrganizationAccessCasePolicy!L"&amp;$J15)&amp;"|"&amp;$AH15,CaseTypeColSetMember!$H:$H,0))))))</f>
        <v>1</v>
      </c>
      <c r="AM15" s="6" t="b" cm="1">
        <f t="array" aca="1" ref="AM15" ca="1">IF($AH15="",TRUE,IF($N15="",FALSE,IF(INDIRECT("UserAccessCasePolicy!I"&amp;$N15)="",FALSE,NOT(ISNA(MATCH(INDIRECT("UserAccessCasePolicy!I"&amp;$N15)&amp;"|"&amp;$AH15,CaseTypeColSetMember!$H:$H,0))))))</f>
        <v>1</v>
      </c>
      <c r="AN15" s="6" t="b" cm="1">
        <f t="array" aca="1" ref="AN15" ca="1">IF($AH15="",TRUE,IF($N15="",FALSE,IF(INDIRECT("UserAccessCasePolicy!K"&amp;$N15)="",FALSE,NOT(ISNA(MATCH(INDIRECT("UserAccessCasePolicy!K"&amp;$N15)&amp;"|"&amp;$AH15,CaseTypeColSetMember!$H:$H,0))))))</f>
        <v>1</v>
      </c>
      <c r="AQ15" s="6" t="str">
        <f>IF($AO15="","",INDEX(CaseTypeCol!$G:$G,MATCH($AO15,CaseTypeCol!$A:$A,0)))</f>
        <v/>
      </c>
      <c r="AR15" s="6" t="b" cm="1">
        <f t="array" aca="1" ref="AR15" ca="1">IF($AO15="",TRUE,IF($J15="",FALSE,IF(INDIRECT("OrganizationAccessCasePolicy!J"&amp;$J15)="",FALSE,NOT(ISNA(MATCH(INDIRECT("OrganizationAccessCasePolicy!J"&amp;$J15)&amp;"|"&amp;$AO15,CaseTypeColSetMember!$H:$H,0))))))</f>
        <v>1</v>
      </c>
      <c r="AS15" s="6" t="b" cm="1">
        <f t="array" aca="1" ref="AS15" ca="1">IF($AO15="",TRUE,IF($J15="",FALSE,IF(INDIRECT("OrganizationAccessCasePolicy!L"&amp;$J15)="",FALSE,NOT(ISNA(MATCH(INDIRECT("OrganizationAccessCasePolicy!L"&amp;$J15)&amp;"|"&amp;$AO15,CaseTypeColSetMember!$H:$H,0))))))</f>
        <v>1</v>
      </c>
      <c r="AT15" s="6" t="b" cm="1">
        <f t="array" aca="1" ref="AT15" ca="1">IF($AO15="",TRUE,IF($N15="",FALSE,IF(INDIRECT("UserAccessCasePolicy!I"&amp;$N15)="",FALSE,NOT(ISNA(MATCH(INDIRECT("UserAccessCasePolicy!I"&amp;$N15)&amp;"|"&amp;$AO15,CaseTypeColSetMember!$H:$H,0))))))</f>
        <v>1</v>
      </c>
      <c r="AU15" s="6" t="b" cm="1">
        <f t="array" aca="1" ref="AU15" ca="1">IF($AO15="",TRUE,IF($N15="",FALSE,IF(INDIRECT("UserAccessCasePolicy!K"&amp;$N15)="",FALSE,NOT(ISNA(MATCH(INDIRECT("UserAccessCasePolicy!K"&amp;$N15)&amp;"|"&amp;$AO15,CaseTypeColSetMember!$H:$H,0))))))</f>
        <v>1</v>
      </c>
    </row>
    <row r="16" spans="1:47" x14ac:dyDescent="0.3">
      <c r="A16">
        <v>15</v>
      </c>
      <c r="B16" t="b">
        <v>1</v>
      </c>
      <c r="C16" t="s">
        <v>615</v>
      </c>
      <c r="D16" t="s">
        <v>13</v>
      </c>
      <c r="E16" s="6" t="str">
        <f>INDEX(User!$D:$D,MATCH($D16,User!$A:$A,0))</f>
        <v>org_user1_3</v>
      </c>
      <c r="F16" t="s">
        <v>721</v>
      </c>
      <c r="G16" s="19" t="b">
        <f t="shared" ca="1" si="0"/>
        <v>0</v>
      </c>
      <c r="H16" s="6" t="str">
        <f>INDEX(User!$G:$G,MATCH($D16,User!$A:$A,0))</f>
        <v>018d074d-ea0c-e942-07db-a3cc0ba1d653</v>
      </c>
      <c r="I16" s="6" t="b">
        <f>INDEX(User!$M:$M,MATCH($D16,User!$A:$A,0))</f>
        <v>0</v>
      </c>
      <c r="J16" s="6">
        <f>IF(ISNA(MATCH($H16&amp;"|"&amp;$W16,OrganizationAccessCasePolicy!$V:$V,0)),"",MATCH($H16&amp;"|"&amp;$W16,OrganizationAccessCasePolicy!$V:$V,0))</f>
        <v>2</v>
      </c>
      <c r="K16" s="6" t="b" cm="1">
        <f t="array" aca="1" ref="K16" ca="1">IF($J16="",FALSE,NOT(ISNA(MATCH(INDIRECT("OrganizationAccessCasePolicy!D"&amp;$J16)&amp;"|"&amp;$S16,CaseTypeSetMember!$H:$H,0))))</f>
        <v>1</v>
      </c>
      <c r="L16" s="6" t="b" cm="1">
        <f t="array" aca="1" ref="L16" ca="1">IF($J16="",FALSE,AND(INDIRECT("OrganizationAccessCasePolicy!H"&amp;$J16),NOT(ISNA(MATCH(INDIRECT("OrganizationAccessCasePolicy!D"&amp;$J16)&amp;"|"&amp;$S16,CaseTypeSetMember!$H:$H,0)))))</f>
        <v>1</v>
      </c>
      <c r="M16" s="6" t="b" cm="1">
        <f t="array" aca="1" ref="M16" ca="1">IF($J16="",FALSE,AND(INDIRECT("OrganizationAccessCasePolicy!I"&amp;$J16),NOT(ISNA(MATCH(INDIRECT("OrganizationAccessCasePolicy!D"&amp;$J16)&amp;"|"&amp;$S16,CaseTypeSetMember!$H:$H,0)))))</f>
        <v>1</v>
      </c>
      <c r="N16" s="6" t="str">
        <f>IF(ISNA(MATCH($D16&amp;"|"&amp;$W16,UserAccessCasePolicy!$W:$W,0)),"",MATCH($D16&amp;"|"&amp;$W16,UserAccessCasePolicy!$W:$W,0))</f>
        <v/>
      </c>
      <c r="O16" s="6" t="b" cm="1">
        <f t="array" aca="1" ref="O16" ca="1">IF($N16="",FALSE,NOT(ISNA(MATCH(INDIRECT("UserAccessCasePolicy!D"&amp;$N16)&amp;"|"&amp;$S16,CaseTypeSetMember!$H:$H,0))))</f>
        <v>0</v>
      </c>
      <c r="P16" s="6" t="b" cm="1">
        <f t="array" aca="1" ref="P16" ca="1">IF($N16="",FALSE,AND(INDIRECT("UserAccessCasePolicy!G"&amp;$N16),NOT(ISNA(MATCH(INDIRECT("UserAccessCasePolicy!D"&amp;$N16)&amp;"|"&amp;$S16,CaseTypeSetMember!$H:$H,0)))))</f>
        <v>0</v>
      </c>
      <c r="Q16" s="6" t="b" cm="1">
        <f t="array" aca="1" ref="Q16" ca="1">IF($N16="",FALSE,AND(INDIRECT("UserAccessCasePolicy!H"&amp;$N16),NOT(ISNA(MATCH(INDIRECT("UserAccessCasePolicy!D"&amp;$N16)&amp;"|"&amp;$S16,CaseTypeSetMember!$H:$H,0)))))</f>
        <v>0</v>
      </c>
      <c r="R16" t="s">
        <v>641</v>
      </c>
      <c r="S16" t="s">
        <v>119</v>
      </c>
      <c r="T16" s="6" t="str">
        <f>INDEX(CaseType!$B:$B,MATCH($S16,CaseType!$A:$A,0))</f>
        <v>case_type1</v>
      </c>
      <c r="U16" s="6" t="b">
        <f>AND(IF($AA16="",TRUE,$S16=INDEX(CaseTypeCol!$B:$B,MATCH($AA16,CaseTypeCol!$A:$A,0))),IF($AH16="",TRUE,$S16=INDEX(CaseTypeCol!$B:$B,MATCH($AH16,CaseTypeCol!$A:$A,0))),IF($AO16="",TRUE,$S16=INDEX(CaseTypeCol!$B:$B,MATCH($AO16,CaseTypeCol!$A:$A,0))))</f>
        <v>1</v>
      </c>
      <c r="W16" t="s">
        <v>11</v>
      </c>
      <c r="X16" s="6" t="str">
        <f>INDEX(DataCollection!$B:$B,MATCH($W16,DataCollection!$A:$A,0))</f>
        <v>data_collection1</v>
      </c>
      <c r="Z16" s="14">
        <v>36526</v>
      </c>
      <c r="AA16" t="s">
        <v>142</v>
      </c>
      <c r="AB16" t="s">
        <v>663</v>
      </c>
      <c r="AC16" s="6" t="str">
        <f>IF($AA16="","",INDEX(CaseTypeCol!$G:$G,MATCH($AA16,CaseTypeCol!$A:$A,0)))</f>
        <v>case_type1_dim1_1_text</v>
      </c>
      <c r="AD16" s="6" t="b" cm="1">
        <f t="array" aca="1" ref="AD16" ca="1">IF($AA16="",TRUE,IF($J16="",FALSE,IF(INDIRECT("OrganizationAccessCasePolicy!J"&amp;$J16)="",FALSE,NOT(ISNA(MATCH(INDIRECT("OrganizationAccessCasePolicy!J"&amp;$J16)&amp;"|"&amp;$AA16,CaseTypeColSetMember!$H:$H,0))))))</f>
        <v>1</v>
      </c>
      <c r="AE16" s="6" t="b" cm="1">
        <f t="array" aca="1" ref="AE16" ca="1">IF($AA16="",TRUE,IF($J16="",FALSE,IF(INDIRECT("OrganizationAccessCasePolicy!L"&amp;$J16)="",FALSE,NOT(ISNA(MATCH(INDIRECT("OrganizationAccessCasePolicy!L"&amp;$J16)&amp;"|"&amp;$AA16,CaseTypeColSetMember!$H:$H,0))))))</f>
        <v>1</v>
      </c>
      <c r="AF16" s="6" t="b" cm="1">
        <f t="array" aca="1" ref="AF16" ca="1">IF($AA16="",TRUE,IF($N16="",FALSE,IF(INDIRECT("UserAccessCasePolicy!I"&amp;$N16)="",FALSE,NOT(ISNA(MATCH(INDIRECT("UserAccessCasePolicy!I"&amp;$N16)&amp;"|"&amp;$AA16,CaseTypeColSetMember!$H:$H,0))))))</f>
        <v>0</v>
      </c>
      <c r="AG16" s="6" t="b" cm="1">
        <f t="array" aca="1" ref="AG16" ca="1">IF($AA16="",TRUE,IF($N16="",FALSE,IF(INDIRECT("UserAccessCasePolicy!K"&amp;$N16)="",FALSE,NOT(ISNA(MATCH(INDIRECT("UserAccessCasePolicy!K"&amp;$N16)&amp;"|"&amp;$AA16,CaseTypeColSetMember!$H:$H,0))))))</f>
        <v>0</v>
      </c>
      <c r="AJ16" s="6" t="str">
        <f>IF($AH16="","",INDEX(CaseTypeCol!$G:$G,MATCH($AH16,CaseTypeCol!$A:$A,0)))</f>
        <v/>
      </c>
      <c r="AK16" s="6" t="b" cm="1">
        <f t="array" aca="1" ref="AK16" ca="1">IF($AH16="",TRUE,IF($J16="",FALSE,IF(INDIRECT("OrganizationAccessCasePolicy!J"&amp;$J16)="",FALSE,NOT(ISNA(MATCH(INDIRECT("OrganizationAccessCasePolicy!J"&amp;$J16)&amp;"|"&amp;$AH16,CaseTypeColSetMember!$H:$H,0))))))</f>
        <v>1</v>
      </c>
      <c r="AL16" s="6" t="b" cm="1">
        <f t="array" aca="1" ref="AL16" ca="1">IF($AH16="",TRUE,IF($J16="",FALSE,IF(INDIRECT("OrganizationAccessCasePolicy!L"&amp;$J16)="",FALSE,NOT(ISNA(MATCH(INDIRECT("OrganizationAccessCasePolicy!L"&amp;$J16)&amp;"|"&amp;$AH16,CaseTypeColSetMember!$H:$H,0))))))</f>
        <v>1</v>
      </c>
      <c r="AM16" s="6" t="b" cm="1">
        <f t="array" aca="1" ref="AM16" ca="1">IF($AH16="",TRUE,IF($N16="",FALSE,IF(INDIRECT("UserAccessCasePolicy!I"&amp;$N16)="",FALSE,NOT(ISNA(MATCH(INDIRECT("UserAccessCasePolicy!I"&amp;$N16)&amp;"|"&amp;$AH16,CaseTypeColSetMember!$H:$H,0))))))</f>
        <v>1</v>
      </c>
      <c r="AN16" s="6" t="b" cm="1">
        <f t="array" aca="1" ref="AN16" ca="1">IF($AH16="",TRUE,IF($N16="",FALSE,IF(INDIRECT("UserAccessCasePolicy!K"&amp;$N16)="",FALSE,NOT(ISNA(MATCH(INDIRECT("UserAccessCasePolicy!K"&amp;$N16)&amp;"|"&amp;$AH16,CaseTypeColSetMember!$H:$H,0))))))</f>
        <v>1</v>
      </c>
      <c r="AQ16" s="6" t="str">
        <f>IF($AO16="","",INDEX(CaseTypeCol!$G:$G,MATCH($AO16,CaseTypeCol!$A:$A,0)))</f>
        <v/>
      </c>
      <c r="AR16" s="6" t="b" cm="1">
        <f t="array" aca="1" ref="AR16" ca="1">IF($AO16="",TRUE,IF($J16="",FALSE,IF(INDIRECT("OrganizationAccessCasePolicy!J"&amp;$J16)="",FALSE,NOT(ISNA(MATCH(INDIRECT("OrganizationAccessCasePolicy!J"&amp;$J16)&amp;"|"&amp;$AO16,CaseTypeColSetMember!$H:$H,0))))))</f>
        <v>1</v>
      </c>
      <c r="AS16" s="6" t="b" cm="1">
        <f t="array" aca="1" ref="AS16" ca="1">IF($AO16="",TRUE,IF($J16="",FALSE,IF(INDIRECT("OrganizationAccessCasePolicy!L"&amp;$J16)="",FALSE,NOT(ISNA(MATCH(INDIRECT("OrganizationAccessCasePolicy!L"&amp;$J16)&amp;"|"&amp;$AO16,CaseTypeColSetMember!$H:$H,0))))))</f>
        <v>1</v>
      </c>
      <c r="AT16" s="6" t="b" cm="1">
        <f t="array" aca="1" ref="AT16" ca="1">IF($AO16="",TRUE,IF($N16="",FALSE,IF(INDIRECT("UserAccessCasePolicy!I"&amp;$N16)="",FALSE,NOT(ISNA(MATCH(INDIRECT("UserAccessCasePolicy!I"&amp;$N16)&amp;"|"&amp;$AO16,CaseTypeColSetMember!$H:$H,0))))))</f>
        <v>1</v>
      </c>
      <c r="AU16" s="6" t="b" cm="1">
        <f t="array" aca="1" ref="AU16" ca="1">IF($AO16="",TRUE,IF($N16="",FALSE,IF(INDIRECT("UserAccessCasePolicy!K"&amp;$N16)="",FALSE,NOT(ISNA(MATCH(INDIRECT("UserAccessCasePolicy!K"&amp;$N16)&amp;"|"&amp;$AO16,CaseTypeColSetMember!$H:$H,0))))))</f>
        <v>1</v>
      </c>
    </row>
    <row r="17" spans="1:47" x14ac:dyDescent="0.3">
      <c r="A17">
        <v>16</v>
      </c>
      <c r="B17" t="b">
        <v>1</v>
      </c>
      <c r="C17" t="s">
        <v>616</v>
      </c>
      <c r="D17" t="s">
        <v>14</v>
      </c>
      <c r="E17" s="6" t="str">
        <f>INDEX(User!$D:$D,MATCH($D17,User!$A:$A,0))</f>
        <v>org_user1_4</v>
      </c>
      <c r="F17" t="s">
        <v>721</v>
      </c>
      <c r="G17" s="19" t="b">
        <f t="shared" ca="1" si="0"/>
        <v>0</v>
      </c>
      <c r="H17" s="6" t="str">
        <f>INDEX(User!$G:$G,MATCH($D17,User!$A:$A,0))</f>
        <v>018d074d-ea0c-e942-07db-a3cc0ba1d653</v>
      </c>
      <c r="I17" s="6" t="b">
        <f>INDEX(User!$M:$M,MATCH($D17,User!$A:$A,0))</f>
        <v>0</v>
      </c>
      <c r="J17" s="6">
        <f>IF(ISNA(MATCH($H17&amp;"|"&amp;$W17,OrganizationAccessCasePolicy!$V:$V,0)),"",MATCH($H17&amp;"|"&amp;$W17,OrganizationAccessCasePolicy!$V:$V,0))</f>
        <v>2</v>
      </c>
      <c r="K17" s="6" t="b" cm="1">
        <f t="array" aca="1" ref="K17" ca="1">IF($J17="",FALSE,NOT(ISNA(MATCH(INDIRECT("OrganizationAccessCasePolicy!D"&amp;$J17)&amp;"|"&amp;$S17,CaseTypeSetMember!$H:$H,0))))</f>
        <v>1</v>
      </c>
      <c r="L17" s="6" t="b" cm="1">
        <f t="array" aca="1" ref="L17" ca="1">IF($J17="",FALSE,AND(INDIRECT("OrganizationAccessCasePolicy!H"&amp;$J17),NOT(ISNA(MATCH(INDIRECT("OrganizationAccessCasePolicy!D"&amp;$J17)&amp;"|"&amp;$S17,CaseTypeSetMember!$H:$H,0)))))</f>
        <v>1</v>
      </c>
      <c r="M17" s="6" t="b" cm="1">
        <f t="array" aca="1" ref="M17" ca="1">IF($J17="",FALSE,AND(INDIRECT("OrganizationAccessCasePolicy!I"&amp;$J17),NOT(ISNA(MATCH(INDIRECT("OrganizationAccessCasePolicy!D"&amp;$J17)&amp;"|"&amp;$S17,CaseTypeSetMember!$H:$H,0)))))</f>
        <v>1</v>
      </c>
      <c r="N17" s="6" t="str">
        <f>IF(ISNA(MATCH($D17&amp;"|"&amp;$W17,UserAccessCasePolicy!$W:$W,0)),"",MATCH($D17&amp;"|"&amp;$W17,UserAccessCasePolicy!$W:$W,0))</f>
        <v/>
      </c>
      <c r="O17" s="6" t="b" cm="1">
        <f t="array" aca="1" ref="O17" ca="1">IF($N17="",FALSE,NOT(ISNA(MATCH(INDIRECT("UserAccessCasePolicy!D"&amp;$N17)&amp;"|"&amp;$S17,CaseTypeSetMember!$H:$H,0))))</f>
        <v>0</v>
      </c>
      <c r="P17" s="6" t="b" cm="1">
        <f t="array" aca="1" ref="P17" ca="1">IF($N17="",FALSE,AND(INDIRECT("UserAccessCasePolicy!G"&amp;$N17),NOT(ISNA(MATCH(INDIRECT("UserAccessCasePolicy!D"&amp;$N17)&amp;"|"&amp;$S17,CaseTypeSetMember!$H:$H,0)))))</f>
        <v>0</v>
      </c>
      <c r="Q17" s="6" t="b" cm="1">
        <f t="array" aca="1" ref="Q17" ca="1">IF($N17="",FALSE,AND(INDIRECT("UserAccessCasePolicy!H"&amp;$N17),NOT(ISNA(MATCH(INDIRECT("UserAccessCasePolicy!D"&amp;$N17)&amp;"|"&amp;$S17,CaseTypeSetMember!$H:$H,0)))))</f>
        <v>0</v>
      </c>
      <c r="R17" t="s">
        <v>642</v>
      </c>
      <c r="S17" t="s">
        <v>119</v>
      </c>
      <c r="T17" s="6" t="str">
        <f>INDEX(CaseType!$B:$B,MATCH($S17,CaseType!$A:$A,0))</f>
        <v>case_type1</v>
      </c>
      <c r="U17" s="6" t="b">
        <f>AND(IF($AA17="",TRUE,$S17=INDEX(CaseTypeCol!$B:$B,MATCH($AA17,CaseTypeCol!$A:$A,0))),IF($AH17="",TRUE,$S17=INDEX(CaseTypeCol!$B:$B,MATCH($AH17,CaseTypeCol!$A:$A,0))),IF($AO17="",TRUE,$S17=INDEX(CaseTypeCol!$B:$B,MATCH($AO17,CaseTypeCol!$A:$A,0))))</f>
        <v>1</v>
      </c>
      <c r="W17" t="s">
        <v>11</v>
      </c>
      <c r="X17" s="6" t="str">
        <f>INDEX(DataCollection!$B:$B,MATCH($W17,DataCollection!$A:$A,0))</f>
        <v>data_collection1</v>
      </c>
      <c r="Z17" s="14">
        <v>36526</v>
      </c>
      <c r="AA17" t="s">
        <v>142</v>
      </c>
      <c r="AB17" t="s">
        <v>663</v>
      </c>
      <c r="AC17" s="6" t="str">
        <f>IF($AA17="","",INDEX(CaseTypeCol!$G:$G,MATCH($AA17,CaseTypeCol!$A:$A,0)))</f>
        <v>case_type1_dim1_1_text</v>
      </c>
      <c r="AD17" s="6" t="b" cm="1">
        <f t="array" aca="1" ref="AD17" ca="1">IF($AA17="",TRUE,IF($J17="",FALSE,IF(INDIRECT("OrganizationAccessCasePolicy!J"&amp;$J17)="",FALSE,NOT(ISNA(MATCH(INDIRECT("OrganizationAccessCasePolicy!J"&amp;$J17)&amp;"|"&amp;$AA17,CaseTypeColSetMember!$H:$H,0))))))</f>
        <v>1</v>
      </c>
      <c r="AE17" s="6" t="b" cm="1">
        <f t="array" aca="1" ref="AE17" ca="1">IF($AA17="",TRUE,IF($J17="",FALSE,IF(INDIRECT("OrganizationAccessCasePolicy!L"&amp;$J17)="",FALSE,NOT(ISNA(MATCH(INDIRECT("OrganizationAccessCasePolicy!L"&amp;$J17)&amp;"|"&amp;$AA17,CaseTypeColSetMember!$H:$H,0))))))</f>
        <v>1</v>
      </c>
      <c r="AF17" s="6" t="b" cm="1">
        <f t="array" aca="1" ref="AF17" ca="1">IF($AA17="",TRUE,IF($N17="",FALSE,IF(INDIRECT("UserAccessCasePolicy!I"&amp;$N17)="",FALSE,NOT(ISNA(MATCH(INDIRECT("UserAccessCasePolicy!I"&amp;$N17)&amp;"|"&amp;$AA17,CaseTypeColSetMember!$H:$H,0))))))</f>
        <v>0</v>
      </c>
      <c r="AG17" s="6" t="b" cm="1">
        <f t="array" aca="1" ref="AG17" ca="1">IF($AA17="",TRUE,IF($N17="",FALSE,IF(INDIRECT("UserAccessCasePolicy!K"&amp;$N17)="",FALSE,NOT(ISNA(MATCH(INDIRECT("UserAccessCasePolicy!K"&amp;$N17)&amp;"|"&amp;$AA17,CaseTypeColSetMember!$H:$H,0))))))</f>
        <v>0</v>
      </c>
      <c r="AJ17" s="6" t="str">
        <f>IF($AH17="","",INDEX(CaseTypeCol!$G:$G,MATCH($AH17,CaseTypeCol!$A:$A,0)))</f>
        <v/>
      </c>
      <c r="AK17" s="6" t="b" cm="1">
        <f t="array" aca="1" ref="AK17" ca="1">IF($AH17="",TRUE,IF($J17="",FALSE,IF(INDIRECT("OrganizationAccessCasePolicy!J"&amp;$J17)="",FALSE,NOT(ISNA(MATCH(INDIRECT("OrganizationAccessCasePolicy!J"&amp;$J17)&amp;"|"&amp;$AH17,CaseTypeColSetMember!$H:$H,0))))))</f>
        <v>1</v>
      </c>
      <c r="AL17" s="6" t="b" cm="1">
        <f t="array" aca="1" ref="AL17" ca="1">IF($AH17="",TRUE,IF($J17="",FALSE,IF(INDIRECT("OrganizationAccessCasePolicy!L"&amp;$J17)="",FALSE,NOT(ISNA(MATCH(INDIRECT("OrganizationAccessCasePolicy!L"&amp;$J17)&amp;"|"&amp;$AH17,CaseTypeColSetMember!$H:$H,0))))))</f>
        <v>1</v>
      </c>
      <c r="AM17" s="6" t="b" cm="1">
        <f t="array" aca="1" ref="AM17" ca="1">IF($AH17="",TRUE,IF($N17="",FALSE,IF(INDIRECT("UserAccessCasePolicy!I"&amp;$N17)="",FALSE,NOT(ISNA(MATCH(INDIRECT("UserAccessCasePolicy!I"&amp;$N17)&amp;"|"&amp;$AH17,CaseTypeColSetMember!$H:$H,0))))))</f>
        <v>1</v>
      </c>
      <c r="AN17" s="6" t="b" cm="1">
        <f t="array" aca="1" ref="AN17" ca="1">IF($AH17="",TRUE,IF($N17="",FALSE,IF(INDIRECT("UserAccessCasePolicy!K"&amp;$N17)="",FALSE,NOT(ISNA(MATCH(INDIRECT("UserAccessCasePolicy!K"&amp;$N17)&amp;"|"&amp;$AH17,CaseTypeColSetMember!$H:$H,0))))))</f>
        <v>1</v>
      </c>
      <c r="AQ17" s="6" t="str">
        <f>IF($AO17="","",INDEX(CaseTypeCol!$G:$G,MATCH($AO17,CaseTypeCol!$A:$A,0)))</f>
        <v/>
      </c>
      <c r="AR17" s="6" t="b" cm="1">
        <f t="array" aca="1" ref="AR17" ca="1">IF($AO17="",TRUE,IF($J17="",FALSE,IF(INDIRECT("OrganizationAccessCasePolicy!J"&amp;$J17)="",FALSE,NOT(ISNA(MATCH(INDIRECT("OrganizationAccessCasePolicy!J"&amp;$J17)&amp;"|"&amp;$AO17,CaseTypeColSetMember!$H:$H,0))))))</f>
        <v>1</v>
      </c>
      <c r="AS17" s="6" t="b" cm="1">
        <f t="array" aca="1" ref="AS17" ca="1">IF($AO17="",TRUE,IF($J17="",FALSE,IF(INDIRECT("OrganizationAccessCasePolicy!L"&amp;$J17)="",FALSE,NOT(ISNA(MATCH(INDIRECT("OrganizationAccessCasePolicy!L"&amp;$J17)&amp;"|"&amp;$AO17,CaseTypeColSetMember!$H:$H,0))))))</f>
        <v>1</v>
      </c>
      <c r="AT17" s="6" t="b" cm="1">
        <f t="array" aca="1" ref="AT17" ca="1">IF($AO17="",TRUE,IF($N17="",FALSE,IF(INDIRECT("UserAccessCasePolicy!I"&amp;$N17)="",FALSE,NOT(ISNA(MATCH(INDIRECT("UserAccessCasePolicy!I"&amp;$N17)&amp;"|"&amp;$AO17,CaseTypeColSetMember!$H:$H,0))))))</f>
        <v>1</v>
      </c>
      <c r="AU17" s="6" t="b" cm="1">
        <f t="array" aca="1" ref="AU17" ca="1">IF($AO17="",TRUE,IF($N17="",FALSE,IF(INDIRECT("UserAccessCasePolicy!K"&amp;$N17)="",FALSE,NOT(ISNA(MATCH(INDIRECT("UserAccessCasePolicy!K"&amp;$N17)&amp;"|"&amp;$AO17,CaseTypeColSetMember!$H:$H,0))))))</f>
        <v>1</v>
      </c>
    </row>
    <row r="18" spans="1:47" x14ac:dyDescent="0.3">
      <c r="A18">
        <v>17</v>
      </c>
      <c r="B18" t="b">
        <v>1</v>
      </c>
      <c r="C18" t="s">
        <v>617</v>
      </c>
      <c r="D18" t="s">
        <v>16</v>
      </c>
      <c r="E18" s="6" t="str">
        <f>INDEX(User!$D:$D,MATCH($D18,User!$A:$A,0))</f>
        <v>org_user2_1</v>
      </c>
      <c r="F18" t="s">
        <v>721</v>
      </c>
      <c r="G18" s="19" t="b">
        <f t="shared" ca="1" si="0"/>
        <v>0</v>
      </c>
      <c r="H18" s="6" t="str">
        <f>INDEX(User!$G:$G,MATCH($D18,User!$A:$A,0))</f>
        <v>0195d18c-1c92-0ed4-2e94-b4f66d82baf3</v>
      </c>
      <c r="I18" s="6" t="b">
        <f>INDEX(User!$M:$M,MATCH($D18,User!$A:$A,0))</f>
        <v>0</v>
      </c>
      <c r="J18" s="6" t="str">
        <f>IF(ISNA(MATCH($H18&amp;"|"&amp;$W18,OrganizationAccessCasePolicy!$V:$V,0)),"",MATCH($H18&amp;"|"&amp;$W18,OrganizationAccessCasePolicy!$V:$V,0))</f>
        <v/>
      </c>
      <c r="K18" s="6" t="b" cm="1">
        <f t="array" aca="1" ref="K18" ca="1">IF($J18="",FALSE,NOT(ISNA(MATCH(INDIRECT("OrganizationAccessCasePolicy!D"&amp;$J18)&amp;"|"&amp;$S18,CaseTypeSetMember!$H:$H,0))))</f>
        <v>0</v>
      </c>
      <c r="L18" s="6" t="b" cm="1">
        <f t="array" aca="1" ref="L18" ca="1">IF($J18="",FALSE,AND(INDIRECT("OrganizationAccessCasePolicy!H"&amp;$J18),NOT(ISNA(MATCH(INDIRECT("OrganizationAccessCasePolicy!D"&amp;$J18)&amp;"|"&amp;$S18,CaseTypeSetMember!$H:$H,0)))))</f>
        <v>0</v>
      </c>
      <c r="M18" s="6" t="b" cm="1">
        <f t="array" aca="1" ref="M18" ca="1">IF($J18="",FALSE,AND(INDIRECT("OrganizationAccessCasePolicy!I"&amp;$J18),NOT(ISNA(MATCH(INDIRECT("OrganizationAccessCasePolicy!D"&amp;$J18)&amp;"|"&amp;$S18,CaseTypeSetMember!$H:$H,0)))))</f>
        <v>0</v>
      </c>
      <c r="N18" s="6" t="str">
        <f>IF(ISNA(MATCH($D18&amp;"|"&amp;$W18,UserAccessCasePolicy!$W:$W,0)),"",MATCH($D18&amp;"|"&amp;$W18,UserAccessCasePolicy!$W:$W,0))</f>
        <v/>
      </c>
      <c r="O18" s="6" t="b" cm="1">
        <f t="array" aca="1" ref="O18" ca="1">IF($N18="",FALSE,NOT(ISNA(MATCH(INDIRECT("UserAccessCasePolicy!D"&amp;$N18)&amp;"|"&amp;$S18,CaseTypeSetMember!$H:$H,0))))</f>
        <v>0</v>
      </c>
      <c r="P18" s="6" t="b" cm="1">
        <f t="array" aca="1" ref="P18" ca="1">IF($N18="",FALSE,AND(INDIRECT("UserAccessCasePolicy!G"&amp;$N18),NOT(ISNA(MATCH(INDIRECT("UserAccessCasePolicy!D"&amp;$N18)&amp;"|"&amp;$S18,CaseTypeSetMember!$H:$H,0)))))</f>
        <v>0</v>
      </c>
      <c r="Q18" s="6" t="b" cm="1">
        <f t="array" aca="1" ref="Q18" ca="1">IF($N18="",FALSE,AND(INDIRECT("UserAccessCasePolicy!H"&amp;$N18),NOT(ISNA(MATCH(INDIRECT("UserAccessCasePolicy!D"&amp;$N18)&amp;"|"&amp;$S18,CaseTypeSetMember!$H:$H,0)))))</f>
        <v>0</v>
      </c>
      <c r="R18" t="s">
        <v>643</v>
      </c>
      <c r="S18" t="s">
        <v>119</v>
      </c>
      <c r="T18" s="6" t="str">
        <f>INDEX(CaseType!$B:$B,MATCH($S18,CaseType!$A:$A,0))</f>
        <v>case_type1</v>
      </c>
      <c r="U18" s="6" t="b">
        <f>AND(IF($AA18="",TRUE,$S18=INDEX(CaseTypeCol!$B:$B,MATCH($AA18,CaseTypeCol!$A:$A,0))),IF($AH18="",TRUE,$S18=INDEX(CaseTypeCol!$B:$B,MATCH($AH18,CaseTypeCol!$A:$A,0))),IF($AO18="",TRUE,$S18=INDEX(CaseTypeCol!$B:$B,MATCH($AO18,CaseTypeCol!$A:$A,0))))</f>
        <v>1</v>
      </c>
      <c r="W18" t="s">
        <v>11</v>
      </c>
      <c r="X18" s="6" t="str">
        <f>INDEX(DataCollection!$B:$B,MATCH($W18,DataCollection!$A:$A,0))</f>
        <v>data_collection1</v>
      </c>
      <c r="Z18" s="14">
        <v>36526</v>
      </c>
      <c r="AA18" t="s">
        <v>142</v>
      </c>
      <c r="AB18" t="s">
        <v>663</v>
      </c>
      <c r="AC18" s="6" t="str">
        <f>IF($AA18="","",INDEX(CaseTypeCol!$G:$G,MATCH($AA18,CaseTypeCol!$A:$A,0)))</f>
        <v>case_type1_dim1_1_text</v>
      </c>
      <c r="AD18" s="6" t="b" cm="1">
        <f t="array" aca="1" ref="AD18" ca="1">IF($AA18="",TRUE,IF($J18="",FALSE,IF(INDIRECT("OrganizationAccessCasePolicy!J"&amp;$J18)="",FALSE,NOT(ISNA(MATCH(INDIRECT("OrganizationAccessCasePolicy!J"&amp;$J18)&amp;"|"&amp;$AA18,CaseTypeColSetMember!$H:$H,0))))))</f>
        <v>0</v>
      </c>
      <c r="AE18" s="6" t="b" cm="1">
        <f t="array" aca="1" ref="AE18" ca="1">IF($AA18="",TRUE,IF($J18="",FALSE,IF(INDIRECT("OrganizationAccessCasePolicy!L"&amp;$J18)="",FALSE,NOT(ISNA(MATCH(INDIRECT("OrganizationAccessCasePolicy!L"&amp;$J18)&amp;"|"&amp;$AA18,CaseTypeColSetMember!$H:$H,0))))))</f>
        <v>0</v>
      </c>
      <c r="AF18" s="6" t="b" cm="1">
        <f t="array" aca="1" ref="AF18" ca="1">IF($AA18="",TRUE,IF($N18="",FALSE,IF(INDIRECT("UserAccessCasePolicy!I"&amp;$N18)="",FALSE,NOT(ISNA(MATCH(INDIRECT("UserAccessCasePolicy!I"&amp;$N18)&amp;"|"&amp;$AA18,CaseTypeColSetMember!$H:$H,0))))))</f>
        <v>0</v>
      </c>
      <c r="AG18" s="6" t="b" cm="1">
        <f t="array" aca="1" ref="AG18" ca="1">IF($AA18="",TRUE,IF($N18="",FALSE,IF(INDIRECT("UserAccessCasePolicy!K"&amp;$N18)="",FALSE,NOT(ISNA(MATCH(INDIRECT("UserAccessCasePolicy!K"&amp;$N18)&amp;"|"&amp;$AA18,CaseTypeColSetMember!$H:$H,0))))))</f>
        <v>0</v>
      </c>
      <c r="AJ18" s="6" t="str">
        <f>IF($AH18="","",INDEX(CaseTypeCol!$G:$G,MATCH($AH18,CaseTypeCol!$A:$A,0)))</f>
        <v/>
      </c>
      <c r="AK18" s="6" t="b" cm="1">
        <f t="array" aca="1" ref="AK18" ca="1">IF($AH18="",TRUE,IF($J18="",FALSE,IF(INDIRECT("OrganizationAccessCasePolicy!J"&amp;$J18)="",FALSE,NOT(ISNA(MATCH(INDIRECT("OrganizationAccessCasePolicy!J"&amp;$J18)&amp;"|"&amp;$AH18,CaseTypeColSetMember!$H:$H,0))))))</f>
        <v>1</v>
      </c>
      <c r="AL18" s="6" t="b" cm="1">
        <f t="array" aca="1" ref="AL18" ca="1">IF($AH18="",TRUE,IF($J18="",FALSE,IF(INDIRECT("OrganizationAccessCasePolicy!L"&amp;$J18)="",FALSE,NOT(ISNA(MATCH(INDIRECT("OrganizationAccessCasePolicy!L"&amp;$J18)&amp;"|"&amp;$AH18,CaseTypeColSetMember!$H:$H,0))))))</f>
        <v>1</v>
      </c>
      <c r="AM18" s="6" t="b" cm="1">
        <f t="array" aca="1" ref="AM18" ca="1">IF($AH18="",TRUE,IF($N18="",FALSE,IF(INDIRECT("UserAccessCasePolicy!I"&amp;$N18)="",FALSE,NOT(ISNA(MATCH(INDIRECT("UserAccessCasePolicy!I"&amp;$N18)&amp;"|"&amp;$AH18,CaseTypeColSetMember!$H:$H,0))))))</f>
        <v>1</v>
      </c>
      <c r="AN18" s="6" t="b" cm="1">
        <f t="array" aca="1" ref="AN18" ca="1">IF($AH18="",TRUE,IF($N18="",FALSE,IF(INDIRECT("UserAccessCasePolicy!K"&amp;$N18)="",FALSE,NOT(ISNA(MATCH(INDIRECT("UserAccessCasePolicy!K"&amp;$N18)&amp;"|"&amp;$AH18,CaseTypeColSetMember!$H:$H,0))))))</f>
        <v>1</v>
      </c>
      <c r="AQ18" s="6" t="str">
        <f>IF($AO18="","",INDEX(CaseTypeCol!$G:$G,MATCH($AO18,CaseTypeCol!$A:$A,0)))</f>
        <v/>
      </c>
      <c r="AR18" s="6" t="b" cm="1">
        <f t="array" aca="1" ref="AR18" ca="1">IF($AO18="",TRUE,IF($J18="",FALSE,IF(INDIRECT("OrganizationAccessCasePolicy!J"&amp;$J18)="",FALSE,NOT(ISNA(MATCH(INDIRECT("OrganizationAccessCasePolicy!J"&amp;$J18)&amp;"|"&amp;$AO18,CaseTypeColSetMember!$H:$H,0))))))</f>
        <v>1</v>
      </c>
      <c r="AS18" s="6" t="b" cm="1">
        <f t="array" aca="1" ref="AS18" ca="1">IF($AO18="",TRUE,IF($J18="",FALSE,IF(INDIRECT("OrganizationAccessCasePolicy!L"&amp;$J18)="",FALSE,NOT(ISNA(MATCH(INDIRECT("OrganizationAccessCasePolicy!L"&amp;$J18)&amp;"|"&amp;$AO18,CaseTypeColSetMember!$H:$H,0))))))</f>
        <v>1</v>
      </c>
      <c r="AT18" s="6" t="b" cm="1">
        <f t="array" aca="1" ref="AT18" ca="1">IF($AO18="",TRUE,IF($N18="",FALSE,IF(INDIRECT("UserAccessCasePolicy!I"&amp;$N18)="",FALSE,NOT(ISNA(MATCH(INDIRECT("UserAccessCasePolicy!I"&amp;$N18)&amp;"|"&amp;$AO18,CaseTypeColSetMember!$H:$H,0))))))</f>
        <v>1</v>
      </c>
      <c r="AU18" s="6" t="b" cm="1">
        <f t="array" aca="1" ref="AU18" ca="1">IF($AO18="",TRUE,IF($N18="",FALSE,IF(INDIRECT("UserAccessCasePolicy!K"&amp;$N18)="",FALSE,NOT(ISNA(MATCH(INDIRECT("UserAccessCasePolicy!K"&amp;$N18)&amp;"|"&amp;$AO18,CaseTypeColSetMember!$H:$H,0))))))</f>
        <v>1</v>
      </c>
    </row>
    <row r="19" spans="1:47" x14ac:dyDescent="0.3">
      <c r="A19">
        <v>18</v>
      </c>
      <c r="B19" t="b">
        <v>1</v>
      </c>
      <c r="C19" t="s">
        <v>618</v>
      </c>
      <c r="D19" t="s">
        <v>18</v>
      </c>
      <c r="E19" s="6" t="str">
        <f>INDEX(User!$D:$D,MATCH($D19,User!$A:$A,0))</f>
        <v>org_user2_2</v>
      </c>
      <c r="F19" t="s">
        <v>721</v>
      </c>
      <c r="G19" s="19" t="b">
        <f t="shared" ca="1" si="0"/>
        <v>0</v>
      </c>
      <c r="H19" s="6" t="str">
        <f>INDEX(User!$G:$G,MATCH($D19,User!$A:$A,0))</f>
        <v>0195d18c-1c92-0ed4-2e94-b4f66d82baf3</v>
      </c>
      <c r="I19" s="6" t="b">
        <f>INDEX(User!$M:$M,MATCH($D19,User!$A:$A,0))</f>
        <v>0</v>
      </c>
      <c r="J19" s="6" t="str">
        <f>IF(ISNA(MATCH($H19&amp;"|"&amp;$W19,OrganizationAccessCasePolicy!$V:$V,0)),"",MATCH($H19&amp;"|"&amp;$W19,OrganizationAccessCasePolicy!$V:$V,0))</f>
        <v/>
      </c>
      <c r="K19" s="6" t="b" cm="1">
        <f t="array" aca="1" ref="K19" ca="1">IF($J19="",FALSE,NOT(ISNA(MATCH(INDIRECT("OrganizationAccessCasePolicy!D"&amp;$J19)&amp;"|"&amp;$S19,CaseTypeSetMember!$H:$H,0))))</f>
        <v>0</v>
      </c>
      <c r="L19" s="6" t="b" cm="1">
        <f t="array" aca="1" ref="L19" ca="1">IF($J19="",FALSE,AND(INDIRECT("OrganizationAccessCasePolicy!H"&amp;$J19),NOT(ISNA(MATCH(INDIRECT("OrganizationAccessCasePolicy!D"&amp;$J19)&amp;"|"&amp;$S19,CaseTypeSetMember!$H:$H,0)))))</f>
        <v>0</v>
      </c>
      <c r="M19" s="6" t="b" cm="1">
        <f t="array" aca="1" ref="M19" ca="1">IF($J19="",FALSE,AND(INDIRECT("OrganizationAccessCasePolicy!I"&amp;$J19),NOT(ISNA(MATCH(INDIRECT("OrganizationAccessCasePolicy!D"&amp;$J19)&amp;"|"&amp;$S19,CaseTypeSetMember!$H:$H,0)))))</f>
        <v>0</v>
      </c>
      <c r="N19" s="6" t="str">
        <f>IF(ISNA(MATCH($D19&amp;"|"&amp;$W19,UserAccessCasePolicy!$W:$W,0)),"",MATCH($D19&amp;"|"&amp;$W19,UserAccessCasePolicy!$W:$W,0))</f>
        <v/>
      </c>
      <c r="O19" s="6" t="b" cm="1">
        <f t="array" aca="1" ref="O19" ca="1">IF($N19="",FALSE,NOT(ISNA(MATCH(INDIRECT("UserAccessCasePolicy!D"&amp;$N19)&amp;"|"&amp;$S19,CaseTypeSetMember!$H:$H,0))))</f>
        <v>0</v>
      </c>
      <c r="P19" s="6" t="b" cm="1">
        <f t="array" aca="1" ref="P19" ca="1">IF($N19="",FALSE,AND(INDIRECT("UserAccessCasePolicy!G"&amp;$N19),NOT(ISNA(MATCH(INDIRECT("UserAccessCasePolicy!D"&amp;$N19)&amp;"|"&amp;$S19,CaseTypeSetMember!$H:$H,0)))))</f>
        <v>0</v>
      </c>
      <c r="Q19" s="6" t="b" cm="1">
        <f t="array" aca="1" ref="Q19" ca="1">IF($N19="",FALSE,AND(INDIRECT("UserAccessCasePolicy!H"&amp;$N19),NOT(ISNA(MATCH(INDIRECT("UserAccessCasePolicy!D"&amp;$N19)&amp;"|"&amp;$S19,CaseTypeSetMember!$H:$H,0)))))</f>
        <v>0</v>
      </c>
      <c r="R19" t="s">
        <v>644</v>
      </c>
      <c r="S19" t="s">
        <v>119</v>
      </c>
      <c r="T19" s="6" t="str">
        <f>INDEX(CaseType!$B:$B,MATCH($S19,CaseType!$A:$A,0))</f>
        <v>case_type1</v>
      </c>
      <c r="U19" s="6" t="b">
        <f>AND(IF($AA19="",TRUE,$S19=INDEX(CaseTypeCol!$B:$B,MATCH($AA19,CaseTypeCol!$A:$A,0))),IF($AH19="",TRUE,$S19=INDEX(CaseTypeCol!$B:$B,MATCH($AH19,CaseTypeCol!$A:$A,0))),IF($AO19="",TRUE,$S19=INDEX(CaseTypeCol!$B:$B,MATCH($AO19,CaseTypeCol!$A:$A,0))))</f>
        <v>1</v>
      </c>
      <c r="W19" t="s">
        <v>11</v>
      </c>
      <c r="X19" s="6" t="str">
        <f>INDEX(DataCollection!$B:$B,MATCH($W19,DataCollection!$A:$A,0))</f>
        <v>data_collection1</v>
      </c>
      <c r="Z19" s="14">
        <v>36526</v>
      </c>
      <c r="AA19" t="s">
        <v>142</v>
      </c>
      <c r="AB19" t="s">
        <v>663</v>
      </c>
      <c r="AC19" s="6" t="str">
        <f>IF($AA19="","",INDEX(CaseTypeCol!$G:$G,MATCH($AA19,CaseTypeCol!$A:$A,0)))</f>
        <v>case_type1_dim1_1_text</v>
      </c>
      <c r="AD19" s="6" t="b" cm="1">
        <f t="array" aca="1" ref="AD19" ca="1">IF($AA19="",TRUE,IF($J19="",FALSE,IF(INDIRECT("OrganizationAccessCasePolicy!J"&amp;$J19)="",FALSE,NOT(ISNA(MATCH(INDIRECT("OrganizationAccessCasePolicy!J"&amp;$J19)&amp;"|"&amp;$AA19,CaseTypeColSetMember!$H:$H,0))))))</f>
        <v>0</v>
      </c>
      <c r="AE19" s="6" t="b" cm="1">
        <f t="array" aca="1" ref="AE19" ca="1">IF($AA19="",TRUE,IF($J19="",FALSE,IF(INDIRECT("OrganizationAccessCasePolicy!L"&amp;$J19)="",FALSE,NOT(ISNA(MATCH(INDIRECT("OrganizationAccessCasePolicy!L"&amp;$J19)&amp;"|"&amp;$AA19,CaseTypeColSetMember!$H:$H,0))))))</f>
        <v>0</v>
      </c>
      <c r="AF19" s="6" t="b" cm="1">
        <f t="array" aca="1" ref="AF19" ca="1">IF($AA19="",TRUE,IF($N19="",FALSE,IF(INDIRECT("UserAccessCasePolicy!I"&amp;$N19)="",FALSE,NOT(ISNA(MATCH(INDIRECT("UserAccessCasePolicy!I"&amp;$N19)&amp;"|"&amp;$AA19,CaseTypeColSetMember!$H:$H,0))))))</f>
        <v>0</v>
      </c>
      <c r="AG19" s="6" t="b" cm="1">
        <f t="array" aca="1" ref="AG19" ca="1">IF($AA19="",TRUE,IF($N19="",FALSE,IF(INDIRECT("UserAccessCasePolicy!K"&amp;$N19)="",FALSE,NOT(ISNA(MATCH(INDIRECT("UserAccessCasePolicy!K"&amp;$N19)&amp;"|"&amp;$AA19,CaseTypeColSetMember!$H:$H,0))))))</f>
        <v>0</v>
      </c>
      <c r="AJ19" s="6" t="str">
        <f>IF($AH19="","",INDEX(CaseTypeCol!$G:$G,MATCH($AH19,CaseTypeCol!$A:$A,0)))</f>
        <v/>
      </c>
      <c r="AK19" s="6" t="b" cm="1">
        <f t="array" aca="1" ref="AK19" ca="1">IF($AH19="",TRUE,IF($J19="",FALSE,IF(INDIRECT("OrganizationAccessCasePolicy!J"&amp;$J19)="",FALSE,NOT(ISNA(MATCH(INDIRECT("OrganizationAccessCasePolicy!J"&amp;$J19)&amp;"|"&amp;$AH19,CaseTypeColSetMember!$H:$H,0))))))</f>
        <v>1</v>
      </c>
      <c r="AL19" s="6" t="b" cm="1">
        <f t="array" aca="1" ref="AL19" ca="1">IF($AH19="",TRUE,IF($J19="",FALSE,IF(INDIRECT("OrganizationAccessCasePolicy!L"&amp;$J19)="",FALSE,NOT(ISNA(MATCH(INDIRECT("OrganizationAccessCasePolicy!L"&amp;$J19)&amp;"|"&amp;$AH19,CaseTypeColSetMember!$H:$H,0))))))</f>
        <v>1</v>
      </c>
      <c r="AM19" s="6" t="b" cm="1">
        <f t="array" aca="1" ref="AM19" ca="1">IF($AH19="",TRUE,IF($N19="",FALSE,IF(INDIRECT("UserAccessCasePolicy!I"&amp;$N19)="",FALSE,NOT(ISNA(MATCH(INDIRECT("UserAccessCasePolicy!I"&amp;$N19)&amp;"|"&amp;$AH19,CaseTypeColSetMember!$H:$H,0))))))</f>
        <v>1</v>
      </c>
      <c r="AN19" s="6" t="b" cm="1">
        <f t="array" aca="1" ref="AN19" ca="1">IF($AH19="",TRUE,IF($N19="",FALSE,IF(INDIRECT("UserAccessCasePolicy!K"&amp;$N19)="",FALSE,NOT(ISNA(MATCH(INDIRECT("UserAccessCasePolicy!K"&amp;$N19)&amp;"|"&amp;$AH19,CaseTypeColSetMember!$H:$H,0))))))</f>
        <v>1</v>
      </c>
      <c r="AQ19" s="6" t="str">
        <f>IF($AO19="","",INDEX(CaseTypeCol!$G:$G,MATCH($AO19,CaseTypeCol!$A:$A,0)))</f>
        <v/>
      </c>
      <c r="AR19" s="6" t="b" cm="1">
        <f t="array" aca="1" ref="AR19" ca="1">IF($AO19="",TRUE,IF($J19="",FALSE,IF(INDIRECT("OrganizationAccessCasePolicy!J"&amp;$J19)="",FALSE,NOT(ISNA(MATCH(INDIRECT("OrganizationAccessCasePolicy!J"&amp;$J19)&amp;"|"&amp;$AO19,CaseTypeColSetMember!$H:$H,0))))))</f>
        <v>1</v>
      </c>
      <c r="AS19" s="6" t="b" cm="1">
        <f t="array" aca="1" ref="AS19" ca="1">IF($AO19="",TRUE,IF($J19="",FALSE,IF(INDIRECT("OrganizationAccessCasePolicy!L"&amp;$J19)="",FALSE,NOT(ISNA(MATCH(INDIRECT("OrganizationAccessCasePolicy!L"&amp;$J19)&amp;"|"&amp;$AO19,CaseTypeColSetMember!$H:$H,0))))))</f>
        <v>1</v>
      </c>
      <c r="AT19" s="6" t="b" cm="1">
        <f t="array" aca="1" ref="AT19" ca="1">IF($AO19="",TRUE,IF($N19="",FALSE,IF(INDIRECT("UserAccessCasePolicy!I"&amp;$N19)="",FALSE,NOT(ISNA(MATCH(INDIRECT("UserAccessCasePolicy!I"&amp;$N19)&amp;"|"&amp;$AO19,CaseTypeColSetMember!$H:$H,0))))))</f>
        <v>1</v>
      </c>
      <c r="AU19" s="6" t="b" cm="1">
        <f t="array" aca="1" ref="AU19" ca="1">IF($AO19="",TRUE,IF($N19="",FALSE,IF(INDIRECT("UserAccessCasePolicy!K"&amp;$N19)="",FALSE,NOT(ISNA(MATCH(INDIRECT("UserAccessCasePolicy!K"&amp;$N19)&amp;"|"&amp;$AO19,CaseTypeColSetMember!$H:$H,0))))))</f>
        <v>1</v>
      </c>
    </row>
    <row r="20" spans="1:47" x14ac:dyDescent="0.3">
      <c r="A20">
        <v>19</v>
      </c>
      <c r="B20" t="b">
        <v>1</v>
      </c>
      <c r="C20" t="s">
        <v>619</v>
      </c>
      <c r="D20" t="s">
        <v>19</v>
      </c>
      <c r="E20" s="6" t="str">
        <f>INDEX(User!$D:$D,MATCH($D20,User!$A:$A,0))</f>
        <v>org_user2_3</v>
      </c>
      <c r="F20" t="s">
        <v>721</v>
      </c>
      <c r="G20" s="19" t="b">
        <f t="shared" ca="1" si="0"/>
        <v>0</v>
      </c>
      <c r="H20" s="6" t="str">
        <f>INDEX(User!$G:$G,MATCH($D20,User!$A:$A,0))</f>
        <v>0195d18c-1c92-0ed4-2e94-b4f66d82baf3</v>
      </c>
      <c r="I20" s="6" t="b">
        <f>INDEX(User!$M:$M,MATCH($D20,User!$A:$A,0))</f>
        <v>0</v>
      </c>
      <c r="J20" s="6" t="str">
        <f>IF(ISNA(MATCH($H20&amp;"|"&amp;$W20,OrganizationAccessCasePolicy!$V:$V,0)),"",MATCH($H20&amp;"|"&amp;$W20,OrganizationAccessCasePolicy!$V:$V,0))</f>
        <v/>
      </c>
      <c r="K20" s="6" t="b" cm="1">
        <f t="array" aca="1" ref="K20" ca="1">IF($J20="",FALSE,NOT(ISNA(MATCH(INDIRECT("OrganizationAccessCasePolicy!D"&amp;$J20)&amp;"|"&amp;$S20,CaseTypeSetMember!$H:$H,0))))</f>
        <v>0</v>
      </c>
      <c r="L20" s="6" t="b" cm="1">
        <f t="array" aca="1" ref="L20" ca="1">IF($J20="",FALSE,AND(INDIRECT("OrganizationAccessCasePolicy!H"&amp;$J20),NOT(ISNA(MATCH(INDIRECT("OrganizationAccessCasePolicy!D"&amp;$J20)&amp;"|"&amp;$S20,CaseTypeSetMember!$H:$H,0)))))</f>
        <v>0</v>
      </c>
      <c r="M20" s="6" t="b" cm="1">
        <f t="array" aca="1" ref="M20" ca="1">IF($J20="",FALSE,AND(INDIRECT("OrganizationAccessCasePolicy!I"&amp;$J20),NOT(ISNA(MATCH(INDIRECT("OrganizationAccessCasePolicy!D"&amp;$J20)&amp;"|"&amp;$S20,CaseTypeSetMember!$H:$H,0)))))</f>
        <v>0</v>
      </c>
      <c r="N20" s="6" t="str">
        <f>IF(ISNA(MATCH($D20&amp;"|"&amp;$W20,UserAccessCasePolicy!$W:$W,0)),"",MATCH($D20&amp;"|"&amp;$W20,UserAccessCasePolicy!$W:$W,0))</f>
        <v/>
      </c>
      <c r="O20" s="6" t="b" cm="1">
        <f t="array" aca="1" ref="O20" ca="1">IF($N20="",FALSE,NOT(ISNA(MATCH(INDIRECT("UserAccessCasePolicy!D"&amp;$N20)&amp;"|"&amp;$S20,CaseTypeSetMember!$H:$H,0))))</f>
        <v>0</v>
      </c>
      <c r="P20" s="6" t="b" cm="1">
        <f t="array" aca="1" ref="P20" ca="1">IF($N20="",FALSE,AND(INDIRECT("UserAccessCasePolicy!G"&amp;$N20),NOT(ISNA(MATCH(INDIRECT("UserAccessCasePolicy!D"&amp;$N20)&amp;"|"&amp;$S20,CaseTypeSetMember!$H:$H,0)))))</f>
        <v>0</v>
      </c>
      <c r="Q20" s="6" t="b" cm="1">
        <f t="array" aca="1" ref="Q20" ca="1">IF($N20="",FALSE,AND(INDIRECT("UserAccessCasePolicy!H"&amp;$N20),NOT(ISNA(MATCH(INDIRECT("UserAccessCasePolicy!D"&amp;$N20)&amp;"|"&amp;$S20,CaseTypeSetMember!$H:$H,0)))))</f>
        <v>0</v>
      </c>
      <c r="R20" t="s">
        <v>645</v>
      </c>
      <c r="S20" t="s">
        <v>119</v>
      </c>
      <c r="T20" s="6" t="str">
        <f>INDEX(CaseType!$B:$B,MATCH($S20,CaseType!$A:$A,0))</f>
        <v>case_type1</v>
      </c>
      <c r="U20" s="6" t="b">
        <f>AND(IF($AA20="",TRUE,$S20=INDEX(CaseTypeCol!$B:$B,MATCH($AA20,CaseTypeCol!$A:$A,0))),IF($AH20="",TRUE,$S20=INDEX(CaseTypeCol!$B:$B,MATCH($AH20,CaseTypeCol!$A:$A,0))),IF($AO20="",TRUE,$S20=INDEX(CaseTypeCol!$B:$B,MATCH($AO20,CaseTypeCol!$A:$A,0))))</f>
        <v>1</v>
      </c>
      <c r="W20" t="s">
        <v>11</v>
      </c>
      <c r="X20" s="6" t="str">
        <f>INDEX(DataCollection!$B:$B,MATCH($W20,DataCollection!$A:$A,0))</f>
        <v>data_collection1</v>
      </c>
      <c r="Z20" s="14">
        <v>36526</v>
      </c>
      <c r="AA20" t="s">
        <v>142</v>
      </c>
      <c r="AB20" t="s">
        <v>663</v>
      </c>
      <c r="AC20" s="6" t="str">
        <f>IF($AA20="","",INDEX(CaseTypeCol!$G:$G,MATCH($AA20,CaseTypeCol!$A:$A,0)))</f>
        <v>case_type1_dim1_1_text</v>
      </c>
      <c r="AD20" s="6" t="b" cm="1">
        <f t="array" aca="1" ref="AD20" ca="1">IF($AA20="",TRUE,IF($J20="",FALSE,IF(INDIRECT("OrganizationAccessCasePolicy!J"&amp;$J20)="",FALSE,NOT(ISNA(MATCH(INDIRECT("OrganizationAccessCasePolicy!J"&amp;$J20)&amp;"|"&amp;$AA20,CaseTypeColSetMember!$H:$H,0))))))</f>
        <v>0</v>
      </c>
      <c r="AE20" s="6" t="b" cm="1">
        <f t="array" aca="1" ref="AE20" ca="1">IF($AA20="",TRUE,IF($J20="",FALSE,IF(INDIRECT("OrganizationAccessCasePolicy!L"&amp;$J20)="",FALSE,NOT(ISNA(MATCH(INDIRECT("OrganizationAccessCasePolicy!L"&amp;$J20)&amp;"|"&amp;$AA20,CaseTypeColSetMember!$H:$H,0))))))</f>
        <v>0</v>
      </c>
      <c r="AF20" s="6" t="b" cm="1">
        <f t="array" aca="1" ref="AF20" ca="1">IF($AA20="",TRUE,IF($N20="",FALSE,IF(INDIRECT("UserAccessCasePolicy!I"&amp;$N20)="",FALSE,NOT(ISNA(MATCH(INDIRECT("UserAccessCasePolicy!I"&amp;$N20)&amp;"|"&amp;$AA20,CaseTypeColSetMember!$H:$H,0))))))</f>
        <v>0</v>
      </c>
      <c r="AG20" s="6" t="b" cm="1">
        <f t="array" aca="1" ref="AG20" ca="1">IF($AA20="",TRUE,IF($N20="",FALSE,IF(INDIRECT("UserAccessCasePolicy!K"&amp;$N20)="",FALSE,NOT(ISNA(MATCH(INDIRECT("UserAccessCasePolicy!K"&amp;$N20)&amp;"|"&amp;$AA20,CaseTypeColSetMember!$H:$H,0))))))</f>
        <v>0</v>
      </c>
      <c r="AJ20" s="6" t="str">
        <f>IF($AH20="","",INDEX(CaseTypeCol!$G:$G,MATCH($AH20,CaseTypeCol!$A:$A,0)))</f>
        <v/>
      </c>
      <c r="AK20" s="6" t="b" cm="1">
        <f t="array" aca="1" ref="AK20" ca="1">IF($AH20="",TRUE,IF($J20="",FALSE,IF(INDIRECT("OrganizationAccessCasePolicy!J"&amp;$J20)="",FALSE,NOT(ISNA(MATCH(INDIRECT("OrganizationAccessCasePolicy!J"&amp;$J20)&amp;"|"&amp;$AH20,CaseTypeColSetMember!$H:$H,0))))))</f>
        <v>1</v>
      </c>
      <c r="AL20" s="6" t="b" cm="1">
        <f t="array" aca="1" ref="AL20" ca="1">IF($AH20="",TRUE,IF($J20="",FALSE,IF(INDIRECT("OrganizationAccessCasePolicy!L"&amp;$J20)="",FALSE,NOT(ISNA(MATCH(INDIRECT("OrganizationAccessCasePolicy!L"&amp;$J20)&amp;"|"&amp;$AH20,CaseTypeColSetMember!$H:$H,0))))))</f>
        <v>1</v>
      </c>
      <c r="AM20" s="6" t="b" cm="1">
        <f t="array" aca="1" ref="AM20" ca="1">IF($AH20="",TRUE,IF($N20="",FALSE,IF(INDIRECT("UserAccessCasePolicy!I"&amp;$N20)="",FALSE,NOT(ISNA(MATCH(INDIRECT("UserAccessCasePolicy!I"&amp;$N20)&amp;"|"&amp;$AH20,CaseTypeColSetMember!$H:$H,0))))))</f>
        <v>1</v>
      </c>
      <c r="AN20" s="6" t="b" cm="1">
        <f t="array" aca="1" ref="AN20" ca="1">IF($AH20="",TRUE,IF($N20="",FALSE,IF(INDIRECT("UserAccessCasePolicy!K"&amp;$N20)="",FALSE,NOT(ISNA(MATCH(INDIRECT("UserAccessCasePolicy!K"&amp;$N20)&amp;"|"&amp;$AH20,CaseTypeColSetMember!$H:$H,0))))))</f>
        <v>1</v>
      </c>
      <c r="AQ20" s="6" t="str">
        <f>IF($AO20="","",INDEX(CaseTypeCol!$G:$G,MATCH($AO20,CaseTypeCol!$A:$A,0)))</f>
        <v/>
      </c>
      <c r="AR20" s="6" t="b" cm="1">
        <f t="array" aca="1" ref="AR20" ca="1">IF($AO20="",TRUE,IF($J20="",FALSE,IF(INDIRECT("OrganizationAccessCasePolicy!J"&amp;$J20)="",FALSE,NOT(ISNA(MATCH(INDIRECT("OrganizationAccessCasePolicy!J"&amp;$J20)&amp;"|"&amp;$AO20,CaseTypeColSetMember!$H:$H,0))))))</f>
        <v>1</v>
      </c>
      <c r="AS20" s="6" t="b" cm="1">
        <f t="array" aca="1" ref="AS20" ca="1">IF($AO20="",TRUE,IF($J20="",FALSE,IF(INDIRECT("OrganizationAccessCasePolicy!L"&amp;$J20)="",FALSE,NOT(ISNA(MATCH(INDIRECT("OrganizationAccessCasePolicy!L"&amp;$J20)&amp;"|"&amp;$AO20,CaseTypeColSetMember!$H:$H,0))))))</f>
        <v>1</v>
      </c>
      <c r="AT20" s="6" t="b" cm="1">
        <f t="array" aca="1" ref="AT20" ca="1">IF($AO20="",TRUE,IF($N20="",FALSE,IF(INDIRECT("UserAccessCasePolicy!I"&amp;$N20)="",FALSE,NOT(ISNA(MATCH(INDIRECT("UserAccessCasePolicy!I"&amp;$N20)&amp;"|"&amp;$AO20,CaseTypeColSetMember!$H:$H,0))))))</f>
        <v>1</v>
      </c>
      <c r="AU20" s="6" t="b" cm="1">
        <f t="array" aca="1" ref="AU20" ca="1">IF($AO20="",TRUE,IF($N20="",FALSE,IF(INDIRECT("UserAccessCasePolicy!K"&amp;$N20)="",FALSE,NOT(ISNA(MATCH(INDIRECT("UserAccessCasePolicy!K"&amp;$N20)&amp;"|"&amp;$AO20,CaseTypeColSetMember!$H:$H,0))))))</f>
        <v>1</v>
      </c>
    </row>
    <row r="21" spans="1:47" x14ac:dyDescent="0.3">
      <c r="A21">
        <v>20</v>
      </c>
      <c r="B21" t="b">
        <v>1</v>
      </c>
      <c r="C21" t="s">
        <v>620</v>
      </c>
      <c r="D21" t="s">
        <v>20</v>
      </c>
      <c r="E21" s="6" t="str">
        <f>INDEX(User!$D:$D,MATCH($D21,User!$A:$A,0))</f>
        <v>org_user2_4</v>
      </c>
      <c r="F21" t="s">
        <v>721</v>
      </c>
      <c r="G21" s="19" t="b">
        <f t="shared" ca="1" si="0"/>
        <v>0</v>
      </c>
      <c r="H21" s="6" t="str">
        <f>INDEX(User!$G:$G,MATCH($D21,User!$A:$A,0))</f>
        <v>0195d18c-1c92-0ed4-2e94-b4f66d82baf3</v>
      </c>
      <c r="I21" s="6" t="b">
        <f>INDEX(User!$M:$M,MATCH($D21,User!$A:$A,0))</f>
        <v>0</v>
      </c>
      <c r="J21" s="6" t="str">
        <f>IF(ISNA(MATCH($H21&amp;"|"&amp;$W21,OrganizationAccessCasePolicy!$V:$V,0)),"",MATCH($H21&amp;"|"&amp;$W21,OrganizationAccessCasePolicy!$V:$V,0))</f>
        <v/>
      </c>
      <c r="K21" s="6" t="b" cm="1">
        <f t="array" aca="1" ref="K21" ca="1">IF($J21="",FALSE,NOT(ISNA(MATCH(INDIRECT("OrganizationAccessCasePolicy!D"&amp;$J21)&amp;"|"&amp;$S21,CaseTypeSetMember!$H:$H,0))))</f>
        <v>0</v>
      </c>
      <c r="L21" s="6" t="b" cm="1">
        <f t="array" aca="1" ref="L21" ca="1">IF($J21="",FALSE,AND(INDIRECT("OrganizationAccessCasePolicy!H"&amp;$J21),NOT(ISNA(MATCH(INDIRECT("OrganizationAccessCasePolicy!D"&amp;$J21)&amp;"|"&amp;$S21,CaseTypeSetMember!$H:$H,0)))))</f>
        <v>0</v>
      </c>
      <c r="M21" s="6" t="b" cm="1">
        <f t="array" aca="1" ref="M21" ca="1">IF($J21="",FALSE,AND(INDIRECT("OrganizationAccessCasePolicy!I"&amp;$J21),NOT(ISNA(MATCH(INDIRECT("OrganizationAccessCasePolicy!D"&amp;$J21)&amp;"|"&amp;$S21,CaseTypeSetMember!$H:$H,0)))))</f>
        <v>0</v>
      </c>
      <c r="N21" s="6" t="str">
        <f>IF(ISNA(MATCH($D21&amp;"|"&amp;$W21,UserAccessCasePolicy!$W:$W,0)),"",MATCH($D21&amp;"|"&amp;$W21,UserAccessCasePolicy!$W:$W,0))</f>
        <v/>
      </c>
      <c r="O21" s="6" t="b" cm="1">
        <f t="array" aca="1" ref="O21" ca="1">IF($N21="",FALSE,NOT(ISNA(MATCH(INDIRECT("UserAccessCasePolicy!D"&amp;$N21)&amp;"|"&amp;$S21,CaseTypeSetMember!$H:$H,0))))</f>
        <v>0</v>
      </c>
      <c r="P21" s="6" t="b" cm="1">
        <f t="array" aca="1" ref="P21" ca="1">IF($N21="",FALSE,AND(INDIRECT("UserAccessCasePolicy!G"&amp;$N21),NOT(ISNA(MATCH(INDIRECT("UserAccessCasePolicy!D"&amp;$N21)&amp;"|"&amp;$S21,CaseTypeSetMember!$H:$H,0)))))</f>
        <v>0</v>
      </c>
      <c r="Q21" s="6" t="b" cm="1">
        <f t="array" aca="1" ref="Q21" ca="1">IF($N21="",FALSE,AND(INDIRECT("UserAccessCasePolicy!H"&amp;$N21),NOT(ISNA(MATCH(INDIRECT("UserAccessCasePolicy!D"&amp;$N21)&amp;"|"&amp;$S21,CaseTypeSetMember!$H:$H,0)))))</f>
        <v>0</v>
      </c>
      <c r="R21" t="s">
        <v>646</v>
      </c>
      <c r="S21" t="s">
        <v>119</v>
      </c>
      <c r="T21" s="6" t="str">
        <f>INDEX(CaseType!$B:$B,MATCH($S21,CaseType!$A:$A,0))</f>
        <v>case_type1</v>
      </c>
      <c r="U21" s="6" t="b">
        <f>AND(IF($AA21="",TRUE,$S21=INDEX(CaseTypeCol!$B:$B,MATCH($AA21,CaseTypeCol!$A:$A,0))),IF($AH21="",TRUE,$S21=INDEX(CaseTypeCol!$B:$B,MATCH($AH21,CaseTypeCol!$A:$A,0))),IF($AO21="",TRUE,$S21=INDEX(CaseTypeCol!$B:$B,MATCH($AO21,CaseTypeCol!$A:$A,0))))</f>
        <v>1</v>
      </c>
      <c r="W21" t="s">
        <v>11</v>
      </c>
      <c r="X21" s="6" t="str">
        <f>INDEX(DataCollection!$B:$B,MATCH($W21,DataCollection!$A:$A,0))</f>
        <v>data_collection1</v>
      </c>
      <c r="Z21" s="14">
        <v>36526</v>
      </c>
      <c r="AA21" t="s">
        <v>142</v>
      </c>
      <c r="AB21" t="s">
        <v>663</v>
      </c>
      <c r="AC21" s="6" t="str">
        <f>IF($AA21="","",INDEX(CaseTypeCol!$G:$G,MATCH($AA21,CaseTypeCol!$A:$A,0)))</f>
        <v>case_type1_dim1_1_text</v>
      </c>
      <c r="AD21" s="6" t="b" cm="1">
        <f t="array" aca="1" ref="AD21" ca="1">IF($AA21="",TRUE,IF($J21="",FALSE,IF(INDIRECT("OrganizationAccessCasePolicy!J"&amp;$J21)="",FALSE,NOT(ISNA(MATCH(INDIRECT("OrganizationAccessCasePolicy!J"&amp;$J21)&amp;"|"&amp;$AA21,CaseTypeColSetMember!$H:$H,0))))))</f>
        <v>0</v>
      </c>
      <c r="AE21" s="6" t="b" cm="1">
        <f t="array" aca="1" ref="AE21" ca="1">IF($AA21="",TRUE,IF($J21="",FALSE,IF(INDIRECT("OrganizationAccessCasePolicy!L"&amp;$J21)="",FALSE,NOT(ISNA(MATCH(INDIRECT("OrganizationAccessCasePolicy!L"&amp;$J21)&amp;"|"&amp;$AA21,CaseTypeColSetMember!$H:$H,0))))))</f>
        <v>0</v>
      </c>
      <c r="AF21" s="6" t="b" cm="1">
        <f t="array" aca="1" ref="AF21" ca="1">IF($AA21="",TRUE,IF($N21="",FALSE,IF(INDIRECT("UserAccessCasePolicy!I"&amp;$N21)="",FALSE,NOT(ISNA(MATCH(INDIRECT("UserAccessCasePolicy!I"&amp;$N21)&amp;"|"&amp;$AA21,CaseTypeColSetMember!$H:$H,0))))))</f>
        <v>0</v>
      </c>
      <c r="AG21" s="6" t="b" cm="1">
        <f t="array" aca="1" ref="AG21" ca="1">IF($AA21="",TRUE,IF($N21="",FALSE,IF(INDIRECT("UserAccessCasePolicy!K"&amp;$N21)="",FALSE,NOT(ISNA(MATCH(INDIRECT("UserAccessCasePolicy!K"&amp;$N21)&amp;"|"&amp;$AA21,CaseTypeColSetMember!$H:$H,0))))))</f>
        <v>0</v>
      </c>
      <c r="AJ21" s="6" t="str">
        <f>IF($AH21="","",INDEX(CaseTypeCol!$G:$G,MATCH($AH21,CaseTypeCol!$A:$A,0)))</f>
        <v/>
      </c>
      <c r="AK21" s="6" t="b" cm="1">
        <f t="array" aca="1" ref="AK21" ca="1">IF($AH21="",TRUE,IF($J21="",FALSE,IF(INDIRECT("OrganizationAccessCasePolicy!J"&amp;$J21)="",FALSE,NOT(ISNA(MATCH(INDIRECT("OrganizationAccessCasePolicy!J"&amp;$J21)&amp;"|"&amp;$AH21,CaseTypeColSetMember!$H:$H,0))))))</f>
        <v>1</v>
      </c>
      <c r="AL21" s="6" t="b" cm="1">
        <f t="array" aca="1" ref="AL21" ca="1">IF($AH21="",TRUE,IF($J21="",FALSE,IF(INDIRECT("OrganizationAccessCasePolicy!L"&amp;$J21)="",FALSE,NOT(ISNA(MATCH(INDIRECT("OrganizationAccessCasePolicy!L"&amp;$J21)&amp;"|"&amp;$AH21,CaseTypeColSetMember!$H:$H,0))))))</f>
        <v>1</v>
      </c>
      <c r="AM21" s="6" t="b" cm="1">
        <f t="array" aca="1" ref="AM21" ca="1">IF($AH21="",TRUE,IF($N21="",FALSE,IF(INDIRECT("UserAccessCasePolicy!I"&amp;$N21)="",FALSE,NOT(ISNA(MATCH(INDIRECT("UserAccessCasePolicy!I"&amp;$N21)&amp;"|"&amp;$AH21,CaseTypeColSetMember!$H:$H,0))))))</f>
        <v>1</v>
      </c>
      <c r="AN21" s="6" t="b" cm="1">
        <f t="array" aca="1" ref="AN21" ca="1">IF($AH21="",TRUE,IF($N21="",FALSE,IF(INDIRECT("UserAccessCasePolicy!K"&amp;$N21)="",FALSE,NOT(ISNA(MATCH(INDIRECT("UserAccessCasePolicy!K"&amp;$N21)&amp;"|"&amp;$AH21,CaseTypeColSetMember!$H:$H,0))))))</f>
        <v>1</v>
      </c>
      <c r="AQ21" s="6" t="str">
        <f>IF($AO21="","",INDEX(CaseTypeCol!$G:$G,MATCH($AO21,CaseTypeCol!$A:$A,0)))</f>
        <v/>
      </c>
      <c r="AR21" s="6" t="b" cm="1">
        <f t="array" aca="1" ref="AR21" ca="1">IF($AO21="",TRUE,IF($J21="",FALSE,IF(INDIRECT("OrganizationAccessCasePolicy!J"&amp;$J21)="",FALSE,NOT(ISNA(MATCH(INDIRECT("OrganizationAccessCasePolicy!J"&amp;$J21)&amp;"|"&amp;$AO21,CaseTypeColSetMember!$H:$H,0))))))</f>
        <v>1</v>
      </c>
      <c r="AS21" s="6" t="b" cm="1">
        <f t="array" aca="1" ref="AS21" ca="1">IF($AO21="",TRUE,IF($J21="",FALSE,IF(INDIRECT("OrganizationAccessCasePolicy!L"&amp;$J21)="",FALSE,NOT(ISNA(MATCH(INDIRECT("OrganizationAccessCasePolicy!L"&amp;$J21)&amp;"|"&amp;$AO21,CaseTypeColSetMember!$H:$H,0))))))</f>
        <v>1</v>
      </c>
      <c r="AT21" s="6" t="b" cm="1">
        <f t="array" aca="1" ref="AT21" ca="1">IF($AO21="",TRUE,IF($N21="",FALSE,IF(INDIRECT("UserAccessCasePolicy!I"&amp;$N21)="",FALSE,NOT(ISNA(MATCH(INDIRECT("UserAccessCasePolicy!I"&amp;$N21)&amp;"|"&amp;$AO21,CaseTypeColSetMember!$H:$H,0))))))</f>
        <v>1</v>
      </c>
      <c r="AU21" s="6" t="b" cm="1">
        <f t="array" aca="1" ref="AU21" ca="1">IF($AO21="",TRUE,IF($N21="",FALSE,IF(INDIRECT("UserAccessCasePolicy!K"&amp;$N21)="",FALSE,NOT(ISNA(MATCH(INDIRECT("UserAccessCasePolicy!K"&amp;$N21)&amp;"|"&amp;$AO21,CaseTypeColSetMember!$H:$H,0))))))</f>
        <v>1</v>
      </c>
    </row>
    <row r="22" spans="1:47" x14ac:dyDescent="0.3">
      <c r="A22">
        <v>21</v>
      </c>
      <c r="B22" t="b">
        <v>1</v>
      </c>
      <c r="C22" t="s">
        <v>621</v>
      </c>
      <c r="D22" t="s">
        <v>22</v>
      </c>
      <c r="E22" s="6" t="str">
        <f>INDEX(User!$D:$D,MATCH($D22,User!$A:$A,0))</f>
        <v>org_user3_1</v>
      </c>
      <c r="F22" t="s">
        <v>721</v>
      </c>
      <c r="G22" s="19" t="b">
        <f t="shared" ca="1" si="0"/>
        <v>0</v>
      </c>
      <c r="H22" s="6" t="str">
        <f>INDEX(User!$G:$G,MATCH($D22,User!$A:$A,0))</f>
        <v>0195d18c-1c92-52b3-93e0-43dc1f2aa037</v>
      </c>
      <c r="I22" s="6" t="b">
        <f>INDEX(User!$M:$M,MATCH($D22,User!$A:$A,0))</f>
        <v>0</v>
      </c>
      <c r="J22" s="6" t="str">
        <f>IF(ISNA(MATCH($H22&amp;"|"&amp;$W22,OrganizationAccessCasePolicy!$V:$V,0)),"",MATCH($H22&amp;"|"&amp;$W22,OrganizationAccessCasePolicy!$V:$V,0))</f>
        <v/>
      </c>
      <c r="K22" s="6" t="b" cm="1">
        <f t="array" aca="1" ref="K22" ca="1">IF($J22="",FALSE,NOT(ISNA(MATCH(INDIRECT("OrganizationAccessCasePolicy!D"&amp;$J22)&amp;"|"&amp;$S22,CaseTypeSetMember!$H:$H,0))))</f>
        <v>0</v>
      </c>
      <c r="L22" s="6" t="b" cm="1">
        <f t="array" aca="1" ref="L22" ca="1">IF($J22="",FALSE,AND(INDIRECT("OrganizationAccessCasePolicy!H"&amp;$J22),NOT(ISNA(MATCH(INDIRECT("OrganizationAccessCasePolicy!D"&amp;$J22)&amp;"|"&amp;$S22,CaseTypeSetMember!$H:$H,0)))))</f>
        <v>0</v>
      </c>
      <c r="M22" s="6" t="b" cm="1">
        <f t="array" aca="1" ref="M22" ca="1">IF($J22="",FALSE,AND(INDIRECT("OrganizationAccessCasePolicy!I"&amp;$J22),NOT(ISNA(MATCH(INDIRECT("OrganizationAccessCasePolicy!D"&amp;$J22)&amp;"|"&amp;$S22,CaseTypeSetMember!$H:$H,0)))))</f>
        <v>0</v>
      </c>
      <c r="N22" s="6" t="str">
        <f>IF(ISNA(MATCH($D22&amp;"|"&amp;$W22,UserAccessCasePolicy!$W:$W,0)),"",MATCH($D22&amp;"|"&amp;$W22,UserAccessCasePolicy!$W:$W,0))</f>
        <v/>
      </c>
      <c r="O22" s="6" t="b" cm="1">
        <f t="array" aca="1" ref="O22" ca="1">IF($N22="",FALSE,NOT(ISNA(MATCH(INDIRECT("UserAccessCasePolicy!D"&amp;$N22)&amp;"|"&amp;$S22,CaseTypeSetMember!$H:$H,0))))</f>
        <v>0</v>
      </c>
      <c r="P22" s="6" t="b" cm="1">
        <f t="array" aca="1" ref="P22" ca="1">IF($N22="",FALSE,AND(INDIRECT("UserAccessCasePolicy!G"&amp;$N22),NOT(ISNA(MATCH(INDIRECT("UserAccessCasePolicy!D"&amp;$N22)&amp;"|"&amp;$S22,CaseTypeSetMember!$H:$H,0)))))</f>
        <v>0</v>
      </c>
      <c r="Q22" s="6" t="b" cm="1">
        <f t="array" aca="1" ref="Q22" ca="1">IF($N22="",FALSE,AND(INDIRECT("UserAccessCasePolicy!H"&amp;$N22),NOT(ISNA(MATCH(INDIRECT("UserAccessCasePolicy!D"&amp;$N22)&amp;"|"&amp;$S22,CaseTypeSetMember!$H:$H,0)))))</f>
        <v>0</v>
      </c>
      <c r="R22" t="s">
        <v>647</v>
      </c>
      <c r="S22" t="s">
        <v>119</v>
      </c>
      <c r="T22" s="6" t="str">
        <f>INDEX(CaseType!$B:$B,MATCH($S22,CaseType!$A:$A,0))</f>
        <v>case_type1</v>
      </c>
      <c r="U22" s="6" t="b">
        <f>AND(IF($AA22="",TRUE,$S22=INDEX(CaseTypeCol!$B:$B,MATCH($AA22,CaseTypeCol!$A:$A,0))),IF($AH22="",TRUE,$S22=INDEX(CaseTypeCol!$B:$B,MATCH($AH22,CaseTypeCol!$A:$A,0))),IF($AO22="",TRUE,$S22=INDEX(CaseTypeCol!$B:$B,MATCH($AO22,CaseTypeCol!$A:$A,0))))</f>
        <v>1</v>
      </c>
      <c r="W22" t="s">
        <v>11</v>
      </c>
      <c r="X22" s="6" t="str">
        <f>INDEX(DataCollection!$B:$B,MATCH($W22,DataCollection!$A:$A,0))</f>
        <v>data_collection1</v>
      </c>
      <c r="Z22" s="14">
        <v>36526</v>
      </c>
      <c r="AA22" t="s">
        <v>142</v>
      </c>
      <c r="AB22" t="s">
        <v>663</v>
      </c>
      <c r="AC22" s="6" t="str">
        <f>IF($AA22="","",INDEX(CaseTypeCol!$G:$G,MATCH($AA22,CaseTypeCol!$A:$A,0)))</f>
        <v>case_type1_dim1_1_text</v>
      </c>
      <c r="AD22" s="6" t="b" cm="1">
        <f t="array" aca="1" ref="AD22" ca="1">IF($AA22="",TRUE,IF($J22="",FALSE,IF(INDIRECT("OrganizationAccessCasePolicy!J"&amp;$J22)="",FALSE,NOT(ISNA(MATCH(INDIRECT("OrganizationAccessCasePolicy!J"&amp;$J22)&amp;"|"&amp;$AA22,CaseTypeColSetMember!$H:$H,0))))))</f>
        <v>0</v>
      </c>
      <c r="AE22" s="6" t="b" cm="1">
        <f t="array" aca="1" ref="AE22" ca="1">IF($AA22="",TRUE,IF($J22="",FALSE,IF(INDIRECT("OrganizationAccessCasePolicy!L"&amp;$J22)="",FALSE,NOT(ISNA(MATCH(INDIRECT("OrganizationAccessCasePolicy!L"&amp;$J22)&amp;"|"&amp;$AA22,CaseTypeColSetMember!$H:$H,0))))))</f>
        <v>0</v>
      </c>
      <c r="AF22" s="6" t="b" cm="1">
        <f t="array" aca="1" ref="AF22" ca="1">IF($AA22="",TRUE,IF($N22="",FALSE,IF(INDIRECT("UserAccessCasePolicy!I"&amp;$N22)="",FALSE,NOT(ISNA(MATCH(INDIRECT("UserAccessCasePolicy!I"&amp;$N22)&amp;"|"&amp;$AA22,CaseTypeColSetMember!$H:$H,0))))))</f>
        <v>0</v>
      </c>
      <c r="AG22" s="6" t="b" cm="1">
        <f t="array" aca="1" ref="AG22" ca="1">IF($AA22="",TRUE,IF($N22="",FALSE,IF(INDIRECT("UserAccessCasePolicy!K"&amp;$N22)="",FALSE,NOT(ISNA(MATCH(INDIRECT("UserAccessCasePolicy!K"&amp;$N22)&amp;"|"&amp;$AA22,CaseTypeColSetMember!$H:$H,0))))))</f>
        <v>0</v>
      </c>
      <c r="AJ22" s="6" t="str">
        <f>IF($AH22="","",INDEX(CaseTypeCol!$G:$G,MATCH($AH22,CaseTypeCol!$A:$A,0)))</f>
        <v/>
      </c>
      <c r="AK22" s="6" t="b" cm="1">
        <f t="array" aca="1" ref="AK22" ca="1">IF($AH22="",TRUE,IF($J22="",FALSE,IF(INDIRECT("OrganizationAccessCasePolicy!J"&amp;$J22)="",FALSE,NOT(ISNA(MATCH(INDIRECT("OrganizationAccessCasePolicy!J"&amp;$J22)&amp;"|"&amp;$AH22,CaseTypeColSetMember!$H:$H,0))))))</f>
        <v>1</v>
      </c>
      <c r="AL22" s="6" t="b" cm="1">
        <f t="array" aca="1" ref="AL22" ca="1">IF($AH22="",TRUE,IF($J22="",FALSE,IF(INDIRECT("OrganizationAccessCasePolicy!L"&amp;$J22)="",FALSE,NOT(ISNA(MATCH(INDIRECT("OrganizationAccessCasePolicy!L"&amp;$J22)&amp;"|"&amp;$AH22,CaseTypeColSetMember!$H:$H,0))))))</f>
        <v>1</v>
      </c>
      <c r="AM22" s="6" t="b" cm="1">
        <f t="array" aca="1" ref="AM22" ca="1">IF($AH22="",TRUE,IF($N22="",FALSE,IF(INDIRECT("UserAccessCasePolicy!I"&amp;$N22)="",FALSE,NOT(ISNA(MATCH(INDIRECT("UserAccessCasePolicy!I"&amp;$N22)&amp;"|"&amp;$AH22,CaseTypeColSetMember!$H:$H,0))))))</f>
        <v>1</v>
      </c>
      <c r="AN22" s="6" t="b" cm="1">
        <f t="array" aca="1" ref="AN22" ca="1">IF($AH22="",TRUE,IF($N22="",FALSE,IF(INDIRECT("UserAccessCasePolicy!K"&amp;$N22)="",FALSE,NOT(ISNA(MATCH(INDIRECT("UserAccessCasePolicy!K"&amp;$N22)&amp;"|"&amp;$AH22,CaseTypeColSetMember!$H:$H,0))))))</f>
        <v>1</v>
      </c>
      <c r="AQ22" s="6" t="str">
        <f>IF($AO22="","",INDEX(CaseTypeCol!$G:$G,MATCH($AO22,CaseTypeCol!$A:$A,0)))</f>
        <v/>
      </c>
      <c r="AR22" s="6" t="b" cm="1">
        <f t="array" aca="1" ref="AR22" ca="1">IF($AO22="",TRUE,IF($J22="",FALSE,IF(INDIRECT("OrganizationAccessCasePolicy!J"&amp;$J22)="",FALSE,NOT(ISNA(MATCH(INDIRECT("OrganizationAccessCasePolicy!J"&amp;$J22)&amp;"|"&amp;$AO22,CaseTypeColSetMember!$H:$H,0))))))</f>
        <v>1</v>
      </c>
      <c r="AS22" s="6" t="b" cm="1">
        <f t="array" aca="1" ref="AS22" ca="1">IF($AO22="",TRUE,IF($J22="",FALSE,IF(INDIRECT("OrganizationAccessCasePolicy!L"&amp;$J22)="",FALSE,NOT(ISNA(MATCH(INDIRECT("OrganizationAccessCasePolicy!L"&amp;$J22)&amp;"|"&amp;$AO22,CaseTypeColSetMember!$H:$H,0))))))</f>
        <v>1</v>
      </c>
      <c r="AT22" s="6" t="b" cm="1">
        <f t="array" aca="1" ref="AT22" ca="1">IF($AO22="",TRUE,IF($N22="",FALSE,IF(INDIRECT("UserAccessCasePolicy!I"&amp;$N22)="",FALSE,NOT(ISNA(MATCH(INDIRECT("UserAccessCasePolicy!I"&amp;$N22)&amp;"|"&amp;$AO22,CaseTypeColSetMember!$H:$H,0))))))</f>
        <v>1</v>
      </c>
      <c r="AU22" s="6" t="b" cm="1">
        <f t="array" aca="1" ref="AU22" ca="1">IF($AO22="",TRUE,IF($N22="",FALSE,IF(INDIRECT("UserAccessCasePolicy!K"&amp;$N22)="",FALSE,NOT(ISNA(MATCH(INDIRECT("UserAccessCasePolicy!K"&amp;$N22)&amp;"|"&amp;$AO22,CaseTypeColSetMember!$H:$H,0))))))</f>
        <v>1</v>
      </c>
    </row>
    <row r="23" spans="1:47" x14ac:dyDescent="0.3">
      <c r="A23">
        <v>22</v>
      </c>
      <c r="B23" t="b">
        <v>1</v>
      </c>
      <c r="C23" t="s">
        <v>622</v>
      </c>
      <c r="D23" t="s">
        <v>24</v>
      </c>
      <c r="E23" s="6" t="str">
        <f>INDEX(User!$D:$D,MATCH($D23,User!$A:$A,0))</f>
        <v>org_user3_2</v>
      </c>
      <c r="F23" t="s">
        <v>721</v>
      </c>
      <c r="G23" s="19" t="b">
        <f t="shared" ca="1" si="0"/>
        <v>0</v>
      </c>
      <c r="H23" s="6" t="str">
        <f>INDEX(User!$G:$G,MATCH($D23,User!$A:$A,0))</f>
        <v>0195d18c-1c92-52b3-93e0-43dc1f2aa037</v>
      </c>
      <c r="I23" s="6" t="b">
        <f>INDEX(User!$M:$M,MATCH($D23,User!$A:$A,0))</f>
        <v>0</v>
      </c>
      <c r="J23" s="6" t="str">
        <f>IF(ISNA(MATCH($H23&amp;"|"&amp;$W23,OrganizationAccessCasePolicy!$V:$V,0)),"",MATCH($H23&amp;"|"&amp;$W23,OrganizationAccessCasePolicy!$V:$V,0))</f>
        <v/>
      </c>
      <c r="K23" s="6" t="b" cm="1">
        <f t="array" aca="1" ref="K23" ca="1">IF($J23="",FALSE,NOT(ISNA(MATCH(INDIRECT("OrganizationAccessCasePolicy!D"&amp;$J23)&amp;"|"&amp;$S23,CaseTypeSetMember!$H:$H,0))))</f>
        <v>0</v>
      </c>
      <c r="L23" s="6" t="b" cm="1">
        <f t="array" aca="1" ref="L23" ca="1">IF($J23="",FALSE,AND(INDIRECT("OrganizationAccessCasePolicy!H"&amp;$J23),NOT(ISNA(MATCH(INDIRECT("OrganizationAccessCasePolicy!D"&amp;$J23)&amp;"|"&amp;$S23,CaseTypeSetMember!$H:$H,0)))))</f>
        <v>0</v>
      </c>
      <c r="M23" s="6" t="b" cm="1">
        <f t="array" aca="1" ref="M23" ca="1">IF($J23="",FALSE,AND(INDIRECT("OrganizationAccessCasePolicy!I"&amp;$J23),NOT(ISNA(MATCH(INDIRECT("OrganizationAccessCasePolicy!D"&amp;$J23)&amp;"|"&amp;$S23,CaseTypeSetMember!$H:$H,0)))))</f>
        <v>0</v>
      </c>
      <c r="N23" s="6" t="str">
        <f>IF(ISNA(MATCH($D23&amp;"|"&amp;$W23,UserAccessCasePolicy!$W:$W,0)),"",MATCH($D23&amp;"|"&amp;$W23,UserAccessCasePolicy!$W:$W,0))</f>
        <v/>
      </c>
      <c r="O23" s="6" t="b" cm="1">
        <f t="array" aca="1" ref="O23" ca="1">IF($N23="",FALSE,NOT(ISNA(MATCH(INDIRECT("UserAccessCasePolicy!D"&amp;$N23)&amp;"|"&amp;$S23,CaseTypeSetMember!$H:$H,0))))</f>
        <v>0</v>
      </c>
      <c r="P23" s="6" t="b" cm="1">
        <f t="array" aca="1" ref="P23" ca="1">IF($N23="",FALSE,AND(INDIRECT("UserAccessCasePolicy!G"&amp;$N23),NOT(ISNA(MATCH(INDIRECT("UserAccessCasePolicy!D"&amp;$N23)&amp;"|"&amp;$S23,CaseTypeSetMember!$H:$H,0)))))</f>
        <v>0</v>
      </c>
      <c r="Q23" s="6" t="b" cm="1">
        <f t="array" aca="1" ref="Q23" ca="1">IF($N23="",FALSE,AND(INDIRECT("UserAccessCasePolicy!H"&amp;$N23),NOT(ISNA(MATCH(INDIRECT("UserAccessCasePolicy!D"&amp;$N23)&amp;"|"&amp;$S23,CaseTypeSetMember!$H:$H,0)))))</f>
        <v>0</v>
      </c>
      <c r="R23" t="s">
        <v>648</v>
      </c>
      <c r="S23" t="s">
        <v>119</v>
      </c>
      <c r="T23" s="6" t="str">
        <f>INDEX(CaseType!$B:$B,MATCH($S23,CaseType!$A:$A,0))</f>
        <v>case_type1</v>
      </c>
      <c r="U23" s="6" t="b">
        <f>AND(IF($AA23="",TRUE,$S23=INDEX(CaseTypeCol!$B:$B,MATCH($AA23,CaseTypeCol!$A:$A,0))),IF($AH23="",TRUE,$S23=INDEX(CaseTypeCol!$B:$B,MATCH($AH23,CaseTypeCol!$A:$A,0))),IF($AO23="",TRUE,$S23=INDEX(CaseTypeCol!$B:$B,MATCH($AO23,CaseTypeCol!$A:$A,0))))</f>
        <v>1</v>
      </c>
      <c r="W23" t="s">
        <v>11</v>
      </c>
      <c r="X23" s="6" t="str">
        <f>INDEX(DataCollection!$B:$B,MATCH($W23,DataCollection!$A:$A,0))</f>
        <v>data_collection1</v>
      </c>
      <c r="Z23" s="14">
        <v>36526</v>
      </c>
      <c r="AA23" t="s">
        <v>142</v>
      </c>
      <c r="AB23" t="s">
        <v>663</v>
      </c>
      <c r="AC23" s="6" t="str">
        <f>IF($AA23="","",INDEX(CaseTypeCol!$G:$G,MATCH($AA23,CaseTypeCol!$A:$A,0)))</f>
        <v>case_type1_dim1_1_text</v>
      </c>
      <c r="AD23" s="6" t="b" cm="1">
        <f t="array" aca="1" ref="AD23" ca="1">IF($AA23="",TRUE,IF($J23="",FALSE,IF(INDIRECT("OrganizationAccessCasePolicy!J"&amp;$J23)="",FALSE,NOT(ISNA(MATCH(INDIRECT("OrganizationAccessCasePolicy!J"&amp;$J23)&amp;"|"&amp;$AA23,CaseTypeColSetMember!$H:$H,0))))))</f>
        <v>0</v>
      </c>
      <c r="AE23" s="6" t="b" cm="1">
        <f t="array" aca="1" ref="AE23" ca="1">IF($AA23="",TRUE,IF($J23="",FALSE,IF(INDIRECT("OrganizationAccessCasePolicy!L"&amp;$J23)="",FALSE,NOT(ISNA(MATCH(INDIRECT("OrganizationAccessCasePolicy!L"&amp;$J23)&amp;"|"&amp;$AA23,CaseTypeColSetMember!$H:$H,0))))))</f>
        <v>0</v>
      </c>
      <c r="AF23" s="6" t="b" cm="1">
        <f t="array" aca="1" ref="AF23" ca="1">IF($AA23="",TRUE,IF($N23="",FALSE,IF(INDIRECT("UserAccessCasePolicy!I"&amp;$N23)="",FALSE,NOT(ISNA(MATCH(INDIRECT("UserAccessCasePolicy!I"&amp;$N23)&amp;"|"&amp;$AA23,CaseTypeColSetMember!$H:$H,0))))))</f>
        <v>0</v>
      </c>
      <c r="AG23" s="6" t="b" cm="1">
        <f t="array" aca="1" ref="AG23" ca="1">IF($AA23="",TRUE,IF($N23="",FALSE,IF(INDIRECT("UserAccessCasePolicy!K"&amp;$N23)="",FALSE,NOT(ISNA(MATCH(INDIRECT("UserAccessCasePolicy!K"&amp;$N23)&amp;"|"&amp;$AA23,CaseTypeColSetMember!$H:$H,0))))))</f>
        <v>0</v>
      </c>
      <c r="AJ23" s="6" t="str">
        <f>IF($AH23="","",INDEX(CaseTypeCol!$G:$G,MATCH($AH23,CaseTypeCol!$A:$A,0)))</f>
        <v/>
      </c>
      <c r="AK23" s="6" t="b" cm="1">
        <f t="array" aca="1" ref="AK23" ca="1">IF($AH23="",TRUE,IF($J23="",FALSE,IF(INDIRECT("OrganizationAccessCasePolicy!J"&amp;$J23)="",FALSE,NOT(ISNA(MATCH(INDIRECT("OrganizationAccessCasePolicy!J"&amp;$J23)&amp;"|"&amp;$AH23,CaseTypeColSetMember!$H:$H,0))))))</f>
        <v>1</v>
      </c>
      <c r="AL23" s="6" t="b" cm="1">
        <f t="array" aca="1" ref="AL23" ca="1">IF($AH23="",TRUE,IF($J23="",FALSE,IF(INDIRECT("OrganizationAccessCasePolicy!L"&amp;$J23)="",FALSE,NOT(ISNA(MATCH(INDIRECT("OrganizationAccessCasePolicy!L"&amp;$J23)&amp;"|"&amp;$AH23,CaseTypeColSetMember!$H:$H,0))))))</f>
        <v>1</v>
      </c>
      <c r="AM23" s="6" t="b" cm="1">
        <f t="array" aca="1" ref="AM23" ca="1">IF($AH23="",TRUE,IF($N23="",FALSE,IF(INDIRECT("UserAccessCasePolicy!I"&amp;$N23)="",FALSE,NOT(ISNA(MATCH(INDIRECT("UserAccessCasePolicy!I"&amp;$N23)&amp;"|"&amp;$AH23,CaseTypeColSetMember!$H:$H,0))))))</f>
        <v>1</v>
      </c>
      <c r="AN23" s="6" t="b" cm="1">
        <f t="array" aca="1" ref="AN23" ca="1">IF($AH23="",TRUE,IF($N23="",FALSE,IF(INDIRECT("UserAccessCasePolicy!K"&amp;$N23)="",FALSE,NOT(ISNA(MATCH(INDIRECT("UserAccessCasePolicy!K"&amp;$N23)&amp;"|"&amp;$AH23,CaseTypeColSetMember!$H:$H,0))))))</f>
        <v>1</v>
      </c>
      <c r="AQ23" s="6" t="str">
        <f>IF($AO23="","",INDEX(CaseTypeCol!$G:$G,MATCH($AO23,CaseTypeCol!$A:$A,0)))</f>
        <v/>
      </c>
      <c r="AR23" s="6" t="b" cm="1">
        <f t="array" aca="1" ref="AR23" ca="1">IF($AO23="",TRUE,IF($J23="",FALSE,IF(INDIRECT("OrganizationAccessCasePolicy!J"&amp;$J23)="",FALSE,NOT(ISNA(MATCH(INDIRECT("OrganizationAccessCasePolicy!J"&amp;$J23)&amp;"|"&amp;$AO23,CaseTypeColSetMember!$H:$H,0))))))</f>
        <v>1</v>
      </c>
      <c r="AS23" s="6" t="b" cm="1">
        <f t="array" aca="1" ref="AS23" ca="1">IF($AO23="",TRUE,IF($J23="",FALSE,IF(INDIRECT("OrganizationAccessCasePolicy!L"&amp;$J23)="",FALSE,NOT(ISNA(MATCH(INDIRECT("OrganizationAccessCasePolicy!L"&amp;$J23)&amp;"|"&amp;$AO23,CaseTypeColSetMember!$H:$H,0))))))</f>
        <v>1</v>
      </c>
      <c r="AT23" s="6" t="b" cm="1">
        <f t="array" aca="1" ref="AT23" ca="1">IF($AO23="",TRUE,IF($N23="",FALSE,IF(INDIRECT("UserAccessCasePolicy!I"&amp;$N23)="",FALSE,NOT(ISNA(MATCH(INDIRECT("UserAccessCasePolicy!I"&amp;$N23)&amp;"|"&amp;$AO23,CaseTypeColSetMember!$H:$H,0))))))</f>
        <v>1</v>
      </c>
      <c r="AU23" s="6" t="b" cm="1">
        <f t="array" aca="1" ref="AU23" ca="1">IF($AO23="",TRUE,IF($N23="",FALSE,IF(INDIRECT("UserAccessCasePolicy!K"&amp;$N23)="",FALSE,NOT(ISNA(MATCH(INDIRECT("UserAccessCasePolicy!K"&amp;$N23)&amp;"|"&amp;$AO23,CaseTypeColSetMember!$H:$H,0))))))</f>
        <v>1</v>
      </c>
    </row>
    <row r="24" spans="1:47" x14ac:dyDescent="0.3">
      <c r="A24">
        <v>23</v>
      </c>
      <c r="B24" t="b">
        <v>1</v>
      </c>
      <c r="C24" t="s">
        <v>623</v>
      </c>
      <c r="D24" t="s">
        <v>25</v>
      </c>
      <c r="E24" s="6" t="str">
        <f>INDEX(User!$D:$D,MATCH($D24,User!$A:$A,0))</f>
        <v>org_user3_3</v>
      </c>
      <c r="F24" t="s">
        <v>721</v>
      </c>
      <c r="G24" s="19" t="b">
        <f t="shared" ca="1" si="0"/>
        <v>0</v>
      </c>
      <c r="H24" s="6" t="str">
        <f>INDEX(User!$G:$G,MATCH($D24,User!$A:$A,0))</f>
        <v>0195d18c-1c92-52b3-93e0-43dc1f2aa037</v>
      </c>
      <c r="I24" s="6" t="b">
        <f>INDEX(User!$M:$M,MATCH($D24,User!$A:$A,0))</f>
        <v>0</v>
      </c>
      <c r="J24" s="6" t="str">
        <f>IF(ISNA(MATCH($H24&amp;"|"&amp;$W24,OrganizationAccessCasePolicy!$V:$V,0)),"",MATCH($H24&amp;"|"&amp;$W24,OrganizationAccessCasePolicy!$V:$V,0))</f>
        <v/>
      </c>
      <c r="K24" s="6" t="b" cm="1">
        <f t="array" aca="1" ref="K24" ca="1">IF($J24="",FALSE,NOT(ISNA(MATCH(INDIRECT("OrganizationAccessCasePolicy!D"&amp;$J24)&amp;"|"&amp;$S24,CaseTypeSetMember!$H:$H,0))))</f>
        <v>0</v>
      </c>
      <c r="L24" s="6" t="b" cm="1">
        <f t="array" aca="1" ref="L24" ca="1">IF($J24="",FALSE,AND(INDIRECT("OrganizationAccessCasePolicy!H"&amp;$J24),NOT(ISNA(MATCH(INDIRECT("OrganizationAccessCasePolicy!D"&amp;$J24)&amp;"|"&amp;$S24,CaseTypeSetMember!$H:$H,0)))))</f>
        <v>0</v>
      </c>
      <c r="M24" s="6" t="b" cm="1">
        <f t="array" aca="1" ref="M24" ca="1">IF($J24="",FALSE,AND(INDIRECT("OrganizationAccessCasePolicy!I"&amp;$J24),NOT(ISNA(MATCH(INDIRECT("OrganizationAccessCasePolicy!D"&amp;$J24)&amp;"|"&amp;$S24,CaseTypeSetMember!$H:$H,0)))))</f>
        <v>0</v>
      </c>
      <c r="N24" s="6" t="str">
        <f>IF(ISNA(MATCH($D24&amp;"|"&amp;$W24,UserAccessCasePolicy!$W:$W,0)),"",MATCH($D24&amp;"|"&amp;$W24,UserAccessCasePolicy!$W:$W,0))</f>
        <v/>
      </c>
      <c r="O24" s="6" t="b" cm="1">
        <f t="array" aca="1" ref="O24" ca="1">IF($N24="",FALSE,NOT(ISNA(MATCH(INDIRECT("UserAccessCasePolicy!D"&amp;$N24)&amp;"|"&amp;$S24,CaseTypeSetMember!$H:$H,0))))</f>
        <v>0</v>
      </c>
      <c r="P24" s="6" t="b" cm="1">
        <f t="array" aca="1" ref="P24" ca="1">IF($N24="",FALSE,AND(INDIRECT("UserAccessCasePolicy!G"&amp;$N24),NOT(ISNA(MATCH(INDIRECT("UserAccessCasePolicy!D"&amp;$N24)&amp;"|"&amp;$S24,CaseTypeSetMember!$H:$H,0)))))</f>
        <v>0</v>
      </c>
      <c r="Q24" s="6" t="b" cm="1">
        <f t="array" aca="1" ref="Q24" ca="1">IF($N24="",FALSE,AND(INDIRECT("UserAccessCasePolicy!H"&amp;$N24),NOT(ISNA(MATCH(INDIRECT("UserAccessCasePolicy!D"&amp;$N24)&amp;"|"&amp;$S24,CaseTypeSetMember!$H:$H,0)))))</f>
        <v>0</v>
      </c>
      <c r="R24" t="s">
        <v>649</v>
      </c>
      <c r="S24" t="s">
        <v>119</v>
      </c>
      <c r="T24" s="6" t="str">
        <f>INDEX(CaseType!$B:$B,MATCH($S24,CaseType!$A:$A,0))</f>
        <v>case_type1</v>
      </c>
      <c r="U24" s="6" t="b">
        <f>AND(IF($AA24="",TRUE,$S24=INDEX(CaseTypeCol!$B:$B,MATCH($AA24,CaseTypeCol!$A:$A,0))),IF($AH24="",TRUE,$S24=INDEX(CaseTypeCol!$B:$B,MATCH($AH24,CaseTypeCol!$A:$A,0))),IF($AO24="",TRUE,$S24=INDEX(CaseTypeCol!$B:$B,MATCH($AO24,CaseTypeCol!$A:$A,0))))</f>
        <v>1</v>
      </c>
      <c r="W24" t="s">
        <v>11</v>
      </c>
      <c r="X24" s="6" t="str">
        <f>INDEX(DataCollection!$B:$B,MATCH($W24,DataCollection!$A:$A,0))</f>
        <v>data_collection1</v>
      </c>
      <c r="Z24" s="14">
        <v>36526</v>
      </c>
      <c r="AA24" t="s">
        <v>142</v>
      </c>
      <c r="AB24" t="s">
        <v>663</v>
      </c>
      <c r="AC24" s="6" t="str">
        <f>IF($AA24="","",INDEX(CaseTypeCol!$G:$G,MATCH($AA24,CaseTypeCol!$A:$A,0)))</f>
        <v>case_type1_dim1_1_text</v>
      </c>
      <c r="AD24" s="6" t="b" cm="1">
        <f t="array" aca="1" ref="AD24" ca="1">IF($AA24="",TRUE,IF($J24="",FALSE,IF(INDIRECT("OrganizationAccessCasePolicy!J"&amp;$J24)="",FALSE,NOT(ISNA(MATCH(INDIRECT("OrganizationAccessCasePolicy!J"&amp;$J24)&amp;"|"&amp;$AA24,CaseTypeColSetMember!$H:$H,0))))))</f>
        <v>0</v>
      </c>
      <c r="AE24" s="6" t="b" cm="1">
        <f t="array" aca="1" ref="AE24" ca="1">IF($AA24="",TRUE,IF($J24="",FALSE,IF(INDIRECT("OrganizationAccessCasePolicy!L"&amp;$J24)="",FALSE,NOT(ISNA(MATCH(INDIRECT("OrganizationAccessCasePolicy!L"&amp;$J24)&amp;"|"&amp;$AA24,CaseTypeColSetMember!$H:$H,0))))))</f>
        <v>0</v>
      </c>
      <c r="AF24" s="6" t="b" cm="1">
        <f t="array" aca="1" ref="AF24" ca="1">IF($AA24="",TRUE,IF($N24="",FALSE,IF(INDIRECT("UserAccessCasePolicy!I"&amp;$N24)="",FALSE,NOT(ISNA(MATCH(INDIRECT("UserAccessCasePolicy!I"&amp;$N24)&amp;"|"&amp;$AA24,CaseTypeColSetMember!$H:$H,0))))))</f>
        <v>0</v>
      </c>
      <c r="AG24" s="6" t="b" cm="1">
        <f t="array" aca="1" ref="AG24" ca="1">IF($AA24="",TRUE,IF($N24="",FALSE,IF(INDIRECT("UserAccessCasePolicy!K"&amp;$N24)="",FALSE,NOT(ISNA(MATCH(INDIRECT("UserAccessCasePolicy!K"&amp;$N24)&amp;"|"&amp;$AA24,CaseTypeColSetMember!$H:$H,0))))))</f>
        <v>0</v>
      </c>
      <c r="AJ24" s="6" t="str">
        <f>IF($AH24="","",INDEX(CaseTypeCol!$G:$G,MATCH($AH24,CaseTypeCol!$A:$A,0)))</f>
        <v/>
      </c>
      <c r="AK24" s="6" t="b" cm="1">
        <f t="array" aca="1" ref="AK24" ca="1">IF($AH24="",TRUE,IF($J24="",FALSE,IF(INDIRECT("OrganizationAccessCasePolicy!J"&amp;$J24)="",FALSE,NOT(ISNA(MATCH(INDIRECT("OrganizationAccessCasePolicy!J"&amp;$J24)&amp;"|"&amp;$AH24,CaseTypeColSetMember!$H:$H,0))))))</f>
        <v>1</v>
      </c>
      <c r="AL24" s="6" t="b" cm="1">
        <f t="array" aca="1" ref="AL24" ca="1">IF($AH24="",TRUE,IF($J24="",FALSE,IF(INDIRECT("OrganizationAccessCasePolicy!L"&amp;$J24)="",FALSE,NOT(ISNA(MATCH(INDIRECT("OrganizationAccessCasePolicy!L"&amp;$J24)&amp;"|"&amp;$AH24,CaseTypeColSetMember!$H:$H,0))))))</f>
        <v>1</v>
      </c>
      <c r="AM24" s="6" t="b" cm="1">
        <f t="array" aca="1" ref="AM24" ca="1">IF($AH24="",TRUE,IF($N24="",FALSE,IF(INDIRECT("UserAccessCasePolicy!I"&amp;$N24)="",FALSE,NOT(ISNA(MATCH(INDIRECT("UserAccessCasePolicy!I"&amp;$N24)&amp;"|"&amp;$AH24,CaseTypeColSetMember!$H:$H,0))))))</f>
        <v>1</v>
      </c>
      <c r="AN24" s="6" t="b" cm="1">
        <f t="array" aca="1" ref="AN24" ca="1">IF($AH24="",TRUE,IF($N24="",FALSE,IF(INDIRECT("UserAccessCasePolicy!K"&amp;$N24)="",FALSE,NOT(ISNA(MATCH(INDIRECT("UserAccessCasePolicy!K"&amp;$N24)&amp;"|"&amp;$AH24,CaseTypeColSetMember!$H:$H,0))))))</f>
        <v>1</v>
      </c>
      <c r="AQ24" s="6" t="str">
        <f>IF($AO24="","",INDEX(CaseTypeCol!$G:$G,MATCH($AO24,CaseTypeCol!$A:$A,0)))</f>
        <v/>
      </c>
      <c r="AR24" s="6" t="b" cm="1">
        <f t="array" aca="1" ref="AR24" ca="1">IF($AO24="",TRUE,IF($J24="",FALSE,IF(INDIRECT("OrganizationAccessCasePolicy!J"&amp;$J24)="",FALSE,NOT(ISNA(MATCH(INDIRECT("OrganizationAccessCasePolicy!J"&amp;$J24)&amp;"|"&amp;$AO24,CaseTypeColSetMember!$H:$H,0))))))</f>
        <v>1</v>
      </c>
      <c r="AS24" s="6" t="b" cm="1">
        <f t="array" aca="1" ref="AS24" ca="1">IF($AO24="",TRUE,IF($J24="",FALSE,IF(INDIRECT("OrganizationAccessCasePolicy!L"&amp;$J24)="",FALSE,NOT(ISNA(MATCH(INDIRECT("OrganizationAccessCasePolicy!L"&amp;$J24)&amp;"|"&amp;$AO24,CaseTypeColSetMember!$H:$H,0))))))</f>
        <v>1</v>
      </c>
      <c r="AT24" s="6" t="b" cm="1">
        <f t="array" aca="1" ref="AT24" ca="1">IF($AO24="",TRUE,IF($N24="",FALSE,IF(INDIRECT("UserAccessCasePolicy!I"&amp;$N24)="",FALSE,NOT(ISNA(MATCH(INDIRECT("UserAccessCasePolicy!I"&amp;$N24)&amp;"|"&amp;$AO24,CaseTypeColSetMember!$H:$H,0))))))</f>
        <v>1</v>
      </c>
      <c r="AU24" s="6" t="b" cm="1">
        <f t="array" aca="1" ref="AU24" ca="1">IF($AO24="",TRUE,IF($N24="",FALSE,IF(INDIRECT("UserAccessCasePolicy!K"&amp;$N24)="",FALSE,NOT(ISNA(MATCH(INDIRECT("UserAccessCasePolicy!K"&amp;$N24)&amp;"|"&amp;$AO24,CaseTypeColSetMember!$H:$H,0))))))</f>
        <v>1</v>
      </c>
    </row>
    <row r="25" spans="1:47" x14ac:dyDescent="0.3">
      <c r="A25">
        <v>24</v>
      </c>
      <c r="B25" t="b">
        <v>1</v>
      </c>
      <c r="C25" t="s">
        <v>624</v>
      </c>
      <c r="D25" t="s">
        <v>26</v>
      </c>
      <c r="E25" s="6" t="str">
        <f>INDEX(User!$D:$D,MATCH($D25,User!$A:$A,0))</f>
        <v>org_user3_4</v>
      </c>
      <c r="F25" t="s">
        <v>721</v>
      </c>
      <c r="G25" s="19" t="b">
        <f t="shared" ca="1" si="0"/>
        <v>0</v>
      </c>
      <c r="H25" s="6" t="str">
        <f>INDEX(User!$G:$G,MATCH($D25,User!$A:$A,0))</f>
        <v>0195d18c-1c92-52b3-93e0-43dc1f2aa037</v>
      </c>
      <c r="I25" s="6" t="b">
        <f>INDEX(User!$M:$M,MATCH($D25,User!$A:$A,0))</f>
        <v>0</v>
      </c>
      <c r="J25" s="6" t="str">
        <f>IF(ISNA(MATCH($H25&amp;"|"&amp;$W25,OrganizationAccessCasePolicy!$V:$V,0)),"",MATCH($H25&amp;"|"&amp;$W25,OrganizationAccessCasePolicy!$V:$V,0))</f>
        <v/>
      </c>
      <c r="K25" s="6" t="b" cm="1">
        <f t="array" aca="1" ref="K25" ca="1">IF($J25="",FALSE,NOT(ISNA(MATCH(INDIRECT("OrganizationAccessCasePolicy!D"&amp;$J25)&amp;"|"&amp;$S25,CaseTypeSetMember!$H:$H,0))))</f>
        <v>0</v>
      </c>
      <c r="L25" s="6" t="b" cm="1">
        <f t="array" aca="1" ref="L25" ca="1">IF($J25="",FALSE,AND(INDIRECT("OrganizationAccessCasePolicy!H"&amp;$J25),NOT(ISNA(MATCH(INDIRECT("OrganizationAccessCasePolicy!D"&amp;$J25)&amp;"|"&amp;$S25,CaseTypeSetMember!$H:$H,0)))))</f>
        <v>0</v>
      </c>
      <c r="M25" s="6" t="b" cm="1">
        <f t="array" aca="1" ref="M25" ca="1">IF($J25="",FALSE,AND(INDIRECT("OrganizationAccessCasePolicy!I"&amp;$J25),NOT(ISNA(MATCH(INDIRECT("OrganizationAccessCasePolicy!D"&amp;$J25)&amp;"|"&amp;$S25,CaseTypeSetMember!$H:$H,0)))))</f>
        <v>0</v>
      </c>
      <c r="N25" s="6" t="str">
        <f>IF(ISNA(MATCH($D25&amp;"|"&amp;$W25,UserAccessCasePolicy!$W:$W,0)),"",MATCH($D25&amp;"|"&amp;$W25,UserAccessCasePolicy!$W:$W,0))</f>
        <v/>
      </c>
      <c r="O25" s="6" t="b" cm="1">
        <f t="array" aca="1" ref="O25" ca="1">IF($N25="",FALSE,NOT(ISNA(MATCH(INDIRECT("UserAccessCasePolicy!D"&amp;$N25)&amp;"|"&amp;$S25,CaseTypeSetMember!$H:$H,0))))</f>
        <v>0</v>
      </c>
      <c r="P25" s="6" t="b" cm="1">
        <f t="array" aca="1" ref="P25" ca="1">IF($N25="",FALSE,AND(INDIRECT("UserAccessCasePolicy!G"&amp;$N25),NOT(ISNA(MATCH(INDIRECT("UserAccessCasePolicy!D"&amp;$N25)&amp;"|"&amp;$S25,CaseTypeSetMember!$H:$H,0)))))</f>
        <v>0</v>
      </c>
      <c r="Q25" s="6" t="b" cm="1">
        <f t="array" aca="1" ref="Q25" ca="1">IF($N25="",FALSE,AND(INDIRECT("UserAccessCasePolicy!H"&amp;$N25),NOT(ISNA(MATCH(INDIRECT("UserAccessCasePolicy!D"&amp;$N25)&amp;"|"&amp;$S25,CaseTypeSetMember!$H:$H,0)))))</f>
        <v>0</v>
      </c>
      <c r="R25" t="s">
        <v>650</v>
      </c>
      <c r="S25" t="s">
        <v>119</v>
      </c>
      <c r="T25" s="6" t="str">
        <f>INDEX(CaseType!$B:$B,MATCH($S25,CaseType!$A:$A,0))</f>
        <v>case_type1</v>
      </c>
      <c r="U25" s="6" t="b">
        <f>AND(IF($AA25="",TRUE,$S25=INDEX(CaseTypeCol!$B:$B,MATCH($AA25,CaseTypeCol!$A:$A,0))),IF($AH25="",TRUE,$S25=INDEX(CaseTypeCol!$B:$B,MATCH($AH25,CaseTypeCol!$A:$A,0))),IF($AO25="",TRUE,$S25=INDEX(CaseTypeCol!$B:$B,MATCH($AO25,CaseTypeCol!$A:$A,0))))</f>
        <v>1</v>
      </c>
      <c r="W25" t="s">
        <v>11</v>
      </c>
      <c r="X25" s="6" t="str">
        <f>INDEX(DataCollection!$B:$B,MATCH($W25,DataCollection!$A:$A,0))</f>
        <v>data_collection1</v>
      </c>
      <c r="Z25" s="14">
        <v>36526</v>
      </c>
      <c r="AA25" t="s">
        <v>142</v>
      </c>
      <c r="AB25" t="s">
        <v>663</v>
      </c>
      <c r="AC25" s="6" t="str">
        <f>IF($AA25="","",INDEX(CaseTypeCol!$G:$G,MATCH($AA25,CaseTypeCol!$A:$A,0)))</f>
        <v>case_type1_dim1_1_text</v>
      </c>
      <c r="AD25" s="6" t="b" cm="1">
        <f t="array" aca="1" ref="AD25" ca="1">IF($AA25="",TRUE,IF($J25="",FALSE,IF(INDIRECT("OrganizationAccessCasePolicy!J"&amp;$J25)="",FALSE,NOT(ISNA(MATCH(INDIRECT("OrganizationAccessCasePolicy!J"&amp;$J25)&amp;"|"&amp;$AA25,CaseTypeColSetMember!$H:$H,0))))))</f>
        <v>0</v>
      </c>
      <c r="AE25" s="6" t="b" cm="1">
        <f t="array" aca="1" ref="AE25" ca="1">IF($AA25="",TRUE,IF($J25="",FALSE,IF(INDIRECT("OrganizationAccessCasePolicy!L"&amp;$J25)="",FALSE,NOT(ISNA(MATCH(INDIRECT("OrganizationAccessCasePolicy!L"&amp;$J25)&amp;"|"&amp;$AA25,CaseTypeColSetMember!$H:$H,0))))))</f>
        <v>0</v>
      </c>
      <c r="AF25" s="6" t="b" cm="1">
        <f t="array" aca="1" ref="AF25" ca="1">IF($AA25="",TRUE,IF($N25="",FALSE,IF(INDIRECT("UserAccessCasePolicy!I"&amp;$N25)="",FALSE,NOT(ISNA(MATCH(INDIRECT("UserAccessCasePolicy!I"&amp;$N25)&amp;"|"&amp;$AA25,CaseTypeColSetMember!$H:$H,0))))))</f>
        <v>0</v>
      </c>
      <c r="AG25" s="6" t="b" cm="1">
        <f t="array" aca="1" ref="AG25" ca="1">IF($AA25="",TRUE,IF($N25="",FALSE,IF(INDIRECT("UserAccessCasePolicy!K"&amp;$N25)="",FALSE,NOT(ISNA(MATCH(INDIRECT("UserAccessCasePolicy!K"&amp;$N25)&amp;"|"&amp;$AA25,CaseTypeColSetMember!$H:$H,0))))))</f>
        <v>0</v>
      </c>
      <c r="AJ25" s="6" t="str">
        <f>IF($AH25="","",INDEX(CaseTypeCol!$G:$G,MATCH($AH25,CaseTypeCol!$A:$A,0)))</f>
        <v/>
      </c>
      <c r="AK25" s="6" t="b" cm="1">
        <f t="array" aca="1" ref="AK25" ca="1">IF($AH25="",TRUE,IF($J25="",FALSE,IF(INDIRECT("OrganizationAccessCasePolicy!J"&amp;$J25)="",FALSE,NOT(ISNA(MATCH(INDIRECT("OrganizationAccessCasePolicy!J"&amp;$J25)&amp;"|"&amp;$AH25,CaseTypeColSetMember!$H:$H,0))))))</f>
        <v>1</v>
      </c>
      <c r="AL25" s="6" t="b" cm="1">
        <f t="array" aca="1" ref="AL25" ca="1">IF($AH25="",TRUE,IF($J25="",FALSE,IF(INDIRECT("OrganizationAccessCasePolicy!L"&amp;$J25)="",FALSE,NOT(ISNA(MATCH(INDIRECT("OrganizationAccessCasePolicy!L"&amp;$J25)&amp;"|"&amp;$AH25,CaseTypeColSetMember!$H:$H,0))))))</f>
        <v>1</v>
      </c>
      <c r="AM25" s="6" t="b" cm="1">
        <f t="array" aca="1" ref="AM25" ca="1">IF($AH25="",TRUE,IF($N25="",FALSE,IF(INDIRECT("UserAccessCasePolicy!I"&amp;$N25)="",FALSE,NOT(ISNA(MATCH(INDIRECT("UserAccessCasePolicy!I"&amp;$N25)&amp;"|"&amp;$AH25,CaseTypeColSetMember!$H:$H,0))))))</f>
        <v>1</v>
      </c>
      <c r="AN25" s="6" t="b" cm="1">
        <f t="array" aca="1" ref="AN25" ca="1">IF($AH25="",TRUE,IF($N25="",FALSE,IF(INDIRECT("UserAccessCasePolicy!K"&amp;$N25)="",FALSE,NOT(ISNA(MATCH(INDIRECT("UserAccessCasePolicy!K"&amp;$N25)&amp;"|"&amp;$AH25,CaseTypeColSetMember!$H:$H,0))))))</f>
        <v>1</v>
      </c>
      <c r="AQ25" s="6" t="str">
        <f>IF($AO25="","",INDEX(CaseTypeCol!$G:$G,MATCH($AO25,CaseTypeCol!$A:$A,0)))</f>
        <v/>
      </c>
      <c r="AR25" s="6" t="b" cm="1">
        <f t="array" aca="1" ref="AR25" ca="1">IF($AO25="",TRUE,IF($J25="",FALSE,IF(INDIRECT("OrganizationAccessCasePolicy!J"&amp;$J25)="",FALSE,NOT(ISNA(MATCH(INDIRECT("OrganizationAccessCasePolicy!J"&amp;$J25)&amp;"|"&amp;$AO25,CaseTypeColSetMember!$H:$H,0))))))</f>
        <v>1</v>
      </c>
      <c r="AS25" s="6" t="b" cm="1">
        <f t="array" aca="1" ref="AS25" ca="1">IF($AO25="",TRUE,IF($J25="",FALSE,IF(INDIRECT("OrganizationAccessCasePolicy!L"&amp;$J25)="",FALSE,NOT(ISNA(MATCH(INDIRECT("OrganizationAccessCasePolicy!L"&amp;$J25)&amp;"|"&amp;$AO25,CaseTypeColSetMember!$H:$H,0))))))</f>
        <v>1</v>
      </c>
      <c r="AT25" s="6" t="b" cm="1">
        <f t="array" aca="1" ref="AT25" ca="1">IF($AO25="",TRUE,IF($N25="",FALSE,IF(INDIRECT("UserAccessCasePolicy!I"&amp;$N25)="",FALSE,NOT(ISNA(MATCH(INDIRECT("UserAccessCasePolicy!I"&amp;$N25)&amp;"|"&amp;$AO25,CaseTypeColSetMember!$H:$H,0))))))</f>
        <v>1</v>
      </c>
      <c r="AU25" s="6" t="b" cm="1">
        <f t="array" aca="1" ref="AU25" ca="1">IF($AO25="",TRUE,IF($N25="",FALSE,IF(INDIRECT("UserAccessCasePolicy!K"&amp;$N25)="",FALSE,NOT(ISNA(MATCH(INDIRECT("UserAccessCasePolicy!K"&amp;$N25)&amp;"|"&amp;$AO25,CaseTypeColSetMember!$H:$H,0))))))</f>
        <v>1</v>
      </c>
    </row>
    <row r="26" spans="1:47" x14ac:dyDescent="0.3">
      <c r="A26">
        <v>25</v>
      </c>
      <c r="B26" t="b">
        <v>1</v>
      </c>
      <c r="C26" t="s">
        <v>625</v>
      </c>
      <c r="D26" t="s">
        <v>28</v>
      </c>
      <c r="E26" s="6" t="str">
        <f>INDEX(User!$D:$D,MATCH($D26,User!$A:$A,0))</f>
        <v>org_user4_1</v>
      </c>
      <c r="F26" t="s">
        <v>721</v>
      </c>
      <c r="G26" s="19" t="b">
        <f t="shared" ca="1" si="0"/>
        <v>0</v>
      </c>
      <c r="H26" s="6" t="str">
        <f>INDEX(User!$G:$G,MATCH($D26,User!$A:$A,0))</f>
        <v>0195d18c-1c92-d419-4c71-a570f428499b</v>
      </c>
      <c r="I26" s="6" t="b">
        <f>INDEX(User!$M:$M,MATCH($D26,User!$A:$A,0))</f>
        <v>0</v>
      </c>
      <c r="J26" s="6" t="str">
        <f>IF(ISNA(MATCH($H26&amp;"|"&amp;$W26,OrganizationAccessCasePolicy!$V:$V,0)),"",MATCH($H26&amp;"|"&amp;$W26,OrganizationAccessCasePolicy!$V:$V,0))</f>
        <v/>
      </c>
      <c r="K26" s="6" t="b" cm="1">
        <f t="array" aca="1" ref="K26" ca="1">IF($J26="",FALSE,NOT(ISNA(MATCH(INDIRECT("OrganizationAccessCasePolicy!D"&amp;$J26)&amp;"|"&amp;$S26,CaseTypeSetMember!$H:$H,0))))</f>
        <v>0</v>
      </c>
      <c r="L26" s="6" t="b" cm="1">
        <f t="array" aca="1" ref="L26" ca="1">IF($J26="",FALSE,AND(INDIRECT("OrganizationAccessCasePolicy!H"&amp;$J26),NOT(ISNA(MATCH(INDIRECT("OrganizationAccessCasePolicy!D"&amp;$J26)&amp;"|"&amp;$S26,CaseTypeSetMember!$H:$H,0)))))</f>
        <v>0</v>
      </c>
      <c r="M26" s="6" t="b" cm="1">
        <f t="array" aca="1" ref="M26" ca="1">IF($J26="",FALSE,AND(INDIRECT("OrganizationAccessCasePolicy!I"&amp;$J26),NOT(ISNA(MATCH(INDIRECT("OrganizationAccessCasePolicy!D"&amp;$J26)&amp;"|"&amp;$S26,CaseTypeSetMember!$H:$H,0)))))</f>
        <v>0</v>
      </c>
      <c r="N26" s="6" t="str">
        <f>IF(ISNA(MATCH($D26&amp;"|"&amp;$W26,UserAccessCasePolicy!$W:$W,0)),"",MATCH($D26&amp;"|"&amp;$W26,UserAccessCasePolicy!$W:$W,0))</f>
        <v/>
      </c>
      <c r="O26" s="6" t="b" cm="1">
        <f t="array" aca="1" ref="O26" ca="1">IF($N26="",FALSE,NOT(ISNA(MATCH(INDIRECT("UserAccessCasePolicy!D"&amp;$N26)&amp;"|"&amp;$S26,CaseTypeSetMember!$H:$H,0))))</f>
        <v>0</v>
      </c>
      <c r="P26" s="6" t="b" cm="1">
        <f t="array" aca="1" ref="P26" ca="1">IF($N26="",FALSE,AND(INDIRECT("UserAccessCasePolicy!G"&amp;$N26),NOT(ISNA(MATCH(INDIRECT("UserAccessCasePolicy!D"&amp;$N26)&amp;"|"&amp;$S26,CaseTypeSetMember!$H:$H,0)))))</f>
        <v>0</v>
      </c>
      <c r="Q26" s="6" t="b" cm="1">
        <f t="array" aca="1" ref="Q26" ca="1">IF($N26="",FALSE,AND(INDIRECT("UserAccessCasePolicy!H"&amp;$N26),NOT(ISNA(MATCH(INDIRECT("UserAccessCasePolicy!D"&amp;$N26)&amp;"|"&amp;$S26,CaseTypeSetMember!$H:$H,0)))))</f>
        <v>0</v>
      </c>
      <c r="R26" t="s">
        <v>651</v>
      </c>
      <c r="S26" t="s">
        <v>119</v>
      </c>
      <c r="T26" s="6" t="str">
        <f>INDEX(CaseType!$B:$B,MATCH($S26,CaseType!$A:$A,0))</f>
        <v>case_type1</v>
      </c>
      <c r="U26" s="6" t="b">
        <f>AND(IF($AA26="",TRUE,$S26=INDEX(CaseTypeCol!$B:$B,MATCH($AA26,CaseTypeCol!$A:$A,0))),IF($AH26="",TRUE,$S26=INDEX(CaseTypeCol!$B:$B,MATCH($AH26,CaseTypeCol!$A:$A,0))),IF($AO26="",TRUE,$S26=INDEX(CaseTypeCol!$B:$B,MATCH($AO26,CaseTypeCol!$A:$A,0))))</f>
        <v>1</v>
      </c>
      <c r="W26" t="s">
        <v>11</v>
      </c>
      <c r="X26" s="6" t="str">
        <f>INDEX(DataCollection!$B:$B,MATCH($W26,DataCollection!$A:$A,0))</f>
        <v>data_collection1</v>
      </c>
      <c r="Z26" s="14">
        <v>36526</v>
      </c>
      <c r="AA26" t="s">
        <v>142</v>
      </c>
      <c r="AB26" t="s">
        <v>663</v>
      </c>
      <c r="AC26" s="6" t="str">
        <f>IF($AA26="","",INDEX(CaseTypeCol!$G:$G,MATCH($AA26,CaseTypeCol!$A:$A,0)))</f>
        <v>case_type1_dim1_1_text</v>
      </c>
      <c r="AD26" s="6" t="b" cm="1">
        <f t="array" aca="1" ref="AD26" ca="1">IF($AA26="",TRUE,IF($J26="",FALSE,IF(INDIRECT("OrganizationAccessCasePolicy!J"&amp;$J26)="",FALSE,NOT(ISNA(MATCH(INDIRECT("OrganizationAccessCasePolicy!J"&amp;$J26)&amp;"|"&amp;$AA26,CaseTypeColSetMember!$H:$H,0))))))</f>
        <v>0</v>
      </c>
      <c r="AE26" s="6" t="b" cm="1">
        <f t="array" aca="1" ref="AE26" ca="1">IF($AA26="",TRUE,IF($J26="",FALSE,IF(INDIRECT("OrganizationAccessCasePolicy!L"&amp;$J26)="",FALSE,NOT(ISNA(MATCH(INDIRECT("OrganizationAccessCasePolicy!L"&amp;$J26)&amp;"|"&amp;$AA26,CaseTypeColSetMember!$H:$H,0))))))</f>
        <v>0</v>
      </c>
      <c r="AF26" s="6" t="b" cm="1">
        <f t="array" aca="1" ref="AF26" ca="1">IF($AA26="",TRUE,IF($N26="",FALSE,IF(INDIRECT("UserAccessCasePolicy!I"&amp;$N26)="",FALSE,NOT(ISNA(MATCH(INDIRECT("UserAccessCasePolicy!I"&amp;$N26)&amp;"|"&amp;$AA26,CaseTypeColSetMember!$H:$H,0))))))</f>
        <v>0</v>
      </c>
      <c r="AG26" s="6" t="b" cm="1">
        <f t="array" aca="1" ref="AG26" ca="1">IF($AA26="",TRUE,IF($N26="",FALSE,IF(INDIRECT("UserAccessCasePolicy!K"&amp;$N26)="",FALSE,NOT(ISNA(MATCH(INDIRECT("UserAccessCasePolicy!K"&amp;$N26)&amp;"|"&amp;$AA26,CaseTypeColSetMember!$H:$H,0))))))</f>
        <v>0</v>
      </c>
      <c r="AJ26" s="6" t="str">
        <f>IF($AH26="","",INDEX(CaseTypeCol!$G:$G,MATCH($AH26,CaseTypeCol!$A:$A,0)))</f>
        <v/>
      </c>
      <c r="AK26" s="6" t="b" cm="1">
        <f t="array" aca="1" ref="AK26" ca="1">IF($AH26="",TRUE,IF($J26="",FALSE,IF(INDIRECT("OrganizationAccessCasePolicy!J"&amp;$J26)="",FALSE,NOT(ISNA(MATCH(INDIRECT("OrganizationAccessCasePolicy!J"&amp;$J26)&amp;"|"&amp;$AH26,CaseTypeColSetMember!$H:$H,0))))))</f>
        <v>1</v>
      </c>
      <c r="AL26" s="6" t="b" cm="1">
        <f t="array" aca="1" ref="AL26" ca="1">IF($AH26="",TRUE,IF($J26="",FALSE,IF(INDIRECT("OrganizationAccessCasePolicy!L"&amp;$J26)="",FALSE,NOT(ISNA(MATCH(INDIRECT("OrganizationAccessCasePolicy!L"&amp;$J26)&amp;"|"&amp;$AH26,CaseTypeColSetMember!$H:$H,0))))))</f>
        <v>1</v>
      </c>
      <c r="AM26" s="6" t="b" cm="1">
        <f t="array" aca="1" ref="AM26" ca="1">IF($AH26="",TRUE,IF($N26="",FALSE,IF(INDIRECT("UserAccessCasePolicy!I"&amp;$N26)="",FALSE,NOT(ISNA(MATCH(INDIRECT("UserAccessCasePolicy!I"&amp;$N26)&amp;"|"&amp;$AH26,CaseTypeColSetMember!$H:$H,0))))))</f>
        <v>1</v>
      </c>
      <c r="AN26" s="6" t="b" cm="1">
        <f t="array" aca="1" ref="AN26" ca="1">IF($AH26="",TRUE,IF($N26="",FALSE,IF(INDIRECT("UserAccessCasePolicy!K"&amp;$N26)="",FALSE,NOT(ISNA(MATCH(INDIRECT("UserAccessCasePolicy!K"&amp;$N26)&amp;"|"&amp;$AH26,CaseTypeColSetMember!$H:$H,0))))))</f>
        <v>1</v>
      </c>
      <c r="AQ26" s="6" t="str">
        <f>IF($AO26="","",INDEX(CaseTypeCol!$G:$G,MATCH($AO26,CaseTypeCol!$A:$A,0)))</f>
        <v/>
      </c>
      <c r="AR26" s="6" t="b" cm="1">
        <f t="array" aca="1" ref="AR26" ca="1">IF($AO26="",TRUE,IF($J26="",FALSE,IF(INDIRECT("OrganizationAccessCasePolicy!J"&amp;$J26)="",FALSE,NOT(ISNA(MATCH(INDIRECT("OrganizationAccessCasePolicy!J"&amp;$J26)&amp;"|"&amp;$AO26,CaseTypeColSetMember!$H:$H,0))))))</f>
        <v>1</v>
      </c>
      <c r="AS26" s="6" t="b" cm="1">
        <f t="array" aca="1" ref="AS26" ca="1">IF($AO26="",TRUE,IF($J26="",FALSE,IF(INDIRECT("OrganizationAccessCasePolicy!L"&amp;$J26)="",FALSE,NOT(ISNA(MATCH(INDIRECT("OrganizationAccessCasePolicy!L"&amp;$J26)&amp;"|"&amp;$AO26,CaseTypeColSetMember!$H:$H,0))))))</f>
        <v>1</v>
      </c>
      <c r="AT26" s="6" t="b" cm="1">
        <f t="array" aca="1" ref="AT26" ca="1">IF($AO26="",TRUE,IF($N26="",FALSE,IF(INDIRECT("UserAccessCasePolicy!I"&amp;$N26)="",FALSE,NOT(ISNA(MATCH(INDIRECT("UserAccessCasePolicy!I"&amp;$N26)&amp;"|"&amp;$AO26,CaseTypeColSetMember!$H:$H,0))))))</f>
        <v>1</v>
      </c>
      <c r="AU26" s="6" t="b" cm="1">
        <f t="array" aca="1" ref="AU26" ca="1">IF($AO26="",TRUE,IF($N26="",FALSE,IF(INDIRECT("UserAccessCasePolicy!K"&amp;$N26)="",FALSE,NOT(ISNA(MATCH(INDIRECT("UserAccessCasePolicy!K"&amp;$N26)&amp;"|"&amp;$AO26,CaseTypeColSetMember!$H:$H,0))))))</f>
        <v>1</v>
      </c>
    </row>
    <row r="27" spans="1:47" x14ac:dyDescent="0.3">
      <c r="A27">
        <v>26</v>
      </c>
      <c r="B27" t="b">
        <v>1</v>
      </c>
      <c r="C27" t="s">
        <v>626</v>
      </c>
      <c r="D27" t="s">
        <v>30</v>
      </c>
      <c r="E27" s="6" t="str">
        <f>INDEX(User!$D:$D,MATCH($D27,User!$A:$A,0))</f>
        <v>org_user4_2</v>
      </c>
      <c r="F27" t="s">
        <v>721</v>
      </c>
      <c r="G27" s="19" t="b">
        <f t="shared" ca="1" si="0"/>
        <v>0</v>
      </c>
      <c r="H27" s="6" t="str">
        <f>INDEX(User!$G:$G,MATCH($D27,User!$A:$A,0))</f>
        <v>0195d18c-1c92-d419-4c71-a570f428499b</v>
      </c>
      <c r="I27" s="6" t="b">
        <f>INDEX(User!$M:$M,MATCH($D27,User!$A:$A,0))</f>
        <v>0</v>
      </c>
      <c r="J27" s="6" t="str">
        <f>IF(ISNA(MATCH($H27&amp;"|"&amp;$W27,OrganizationAccessCasePolicy!$V:$V,0)),"",MATCH($H27&amp;"|"&amp;$W27,OrganizationAccessCasePolicy!$V:$V,0))</f>
        <v/>
      </c>
      <c r="K27" s="6" t="b" cm="1">
        <f t="array" aca="1" ref="K27" ca="1">IF($J27="",FALSE,NOT(ISNA(MATCH(INDIRECT("OrganizationAccessCasePolicy!D"&amp;$J27)&amp;"|"&amp;$S27,CaseTypeSetMember!$H:$H,0))))</f>
        <v>0</v>
      </c>
      <c r="L27" s="6" t="b" cm="1">
        <f t="array" aca="1" ref="L27" ca="1">IF($J27="",FALSE,AND(INDIRECT("OrganizationAccessCasePolicy!H"&amp;$J27),NOT(ISNA(MATCH(INDIRECT("OrganizationAccessCasePolicy!D"&amp;$J27)&amp;"|"&amp;$S27,CaseTypeSetMember!$H:$H,0)))))</f>
        <v>0</v>
      </c>
      <c r="M27" s="6" t="b" cm="1">
        <f t="array" aca="1" ref="M27" ca="1">IF($J27="",FALSE,AND(INDIRECT("OrganizationAccessCasePolicy!I"&amp;$J27),NOT(ISNA(MATCH(INDIRECT("OrganizationAccessCasePolicy!D"&amp;$J27)&amp;"|"&amp;$S27,CaseTypeSetMember!$H:$H,0)))))</f>
        <v>0</v>
      </c>
      <c r="N27" s="6" t="str">
        <f>IF(ISNA(MATCH($D27&amp;"|"&amp;$W27,UserAccessCasePolicy!$W:$W,0)),"",MATCH($D27&amp;"|"&amp;$W27,UserAccessCasePolicy!$W:$W,0))</f>
        <v/>
      </c>
      <c r="O27" s="6" t="b" cm="1">
        <f t="array" aca="1" ref="O27" ca="1">IF($N27="",FALSE,NOT(ISNA(MATCH(INDIRECT("UserAccessCasePolicy!D"&amp;$N27)&amp;"|"&amp;$S27,CaseTypeSetMember!$H:$H,0))))</f>
        <v>0</v>
      </c>
      <c r="P27" s="6" t="b" cm="1">
        <f t="array" aca="1" ref="P27" ca="1">IF($N27="",FALSE,AND(INDIRECT("UserAccessCasePolicy!G"&amp;$N27),NOT(ISNA(MATCH(INDIRECT("UserAccessCasePolicy!D"&amp;$N27)&amp;"|"&amp;$S27,CaseTypeSetMember!$H:$H,0)))))</f>
        <v>0</v>
      </c>
      <c r="Q27" s="6" t="b" cm="1">
        <f t="array" aca="1" ref="Q27" ca="1">IF($N27="",FALSE,AND(INDIRECT("UserAccessCasePolicy!H"&amp;$N27),NOT(ISNA(MATCH(INDIRECT("UserAccessCasePolicy!D"&amp;$N27)&amp;"|"&amp;$S27,CaseTypeSetMember!$H:$H,0)))))</f>
        <v>0</v>
      </c>
      <c r="R27" t="s">
        <v>652</v>
      </c>
      <c r="S27" t="s">
        <v>119</v>
      </c>
      <c r="T27" s="6" t="str">
        <f>INDEX(CaseType!$B:$B,MATCH($S27,CaseType!$A:$A,0))</f>
        <v>case_type1</v>
      </c>
      <c r="U27" s="6" t="b">
        <f>AND(IF($AA27="",TRUE,$S27=INDEX(CaseTypeCol!$B:$B,MATCH($AA27,CaseTypeCol!$A:$A,0))),IF($AH27="",TRUE,$S27=INDEX(CaseTypeCol!$B:$B,MATCH($AH27,CaseTypeCol!$A:$A,0))),IF($AO27="",TRUE,$S27=INDEX(CaseTypeCol!$B:$B,MATCH($AO27,CaseTypeCol!$A:$A,0))))</f>
        <v>1</v>
      </c>
      <c r="W27" t="s">
        <v>11</v>
      </c>
      <c r="X27" s="6" t="str">
        <f>INDEX(DataCollection!$B:$B,MATCH($W27,DataCollection!$A:$A,0))</f>
        <v>data_collection1</v>
      </c>
      <c r="Z27" s="14">
        <v>36526</v>
      </c>
      <c r="AA27" t="s">
        <v>142</v>
      </c>
      <c r="AB27" t="s">
        <v>663</v>
      </c>
      <c r="AC27" s="6" t="str">
        <f>IF($AA27="","",INDEX(CaseTypeCol!$G:$G,MATCH($AA27,CaseTypeCol!$A:$A,0)))</f>
        <v>case_type1_dim1_1_text</v>
      </c>
      <c r="AD27" s="6" t="b" cm="1">
        <f t="array" aca="1" ref="AD27" ca="1">IF($AA27="",TRUE,IF($J27="",FALSE,IF(INDIRECT("OrganizationAccessCasePolicy!J"&amp;$J27)="",FALSE,NOT(ISNA(MATCH(INDIRECT("OrganizationAccessCasePolicy!J"&amp;$J27)&amp;"|"&amp;$AA27,CaseTypeColSetMember!$H:$H,0))))))</f>
        <v>0</v>
      </c>
      <c r="AE27" s="6" t="b" cm="1">
        <f t="array" aca="1" ref="AE27" ca="1">IF($AA27="",TRUE,IF($J27="",FALSE,IF(INDIRECT("OrganizationAccessCasePolicy!L"&amp;$J27)="",FALSE,NOT(ISNA(MATCH(INDIRECT("OrganizationAccessCasePolicy!L"&amp;$J27)&amp;"|"&amp;$AA27,CaseTypeColSetMember!$H:$H,0))))))</f>
        <v>0</v>
      </c>
      <c r="AF27" s="6" t="b" cm="1">
        <f t="array" aca="1" ref="AF27" ca="1">IF($AA27="",TRUE,IF($N27="",FALSE,IF(INDIRECT("UserAccessCasePolicy!I"&amp;$N27)="",FALSE,NOT(ISNA(MATCH(INDIRECT("UserAccessCasePolicy!I"&amp;$N27)&amp;"|"&amp;$AA27,CaseTypeColSetMember!$H:$H,0))))))</f>
        <v>0</v>
      </c>
      <c r="AG27" s="6" t="b" cm="1">
        <f t="array" aca="1" ref="AG27" ca="1">IF($AA27="",TRUE,IF($N27="",FALSE,IF(INDIRECT("UserAccessCasePolicy!K"&amp;$N27)="",FALSE,NOT(ISNA(MATCH(INDIRECT("UserAccessCasePolicy!K"&amp;$N27)&amp;"|"&amp;$AA27,CaseTypeColSetMember!$H:$H,0))))))</f>
        <v>0</v>
      </c>
      <c r="AJ27" s="6" t="str">
        <f>IF($AH27="","",INDEX(CaseTypeCol!$G:$G,MATCH($AH27,CaseTypeCol!$A:$A,0)))</f>
        <v/>
      </c>
      <c r="AK27" s="6" t="b" cm="1">
        <f t="array" aca="1" ref="AK27" ca="1">IF($AH27="",TRUE,IF($J27="",FALSE,IF(INDIRECT("OrganizationAccessCasePolicy!J"&amp;$J27)="",FALSE,NOT(ISNA(MATCH(INDIRECT("OrganizationAccessCasePolicy!J"&amp;$J27)&amp;"|"&amp;$AH27,CaseTypeColSetMember!$H:$H,0))))))</f>
        <v>1</v>
      </c>
      <c r="AL27" s="6" t="b" cm="1">
        <f t="array" aca="1" ref="AL27" ca="1">IF($AH27="",TRUE,IF($J27="",FALSE,IF(INDIRECT("OrganizationAccessCasePolicy!L"&amp;$J27)="",FALSE,NOT(ISNA(MATCH(INDIRECT("OrganizationAccessCasePolicy!L"&amp;$J27)&amp;"|"&amp;$AH27,CaseTypeColSetMember!$H:$H,0))))))</f>
        <v>1</v>
      </c>
      <c r="AM27" s="6" t="b" cm="1">
        <f t="array" aca="1" ref="AM27" ca="1">IF($AH27="",TRUE,IF($N27="",FALSE,IF(INDIRECT("UserAccessCasePolicy!I"&amp;$N27)="",FALSE,NOT(ISNA(MATCH(INDIRECT("UserAccessCasePolicy!I"&amp;$N27)&amp;"|"&amp;$AH27,CaseTypeColSetMember!$H:$H,0))))))</f>
        <v>1</v>
      </c>
      <c r="AN27" s="6" t="b" cm="1">
        <f t="array" aca="1" ref="AN27" ca="1">IF($AH27="",TRUE,IF($N27="",FALSE,IF(INDIRECT("UserAccessCasePolicy!K"&amp;$N27)="",FALSE,NOT(ISNA(MATCH(INDIRECT("UserAccessCasePolicy!K"&amp;$N27)&amp;"|"&amp;$AH27,CaseTypeColSetMember!$H:$H,0))))))</f>
        <v>1</v>
      </c>
      <c r="AQ27" s="6" t="str">
        <f>IF($AO27="","",INDEX(CaseTypeCol!$G:$G,MATCH($AO27,CaseTypeCol!$A:$A,0)))</f>
        <v/>
      </c>
      <c r="AR27" s="6" t="b" cm="1">
        <f t="array" aca="1" ref="AR27" ca="1">IF($AO27="",TRUE,IF($J27="",FALSE,IF(INDIRECT("OrganizationAccessCasePolicy!J"&amp;$J27)="",FALSE,NOT(ISNA(MATCH(INDIRECT("OrganizationAccessCasePolicy!J"&amp;$J27)&amp;"|"&amp;$AO27,CaseTypeColSetMember!$H:$H,0))))))</f>
        <v>1</v>
      </c>
      <c r="AS27" s="6" t="b" cm="1">
        <f t="array" aca="1" ref="AS27" ca="1">IF($AO27="",TRUE,IF($J27="",FALSE,IF(INDIRECT("OrganizationAccessCasePolicy!L"&amp;$J27)="",FALSE,NOT(ISNA(MATCH(INDIRECT("OrganizationAccessCasePolicy!L"&amp;$J27)&amp;"|"&amp;$AO27,CaseTypeColSetMember!$H:$H,0))))))</f>
        <v>1</v>
      </c>
      <c r="AT27" s="6" t="b" cm="1">
        <f t="array" aca="1" ref="AT27" ca="1">IF($AO27="",TRUE,IF($N27="",FALSE,IF(INDIRECT("UserAccessCasePolicy!I"&amp;$N27)="",FALSE,NOT(ISNA(MATCH(INDIRECT("UserAccessCasePolicy!I"&amp;$N27)&amp;"|"&amp;$AO27,CaseTypeColSetMember!$H:$H,0))))))</f>
        <v>1</v>
      </c>
      <c r="AU27" s="6" t="b" cm="1">
        <f t="array" aca="1" ref="AU27" ca="1">IF($AO27="",TRUE,IF($N27="",FALSE,IF(INDIRECT("UserAccessCasePolicy!K"&amp;$N27)="",FALSE,NOT(ISNA(MATCH(INDIRECT("UserAccessCasePolicy!K"&amp;$N27)&amp;"|"&amp;$AO27,CaseTypeColSetMember!$H:$H,0))))))</f>
        <v>1</v>
      </c>
    </row>
    <row r="28" spans="1:47" x14ac:dyDescent="0.3">
      <c r="A28">
        <v>27</v>
      </c>
      <c r="B28" t="b">
        <v>1</v>
      </c>
      <c r="C28" t="s">
        <v>627</v>
      </c>
      <c r="D28" t="s">
        <v>31</v>
      </c>
      <c r="E28" s="6" t="str">
        <f>INDEX(User!$D:$D,MATCH($D28,User!$A:$A,0))</f>
        <v>org_user4_3</v>
      </c>
      <c r="F28" t="s">
        <v>721</v>
      </c>
      <c r="G28" s="19" t="b">
        <f t="shared" ca="1" si="0"/>
        <v>0</v>
      </c>
      <c r="H28" s="6" t="str">
        <f>INDEX(User!$G:$G,MATCH($D28,User!$A:$A,0))</f>
        <v>0195d18c-1c92-d419-4c71-a570f428499b</v>
      </c>
      <c r="I28" s="6" t="b">
        <f>INDEX(User!$M:$M,MATCH($D28,User!$A:$A,0))</f>
        <v>0</v>
      </c>
      <c r="J28" s="6" t="str">
        <f>IF(ISNA(MATCH($H28&amp;"|"&amp;$W28,OrganizationAccessCasePolicy!$V:$V,0)),"",MATCH($H28&amp;"|"&amp;$W28,OrganizationAccessCasePolicy!$V:$V,0))</f>
        <v/>
      </c>
      <c r="K28" s="6" t="b" cm="1">
        <f t="array" aca="1" ref="K28" ca="1">IF($J28="",FALSE,NOT(ISNA(MATCH(INDIRECT("OrganizationAccessCasePolicy!D"&amp;$J28)&amp;"|"&amp;$S28,CaseTypeSetMember!$H:$H,0))))</f>
        <v>0</v>
      </c>
      <c r="L28" s="6" t="b" cm="1">
        <f t="array" aca="1" ref="L28" ca="1">IF($J28="",FALSE,AND(INDIRECT("OrganizationAccessCasePolicy!H"&amp;$J28),NOT(ISNA(MATCH(INDIRECT("OrganizationAccessCasePolicy!D"&amp;$J28)&amp;"|"&amp;$S28,CaseTypeSetMember!$H:$H,0)))))</f>
        <v>0</v>
      </c>
      <c r="M28" s="6" t="b" cm="1">
        <f t="array" aca="1" ref="M28" ca="1">IF($J28="",FALSE,AND(INDIRECT("OrganizationAccessCasePolicy!I"&amp;$J28),NOT(ISNA(MATCH(INDIRECT("OrganizationAccessCasePolicy!D"&amp;$J28)&amp;"|"&amp;$S28,CaseTypeSetMember!$H:$H,0)))))</f>
        <v>0</v>
      </c>
      <c r="N28" s="6" t="str">
        <f>IF(ISNA(MATCH($D28&amp;"|"&amp;$W28,UserAccessCasePolicy!$W:$W,0)),"",MATCH($D28&amp;"|"&amp;$W28,UserAccessCasePolicy!$W:$W,0))</f>
        <v/>
      </c>
      <c r="O28" s="6" t="b" cm="1">
        <f t="array" aca="1" ref="O28" ca="1">IF($N28="",FALSE,NOT(ISNA(MATCH(INDIRECT("UserAccessCasePolicy!D"&amp;$N28)&amp;"|"&amp;$S28,CaseTypeSetMember!$H:$H,0))))</f>
        <v>0</v>
      </c>
      <c r="P28" s="6" t="b" cm="1">
        <f t="array" aca="1" ref="P28" ca="1">IF($N28="",FALSE,AND(INDIRECT("UserAccessCasePolicy!G"&amp;$N28),NOT(ISNA(MATCH(INDIRECT("UserAccessCasePolicy!D"&amp;$N28)&amp;"|"&amp;$S28,CaseTypeSetMember!$H:$H,0)))))</f>
        <v>0</v>
      </c>
      <c r="Q28" s="6" t="b" cm="1">
        <f t="array" aca="1" ref="Q28" ca="1">IF($N28="",FALSE,AND(INDIRECT("UserAccessCasePolicy!H"&amp;$N28),NOT(ISNA(MATCH(INDIRECT("UserAccessCasePolicy!D"&amp;$N28)&amp;"|"&amp;$S28,CaseTypeSetMember!$H:$H,0)))))</f>
        <v>0</v>
      </c>
      <c r="R28" t="s">
        <v>653</v>
      </c>
      <c r="S28" t="s">
        <v>119</v>
      </c>
      <c r="T28" s="6" t="str">
        <f>INDEX(CaseType!$B:$B,MATCH($S28,CaseType!$A:$A,0))</f>
        <v>case_type1</v>
      </c>
      <c r="U28" s="6" t="b">
        <f>AND(IF($AA28="",TRUE,$S28=INDEX(CaseTypeCol!$B:$B,MATCH($AA28,CaseTypeCol!$A:$A,0))),IF($AH28="",TRUE,$S28=INDEX(CaseTypeCol!$B:$B,MATCH($AH28,CaseTypeCol!$A:$A,0))),IF($AO28="",TRUE,$S28=INDEX(CaseTypeCol!$B:$B,MATCH($AO28,CaseTypeCol!$A:$A,0))))</f>
        <v>1</v>
      </c>
      <c r="W28" t="s">
        <v>11</v>
      </c>
      <c r="X28" s="6" t="str">
        <f>INDEX(DataCollection!$B:$B,MATCH($W28,DataCollection!$A:$A,0))</f>
        <v>data_collection1</v>
      </c>
      <c r="Z28" s="14">
        <v>36526</v>
      </c>
      <c r="AA28" t="s">
        <v>142</v>
      </c>
      <c r="AB28" t="s">
        <v>663</v>
      </c>
      <c r="AC28" s="6" t="str">
        <f>IF($AA28="","",INDEX(CaseTypeCol!$G:$G,MATCH($AA28,CaseTypeCol!$A:$A,0)))</f>
        <v>case_type1_dim1_1_text</v>
      </c>
      <c r="AD28" s="6" t="b" cm="1">
        <f t="array" aca="1" ref="AD28" ca="1">IF($AA28="",TRUE,IF($J28="",FALSE,IF(INDIRECT("OrganizationAccessCasePolicy!J"&amp;$J28)="",FALSE,NOT(ISNA(MATCH(INDIRECT("OrganizationAccessCasePolicy!J"&amp;$J28)&amp;"|"&amp;$AA28,CaseTypeColSetMember!$H:$H,0))))))</f>
        <v>0</v>
      </c>
      <c r="AE28" s="6" t="b" cm="1">
        <f t="array" aca="1" ref="AE28" ca="1">IF($AA28="",TRUE,IF($J28="",FALSE,IF(INDIRECT("OrganizationAccessCasePolicy!L"&amp;$J28)="",FALSE,NOT(ISNA(MATCH(INDIRECT("OrganizationAccessCasePolicy!L"&amp;$J28)&amp;"|"&amp;$AA28,CaseTypeColSetMember!$H:$H,0))))))</f>
        <v>0</v>
      </c>
      <c r="AF28" s="6" t="b" cm="1">
        <f t="array" aca="1" ref="AF28" ca="1">IF($AA28="",TRUE,IF($N28="",FALSE,IF(INDIRECT("UserAccessCasePolicy!I"&amp;$N28)="",FALSE,NOT(ISNA(MATCH(INDIRECT("UserAccessCasePolicy!I"&amp;$N28)&amp;"|"&amp;$AA28,CaseTypeColSetMember!$H:$H,0))))))</f>
        <v>0</v>
      </c>
      <c r="AG28" s="6" t="b" cm="1">
        <f t="array" aca="1" ref="AG28" ca="1">IF($AA28="",TRUE,IF($N28="",FALSE,IF(INDIRECT("UserAccessCasePolicy!K"&amp;$N28)="",FALSE,NOT(ISNA(MATCH(INDIRECT("UserAccessCasePolicy!K"&amp;$N28)&amp;"|"&amp;$AA28,CaseTypeColSetMember!$H:$H,0))))))</f>
        <v>0</v>
      </c>
      <c r="AJ28" s="6" t="str">
        <f>IF($AH28="","",INDEX(CaseTypeCol!$G:$G,MATCH($AH28,CaseTypeCol!$A:$A,0)))</f>
        <v/>
      </c>
      <c r="AK28" s="6" t="b" cm="1">
        <f t="array" aca="1" ref="AK28" ca="1">IF($AH28="",TRUE,IF($J28="",FALSE,IF(INDIRECT("OrganizationAccessCasePolicy!J"&amp;$J28)="",FALSE,NOT(ISNA(MATCH(INDIRECT("OrganizationAccessCasePolicy!J"&amp;$J28)&amp;"|"&amp;$AH28,CaseTypeColSetMember!$H:$H,0))))))</f>
        <v>1</v>
      </c>
      <c r="AL28" s="6" t="b" cm="1">
        <f t="array" aca="1" ref="AL28" ca="1">IF($AH28="",TRUE,IF($J28="",FALSE,IF(INDIRECT("OrganizationAccessCasePolicy!L"&amp;$J28)="",FALSE,NOT(ISNA(MATCH(INDIRECT("OrganizationAccessCasePolicy!L"&amp;$J28)&amp;"|"&amp;$AH28,CaseTypeColSetMember!$H:$H,0))))))</f>
        <v>1</v>
      </c>
      <c r="AM28" s="6" t="b" cm="1">
        <f t="array" aca="1" ref="AM28" ca="1">IF($AH28="",TRUE,IF($N28="",FALSE,IF(INDIRECT("UserAccessCasePolicy!I"&amp;$N28)="",FALSE,NOT(ISNA(MATCH(INDIRECT("UserAccessCasePolicy!I"&amp;$N28)&amp;"|"&amp;$AH28,CaseTypeColSetMember!$H:$H,0))))))</f>
        <v>1</v>
      </c>
      <c r="AN28" s="6" t="b" cm="1">
        <f t="array" aca="1" ref="AN28" ca="1">IF($AH28="",TRUE,IF($N28="",FALSE,IF(INDIRECT("UserAccessCasePolicy!K"&amp;$N28)="",FALSE,NOT(ISNA(MATCH(INDIRECT("UserAccessCasePolicy!K"&amp;$N28)&amp;"|"&amp;$AH28,CaseTypeColSetMember!$H:$H,0))))))</f>
        <v>1</v>
      </c>
      <c r="AQ28" s="6" t="str">
        <f>IF($AO28="","",INDEX(CaseTypeCol!$G:$G,MATCH($AO28,CaseTypeCol!$A:$A,0)))</f>
        <v/>
      </c>
      <c r="AR28" s="6" t="b" cm="1">
        <f t="array" aca="1" ref="AR28" ca="1">IF($AO28="",TRUE,IF($J28="",FALSE,IF(INDIRECT("OrganizationAccessCasePolicy!J"&amp;$J28)="",FALSE,NOT(ISNA(MATCH(INDIRECT("OrganizationAccessCasePolicy!J"&amp;$J28)&amp;"|"&amp;$AO28,CaseTypeColSetMember!$H:$H,0))))))</f>
        <v>1</v>
      </c>
      <c r="AS28" s="6" t="b" cm="1">
        <f t="array" aca="1" ref="AS28" ca="1">IF($AO28="",TRUE,IF($J28="",FALSE,IF(INDIRECT("OrganizationAccessCasePolicy!L"&amp;$J28)="",FALSE,NOT(ISNA(MATCH(INDIRECT("OrganizationAccessCasePolicy!L"&amp;$J28)&amp;"|"&amp;$AO28,CaseTypeColSetMember!$H:$H,0))))))</f>
        <v>1</v>
      </c>
      <c r="AT28" s="6" t="b" cm="1">
        <f t="array" aca="1" ref="AT28" ca="1">IF($AO28="",TRUE,IF($N28="",FALSE,IF(INDIRECT("UserAccessCasePolicy!I"&amp;$N28)="",FALSE,NOT(ISNA(MATCH(INDIRECT("UserAccessCasePolicy!I"&amp;$N28)&amp;"|"&amp;$AO28,CaseTypeColSetMember!$H:$H,0))))))</f>
        <v>1</v>
      </c>
      <c r="AU28" s="6" t="b" cm="1">
        <f t="array" aca="1" ref="AU28" ca="1">IF($AO28="",TRUE,IF($N28="",FALSE,IF(INDIRECT("UserAccessCasePolicy!K"&amp;$N28)="",FALSE,NOT(ISNA(MATCH(INDIRECT("UserAccessCasePolicy!K"&amp;$N28)&amp;"|"&amp;$AO28,CaseTypeColSetMember!$H:$H,0))))))</f>
        <v>1</v>
      </c>
    </row>
    <row r="29" spans="1:47" x14ac:dyDescent="0.3">
      <c r="A29">
        <v>28</v>
      </c>
      <c r="B29" t="b">
        <v>1</v>
      </c>
      <c r="C29" t="s">
        <v>628</v>
      </c>
      <c r="D29" t="s">
        <v>32</v>
      </c>
      <c r="E29" s="6" t="str">
        <f>INDEX(User!$D:$D,MATCH($D29,User!$A:$A,0))</f>
        <v>org_user4_4</v>
      </c>
      <c r="F29" t="s">
        <v>721</v>
      </c>
      <c r="G29" s="19" t="b">
        <f t="shared" ca="1" si="0"/>
        <v>0</v>
      </c>
      <c r="H29" s="6" t="str">
        <f>INDEX(User!$G:$G,MATCH($D29,User!$A:$A,0))</f>
        <v>0195d18c-1c92-d419-4c71-a570f428499b</v>
      </c>
      <c r="I29" s="6" t="b">
        <f>INDEX(User!$M:$M,MATCH($D29,User!$A:$A,0))</f>
        <v>0</v>
      </c>
      <c r="J29" s="6" t="str">
        <f>IF(ISNA(MATCH($H29&amp;"|"&amp;$W29,OrganizationAccessCasePolicy!$V:$V,0)),"",MATCH($H29&amp;"|"&amp;$W29,OrganizationAccessCasePolicy!$V:$V,0))</f>
        <v/>
      </c>
      <c r="K29" s="6" t="b" cm="1">
        <f t="array" aca="1" ref="K29" ca="1">IF($J29="",FALSE,NOT(ISNA(MATCH(INDIRECT("OrganizationAccessCasePolicy!D"&amp;$J29)&amp;"|"&amp;$S29,CaseTypeSetMember!$H:$H,0))))</f>
        <v>0</v>
      </c>
      <c r="L29" s="6" t="b" cm="1">
        <f t="array" aca="1" ref="L29" ca="1">IF($J29="",FALSE,AND(INDIRECT("OrganizationAccessCasePolicy!H"&amp;$J29),NOT(ISNA(MATCH(INDIRECT("OrganizationAccessCasePolicy!D"&amp;$J29)&amp;"|"&amp;$S29,CaseTypeSetMember!$H:$H,0)))))</f>
        <v>0</v>
      </c>
      <c r="M29" s="6" t="b" cm="1">
        <f t="array" aca="1" ref="M29" ca="1">IF($J29="",FALSE,AND(INDIRECT("OrganizationAccessCasePolicy!I"&amp;$J29),NOT(ISNA(MATCH(INDIRECT("OrganizationAccessCasePolicy!D"&amp;$J29)&amp;"|"&amp;$S29,CaseTypeSetMember!$H:$H,0)))))</f>
        <v>0</v>
      </c>
      <c r="N29" s="6" t="str">
        <f>IF(ISNA(MATCH($D29&amp;"|"&amp;$W29,UserAccessCasePolicy!$W:$W,0)),"",MATCH($D29&amp;"|"&amp;$W29,UserAccessCasePolicy!$W:$W,0))</f>
        <v/>
      </c>
      <c r="O29" s="6" t="b" cm="1">
        <f t="array" aca="1" ref="O29" ca="1">IF($N29="",FALSE,NOT(ISNA(MATCH(INDIRECT("UserAccessCasePolicy!D"&amp;$N29)&amp;"|"&amp;$S29,CaseTypeSetMember!$H:$H,0))))</f>
        <v>0</v>
      </c>
      <c r="P29" s="6" t="b" cm="1">
        <f t="array" aca="1" ref="P29" ca="1">IF($N29="",FALSE,AND(INDIRECT("UserAccessCasePolicy!G"&amp;$N29),NOT(ISNA(MATCH(INDIRECT("UserAccessCasePolicy!D"&amp;$N29)&amp;"|"&amp;$S29,CaseTypeSetMember!$H:$H,0)))))</f>
        <v>0</v>
      </c>
      <c r="Q29" s="6" t="b" cm="1">
        <f t="array" aca="1" ref="Q29" ca="1">IF($N29="",FALSE,AND(INDIRECT("UserAccessCasePolicy!H"&amp;$N29),NOT(ISNA(MATCH(INDIRECT("UserAccessCasePolicy!D"&amp;$N29)&amp;"|"&amp;$S29,CaseTypeSetMember!$H:$H,0)))))</f>
        <v>0</v>
      </c>
      <c r="R29" t="s">
        <v>654</v>
      </c>
      <c r="S29" t="s">
        <v>119</v>
      </c>
      <c r="T29" s="6" t="str">
        <f>INDEX(CaseType!$B:$B,MATCH($S29,CaseType!$A:$A,0))</f>
        <v>case_type1</v>
      </c>
      <c r="U29" s="6" t="b">
        <f>AND(IF($AA29="",TRUE,$S29=INDEX(CaseTypeCol!$B:$B,MATCH($AA29,CaseTypeCol!$A:$A,0))),IF($AH29="",TRUE,$S29=INDEX(CaseTypeCol!$B:$B,MATCH($AH29,CaseTypeCol!$A:$A,0))),IF($AO29="",TRUE,$S29=INDEX(CaseTypeCol!$B:$B,MATCH($AO29,CaseTypeCol!$A:$A,0))))</f>
        <v>1</v>
      </c>
      <c r="W29" t="s">
        <v>11</v>
      </c>
      <c r="X29" s="6" t="str">
        <f>INDEX(DataCollection!$B:$B,MATCH($W29,DataCollection!$A:$A,0))</f>
        <v>data_collection1</v>
      </c>
      <c r="Z29" s="14">
        <v>36526</v>
      </c>
      <c r="AA29" t="s">
        <v>142</v>
      </c>
      <c r="AB29" t="s">
        <v>663</v>
      </c>
      <c r="AC29" s="6" t="str">
        <f>IF($AA29="","",INDEX(CaseTypeCol!$G:$G,MATCH($AA29,CaseTypeCol!$A:$A,0)))</f>
        <v>case_type1_dim1_1_text</v>
      </c>
      <c r="AD29" s="6" t="b" cm="1">
        <f t="array" aca="1" ref="AD29" ca="1">IF($AA29="",TRUE,IF($J29="",FALSE,IF(INDIRECT("OrganizationAccessCasePolicy!J"&amp;$J29)="",FALSE,NOT(ISNA(MATCH(INDIRECT("OrganizationAccessCasePolicy!J"&amp;$J29)&amp;"|"&amp;$AA29,CaseTypeColSetMember!$H:$H,0))))))</f>
        <v>0</v>
      </c>
      <c r="AE29" s="6" t="b" cm="1">
        <f t="array" aca="1" ref="AE29" ca="1">IF($AA29="",TRUE,IF($J29="",FALSE,IF(INDIRECT("OrganizationAccessCasePolicy!L"&amp;$J29)="",FALSE,NOT(ISNA(MATCH(INDIRECT("OrganizationAccessCasePolicy!L"&amp;$J29)&amp;"|"&amp;$AA29,CaseTypeColSetMember!$H:$H,0))))))</f>
        <v>0</v>
      </c>
      <c r="AF29" s="6" t="b" cm="1">
        <f t="array" aca="1" ref="AF29" ca="1">IF($AA29="",TRUE,IF($N29="",FALSE,IF(INDIRECT("UserAccessCasePolicy!I"&amp;$N29)="",FALSE,NOT(ISNA(MATCH(INDIRECT("UserAccessCasePolicy!I"&amp;$N29)&amp;"|"&amp;$AA29,CaseTypeColSetMember!$H:$H,0))))))</f>
        <v>0</v>
      </c>
      <c r="AG29" s="6" t="b" cm="1">
        <f t="array" aca="1" ref="AG29" ca="1">IF($AA29="",TRUE,IF($N29="",FALSE,IF(INDIRECT("UserAccessCasePolicy!K"&amp;$N29)="",FALSE,NOT(ISNA(MATCH(INDIRECT("UserAccessCasePolicy!K"&amp;$N29)&amp;"|"&amp;$AA29,CaseTypeColSetMember!$H:$H,0))))))</f>
        <v>0</v>
      </c>
      <c r="AJ29" s="6" t="str">
        <f>IF($AH29="","",INDEX(CaseTypeCol!$G:$G,MATCH($AH29,CaseTypeCol!$A:$A,0)))</f>
        <v/>
      </c>
      <c r="AK29" s="6" t="b" cm="1">
        <f t="array" aca="1" ref="AK29" ca="1">IF($AH29="",TRUE,IF($J29="",FALSE,IF(INDIRECT("OrganizationAccessCasePolicy!J"&amp;$J29)="",FALSE,NOT(ISNA(MATCH(INDIRECT("OrganizationAccessCasePolicy!J"&amp;$J29)&amp;"|"&amp;$AH29,CaseTypeColSetMember!$H:$H,0))))))</f>
        <v>1</v>
      </c>
      <c r="AL29" s="6" t="b" cm="1">
        <f t="array" aca="1" ref="AL29" ca="1">IF($AH29="",TRUE,IF($J29="",FALSE,IF(INDIRECT("OrganizationAccessCasePolicy!L"&amp;$J29)="",FALSE,NOT(ISNA(MATCH(INDIRECT("OrganizationAccessCasePolicy!L"&amp;$J29)&amp;"|"&amp;$AH29,CaseTypeColSetMember!$H:$H,0))))))</f>
        <v>1</v>
      </c>
      <c r="AM29" s="6" t="b" cm="1">
        <f t="array" aca="1" ref="AM29" ca="1">IF($AH29="",TRUE,IF($N29="",FALSE,IF(INDIRECT("UserAccessCasePolicy!I"&amp;$N29)="",FALSE,NOT(ISNA(MATCH(INDIRECT("UserAccessCasePolicy!I"&amp;$N29)&amp;"|"&amp;$AH29,CaseTypeColSetMember!$H:$H,0))))))</f>
        <v>1</v>
      </c>
      <c r="AN29" s="6" t="b" cm="1">
        <f t="array" aca="1" ref="AN29" ca="1">IF($AH29="",TRUE,IF($N29="",FALSE,IF(INDIRECT("UserAccessCasePolicy!K"&amp;$N29)="",FALSE,NOT(ISNA(MATCH(INDIRECT("UserAccessCasePolicy!K"&amp;$N29)&amp;"|"&amp;$AH29,CaseTypeColSetMember!$H:$H,0))))))</f>
        <v>1</v>
      </c>
      <c r="AQ29" s="6" t="str">
        <f>IF($AO29="","",INDEX(CaseTypeCol!$G:$G,MATCH($AO29,CaseTypeCol!$A:$A,0)))</f>
        <v/>
      </c>
      <c r="AR29" s="6" t="b" cm="1">
        <f t="array" aca="1" ref="AR29" ca="1">IF($AO29="",TRUE,IF($J29="",FALSE,IF(INDIRECT("OrganizationAccessCasePolicy!J"&amp;$J29)="",FALSE,NOT(ISNA(MATCH(INDIRECT("OrganizationAccessCasePolicy!J"&amp;$J29)&amp;"|"&amp;$AO29,CaseTypeColSetMember!$H:$H,0))))))</f>
        <v>1</v>
      </c>
      <c r="AS29" s="6" t="b" cm="1">
        <f t="array" aca="1" ref="AS29" ca="1">IF($AO29="",TRUE,IF($J29="",FALSE,IF(INDIRECT("OrganizationAccessCasePolicy!L"&amp;$J29)="",FALSE,NOT(ISNA(MATCH(INDIRECT("OrganizationAccessCasePolicy!L"&amp;$J29)&amp;"|"&amp;$AO29,CaseTypeColSetMember!$H:$H,0))))))</f>
        <v>1</v>
      </c>
      <c r="AT29" s="6" t="b" cm="1">
        <f t="array" aca="1" ref="AT29" ca="1">IF($AO29="",TRUE,IF($N29="",FALSE,IF(INDIRECT("UserAccessCasePolicy!I"&amp;$N29)="",FALSE,NOT(ISNA(MATCH(INDIRECT("UserAccessCasePolicy!I"&amp;$N29)&amp;"|"&amp;$AO29,CaseTypeColSetMember!$H:$H,0))))))</f>
        <v>1</v>
      </c>
      <c r="AU29" s="6" t="b" cm="1">
        <f t="array" aca="1" ref="AU29" ca="1">IF($AO29="",TRUE,IF($N29="",FALSE,IF(INDIRECT("UserAccessCasePolicy!K"&amp;$N29)="",FALSE,NOT(ISNA(MATCH(INDIRECT("UserAccessCasePolicy!K"&amp;$N29)&amp;"|"&amp;$AO29,CaseTypeColSetMember!$H:$H,0))))))</f>
        <v>1</v>
      </c>
    </row>
    <row r="30" spans="1:47" x14ac:dyDescent="0.3">
      <c r="A30">
        <v>29</v>
      </c>
      <c r="B30" t="b">
        <v>1</v>
      </c>
      <c r="C30" t="s">
        <v>629</v>
      </c>
      <c r="D30" t="s">
        <v>34</v>
      </c>
      <c r="E30" s="6" t="str">
        <f>INDEX(User!$D:$D,MATCH($D30,User!$A:$A,0))</f>
        <v>org_user5_1</v>
      </c>
      <c r="F30" t="s">
        <v>721</v>
      </c>
      <c r="G30" s="19" t="b">
        <f t="shared" ca="1" si="0"/>
        <v>0</v>
      </c>
      <c r="H30" s="6" t="str">
        <f>INDEX(User!$G:$G,MATCH($D30,User!$A:$A,0))</f>
        <v>0195d18c-1c93-02a2-6920-7e4dbfb73ce0</v>
      </c>
      <c r="I30" s="6" t="b">
        <f>INDEX(User!$M:$M,MATCH($D30,User!$A:$A,0))</f>
        <v>0</v>
      </c>
      <c r="J30" s="6" t="str">
        <f>IF(ISNA(MATCH($H30&amp;"|"&amp;$W30,OrganizationAccessCasePolicy!$V:$V,0)),"",MATCH($H30&amp;"|"&amp;$W30,OrganizationAccessCasePolicy!$V:$V,0))</f>
        <v/>
      </c>
      <c r="K30" s="6" t="b" cm="1">
        <f t="array" aca="1" ref="K30" ca="1">IF($J30="",FALSE,NOT(ISNA(MATCH(INDIRECT("OrganizationAccessCasePolicy!D"&amp;$J30)&amp;"|"&amp;$S30,CaseTypeSetMember!$H:$H,0))))</f>
        <v>0</v>
      </c>
      <c r="L30" s="6" t="b" cm="1">
        <f t="array" aca="1" ref="L30" ca="1">IF($J30="",FALSE,AND(INDIRECT("OrganizationAccessCasePolicy!H"&amp;$J30),NOT(ISNA(MATCH(INDIRECT("OrganizationAccessCasePolicy!D"&amp;$J30)&amp;"|"&amp;$S30,CaseTypeSetMember!$H:$H,0)))))</f>
        <v>0</v>
      </c>
      <c r="M30" s="6" t="b" cm="1">
        <f t="array" aca="1" ref="M30" ca="1">IF($J30="",FALSE,AND(INDIRECT("OrganizationAccessCasePolicy!I"&amp;$J30),NOT(ISNA(MATCH(INDIRECT("OrganizationAccessCasePolicy!D"&amp;$J30)&amp;"|"&amp;$S30,CaseTypeSetMember!$H:$H,0)))))</f>
        <v>0</v>
      </c>
      <c r="N30" s="6" t="str">
        <f>IF(ISNA(MATCH($D30&amp;"|"&amp;$W30,UserAccessCasePolicy!$W:$W,0)),"",MATCH($D30&amp;"|"&amp;$W30,UserAccessCasePolicy!$W:$W,0))</f>
        <v/>
      </c>
      <c r="O30" s="6" t="b" cm="1">
        <f t="array" aca="1" ref="O30" ca="1">IF($N30="",FALSE,NOT(ISNA(MATCH(INDIRECT("UserAccessCasePolicy!D"&amp;$N30)&amp;"|"&amp;$S30,CaseTypeSetMember!$H:$H,0))))</f>
        <v>0</v>
      </c>
      <c r="P30" s="6" t="b" cm="1">
        <f t="array" aca="1" ref="P30" ca="1">IF($N30="",FALSE,AND(INDIRECT("UserAccessCasePolicy!G"&amp;$N30),NOT(ISNA(MATCH(INDIRECT("UserAccessCasePolicy!D"&amp;$N30)&amp;"|"&amp;$S30,CaseTypeSetMember!$H:$H,0)))))</f>
        <v>0</v>
      </c>
      <c r="Q30" s="6" t="b" cm="1">
        <f t="array" aca="1" ref="Q30" ca="1">IF($N30="",FALSE,AND(INDIRECT("UserAccessCasePolicy!H"&amp;$N30),NOT(ISNA(MATCH(INDIRECT("UserAccessCasePolicy!D"&amp;$N30)&amp;"|"&amp;$S30,CaseTypeSetMember!$H:$H,0)))))</f>
        <v>0</v>
      </c>
      <c r="R30" t="s">
        <v>655</v>
      </c>
      <c r="S30" t="s">
        <v>119</v>
      </c>
      <c r="T30" s="6" t="str">
        <f>INDEX(CaseType!$B:$B,MATCH($S30,CaseType!$A:$A,0))</f>
        <v>case_type1</v>
      </c>
      <c r="U30" s="6" t="b">
        <f>AND(IF($AA30="",TRUE,$S30=INDEX(CaseTypeCol!$B:$B,MATCH($AA30,CaseTypeCol!$A:$A,0))),IF($AH30="",TRUE,$S30=INDEX(CaseTypeCol!$B:$B,MATCH($AH30,CaseTypeCol!$A:$A,0))),IF($AO30="",TRUE,$S30=INDEX(CaseTypeCol!$B:$B,MATCH($AO30,CaseTypeCol!$A:$A,0))))</f>
        <v>1</v>
      </c>
      <c r="W30" t="s">
        <v>11</v>
      </c>
      <c r="X30" s="6" t="str">
        <f>INDEX(DataCollection!$B:$B,MATCH($W30,DataCollection!$A:$A,0))</f>
        <v>data_collection1</v>
      </c>
      <c r="Z30" s="14">
        <v>36526</v>
      </c>
      <c r="AA30" t="s">
        <v>142</v>
      </c>
      <c r="AB30" t="s">
        <v>663</v>
      </c>
      <c r="AC30" s="6" t="str">
        <f>IF($AA30="","",INDEX(CaseTypeCol!$G:$G,MATCH($AA30,CaseTypeCol!$A:$A,0)))</f>
        <v>case_type1_dim1_1_text</v>
      </c>
      <c r="AD30" s="6" t="b" cm="1">
        <f t="array" aca="1" ref="AD30" ca="1">IF($AA30="",TRUE,IF($J30="",FALSE,IF(INDIRECT("OrganizationAccessCasePolicy!J"&amp;$J30)="",FALSE,NOT(ISNA(MATCH(INDIRECT("OrganizationAccessCasePolicy!J"&amp;$J30)&amp;"|"&amp;$AA30,CaseTypeColSetMember!$H:$H,0))))))</f>
        <v>0</v>
      </c>
      <c r="AE30" s="6" t="b" cm="1">
        <f t="array" aca="1" ref="AE30" ca="1">IF($AA30="",TRUE,IF($J30="",FALSE,IF(INDIRECT("OrganizationAccessCasePolicy!L"&amp;$J30)="",FALSE,NOT(ISNA(MATCH(INDIRECT("OrganizationAccessCasePolicy!L"&amp;$J30)&amp;"|"&amp;$AA30,CaseTypeColSetMember!$H:$H,0))))))</f>
        <v>0</v>
      </c>
      <c r="AF30" s="6" t="b" cm="1">
        <f t="array" aca="1" ref="AF30" ca="1">IF($AA30="",TRUE,IF($N30="",FALSE,IF(INDIRECT("UserAccessCasePolicy!I"&amp;$N30)="",FALSE,NOT(ISNA(MATCH(INDIRECT("UserAccessCasePolicy!I"&amp;$N30)&amp;"|"&amp;$AA30,CaseTypeColSetMember!$H:$H,0))))))</f>
        <v>0</v>
      </c>
      <c r="AG30" s="6" t="b" cm="1">
        <f t="array" aca="1" ref="AG30" ca="1">IF($AA30="",TRUE,IF($N30="",FALSE,IF(INDIRECT("UserAccessCasePolicy!K"&amp;$N30)="",FALSE,NOT(ISNA(MATCH(INDIRECT("UserAccessCasePolicy!K"&amp;$N30)&amp;"|"&amp;$AA30,CaseTypeColSetMember!$H:$H,0))))))</f>
        <v>0</v>
      </c>
      <c r="AJ30" s="6" t="str">
        <f>IF($AH30="","",INDEX(CaseTypeCol!$G:$G,MATCH($AH30,CaseTypeCol!$A:$A,0)))</f>
        <v/>
      </c>
      <c r="AK30" s="6" t="b" cm="1">
        <f t="array" aca="1" ref="AK30" ca="1">IF($AH30="",TRUE,IF($J30="",FALSE,IF(INDIRECT("OrganizationAccessCasePolicy!J"&amp;$J30)="",FALSE,NOT(ISNA(MATCH(INDIRECT("OrganizationAccessCasePolicy!J"&amp;$J30)&amp;"|"&amp;$AH30,CaseTypeColSetMember!$H:$H,0))))))</f>
        <v>1</v>
      </c>
      <c r="AL30" s="6" t="b" cm="1">
        <f t="array" aca="1" ref="AL30" ca="1">IF($AH30="",TRUE,IF($J30="",FALSE,IF(INDIRECT("OrganizationAccessCasePolicy!L"&amp;$J30)="",FALSE,NOT(ISNA(MATCH(INDIRECT("OrganizationAccessCasePolicy!L"&amp;$J30)&amp;"|"&amp;$AH30,CaseTypeColSetMember!$H:$H,0))))))</f>
        <v>1</v>
      </c>
      <c r="AM30" s="6" t="b" cm="1">
        <f t="array" aca="1" ref="AM30" ca="1">IF($AH30="",TRUE,IF($N30="",FALSE,IF(INDIRECT("UserAccessCasePolicy!I"&amp;$N30)="",FALSE,NOT(ISNA(MATCH(INDIRECT("UserAccessCasePolicy!I"&amp;$N30)&amp;"|"&amp;$AH30,CaseTypeColSetMember!$H:$H,0))))))</f>
        <v>1</v>
      </c>
      <c r="AN30" s="6" t="b" cm="1">
        <f t="array" aca="1" ref="AN30" ca="1">IF($AH30="",TRUE,IF($N30="",FALSE,IF(INDIRECT("UserAccessCasePolicy!K"&amp;$N30)="",FALSE,NOT(ISNA(MATCH(INDIRECT("UserAccessCasePolicy!K"&amp;$N30)&amp;"|"&amp;$AH30,CaseTypeColSetMember!$H:$H,0))))))</f>
        <v>1</v>
      </c>
      <c r="AQ30" s="6" t="str">
        <f>IF($AO30="","",INDEX(CaseTypeCol!$G:$G,MATCH($AO30,CaseTypeCol!$A:$A,0)))</f>
        <v/>
      </c>
      <c r="AR30" s="6" t="b" cm="1">
        <f t="array" aca="1" ref="AR30" ca="1">IF($AO30="",TRUE,IF($J30="",FALSE,IF(INDIRECT("OrganizationAccessCasePolicy!J"&amp;$J30)="",FALSE,NOT(ISNA(MATCH(INDIRECT("OrganizationAccessCasePolicy!J"&amp;$J30)&amp;"|"&amp;$AO30,CaseTypeColSetMember!$H:$H,0))))))</f>
        <v>1</v>
      </c>
      <c r="AS30" s="6" t="b" cm="1">
        <f t="array" aca="1" ref="AS30" ca="1">IF($AO30="",TRUE,IF($J30="",FALSE,IF(INDIRECT("OrganizationAccessCasePolicy!L"&amp;$J30)="",FALSE,NOT(ISNA(MATCH(INDIRECT("OrganizationAccessCasePolicy!L"&amp;$J30)&amp;"|"&amp;$AO30,CaseTypeColSetMember!$H:$H,0))))))</f>
        <v>1</v>
      </c>
      <c r="AT30" s="6" t="b" cm="1">
        <f t="array" aca="1" ref="AT30" ca="1">IF($AO30="",TRUE,IF($N30="",FALSE,IF(INDIRECT("UserAccessCasePolicy!I"&amp;$N30)="",FALSE,NOT(ISNA(MATCH(INDIRECT("UserAccessCasePolicy!I"&amp;$N30)&amp;"|"&amp;$AO30,CaseTypeColSetMember!$H:$H,0))))))</f>
        <v>1</v>
      </c>
      <c r="AU30" s="6" t="b" cm="1">
        <f t="array" aca="1" ref="AU30" ca="1">IF($AO30="",TRUE,IF($N30="",FALSE,IF(INDIRECT("UserAccessCasePolicy!K"&amp;$N30)="",FALSE,NOT(ISNA(MATCH(INDIRECT("UserAccessCasePolicy!K"&amp;$N30)&amp;"|"&amp;$AO30,CaseTypeColSetMember!$H:$H,0))))))</f>
        <v>1</v>
      </c>
    </row>
    <row r="31" spans="1:47" x14ac:dyDescent="0.3">
      <c r="A31">
        <v>30</v>
      </c>
      <c r="B31" t="b">
        <v>1</v>
      </c>
      <c r="C31" t="s">
        <v>630</v>
      </c>
      <c r="D31" t="s">
        <v>36</v>
      </c>
      <c r="E31" s="6" t="str">
        <f>INDEX(User!$D:$D,MATCH($D31,User!$A:$A,0))</f>
        <v>org_user5_2</v>
      </c>
      <c r="F31" t="s">
        <v>721</v>
      </c>
      <c r="G31" s="19" t="b">
        <f t="shared" ca="1" si="0"/>
        <v>0</v>
      </c>
      <c r="H31" s="6" t="str">
        <f>INDEX(User!$G:$G,MATCH($D31,User!$A:$A,0))</f>
        <v>0195d18c-1c93-02a2-6920-7e4dbfb73ce0</v>
      </c>
      <c r="I31" s="6" t="b">
        <f>INDEX(User!$M:$M,MATCH($D31,User!$A:$A,0))</f>
        <v>0</v>
      </c>
      <c r="J31" s="6" t="str">
        <f>IF(ISNA(MATCH($H31&amp;"|"&amp;$W31,OrganizationAccessCasePolicy!$V:$V,0)),"",MATCH($H31&amp;"|"&amp;$W31,OrganizationAccessCasePolicy!$V:$V,0))</f>
        <v/>
      </c>
      <c r="K31" s="6" t="b" cm="1">
        <f t="array" aca="1" ref="K31" ca="1">IF($J31="",FALSE,NOT(ISNA(MATCH(INDIRECT("OrganizationAccessCasePolicy!D"&amp;$J31)&amp;"|"&amp;$S31,CaseTypeSetMember!$H:$H,0))))</f>
        <v>0</v>
      </c>
      <c r="L31" s="6" t="b" cm="1">
        <f t="array" aca="1" ref="L31" ca="1">IF($J31="",FALSE,AND(INDIRECT("OrganizationAccessCasePolicy!H"&amp;$J31),NOT(ISNA(MATCH(INDIRECT("OrganizationAccessCasePolicy!D"&amp;$J31)&amp;"|"&amp;$S31,CaseTypeSetMember!$H:$H,0)))))</f>
        <v>0</v>
      </c>
      <c r="M31" s="6" t="b" cm="1">
        <f t="array" aca="1" ref="M31" ca="1">IF($J31="",FALSE,AND(INDIRECT("OrganizationAccessCasePolicy!I"&amp;$J31),NOT(ISNA(MATCH(INDIRECT("OrganizationAccessCasePolicy!D"&amp;$J31)&amp;"|"&amp;$S31,CaseTypeSetMember!$H:$H,0)))))</f>
        <v>0</v>
      </c>
      <c r="N31" s="6" t="str">
        <f>IF(ISNA(MATCH($D31&amp;"|"&amp;$W31,UserAccessCasePolicy!$W:$W,0)),"",MATCH($D31&amp;"|"&amp;$W31,UserAccessCasePolicy!$W:$W,0))</f>
        <v/>
      </c>
      <c r="O31" s="6" t="b" cm="1">
        <f t="array" aca="1" ref="O31" ca="1">IF($N31="",FALSE,NOT(ISNA(MATCH(INDIRECT("UserAccessCasePolicy!D"&amp;$N31)&amp;"|"&amp;$S31,CaseTypeSetMember!$H:$H,0))))</f>
        <v>0</v>
      </c>
      <c r="P31" s="6" t="b" cm="1">
        <f t="array" aca="1" ref="P31" ca="1">IF($N31="",FALSE,AND(INDIRECT("UserAccessCasePolicy!G"&amp;$N31),NOT(ISNA(MATCH(INDIRECT("UserAccessCasePolicy!D"&amp;$N31)&amp;"|"&amp;$S31,CaseTypeSetMember!$H:$H,0)))))</f>
        <v>0</v>
      </c>
      <c r="Q31" s="6" t="b" cm="1">
        <f t="array" aca="1" ref="Q31" ca="1">IF($N31="",FALSE,AND(INDIRECT("UserAccessCasePolicy!H"&amp;$N31),NOT(ISNA(MATCH(INDIRECT("UserAccessCasePolicy!D"&amp;$N31)&amp;"|"&amp;$S31,CaseTypeSetMember!$H:$H,0)))))</f>
        <v>0</v>
      </c>
      <c r="R31" t="s">
        <v>656</v>
      </c>
      <c r="S31" t="s">
        <v>119</v>
      </c>
      <c r="T31" s="6" t="str">
        <f>INDEX(CaseType!$B:$B,MATCH($S31,CaseType!$A:$A,0))</f>
        <v>case_type1</v>
      </c>
      <c r="U31" s="6" t="b">
        <f>AND(IF($AA31="",TRUE,$S31=INDEX(CaseTypeCol!$B:$B,MATCH($AA31,CaseTypeCol!$A:$A,0))),IF($AH31="",TRUE,$S31=INDEX(CaseTypeCol!$B:$B,MATCH($AH31,CaseTypeCol!$A:$A,0))),IF($AO31="",TRUE,$S31=INDEX(CaseTypeCol!$B:$B,MATCH($AO31,CaseTypeCol!$A:$A,0))))</f>
        <v>1</v>
      </c>
      <c r="W31" t="s">
        <v>11</v>
      </c>
      <c r="X31" s="6" t="str">
        <f>INDEX(DataCollection!$B:$B,MATCH($W31,DataCollection!$A:$A,0))</f>
        <v>data_collection1</v>
      </c>
      <c r="Z31" s="14">
        <v>36526</v>
      </c>
      <c r="AA31" t="s">
        <v>142</v>
      </c>
      <c r="AB31" t="s">
        <v>663</v>
      </c>
      <c r="AC31" s="6" t="str">
        <f>IF($AA31="","",INDEX(CaseTypeCol!$G:$G,MATCH($AA31,CaseTypeCol!$A:$A,0)))</f>
        <v>case_type1_dim1_1_text</v>
      </c>
      <c r="AD31" s="6" t="b" cm="1">
        <f t="array" aca="1" ref="AD31" ca="1">IF($AA31="",TRUE,IF($J31="",FALSE,IF(INDIRECT("OrganizationAccessCasePolicy!J"&amp;$J31)="",FALSE,NOT(ISNA(MATCH(INDIRECT("OrganizationAccessCasePolicy!J"&amp;$J31)&amp;"|"&amp;$AA31,CaseTypeColSetMember!$H:$H,0))))))</f>
        <v>0</v>
      </c>
      <c r="AE31" s="6" t="b" cm="1">
        <f t="array" aca="1" ref="AE31" ca="1">IF($AA31="",TRUE,IF($J31="",FALSE,IF(INDIRECT("OrganizationAccessCasePolicy!L"&amp;$J31)="",FALSE,NOT(ISNA(MATCH(INDIRECT("OrganizationAccessCasePolicy!L"&amp;$J31)&amp;"|"&amp;$AA31,CaseTypeColSetMember!$H:$H,0))))))</f>
        <v>0</v>
      </c>
      <c r="AF31" s="6" t="b" cm="1">
        <f t="array" aca="1" ref="AF31" ca="1">IF($AA31="",TRUE,IF($N31="",FALSE,IF(INDIRECT("UserAccessCasePolicy!I"&amp;$N31)="",FALSE,NOT(ISNA(MATCH(INDIRECT("UserAccessCasePolicy!I"&amp;$N31)&amp;"|"&amp;$AA31,CaseTypeColSetMember!$H:$H,0))))))</f>
        <v>0</v>
      </c>
      <c r="AG31" s="6" t="b" cm="1">
        <f t="array" aca="1" ref="AG31" ca="1">IF($AA31="",TRUE,IF($N31="",FALSE,IF(INDIRECT("UserAccessCasePolicy!K"&amp;$N31)="",FALSE,NOT(ISNA(MATCH(INDIRECT("UserAccessCasePolicy!K"&amp;$N31)&amp;"|"&amp;$AA31,CaseTypeColSetMember!$H:$H,0))))))</f>
        <v>0</v>
      </c>
      <c r="AJ31" s="6" t="str">
        <f>IF($AH31="","",INDEX(CaseTypeCol!$G:$G,MATCH($AH31,CaseTypeCol!$A:$A,0)))</f>
        <v/>
      </c>
      <c r="AK31" s="6" t="b" cm="1">
        <f t="array" aca="1" ref="AK31" ca="1">IF($AH31="",TRUE,IF($J31="",FALSE,IF(INDIRECT("OrganizationAccessCasePolicy!J"&amp;$J31)="",FALSE,NOT(ISNA(MATCH(INDIRECT("OrganizationAccessCasePolicy!J"&amp;$J31)&amp;"|"&amp;$AH31,CaseTypeColSetMember!$H:$H,0))))))</f>
        <v>1</v>
      </c>
      <c r="AL31" s="6" t="b" cm="1">
        <f t="array" aca="1" ref="AL31" ca="1">IF($AH31="",TRUE,IF($J31="",FALSE,IF(INDIRECT("OrganizationAccessCasePolicy!L"&amp;$J31)="",FALSE,NOT(ISNA(MATCH(INDIRECT("OrganizationAccessCasePolicy!L"&amp;$J31)&amp;"|"&amp;$AH31,CaseTypeColSetMember!$H:$H,0))))))</f>
        <v>1</v>
      </c>
      <c r="AM31" s="6" t="b" cm="1">
        <f t="array" aca="1" ref="AM31" ca="1">IF($AH31="",TRUE,IF($N31="",FALSE,IF(INDIRECT("UserAccessCasePolicy!I"&amp;$N31)="",FALSE,NOT(ISNA(MATCH(INDIRECT("UserAccessCasePolicy!I"&amp;$N31)&amp;"|"&amp;$AH31,CaseTypeColSetMember!$H:$H,0))))))</f>
        <v>1</v>
      </c>
      <c r="AN31" s="6" t="b" cm="1">
        <f t="array" aca="1" ref="AN31" ca="1">IF($AH31="",TRUE,IF($N31="",FALSE,IF(INDIRECT("UserAccessCasePolicy!K"&amp;$N31)="",FALSE,NOT(ISNA(MATCH(INDIRECT("UserAccessCasePolicy!K"&amp;$N31)&amp;"|"&amp;$AH31,CaseTypeColSetMember!$H:$H,0))))))</f>
        <v>1</v>
      </c>
      <c r="AQ31" s="6" t="str">
        <f>IF($AO31="","",INDEX(CaseTypeCol!$G:$G,MATCH($AO31,CaseTypeCol!$A:$A,0)))</f>
        <v/>
      </c>
      <c r="AR31" s="6" t="b" cm="1">
        <f t="array" aca="1" ref="AR31" ca="1">IF($AO31="",TRUE,IF($J31="",FALSE,IF(INDIRECT("OrganizationAccessCasePolicy!J"&amp;$J31)="",FALSE,NOT(ISNA(MATCH(INDIRECT("OrganizationAccessCasePolicy!J"&amp;$J31)&amp;"|"&amp;$AO31,CaseTypeColSetMember!$H:$H,0))))))</f>
        <v>1</v>
      </c>
      <c r="AS31" s="6" t="b" cm="1">
        <f t="array" aca="1" ref="AS31" ca="1">IF($AO31="",TRUE,IF($J31="",FALSE,IF(INDIRECT("OrganizationAccessCasePolicy!L"&amp;$J31)="",FALSE,NOT(ISNA(MATCH(INDIRECT("OrganizationAccessCasePolicy!L"&amp;$J31)&amp;"|"&amp;$AO31,CaseTypeColSetMember!$H:$H,0))))))</f>
        <v>1</v>
      </c>
      <c r="AT31" s="6" t="b" cm="1">
        <f t="array" aca="1" ref="AT31" ca="1">IF($AO31="",TRUE,IF($N31="",FALSE,IF(INDIRECT("UserAccessCasePolicy!I"&amp;$N31)="",FALSE,NOT(ISNA(MATCH(INDIRECT("UserAccessCasePolicy!I"&amp;$N31)&amp;"|"&amp;$AO31,CaseTypeColSetMember!$H:$H,0))))))</f>
        <v>1</v>
      </c>
      <c r="AU31" s="6" t="b" cm="1">
        <f t="array" aca="1" ref="AU31" ca="1">IF($AO31="",TRUE,IF($N31="",FALSE,IF(INDIRECT("UserAccessCasePolicy!K"&amp;$N31)="",FALSE,NOT(ISNA(MATCH(INDIRECT("UserAccessCasePolicy!K"&amp;$N31)&amp;"|"&amp;$AO31,CaseTypeColSetMember!$H:$H,0))))))</f>
        <v>1</v>
      </c>
    </row>
    <row r="32" spans="1:47" x14ac:dyDescent="0.3">
      <c r="A32">
        <v>31</v>
      </c>
      <c r="B32" t="b">
        <v>1</v>
      </c>
      <c r="C32" t="s">
        <v>631</v>
      </c>
      <c r="D32" t="s">
        <v>37</v>
      </c>
      <c r="E32" s="6" t="str">
        <f>INDEX(User!$D:$D,MATCH($D32,User!$A:$A,0))</f>
        <v>org_user5_3</v>
      </c>
      <c r="F32" t="s">
        <v>721</v>
      </c>
      <c r="G32" s="19" t="b">
        <f t="shared" ca="1" si="0"/>
        <v>0</v>
      </c>
      <c r="H32" s="6" t="str">
        <f>INDEX(User!$G:$G,MATCH($D32,User!$A:$A,0))</f>
        <v>0195d18c-1c93-02a2-6920-7e4dbfb73ce0</v>
      </c>
      <c r="I32" s="6" t="b">
        <f>INDEX(User!$M:$M,MATCH($D32,User!$A:$A,0))</f>
        <v>0</v>
      </c>
      <c r="J32" s="6" t="str">
        <f>IF(ISNA(MATCH($H32&amp;"|"&amp;$W32,OrganizationAccessCasePolicy!$V:$V,0)),"",MATCH($H32&amp;"|"&amp;$W32,OrganizationAccessCasePolicy!$V:$V,0))</f>
        <v/>
      </c>
      <c r="K32" s="6" t="b" cm="1">
        <f t="array" aca="1" ref="K32" ca="1">IF($J32="",FALSE,NOT(ISNA(MATCH(INDIRECT("OrganizationAccessCasePolicy!D"&amp;$J32)&amp;"|"&amp;$S32,CaseTypeSetMember!$H:$H,0))))</f>
        <v>0</v>
      </c>
      <c r="L32" s="6" t="b" cm="1">
        <f t="array" aca="1" ref="L32" ca="1">IF($J32="",FALSE,AND(INDIRECT("OrganizationAccessCasePolicy!H"&amp;$J32),NOT(ISNA(MATCH(INDIRECT("OrganizationAccessCasePolicy!D"&amp;$J32)&amp;"|"&amp;$S32,CaseTypeSetMember!$H:$H,0)))))</f>
        <v>0</v>
      </c>
      <c r="M32" s="6" t="b" cm="1">
        <f t="array" aca="1" ref="M32" ca="1">IF($J32="",FALSE,AND(INDIRECT("OrganizationAccessCasePolicy!I"&amp;$J32),NOT(ISNA(MATCH(INDIRECT("OrganizationAccessCasePolicy!D"&amp;$J32)&amp;"|"&amp;$S32,CaseTypeSetMember!$H:$H,0)))))</f>
        <v>0</v>
      </c>
      <c r="N32" s="6" t="str">
        <f>IF(ISNA(MATCH($D32&amp;"|"&amp;$W32,UserAccessCasePolicy!$W:$W,0)),"",MATCH($D32&amp;"|"&amp;$W32,UserAccessCasePolicy!$W:$W,0))</f>
        <v/>
      </c>
      <c r="O32" s="6" t="b" cm="1">
        <f t="array" aca="1" ref="O32" ca="1">IF($N32="",FALSE,NOT(ISNA(MATCH(INDIRECT("UserAccessCasePolicy!D"&amp;$N32)&amp;"|"&amp;$S32,CaseTypeSetMember!$H:$H,0))))</f>
        <v>0</v>
      </c>
      <c r="P32" s="6" t="b" cm="1">
        <f t="array" aca="1" ref="P32" ca="1">IF($N32="",FALSE,AND(INDIRECT("UserAccessCasePolicy!G"&amp;$N32),NOT(ISNA(MATCH(INDIRECT("UserAccessCasePolicy!D"&amp;$N32)&amp;"|"&amp;$S32,CaseTypeSetMember!$H:$H,0)))))</f>
        <v>0</v>
      </c>
      <c r="Q32" s="6" t="b" cm="1">
        <f t="array" aca="1" ref="Q32" ca="1">IF($N32="",FALSE,AND(INDIRECT("UserAccessCasePolicy!H"&amp;$N32),NOT(ISNA(MATCH(INDIRECT("UserAccessCasePolicy!D"&amp;$N32)&amp;"|"&amp;$S32,CaseTypeSetMember!$H:$H,0)))))</f>
        <v>0</v>
      </c>
      <c r="R32" t="s">
        <v>657</v>
      </c>
      <c r="S32" t="s">
        <v>119</v>
      </c>
      <c r="T32" s="6" t="str">
        <f>INDEX(CaseType!$B:$B,MATCH($S32,CaseType!$A:$A,0))</f>
        <v>case_type1</v>
      </c>
      <c r="U32" s="6" t="b">
        <f>AND(IF($AA32="",TRUE,$S32=INDEX(CaseTypeCol!$B:$B,MATCH($AA32,CaseTypeCol!$A:$A,0))),IF($AH32="",TRUE,$S32=INDEX(CaseTypeCol!$B:$B,MATCH($AH32,CaseTypeCol!$A:$A,0))),IF($AO32="",TRUE,$S32=INDEX(CaseTypeCol!$B:$B,MATCH($AO32,CaseTypeCol!$A:$A,0))))</f>
        <v>1</v>
      </c>
      <c r="W32" t="s">
        <v>11</v>
      </c>
      <c r="X32" s="6" t="str">
        <f>INDEX(DataCollection!$B:$B,MATCH($W32,DataCollection!$A:$A,0))</f>
        <v>data_collection1</v>
      </c>
      <c r="Z32" s="14">
        <v>36526</v>
      </c>
      <c r="AA32" t="s">
        <v>142</v>
      </c>
      <c r="AB32" t="s">
        <v>663</v>
      </c>
      <c r="AC32" s="6" t="str">
        <f>IF($AA32="","",INDEX(CaseTypeCol!$G:$G,MATCH($AA32,CaseTypeCol!$A:$A,0)))</f>
        <v>case_type1_dim1_1_text</v>
      </c>
      <c r="AD32" s="6" t="b" cm="1">
        <f t="array" aca="1" ref="AD32" ca="1">IF($AA32="",TRUE,IF($J32="",FALSE,IF(INDIRECT("OrganizationAccessCasePolicy!J"&amp;$J32)="",FALSE,NOT(ISNA(MATCH(INDIRECT("OrganizationAccessCasePolicy!J"&amp;$J32)&amp;"|"&amp;$AA32,CaseTypeColSetMember!$H:$H,0))))))</f>
        <v>0</v>
      </c>
      <c r="AE32" s="6" t="b" cm="1">
        <f t="array" aca="1" ref="AE32" ca="1">IF($AA32="",TRUE,IF($J32="",FALSE,IF(INDIRECT("OrganizationAccessCasePolicy!L"&amp;$J32)="",FALSE,NOT(ISNA(MATCH(INDIRECT("OrganizationAccessCasePolicy!L"&amp;$J32)&amp;"|"&amp;$AA32,CaseTypeColSetMember!$H:$H,0))))))</f>
        <v>0</v>
      </c>
      <c r="AF32" s="6" t="b" cm="1">
        <f t="array" aca="1" ref="AF32" ca="1">IF($AA32="",TRUE,IF($N32="",FALSE,IF(INDIRECT("UserAccessCasePolicy!I"&amp;$N32)="",FALSE,NOT(ISNA(MATCH(INDIRECT("UserAccessCasePolicy!I"&amp;$N32)&amp;"|"&amp;$AA32,CaseTypeColSetMember!$H:$H,0))))))</f>
        <v>0</v>
      </c>
      <c r="AG32" s="6" t="b" cm="1">
        <f t="array" aca="1" ref="AG32" ca="1">IF($AA32="",TRUE,IF($N32="",FALSE,IF(INDIRECT("UserAccessCasePolicy!K"&amp;$N32)="",FALSE,NOT(ISNA(MATCH(INDIRECT("UserAccessCasePolicy!K"&amp;$N32)&amp;"|"&amp;$AA32,CaseTypeColSetMember!$H:$H,0))))))</f>
        <v>0</v>
      </c>
      <c r="AJ32" s="6" t="str">
        <f>IF($AH32="","",INDEX(CaseTypeCol!$G:$G,MATCH($AH32,CaseTypeCol!$A:$A,0)))</f>
        <v/>
      </c>
      <c r="AK32" s="6" t="b" cm="1">
        <f t="array" aca="1" ref="AK32" ca="1">IF($AH32="",TRUE,IF($J32="",FALSE,IF(INDIRECT("OrganizationAccessCasePolicy!J"&amp;$J32)="",FALSE,NOT(ISNA(MATCH(INDIRECT("OrganizationAccessCasePolicy!J"&amp;$J32)&amp;"|"&amp;$AH32,CaseTypeColSetMember!$H:$H,0))))))</f>
        <v>1</v>
      </c>
      <c r="AL32" s="6" t="b" cm="1">
        <f t="array" aca="1" ref="AL32" ca="1">IF($AH32="",TRUE,IF($J32="",FALSE,IF(INDIRECT("OrganizationAccessCasePolicy!L"&amp;$J32)="",FALSE,NOT(ISNA(MATCH(INDIRECT("OrganizationAccessCasePolicy!L"&amp;$J32)&amp;"|"&amp;$AH32,CaseTypeColSetMember!$H:$H,0))))))</f>
        <v>1</v>
      </c>
      <c r="AM32" s="6" t="b" cm="1">
        <f t="array" aca="1" ref="AM32" ca="1">IF($AH32="",TRUE,IF($N32="",FALSE,IF(INDIRECT("UserAccessCasePolicy!I"&amp;$N32)="",FALSE,NOT(ISNA(MATCH(INDIRECT("UserAccessCasePolicy!I"&amp;$N32)&amp;"|"&amp;$AH32,CaseTypeColSetMember!$H:$H,0))))))</f>
        <v>1</v>
      </c>
      <c r="AN32" s="6" t="b" cm="1">
        <f t="array" aca="1" ref="AN32" ca="1">IF($AH32="",TRUE,IF($N32="",FALSE,IF(INDIRECT("UserAccessCasePolicy!K"&amp;$N32)="",FALSE,NOT(ISNA(MATCH(INDIRECT("UserAccessCasePolicy!K"&amp;$N32)&amp;"|"&amp;$AH32,CaseTypeColSetMember!$H:$H,0))))))</f>
        <v>1</v>
      </c>
      <c r="AQ32" s="6" t="str">
        <f>IF($AO32="","",INDEX(CaseTypeCol!$G:$G,MATCH($AO32,CaseTypeCol!$A:$A,0)))</f>
        <v/>
      </c>
      <c r="AR32" s="6" t="b" cm="1">
        <f t="array" aca="1" ref="AR32" ca="1">IF($AO32="",TRUE,IF($J32="",FALSE,IF(INDIRECT("OrganizationAccessCasePolicy!J"&amp;$J32)="",FALSE,NOT(ISNA(MATCH(INDIRECT("OrganizationAccessCasePolicy!J"&amp;$J32)&amp;"|"&amp;$AO32,CaseTypeColSetMember!$H:$H,0))))))</f>
        <v>1</v>
      </c>
      <c r="AS32" s="6" t="b" cm="1">
        <f t="array" aca="1" ref="AS32" ca="1">IF($AO32="",TRUE,IF($J32="",FALSE,IF(INDIRECT("OrganizationAccessCasePolicy!L"&amp;$J32)="",FALSE,NOT(ISNA(MATCH(INDIRECT("OrganizationAccessCasePolicy!L"&amp;$J32)&amp;"|"&amp;$AO32,CaseTypeColSetMember!$H:$H,0))))))</f>
        <v>1</v>
      </c>
      <c r="AT32" s="6" t="b" cm="1">
        <f t="array" aca="1" ref="AT32" ca="1">IF($AO32="",TRUE,IF($N32="",FALSE,IF(INDIRECT("UserAccessCasePolicy!I"&amp;$N32)="",FALSE,NOT(ISNA(MATCH(INDIRECT("UserAccessCasePolicy!I"&amp;$N32)&amp;"|"&amp;$AO32,CaseTypeColSetMember!$H:$H,0))))))</f>
        <v>1</v>
      </c>
      <c r="AU32" s="6" t="b" cm="1">
        <f t="array" aca="1" ref="AU32" ca="1">IF($AO32="",TRUE,IF($N32="",FALSE,IF(INDIRECT("UserAccessCasePolicy!K"&amp;$N32)="",FALSE,NOT(ISNA(MATCH(INDIRECT("UserAccessCasePolicy!K"&amp;$N32)&amp;"|"&amp;$AO32,CaseTypeColSetMember!$H:$H,0))))))</f>
        <v>1</v>
      </c>
    </row>
    <row r="33" spans="1:47" x14ac:dyDescent="0.3">
      <c r="A33">
        <v>32</v>
      </c>
      <c r="B33" t="b">
        <v>1</v>
      </c>
      <c r="C33" t="s">
        <v>632</v>
      </c>
      <c r="D33" t="s">
        <v>38</v>
      </c>
      <c r="E33" s="6" t="str">
        <f>INDEX(User!$D:$D,MATCH($D33,User!$A:$A,0))</f>
        <v>org_user5_4</v>
      </c>
      <c r="F33" t="s">
        <v>721</v>
      </c>
      <c r="G33" s="19" t="b">
        <f t="shared" ca="1" si="0"/>
        <v>0</v>
      </c>
      <c r="H33" s="6" t="str">
        <f>INDEX(User!$G:$G,MATCH($D33,User!$A:$A,0))</f>
        <v>0195d18c-1c93-02a2-6920-7e4dbfb73ce0</v>
      </c>
      <c r="I33" s="6" t="b">
        <f>INDEX(User!$M:$M,MATCH($D33,User!$A:$A,0))</f>
        <v>0</v>
      </c>
      <c r="J33" s="6" t="str">
        <f>IF(ISNA(MATCH($H33&amp;"|"&amp;$W33,OrganizationAccessCasePolicy!$V:$V,0)),"",MATCH($H33&amp;"|"&amp;$W33,OrganizationAccessCasePolicy!$V:$V,0))</f>
        <v/>
      </c>
      <c r="K33" s="6" t="b" cm="1">
        <f t="array" aca="1" ref="K33" ca="1">IF($J33="",FALSE,NOT(ISNA(MATCH(INDIRECT("OrganizationAccessCasePolicy!D"&amp;$J33)&amp;"|"&amp;$S33,CaseTypeSetMember!$H:$H,0))))</f>
        <v>0</v>
      </c>
      <c r="L33" s="6" t="b" cm="1">
        <f t="array" aca="1" ref="L33" ca="1">IF($J33="",FALSE,AND(INDIRECT("OrganizationAccessCasePolicy!H"&amp;$J33),NOT(ISNA(MATCH(INDIRECT("OrganizationAccessCasePolicy!D"&amp;$J33)&amp;"|"&amp;$S33,CaseTypeSetMember!$H:$H,0)))))</f>
        <v>0</v>
      </c>
      <c r="M33" s="6" t="b" cm="1">
        <f t="array" aca="1" ref="M33" ca="1">IF($J33="",FALSE,AND(INDIRECT("OrganizationAccessCasePolicy!I"&amp;$J33),NOT(ISNA(MATCH(INDIRECT("OrganizationAccessCasePolicy!D"&amp;$J33)&amp;"|"&amp;$S33,CaseTypeSetMember!$H:$H,0)))))</f>
        <v>0</v>
      </c>
      <c r="N33" s="6" t="str">
        <f>IF(ISNA(MATCH($D33&amp;"|"&amp;$W33,UserAccessCasePolicy!$W:$W,0)),"",MATCH($D33&amp;"|"&amp;$W33,UserAccessCasePolicy!$W:$W,0))</f>
        <v/>
      </c>
      <c r="O33" s="6" t="b" cm="1">
        <f t="array" aca="1" ref="O33" ca="1">IF($N33="",FALSE,NOT(ISNA(MATCH(INDIRECT("UserAccessCasePolicy!D"&amp;$N33)&amp;"|"&amp;$S33,CaseTypeSetMember!$H:$H,0))))</f>
        <v>0</v>
      </c>
      <c r="P33" s="6" t="b" cm="1">
        <f t="array" aca="1" ref="P33" ca="1">IF($N33="",FALSE,AND(INDIRECT("UserAccessCasePolicy!G"&amp;$N33),NOT(ISNA(MATCH(INDIRECT("UserAccessCasePolicy!D"&amp;$N33)&amp;"|"&amp;$S33,CaseTypeSetMember!$H:$H,0)))))</f>
        <v>0</v>
      </c>
      <c r="Q33" s="6" t="b" cm="1">
        <f t="array" aca="1" ref="Q33" ca="1">IF($N33="",FALSE,AND(INDIRECT("UserAccessCasePolicy!H"&amp;$N33),NOT(ISNA(MATCH(INDIRECT("UserAccessCasePolicy!D"&amp;$N33)&amp;"|"&amp;$S33,CaseTypeSetMember!$H:$H,0)))))</f>
        <v>0</v>
      </c>
      <c r="R33" t="s">
        <v>658</v>
      </c>
      <c r="S33" t="s">
        <v>119</v>
      </c>
      <c r="T33" s="6" t="str">
        <f>INDEX(CaseType!$B:$B,MATCH($S33,CaseType!$A:$A,0))</f>
        <v>case_type1</v>
      </c>
      <c r="U33" s="6" t="b">
        <f>AND(IF($AA33="",TRUE,$S33=INDEX(CaseTypeCol!$B:$B,MATCH($AA33,CaseTypeCol!$A:$A,0))),IF($AH33="",TRUE,$S33=INDEX(CaseTypeCol!$B:$B,MATCH($AH33,CaseTypeCol!$A:$A,0))),IF($AO33="",TRUE,$S33=INDEX(CaseTypeCol!$B:$B,MATCH($AO33,CaseTypeCol!$A:$A,0))))</f>
        <v>1</v>
      </c>
      <c r="W33" t="s">
        <v>11</v>
      </c>
      <c r="X33" s="6" t="str">
        <f>INDEX(DataCollection!$B:$B,MATCH($W33,DataCollection!$A:$A,0))</f>
        <v>data_collection1</v>
      </c>
      <c r="Z33" s="14">
        <v>36526</v>
      </c>
      <c r="AA33" t="s">
        <v>142</v>
      </c>
      <c r="AB33" t="s">
        <v>663</v>
      </c>
      <c r="AC33" s="6" t="str">
        <f>IF($AA33="","",INDEX(CaseTypeCol!$G:$G,MATCH($AA33,CaseTypeCol!$A:$A,0)))</f>
        <v>case_type1_dim1_1_text</v>
      </c>
      <c r="AD33" s="6" t="b" cm="1">
        <f t="array" aca="1" ref="AD33" ca="1">IF($AA33="",TRUE,IF($J33="",FALSE,IF(INDIRECT("OrganizationAccessCasePolicy!J"&amp;$J33)="",FALSE,NOT(ISNA(MATCH(INDIRECT("OrganizationAccessCasePolicy!J"&amp;$J33)&amp;"|"&amp;$AA33,CaseTypeColSetMember!$H:$H,0))))))</f>
        <v>0</v>
      </c>
      <c r="AE33" s="6" t="b" cm="1">
        <f t="array" aca="1" ref="AE33" ca="1">IF($AA33="",TRUE,IF($J33="",FALSE,IF(INDIRECT("OrganizationAccessCasePolicy!L"&amp;$J33)="",FALSE,NOT(ISNA(MATCH(INDIRECT("OrganizationAccessCasePolicy!L"&amp;$J33)&amp;"|"&amp;$AA33,CaseTypeColSetMember!$H:$H,0))))))</f>
        <v>0</v>
      </c>
      <c r="AF33" s="6" t="b" cm="1">
        <f t="array" aca="1" ref="AF33" ca="1">IF($AA33="",TRUE,IF($N33="",FALSE,IF(INDIRECT("UserAccessCasePolicy!I"&amp;$N33)="",FALSE,NOT(ISNA(MATCH(INDIRECT("UserAccessCasePolicy!I"&amp;$N33)&amp;"|"&amp;$AA33,CaseTypeColSetMember!$H:$H,0))))))</f>
        <v>0</v>
      </c>
      <c r="AG33" s="6" t="b" cm="1">
        <f t="array" aca="1" ref="AG33" ca="1">IF($AA33="",TRUE,IF($N33="",FALSE,IF(INDIRECT("UserAccessCasePolicy!K"&amp;$N33)="",FALSE,NOT(ISNA(MATCH(INDIRECT("UserAccessCasePolicy!K"&amp;$N33)&amp;"|"&amp;$AA33,CaseTypeColSetMember!$H:$H,0))))))</f>
        <v>0</v>
      </c>
      <c r="AJ33" s="6" t="str">
        <f>IF($AH33="","",INDEX(CaseTypeCol!$G:$G,MATCH($AH33,CaseTypeCol!$A:$A,0)))</f>
        <v/>
      </c>
      <c r="AK33" s="6" t="b" cm="1">
        <f t="array" aca="1" ref="AK33" ca="1">IF($AH33="",TRUE,IF($J33="",FALSE,IF(INDIRECT("OrganizationAccessCasePolicy!J"&amp;$J33)="",FALSE,NOT(ISNA(MATCH(INDIRECT("OrganizationAccessCasePolicy!J"&amp;$J33)&amp;"|"&amp;$AH33,CaseTypeColSetMember!$H:$H,0))))))</f>
        <v>1</v>
      </c>
      <c r="AL33" s="6" t="b" cm="1">
        <f t="array" aca="1" ref="AL33" ca="1">IF($AH33="",TRUE,IF($J33="",FALSE,IF(INDIRECT("OrganizationAccessCasePolicy!L"&amp;$J33)="",FALSE,NOT(ISNA(MATCH(INDIRECT("OrganizationAccessCasePolicy!L"&amp;$J33)&amp;"|"&amp;$AH33,CaseTypeColSetMember!$H:$H,0))))))</f>
        <v>1</v>
      </c>
      <c r="AM33" s="6" t="b" cm="1">
        <f t="array" aca="1" ref="AM33" ca="1">IF($AH33="",TRUE,IF($N33="",FALSE,IF(INDIRECT("UserAccessCasePolicy!I"&amp;$N33)="",FALSE,NOT(ISNA(MATCH(INDIRECT("UserAccessCasePolicy!I"&amp;$N33)&amp;"|"&amp;$AH33,CaseTypeColSetMember!$H:$H,0))))))</f>
        <v>1</v>
      </c>
      <c r="AN33" s="6" t="b" cm="1">
        <f t="array" aca="1" ref="AN33" ca="1">IF($AH33="",TRUE,IF($N33="",FALSE,IF(INDIRECT("UserAccessCasePolicy!K"&amp;$N33)="",FALSE,NOT(ISNA(MATCH(INDIRECT("UserAccessCasePolicy!K"&amp;$N33)&amp;"|"&amp;$AH33,CaseTypeColSetMember!$H:$H,0))))))</f>
        <v>1</v>
      </c>
      <c r="AQ33" s="6" t="str">
        <f>IF($AO33="","",INDEX(CaseTypeCol!$G:$G,MATCH($AO33,CaseTypeCol!$A:$A,0)))</f>
        <v/>
      </c>
      <c r="AR33" s="6" t="b" cm="1">
        <f t="array" aca="1" ref="AR33" ca="1">IF($AO33="",TRUE,IF($J33="",FALSE,IF(INDIRECT("OrganizationAccessCasePolicy!J"&amp;$J33)="",FALSE,NOT(ISNA(MATCH(INDIRECT("OrganizationAccessCasePolicy!J"&amp;$J33)&amp;"|"&amp;$AO33,CaseTypeColSetMember!$H:$H,0))))))</f>
        <v>1</v>
      </c>
      <c r="AS33" s="6" t="b" cm="1">
        <f t="array" aca="1" ref="AS33" ca="1">IF($AO33="",TRUE,IF($J33="",FALSE,IF(INDIRECT("OrganizationAccessCasePolicy!L"&amp;$J33)="",FALSE,NOT(ISNA(MATCH(INDIRECT("OrganizationAccessCasePolicy!L"&amp;$J33)&amp;"|"&amp;$AO33,CaseTypeColSetMember!$H:$H,0))))))</f>
        <v>1</v>
      </c>
      <c r="AT33" s="6" t="b" cm="1">
        <f t="array" aca="1" ref="AT33" ca="1">IF($AO33="",TRUE,IF($N33="",FALSE,IF(INDIRECT("UserAccessCasePolicy!I"&amp;$N33)="",FALSE,NOT(ISNA(MATCH(INDIRECT("UserAccessCasePolicy!I"&amp;$N33)&amp;"|"&amp;$AO33,CaseTypeColSetMember!$H:$H,0))))))</f>
        <v>1</v>
      </c>
      <c r="AU33" s="6" t="b" cm="1">
        <f t="array" aca="1" ref="AU33" ca="1">IF($AO33="",TRUE,IF($N33="",FALSE,IF(INDIRECT("UserAccessCasePolicy!K"&amp;$N33)="",FALSE,NOT(ISNA(MATCH(INDIRECT("UserAccessCasePolicy!K"&amp;$N33)&amp;"|"&amp;$AO33,CaseTypeColSetMember!$H:$H,0))))))</f>
        <v>1</v>
      </c>
    </row>
    <row r="34" spans="1:47" ht="18.75" customHeight="1" x14ac:dyDescent="0.3">
      <c r="A34">
        <v>33</v>
      </c>
      <c r="B34" t="b">
        <v>1</v>
      </c>
      <c r="C34" t="s">
        <v>724</v>
      </c>
      <c r="D34" t="s">
        <v>10</v>
      </c>
      <c r="E34" s="6" t="str">
        <f>INDEX(User!$D:$D,MATCH($D34,User!$A:$A,0))</f>
        <v>org_user1_1</v>
      </c>
      <c r="F34" t="s">
        <v>721</v>
      </c>
      <c r="G34" s="19" t="b">
        <f t="shared" ca="1" si="0"/>
        <v>0</v>
      </c>
      <c r="H34" s="6" t="str">
        <f>INDEX(User!$G:$G,MATCH($D34,User!$A:$A,0))</f>
        <v>018d074d-ea0c-e942-07db-a3cc0ba1d653</v>
      </c>
      <c r="I34" s="6" t="b">
        <f>INDEX(User!$M:$M,MATCH($D34,User!$A:$A,0))</f>
        <v>0</v>
      </c>
      <c r="J34" s="6">
        <f>IF(ISNA(MATCH($H34&amp;"|"&amp;$W34,OrganizationAccessCasePolicy!$V:$V,0)),"",MATCH($H34&amp;"|"&amp;$W34,OrganizationAccessCasePolicy!$V:$V,0))</f>
        <v>7</v>
      </c>
      <c r="K34" s="6" t="b" cm="1">
        <f t="array" aca="1" ref="K34" ca="1">IF($J34="",FALSE,NOT(ISNA(MATCH(INDIRECT("OrganizationAccessCasePolicy!D"&amp;$J34)&amp;"|"&amp;$S34,CaseTypeSetMember!$H:$H,0))))</f>
        <v>1</v>
      </c>
      <c r="L34" s="6" t="b" cm="1">
        <f t="array" aca="1" ref="L34" ca="1">IF($J34="",FALSE,AND(INDIRECT("OrganizationAccessCasePolicy!H"&amp;$J34),NOT(ISNA(MATCH(INDIRECT("OrganizationAccessCasePolicy!D"&amp;$J34)&amp;"|"&amp;$S34,CaseTypeSetMember!$H:$H,0)))))</f>
        <v>1</v>
      </c>
      <c r="M34" s="6" t="b" cm="1">
        <f t="array" aca="1" ref="M34" ca="1">IF($J34="",FALSE,AND(INDIRECT("OrganizationAccessCasePolicy!I"&amp;$J34),NOT(ISNA(MATCH(INDIRECT("OrganizationAccessCasePolicy!D"&amp;$J34)&amp;"|"&amp;$S34,CaseTypeSetMember!$H:$H,0)))))</f>
        <v>1</v>
      </c>
      <c r="N34" s="6">
        <f>IF(ISNA(MATCH($D34&amp;"|"&amp;$W34,UserAccessCasePolicy!$W:$W,0)),"",MATCH($D34&amp;"|"&amp;$W34,UserAccessCasePolicy!$W:$W,0))</f>
        <v>7</v>
      </c>
      <c r="O34" s="6" t="b" cm="1">
        <f t="array" aca="1" ref="O34" ca="1">IF($N34="",FALSE,NOT(ISNA(MATCH(INDIRECT("UserAccessCasePolicy!D"&amp;$N34)&amp;"|"&amp;$S34,CaseTypeSetMember!$H:$H,0))))</f>
        <v>1</v>
      </c>
      <c r="P34" s="6" t="b" cm="1">
        <f t="array" aca="1" ref="P34" ca="1">IF($N34="",FALSE,AND(INDIRECT("UserAccessCasePolicy!G"&amp;$N34),NOT(ISNA(MATCH(INDIRECT("UserAccessCasePolicy!D"&amp;$N34)&amp;"|"&amp;$S34,CaseTypeSetMember!$H:$H,0)))))</f>
        <v>1</v>
      </c>
      <c r="Q34" s="6" t="b" cm="1">
        <f t="array" aca="1" ref="Q34" ca="1">IF($N34="",FALSE,AND(INDIRECT("UserAccessCasePolicy!H"&amp;$N34),NOT(ISNA(MATCH(INDIRECT("UserAccessCasePolicy!D"&amp;$N34)&amp;"|"&amp;$S34,CaseTypeSetMember!$H:$H,0)))))</f>
        <v>1</v>
      </c>
      <c r="R34" t="s">
        <v>725</v>
      </c>
      <c r="S34" t="s">
        <v>119</v>
      </c>
      <c r="T34" s="6" t="str">
        <f>INDEX(CaseType!$B:$B,MATCH($S34,CaseType!$A:$A,0))</f>
        <v>case_type1</v>
      </c>
      <c r="U34" s="6" t="b">
        <f>AND(IF($AA34="",TRUE,$S34=INDEX(CaseTypeCol!$B:$B,MATCH($AA34,CaseTypeCol!$A:$A,0))),IF($AH34="",TRUE,$S34=INDEX(CaseTypeCol!$B:$B,MATCH($AH34,CaseTypeCol!$A:$A,0))),IF($AO34="",TRUE,$S34=INDEX(CaseTypeCol!$B:$B,MATCH($AO34,CaseTypeCol!$A:$A,0))))</f>
        <v>1</v>
      </c>
      <c r="W34" t="s">
        <v>15</v>
      </c>
      <c r="X34" s="6" t="str">
        <f>INDEX(DataCollection!$B:$B,MATCH($W34,DataCollection!$A:$A,0))</f>
        <v>data_collection6</v>
      </c>
      <c r="Z34" s="14">
        <v>36526</v>
      </c>
      <c r="AA34" t="s">
        <v>142</v>
      </c>
      <c r="AB34" t="s">
        <v>663</v>
      </c>
      <c r="AC34" s="6" t="str">
        <f>IF($AA34="","",INDEX(CaseTypeCol!$G:$G,MATCH($AA34,CaseTypeCol!$A:$A,0)))</f>
        <v>case_type1_dim1_1_text</v>
      </c>
      <c r="AD34" s="6" t="b" cm="1">
        <f t="array" aca="1" ref="AD34" ca="1">IF($AA34="",TRUE,IF($J34="",FALSE,IF(INDIRECT("OrganizationAccessCasePolicy!J"&amp;$J34)="",FALSE,NOT(ISNA(MATCH(INDIRECT("OrganizationAccessCasePolicy!J"&amp;$J34)&amp;"|"&amp;$AA34,CaseTypeColSetMember!$H:$H,0))))))</f>
        <v>1</v>
      </c>
      <c r="AE34" s="6" t="b" cm="1">
        <f t="array" aca="1" ref="AE34" ca="1">IF($AA34="",TRUE,IF($J34="",FALSE,IF(INDIRECT("OrganizationAccessCasePolicy!L"&amp;$J34)="",FALSE,NOT(ISNA(MATCH(INDIRECT("OrganizationAccessCasePolicy!L"&amp;$J34)&amp;"|"&amp;$AA34,CaseTypeColSetMember!$H:$H,0))))))</f>
        <v>0</v>
      </c>
      <c r="AF34" s="6" t="b" cm="1">
        <f t="array" aca="1" ref="AF34" ca="1">IF($AA34="",TRUE,IF($N34="",FALSE,IF(INDIRECT("UserAccessCasePolicy!I"&amp;$N34)="",FALSE,NOT(ISNA(MATCH(INDIRECT("UserAccessCasePolicy!I"&amp;$N34)&amp;"|"&amp;$AA34,CaseTypeColSetMember!$H:$H,0))))))</f>
        <v>1</v>
      </c>
      <c r="AG34" s="6" t="b" cm="1">
        <f t="array" aca="1" ref="AG34" ca="1">IF($AA34="",TRUE,IF($N34="",FALSE,IF(INDIRECT("UserAccessCasePolicy!K"&amp;$N34)="",FALSE,NOT(ISNA(MATCH(INDIRECT("UserAccessCasePolicy!K"&amp;$N34)&amp;"|"&amp;$AA34,CaseTypeColSetMember!$H:$H,0))))))</f>
        <v>1</v>
      </c>
      <c r="AH34" t="s">
        <v>142</v>
      </c>
      <c r="AI34" t="s">
        <v>774</v>
      </c>
      <c r="AJ34" s="6" t="str">
        <f>IF($AH34="","",INDEX(CaseTypeCol!$G:$G,MATCH($AH34,CaseTypeCol!$A:$A,0)))</f>
        <v>case_type1_dim1_1_text</v>
      </c>
      <c r="AK34" s="6" t="b" cm="1">
        <f t="array" aca="1" ref="AK34" ca="1">IF($AH34="",TRUE,IF($J34="",FALSE,IF(INDIRECT("OrganizationAccessCasePolicy!J"&amp;$J34)="",FALSE,NOT(ISNA(MATCH(INDIRECT("OrganizationAccessCasePolicy!J"&amp;$J34)&amp;"|"&amp;$AH34,CaseTypeColSetMember!$H:$H,0))))))</f>
        <v>1</v>
      </c>
      <c r="AL34" s="6" t="b" cm="1">
        <f t="array" aca="1" ref="AL34" ca="1">IF($AH34="",TRUE,IF($J34="",FALSE,IF(INDIRECT("OrganizationAccessCasePolicy!L"&amp;$J34)="",FALSE,NOT(ISNA(MATCH(INDIRECT("OrganizationAccessCasePolicy!L"&amp;$J34)&amp;"|"&amp;$AH34,CaseTypeColSetMember!$H:$H,0))))))</f>
        <v>0</v>
      </c>
      <c r="AM34" s="6" t="b" cm="1">
        <f t="array" aca="1" ref="AM34" ca="1">IF($AH34="",TRUE,IF($N34="",FALSE,IF(INDIRECT("UserAccessCasePolicy!I"&amp;$N34)="",FALSE,NOT(ISNA(MATCH(INDIRECT("UserAccessCasePolicy!I"&amp;$N34)&amp;"|"&amp;$AH34,CaseTypeColSetMember!$H:$H,0))))))</f>
        <v>1</v>
      </c>
      <c r="AN34" s="6" t="b" cm="1">
        <f t="array" aca="1" ref="AN34" ca="1">IF($AH34="",TRUE,IF($N34="",FALSE,IF(INDIRECT("UserAccessCasePolicy!K"&amp;$N34)="",FALSE,NOT(ISNA(MATCH(INDIRECT("UserAccessCasePolicy!K"&amp;$N34)&amp;"|"&amp;$AH34,CaseTypeColSetMember!$H:$H,0))))))</f>
        <v>1</v>
      </c>
      <c r="AO34" t="s">
        <v>142</v>
      </c>
      <c r="AP34" t="s">
        <v>726</v>
      </c>
      <c r="AQ34" s="6" t="str">
        <f>IF($AO34="","",INDEX(CaseTypeCol!$G:$G,MATCH($AO34,CaseTypeCol!$A:$A,0)))</f>
        <v>case_type1_dim1_1_text</v>
      </c>
      <c r="AR34" s="6" t="b" cm="1">
        <f t="array" aca="1" ref="AR34" ca="1">IF($AO34="",TRUE,IF($J34="",FALSE,IF(INDIRECT("OrganizationAccessCasePolicy!J"&amp;$J34)="",FALSE,NOT(ISNA(MATCH(INDIRECT("OrganizationAccessCasePolicy!J"&amp;$J34)&amp;"|"&amp;$AO34,CaseTypeColSetMember!$H:$H,0))))))</f>
        <v>1</v>
      </c>
      <c r="AS34" s="6" t="b" cm="1">
        <f t="array" aca="1" ref="AS34" ca="1">IF($AO34="",TRUE,IF($J34="",FALSE,IF(INDIRECT("OrganizationAccessCasePolicy!L"&amp;$J34)="",FALSE,NOT(ISNA(MATCH(INDIRECT("OrganizationAccessCasePolicy!L"&amp;$J34)&amp;"|"&amp;$AO34,CaseTypeColSetMember!$H:$H,0))))))</f>
        <v>0</v>
      </c>
      <c r="AT34" s="6" t="b" cm="1">
        <f t="array" aca="1" ref="AT34" ca="1">IF($AO34="",TRUE,IF($N34="",FALSE,IF(INDIRECT("UserAccessCasePolicy!I"&amp;$N34)="",FALSE,NOT(ISNA(MATCH(INDIRECT("UserAccessCasePolicy!I"&amp;$N34)&amp;"|"&amp;$AO34,CaseTypeColSetMember!$H:$H,0))))))</f>
        <v>1</v>
      </c>
      <c r="AU34" s="6" t="b" cm="1">
        <f t="array" aca="1" ref="AU34" ca="1">IF($AO34="",TRUE,IF($N34="",FALSE,IF(INDIRECT("UserAccessCasePolicy!K"&amp;$N34)="",FALSE,NOT(ISNA(MATCH(INDIRECT("UserAccessCasePolicy!K"&amp;$N34)&amp;"|"&amp;$AO34,CaseTypeColSetMember!$H:$H,0))))))</f>
        <v>1</v>
      </c>
    </row>
    <row r="35" spans="1:47" ht="18.75" customHeight="1" x14ac:dyDescent="0.3">
      <c r="A35">
        <v>34</v>
      </c>
      <c r="B35" t="b">
        <v>1</v>
      </c>
      <c r="C35" t="s">
        <v>727</v>
      </c>
      <c r="D35" t="s">
        <v>12</v>
      </c>
      <c r="E35" s="6" t="str">
        <f>INDEX(User!$D:$D,MATCH($D35,User!$A:$A,0))</f>
        <v>org_user1_2</v>
      </c>
      <c r="F35" t="s">
        <v>721</v>
      </c>
      <c r="G35" s="19" t="b">
        <f t="shared" ca="1" si="0"/>
        <v>0</v>
      </c>
      <c r="H35" s="6" t="str">
        <f>INDEX(User!$G:$G,MATCH($D35,User!$A:$A,0))</f>
        <v>018d074d-ea0c-e942-07db-a3cc0ba1d653</v>
      </c>
      <c r="I35" s="6" t="b">
        <f>INDEX(User!$M:$M,MATCH($D35,User!$A:$A,0))</f>
        <v>0</v>
      </c>
      <c r="J35" s="6">
        <f>IF(ISNA(MATCH($H35&amp;"|"&amp;$W35,OrganizationAccessCasePolicy!$V:$V,0)),"",MATCH($H35&amp;"|"&amp;$W35,OrganizationAccessCasePolicy!$V:$V,0))</f>
        <v>7</v>
      </c>
      <c r="K35" s="6" t="b" cm="1">
        <f t="array" aca="1" ref="K35" ca="1">IF($J35="",FALSE,NOT(ISNA(MATCH(INDIRECT("OrganizationAccessCasePolicy!D"&amp;$J35)&amp;"|"&amp;$S35,CaseTypeSetMember!$H:$H,0))))</f>
        <v>1</v>
      </c>
      <c r="L35" s="6" t="b" cm="1">
        <f t="array" aca="1" ref="L35" ca="1">IF($J35="",FALSE,AND(INDIRECT("OrganizationAccessCasePolicy!H"&amp;$J35),NOT(ISNA(MATCH(INDIRECT("OrganizationAccessCasePolicy!D"&amp;$J35)&amp;"|"&amp;$S35,CaseTypeSetMember!$H:$H,0)))))</f>
        <v>1</v>
      </c>
      <c r="M35" s="6" t="b" cm="1">
        <f t="array" aca="1" ref="M35" ca="1">IF($J35="",FALSE,AND(INDIRECT("OrganizationAccessCasePolicy!I"&amp;$J35),NOT(ISNA(MATCH(INDIRECT("OrganizationAccessCasePolicy!D"&amp;$J35)&amp;"|"&amp;$S35,CaseTypeSetMember!$H:$H,0)))))</f>
        <v>1</v>
      </c>
      <c r="N35" s="6" t="str">
        <f>IF(ISNA(MATCH($D35&amp;"|"&amp;$W35,UserAccessCasePolicy!$W:$W,0)),"",MATCH($D35&amp;"|"&amp;$W35,UserAccessCasePolicy!$W:$W,0))</f>
        <v/>
      </c>
      <c r="O35" s="6" t="b" cm="1">
        <f t="array" aca="1" ref="O35" ca="1">IF($N35="",FALSE,NOT(ISNA(MATCH(INDIRECT("UserAccessCasePolicy!D"&amp;$N35)&amp;"|"&amp;$S35,CaseTypeSetMember!$H:$H,0))))</f>
        <v>0</v>
      </c>
      <c r="P35" s="6" t="b" cm="1">
        <f t="array" aca="1" ref="P35" ca="1">IF($N35="",FALSE,AND(INDIRECT("UserAccessCasePolicy!G"&amp;$N35),NOT(ISNA(MATCH(INDIRECT("UserAccessCasePolicy!D"&amp;$N35)&amp;"|"&amp;$S35,CaseTypeSetMember!$H:$H,0)))))</f>
        <v>0</v>
      </c>
      <c r="Q35" s="6" t="b" cm="1">
        <f t="array" aca="1" ref="Q35" ca="1">IF($N35="",FALSE,AND(INDIRECT("UserAccessCasePolicy!H"&amp;$N35),NOT(ISNA(MATCH(INDIRECT("UserAccessCasePolicy!D"&amp;$N35)&amp;"|"&amp;$S35,CaseTypeSetMember!$H:$H,0)))))</f>
        <v>0</v>
      </c>
      <c r="R35" t="s">
        <v>725</v>
      </c>
      <c r="S35" t="s">
        <v>119</v>
      </c>
      <c r="T35" s="6" t="str">
        <f>INDEX(CaseType!$B:$B,MATCH($S35,CaseType!$A:$A,0))</f>
        <v>case_type1</v>
      </c>
      <c r="U35" s="6" t="b">
        <f>AND(IF($AA35="",TRUE,$S35=INDEX(CaseTypeCol!$B:$B,MATCH($AA35,CaseTypeCol!$A:$A,0))),IF($AH35="",TRUE,$S35=INDEX(CaseTypeCol!$B:$B,MATCH($AH35,CaseTypeCol!$A:$A,0))),IF($AO35="",TRUE,$S35=INDEX(CaseTypeCol!$B:$B,MATCH($AO35,CaseTypeCol!$A:$A,0))))</f>
        <v>1</v>
      </c>
      <c r="W35" t="s">
        <v>15</v>
      </c>
      <c r="X35" s="6" t="str">
        <f>INDEX(DataCollection!$B:$B,MATCH($W35,DataCollection!$A:$A,0))</f>
        <v>data_collection6</v>
      </c>
      <c r="Z35" s="14">
        <v>36526</v>
      </c>
      <c r="AA35" t="s">
        <v>142</v>
      </c>
      <c r="AB35" t="s">
        <v>663</v>
      </c>
      <c r="AC35" s="6" t="str">
        <f>IF($AA35="","",INDEX(CaseTypeCol!$G:$G,MATCH($AA35,CaseTypeCol!$A:$A,0)))</f>
        <v>case_type1_dim1_1_text</v>
      </c>
      <c r="AD35" s="6" t="b" cm="1">
        <f t="array" aca="1" ref="AD35" ca="1">IF($AA35="",TRUE,IF($J35="",FALSE,IF(INDIRECT("OrganizationAccessCasePolicy!J"&amp;$J35)="",FALSE,NOT(ISNA(MATCH(INDIRECT("OrganizationAccessCasePolicy!J"&amp;$J35)&amp;"|"&amp;$AA35,CaseTypeColSetMember!$H:$H,0))))))</f>
        <v>1</v>
      </c>
      <c r="AE35" s="6" t="b" cm="1">
        <f t="array" aca="1" ref="AE35" ca="1">IF($AA35="",TRUE,IF($J35="",FALSE,IF(INDIRECT("OrganizationAccessCasePolicy!L"&amp;$J35)="",FALSE,NOT(ISNA(MATCH(INDIRECT("OrganizationAccessCasePolicy!L"&amp;$J35)&amp;"|"&amp;$AA35,CaseTypeColSetMember!$H:$H,0))))))</f>
        <v>0</v>
      </c>
      <c r="AF35" s="6" t="b" cm="1">
        <f t="array" aca="1" ref="AF35" ca="1">IF($AA35="",TRUE,IF($N35="",FALSE,IF(INDIRECT("UserAccessCasePolicy!I"&amp;$N35)="",FALSE,NOT(ISNA(MATCH(INDIRECT("UserAccessCasePolicy!I"&amp;$N35)&amp;"|"&amp;$AA35,CaseTypeColSetMember!$H:$H,0))))))</f>
        <v>0</v>
      </c>
      <c r="AG35" s="6" t="b" cm="1">
        <f t="array" aca="1" ref="AG35" ca="1">IF($AA35="",TRUE,IF($N35="",FALSE,IF(INDIRECT("UserAccessCasePolicy!K"&amp;$N35)="",FALSE,NOT(ISNA(MATCH(INDIRECT("UserAccessCasePolicy!K"&amp;$N35)&amp;"|"&amp;$AA35,CaseTypeColSetMember!$H:$H,0))))))</f>
        <v>0</v>
      </c>
      <c r="AI35" s="11" t="s">
        <v>783</v>
      </c>
      <c r="AJ35" s="6" t="str">
        <f>IF($AH35="","",INDEX(CaseTypeCol!$G:$G,MATCH($AH35,CaseTypeCol!$A:$A,0)))</f>
        <v/>
      </c>
      <c r="AK35" s="6" t="b" cm="1">
        <f t="array" aca="1" ref="AK35" ca="1">IF($AH35="",TRUE,IF($J35="",FALSE,IF(INDIRECT("OrganizationAccessCasePolicy!J"&amp;$J35)="",FALSE,NOT(ISNA(MATCH(INDIRECT("OrganizationAccessCasePolicy!J"&amp;$J35)&amp;"|"&amp;$AH35,CaseTypeColSetMember!$H:$H,0))))))</f>
        <v>1</v>
      </c>
      <c r="AL35" s="6" t="b" cm="1">
        <f t="array" aca="1" ref="AL35" ca="1">IF($AH35="",TRUE,IF($J35="",FALSE,IF(INDIRECT("OrganizationAccessCasePolicy!L"&amp;$J35)="",FALSE,NOT(ISNA(MATCH(INDIRECT("OrganizationAccessCasePolicy!L"&amp;$J35)&amp;"|"&amp;$AH35,CaseTypeColSetMember!$H:$H,0))))))</f>
        <v>1</v>
      </c>
      <c r="AM35" s="6" t="b" cm="1">
        <f t="array" aca="1" ref="AM35" ca="1">IF($AH35="",TRUE,IF($N35="",FALSE,IF(INDIRECT("UserAccessCasePolicy!I"&amp;$N35)="",FALSE,NOT(ISNA(MATCH(INDIRECT("UserAccessCasePolicy!I"&amp;$N35)&amp;"|"&amp;$AH35,CaseTypeColSetMember!$H:$H,0))))))</f>
        <v>1</v>
      </c>
      <c r="AN35" s="6" t="b" cm="1">
        <f t="array" aca="1" ref="AN35" ca="1">IF($AH35="",TRUE,IF($N35="",FALSE,IF(INDIRECT("UserAccessCasePolicy!K"&amp;$N35)="",FALSE,NOT(ISNA(MATCH(INDIRECT("UserAccessCasePolicy!K"&amp;$N35)&amp;"|"&amp;$AH35,CaseTypeColSetMember!$H:$H,0))))))</f>
        <v>1</v>
      </c>
      <c r="AQ35" s="6" t="str">
        <f>IF($AO35="","",INDEX(CaseTypeCol!$G:$G,MATCH($AO35,CaseTypeCol!$A:$A,0)))</f>
        <v/>
      </c>
      <c r="AR35" s="6" t="b" cm="1">
        <f t="array" aca="1" ref="AR35" ca="1">IF($AO35="",TRUE,IF($J35="",FALSE,IF(INDIRECT("OrganizationAccessCasePolicy!J"&amp;$J35)="",FALSE,NOT(ISNA(MATCH(INDIRECT("OrganizationAccessCasePolicy!J"&amp;$J35)&amp;"|"&amp;$AO35,CaseTypeColSetMember!$H:$H,0))))))</f>
        <v>1</v>
      </c>
      <c r="AS35" s="6" t="b" cm="1">
        <f t="array" aca="1" ref="AS35" ca="1">IF($AO35="",TRUE,IF($J35="",FALSE,IF(INDIRECT("OrganizationAccessCasePolicy!L"&amp;$J35)="",FALSE,NOT(ISNA(MATCH(INDIRECT("OrganizationAccessCasePolicy!L"&amp;$J35)&amp;"|"&amp;$AO35,CaseTypeColSetMember!$H:$H,0))))))</f>
        <v>1</v>
      </c>
      <c r="AT35" s="6" t="b" cm="1">
        <f t="array" aca="1" ref="AT35" ca="1">IF($AO35="",TRUE,IF($N35="",FALSE,IF(INDIRECT("UserAccessCasePolicy!I"&amp;$N35)="",FALSE,NOT(ISNA(MATCH(INDIRECT("UserAccessCasePolicy!I"&amp;$N35)&amp;"|"&amp;$AO35,CaseTypeColSetMember!$H:$H,0))))))</f>
        <v>1</v>
      </c>
      <c r="AU35" s="6" t="b" cm="1">
        <f t="array" aca="1" ref="AU35" ca="1">IF($AO35="",TRUE,IF($N35="",FALSE,IF(INDIRECT("UserAccessCasePolicy!K"&amp;$N35)="",FALSE,NOT(ISNA(MATCH(INDIRECT("UserAccessCasePolicy!K"&amp;$N35)&amp;"|"&amp;$AO35,CaseTypeColSetMember!$H:$H,0))))))</f>
        <v>1</v>
      </c>
    </row>
    <row r="36" spans="1:47" ht="18.75" customHeight="1" x14ac:dyDescent="0.3">
      <c r="A36">
        <v>35</v>
      </c>
      <c r="B36" t="b">
        <v>1</v>
      </c>
      <c r="C36" t="s">
        <v>728</v>
      </c>
      <c r="D36" t="s">
        <v>13</v>
      </c>
      <c r="E36" s="6" t="str">
        <f>INDEX(User!$D:$D,MATCH($D36,User!$A:$A,0))</f>
        <v>org_user1_3</v>
      </c>
      <c r="F36" t="s">
        <v>721</v>
      </c>
      <c r="G36" s="19" t="b">
        <f t="shared" ca="1" si="0"/>
        <v>0</v>
      </c>
      <c r="H36" s="6" t="str">
        <f>INDEX(User!$G:$G,MATCH($D36,User!$A:$A,0))</f>
        <v>018d074d-ea0c-e942-07db-a3cc0ba1d653</v>
      </c>
      <c r="I36" s="6" t="b">
        <f>INDEX(User!$M:$M,MATCH($D36,User!$A:$A,0))</f>
        <v>0</v>
      </c>
      <c r="J36" s="6">
        <f>IF(ISNA(MATCH($H36&amp;"|"&amp;$W36,OrganizationAccessCasePolicy!$V:$V,0)),"",MATCH($H36&amp;"|"&amp;$W36,OrganizationAccessCasePolicy!$V:$V,0))</f>
        <v>7</v>
      </c>
      <c r="K36" s="6" t="b" cm="1">
        <f t="array" aca="1" ref="K36" ca="1">IF($J36="",FALSE,NOT(ISNA(MATCH(INDIRECT("OrganizationAccessCasePolicy!D"&amp;$J36)&amp;"|"&amp;$S36,CaseTypeSetMember!$H:$H,0))))</f>
        <v>1</v>
      </c>
      <c r="L36" s="6" t="b" cm="1">
        <f t="array" aca="1" ref="L36" ca="1">IF($J36="",FALSE,AND(INDIRECT("OrganizationAccessCasePolicy!H"&amp;$J36),NOT(ISNA(MATCH(INDIRECT("OrganizationAccessCasePolicy!D"&amp;$J36)&amp;"|"&amp;$S36,CaseTypeSetMember!$H:$H,0)))))</f>
        <v>1</v>
      </c>
      <c r="M36" s="6" t="b" cm="1">
        <f t="array" aca="1" ref="M36" ca="1">IF($J36="",FALSE,AND(INDIRECT("OrganizationAccessCasePolicy!I"&amp;$J36),NOT(ISNA(MATCH(INDIRECT("OrganizationAccessCasePolicy!D"&amp;$J36)&amp;"|"&amp;$S36,CaseTypeSetMember!$H:$H,0)))))</f>
        <v>1</v>
      </c>
      <c r="N36" s="6" t="str">
        <f>IF(ISNA(MATCH($D36&amp;"|"&amp;$W36,UserAccessCasePolicy!$W:$W,0)),"",MATCH($D36&amp;"|"&amp;$W36,UserAccessCasePolicy!$W:$W,0))</f>
        <v/>
      </c>
      <c r="O36" s="6" t="b" cm="1">
        <f t="array" aca="1" ref="O36" ca="1">IF($N36="",FALSE,NOT(ISNA(MATCH(INDIRECT("UserAccessCasePolicy!D"&amp;$N36)&amp;"|"&amp;$S36,CaseTypeSetMember!$H:$H,0))))</f>
        <v>0</v>
      </c>
      <c r="P36" s="6" t="b" cm="1">
        <f t="array" aca="1" ref="P36" ca="1">IF($N36="",FALSE,AND(INDIRECT("UserAccessCasePolicy!G"&amp;$N36),NOT(ISNA(MATCH(INDIRECT("UserAccessCasePolicy!D"&amp;$N36)&amp;"|"&amp;$S36,CaseTypeSetMember!$H:$H,0)))))</f>
        <v>0</v>
      </c>
      <c r="Q36" s="6" t="b" cm="1">
        <f t="array" aca="1" ref="Q36" ca="1">IF($N36="",FALSE,AND(INDIRECT("UserAccessCasePolicy!H"&amp;$N36),NOT(ISNA(MATCH(INDIRECT("UserAccessCasePolicy!D"&amp;$N36)&amp;"|"&amp;$S36,CaseTypeSetMember!$H:$H,0)))))</f>
        <v>0</v>
      </c>
      <c r="R36" t="s">
        <v>725</v>
      </c>
      <c r="S36" t="s">
        <v>119</v>
      </c>
      <c r="T36" s="6" t="str">
        <f>INDEX(CaseType!$B:$B,MATCH($S36,CaseType!$A:$A,0))</f>
        <v>case_type1</v>
      </c>
      <c r="U36" s="6" t="b">
        <f>AND(IF($AA36="",TRUE,$S36=INDEX(CaseTypeCol!$B:$B,MATCH($AA36,CaseTypeCol!$A:$A,0))),IF($AH36="",TRUE,$S36=INDEX(CaseTypeCol!$B:$B,MATCH($AH36,CaseTypeCol!$A:$A,0))),IF($AO36="",TRUE,$S36=INDEX(CaseTypeCol!$B:$B,MATCH($AO36,CaseTypeCol!$A:$A,0))))</f>
        <v>1</v>
      </c>
      <c r="W36" t="s">
        <v>15</v>
      </c>
      <c r="X36" s="6" t="str">
        <f>INDEX(DataCollection!$B:$B,MATCH($W36,DataCollection!$A:$A,0))</f>
        <v>data_collection6</v>
      </c>
      <c r="Z36" s="14">
        <v>36526</v>
      </c>
      <c r="AA36" t="s">
        <v>142</v>
      </c>
      <c r="AB36" t="s">
        <v>663</v>
      </c>
      <c r="AC36" s="6" t="str">
        <f>IF($AA36="","",INDEX(CaseTypeCol!$G:$G,MATCH($AA36,CaseTypeCol!$A:$A,0)))</f>
        <v>case_type1_dim1_1_text</v>
      </c>
      <c r="AD36" s="6" t="b" cm="1">
        <f t="array" aca="1" ref="AD36" ca="1">IF($AA36="",TRUE,IF($J36="",FALSE,IF(INDIRECT("OrganizationAccessCasePolicy!J"&amp;$J36)="",FALSE,NOT(ISNA(MATCH(INDIRECT("OrganizationAccessCasePolicy!J"&amp;$J36)&amp;"|"&amp;$AA36,CaseTypeColSetMember!$H:$H,0))))))</f>
        <v>1</v>
      </c>
      <c r="AE36" s="6" t="b" cm="1">
        <f t="array" aca="1" ref="AE36" ca="1">IF($AA36="",TRUE,IF($J36="",FALSE,IF(INDIRECT("OrganizationAccessCasePolicy!L"&amp;$J36)="",FALSE,NOT(ISNA(MATCH(INDIRECT("OrganizationAccessCasePolicy!L"&amp;$J36)&amp;"|"&amp;$AA36,CaseTypeColSetMember!$H:$H,0))))))</f>
        <v>0</v>
      </c>
      <c r="AF36" s="6" t="b" cm="1">
        <f t="array" aca="1" ref="AF36" ca="1">IF($AA36="",TRUE,IF($N36="",FALSE,IF(INDIRECT("UserAccessCasePolicy!I"&amp;$N36)="",FALSE,NOT(ISNA(MATCH(INDIRECT("UserAccessCasePolicy!I"&amp;$N36)&amp;"|"&amp;$AA36,CaseTypeColSetMember!$H:$H,0))))))</f>
        <v>0</v>
      </c>
      <c r="AG36" s="6" t="b" cm="1">
        <f t="array" aca="1" ref="AG36" ca="1">IF($AA36="",TRUE,IF($N36="",FALSE,IF(INDIRECT("UserAccessCasePolicy!K"&amp;$N36)="",FALSE,NOT(ISNA(MATCH(INDIRECT("UserAccessCasePolicy!K"&amp;$N36)&amp;"|"&amp;$AA36,CaseTypeColSetMember!$H:$H,0))))))</f>
        <v>0</v>
      </c>
      <c r="AI36" s="11" t="s">
        <v>782</v>
      </c>
      <c r="AJ36" s="6" t="str">
        <f>IF($AH36="","",INDEX(CaseTypeCol!$G:$G,MATCH($AH36,CaseTypeCol!$A:$A,0)))</f>
        <v/>
      </c>
      <c r="AK36" s="6" t="b" cm="1">
        <f t="array" aca="1" ref="AK36" ca="1">IF($AH36="",TRUE,IF($J36="",FALSE,IF(INDIRECT("OrganizationAccessCasePolicy!J"&amp;$J36)="",FALSE,NOT(ISNA(MATCH(INDIRECT("OrganizationAccessCasePolicy!J"&amp;$J36)&amp;"|"&amp;$AH36,CaseTypeColSetMember!$H:$H,0))))))</f>
        <v>1</v>
      </c>
      <c r="AL36" s="6" t="b" cm="1">
        <f t="array" aca="1" ref="AL36" ca="1">IF($AH36="",TRUE,IF($J36="",FALSE,IF(INDIRECT("OrganizationAccessCasePolicy!L"&amp;$J36)="",FALSE,NOT(ISNA(MATCH(INDIRECT("OrganizationAccessCasePolicy!L"&amp;$J36)&amp;"|"&amp;$AH36,CaseTypeColSetMember!$H:$H,0))))))</f>
        <v>1</v>
      </c>
      <c r="AM36" s="6" t="b" cm="1">
        <f t="array" aca="1" ref="AM36" ca="1">IF($AH36="",TRUE,IF($N36="",FALSE,IF(INDIRECT("UserAccessCasePolicy!I"&amp;$N36)="",FALSE,NOT(ISNA(MATCH(INDIRECT("UserAccessCasePolicy!I"&amp;$N36)&amp;"|"&amp;$AH36,CaseTypeColSetMember!$H:$H,0))))))</f>
        <v>1</v>
      </c>
      <c r="AN36" s="6" t="b" cm="1">
        <f t="array" aca="1" ref="AN36" ca="1">IF($AH36="",TRUE,IF($N36="",FALSE,IF(INDIRECT("UserAccessCasePolicy!K"&amp;$N36)="",FALSE,NOT(ISNA(MATCH(INDIRECT("UserAccessCasePolicy!K"&amp;$N36)&amp;"|"&amp;$AH36,CaseTypeColSetMember!$H:$H,0))))))</f>
        <v>1</v>
      </c>
      <c r="AQ36" s="6" t="str">
        <f>IF($AO36="","",INDEX(CaseTypeCol!$G:$G,MATCH($AO36,CaseTypeCol!$A:$A,0)))</f>
        <v/>
      </c>
      <c r="AR36" s="6" t="b" cm="1">
        <f t="array" aca="1" ref="AR36" ca="1">IF($AO36="",TRUE,IF($J36="",FALSE,IF(INDIRECT("OrganizationAccessCasePolicy!J"&amp;$J36)="",FALSE,NOT(ISNA(MATCH(INDIRECT("OrganizationAccessCasePolicy!J"&amp;$J36)&amp;"|"&amp;$AO36,CaseTypeColSetMember!$H:$H,0))))))</f>
        <v>1</v>
      </c>
      <c r="AS36" s="6" t="b" cm="1">
        <f t="array" aca="1" ref="AS36" ca="1">IF($AO36="",TRUE,IF($J36="",FALSE,IF(INDIRECT("OrganizationAccessCasePolicy!L"&amp;$J36)="",FALSE,NOT(ISNA(MATCH(INDIRECT("OrganizationAccessCasePolicy!L"&amp;$J36)&amp;"|"&amp;$AO36,CaseTypeColSetMember!$H:$H,0))))))</f>
        <v>1</v>
      </c>
      <c r="AT36" s="6" t="b" cm="1">
        <f t="array" aca="1" ref="AT36" ca="1">IF($AO36="",TRUE,IF($N36="",FALSE,IF(INDIRECT("UserAccessCasePolicy!I"&amp;$N36)="",FALSE,NOT(ISNA(MATCH(INDIRECT("UserAccessCasePolicy!I"&amp;$N36)&amp;"|"&amp;$AO36,CaseTypeColSetMember!$H:$H,0))))))</f>
        <v>1</v>
      </c>
      <c r="AU36" s="6" t="b" cm="1">
        <f t="array" aca="1" ref="AU36" ca="1">IF($AO36="",TRUE,IF($N36="",FALSE,IF(INDIRECT("UserAccessCasePolicy!K"&amp;$N36)="",FALSE,NOT(ISNA(MATCH(INDIRECT("UserAccessCasePolicy!K"&amp;$N36)&amp;"|"&amp;$AO36,CaseTypeColSetMember!$H:$H,0))))))</f>
        <v>1</v>
      </c>
    </row>
    <row r="37" spans="1:47" ht="18.75" customHeight="1" x14ac:dyDescent="0.3">
      <c r="A37">
        <v>36</v>
      </c>
      <c r="B37" t="b">
        <v>1</v>
      </c>
      <c r="C37" t="s">
        <v>729</v>
      </c>
      <c r="D37" t="s">
        <v>14</v>
      </c>
      <c r="E37" s="6" t="str">
        <f>INDEX(User!$D:$D,MATCH($D37,User!$A:$A,0))</f>
        <v>org_user1_4</v>
      </c>
      <c r="F37" t="s">
        <v>721</v>
      </c>
      <c r="G37" s="19" t="b">
        <f t="shared" ca="1" si="0"/>
        <v>0</v>
      </c>
      <c r="H37" s="6" t="str">
        <f>INDEX(User!$G:$G,MATCH($D37,User!$A:$A,0))</f>
        <v>018d074d-ea0c-e942-07db-a3cc0ba1d653</v>
      </c>
      <c r="I37" s="6" t="b">
        <f>INDEX(User!$M:$M,MATCH($D37,User!$A:$A,0))</f>
        <v>0</v>
      </c>
      <c r="J37" s="6">
        <f>IF(ISNA(MATCH($H37&amp;"|"&amp;$W37,OrganizationAccessCasePolicy!$V:$V,0)),"",MATCH($H37&amp;"|"&amp;$W37,OrganizationAccessCasePolicy!$V:$V,0))</f>
        <v>7</v>
      </c>
      <c r="K37" s="6" t="b" cm="1">
        <f t="array" aca="1" ref="K37" ca="1">IF($J37="",FALSE,NOT(ISNA(MATCH(INDIRECT("OrganizationAccessCasePolicy!D"&amp;$J37)&amp;"|"&amp;$S37,CaseTypeSetMember!$H:$H,0))))</f>
        <v>1</v>
      </c>
      <c r="L37" s="6" t="b" cm="1">
        <f t="array" aca="1" ref="L37" ca="1">IF($J37="",FALSE,AND(INDIRECT("OrganizationAccessCasePolicy!H"&amp;$J37),NOT(ISNA(MATCH(INDIRECT("OrganizationAccessCasePolicy!D"&amp;$J37)&amp;"|"&amp;$S37,CaseTypeSetMember!$H:$H,0)))))</f>
        <v>1</v>
      </c>
      <c r="M37" s="6" t="b" cm="1">
        <f t="array" aca="1" ref="M37" ca="1">IF($J37="",FALSE,AND(INDIRECT("OrganizationAccessCasePolicy!I"&amp;$J37),NOT(ISNA(MATCH(INDIRECT("OrganizationAccessCasePolicy!D"&amp;$J37)&amp;"|"&amp;$S37,CaseTypeSetMember!$H:$H,0)))))</f>
        <v>1</v>
      </c>
      <c r="N37" s="6" t="str">
        <f>IF(ISNA(MATCH($D37&amp;"|"&amp;$W37,UserAccessCasePolicy!$W:$W,0)),"",MATCH($D37&amp;"|"&amp;$W37,UserAccessCasePolicy!$W:$W,0))</f>
        <v/>
      </c>
      <c r="O37" s="6" t="b" cm="1">
        <f t="array" aca="1" ref="O37" ca="1">IF($N37="",FALSE,NOT(ISNA(MATCH(INDIRECT("UserAccessCasePolicy!D"&amp;$N37)&amp;"|"&amp;$S37,CaseTypeSetMember!$H:$H,0))))</f>
        <v>0</v>
      </c>
      <c r="P37" s="6" t="b" cm="1">
        <f t="array" aca="1" ref="P37" ca="1">IF($N37="",FALSE,AND(INDIRECT("UserAccessCasePolicy!G"&amp;$N37),NOT(ISNA(MATCH(INDIRECT("UserAccessCasePolicy!D"&amp;$N37)&amp;"|"&amp;$S37,CaseTypeSetMember!$H:$H,0)))))</f>
        <v>0</v>
      </c>
      <c r="Q37" s="6" t="b" cm="1">
        <f t="array" aca="1" ref="Q37" ca="1">IF($N37="",FALSE,AND(INDIRECT("UserAccessCasePolicy!H"&amp;$N37),NOT(ISNA(MATCH(INDIRECT("UserAccessCasePolicy!D"&amp;$N37)&amp;"|"&amp;$S37,CaseTypeSetMember!$H:$H,0)))))</f>
        <v>0</v>
      </c>
      <c r="R37" t="s">
        <v>725</v>
      </c>
      <c r="S37" t="s">
        <v>119</v>
      </c>
      <c r="T37" s="6" t="str">
        <f>INDEX(CaseType!$B:$B,MATCH($S37,CaseType!$A:$A,0))</f>
        <v>case_type1</v>
      </c>
      <c r="U37" s="6" t="b">
        <f>AND(IF($AA37="",TRUE,$S37=INDEX(CaseTypeCol!$B:$B,MATCH($AA37,CaseTypeCol!$A:$A,0))),IF($AH37="",TRUE,$S37=INDEX(CaseTypeCol!$B:$B,MATCH($AH37,CaseTypeCol!$A:$A,0))),IF($AO37="",TRUE,$S37=INDEX(CaseTypeCol!$B:$B,MATCH($AO37,CaseTypeCol!$A:$A,0))))</f>
        <v>1</v>
      </c>
      <c r="W37" t="s">
        <v>15</v>
      </c>
      <c r="X37" s="6" t="str">
        <f>INDEX(DataCollection!$B:$B,MATCH($W37,DataCollection!$A:$A,0))</f>
        <v>data_collection6</v>
      </c>
      <c r="Z37" s="14">
        <v>36526</v>
      </c>
      <c r="AA37" t="s">
        <v>142</v>
      </c>
      <c r="AB37" t="s">
        <v>663</v>
      </c>
      <c r="AC37" s="6" t="str">
        <f>IF($AA37="","",INDEX(CaseTypeCol!$G:$G,MATCH($AA37,CaseTypeCol!$A:$A,0)))</f>
        <v>case_type1_dim1_1_text</v>
      </c>
      <c r="AD37" s="6" t="b" cm="1">
        <f t="array" aca="1" ref="AD37" ca="1">IF($AA37="",TRUE,IF($J37="",FALSE,IF(INDIRECT("OrganizationAccessCasePolicy!J"&amp;$J37)="",FALSE,NOT(ISNA(MATCH(INDIRECT("OrganizationAccessCasePolicy!J"&amp;$J37)&amp;"|"&amp;$AA37,CaseTypeColSetMember!$H:$H,0))))))</f>
        <v>1</v>
      </c>
      <c r="AE37" s="6" t="b" cm="1">
        <f t="array" aca="1" ref="AE37" ca="1">IF($AA37="",TRUE,IF($J37="",FALSE,IF(INDIRECT("OrganizationAccessCasePolicy!L"&amp;$J37)="",FALSE,NOT(ISNA(MATCH(INDIRECT("OrganizationAccessCasePolicy!L"&amp;$J37)&amp;"|"&amp;$AA37,CaseTypeColSetMember!$H:$H,0))))))</f>
        <v>0</v>
      </c>
      <c r="AF37" s="6" t="b" cm="1">
        <f t="array" aca="1" ref="AF37" ca="1">IF($AA37="",TRUE,IF($N37="",FALSE,IF(INDIRECT("UserAccessCasePolicy!I"&amp;$N37)="",FALSE,NOT(ISNA(MATCH(INDIRECT("UserAccessCasePolicy!I"&amp;$N37)&amp;"|"&amp;$AA37,CaseTypeColSetMember!$H:$H,0))))))</f>
        <v>0</v>
      </c>
      <c r="AG37" s="6" t="b" cm="1">
        <f t="array" aca="1" ref="AG37" ca="1">IF($AA37="",TRUE,IF($N37="",FALSE,IF(INDIRECT("UserAccessCasePolicy!K"&amp;$N37)="",FALSE,NOT(ISNA(MATCH(INDIRECT("UserAccessCasePolicy!K"&amp;$N37)&amp;"|"&amp;$AA37,CaseTypeColSetMember!$H:$H,0))))))</f>
        <v>0</v>
      </c>
      <c r="AI37" t="s">
        <v>775</v>
      </c>
      <c r="AJ37" s="6" t="str">
        <f>IF($AH37="","",INDEX(CaseTypeCol!$G:$G,MATCH($AH37,CaseTypeCol!$A:$A,0)))</f>
        <v/>
      </c>
      <c r="AK37" s="6" t="b" cm="1">
        <f t="array" aca="1" ref="AK37" ca="1">IF($AH37="",TRUE,IF($J37="",FALSE,IF(INDIRECT("OrganizationAccessCasePolicy!J"&amp;$J37)="",FALSE,NOT(ISNA(MATCH(INDIRECT("OrganizationAccessCasePolicy!J"&amp;$J37)&amp;"|"&amp;$AH37,CaseTypeColSetMember!$H:$H,0))))))</f>
        <v>1</v>
      </c>
      <c r="AL37" s="6" t="b" cm="1">
        <f t="array" aca="1" ref="AL37" ca="1">IF($AH37="",TRUE,IF($J37="",FALSE,IF(INDIRECT("OrganizationAccessCasePolicy!L"&amp;$J37)="",FALSE,NOT(ISNA(MATCH(INDIRECT("OrganizationAccessCasePolicy!L"&amp;$J37)&amp;"|"&amp;$AH37,CaseTypeColSetMember!$H:$H,0))))))</f>
        <v>1</v>
      </c>
      <c r="AM37" s="6" t="b" cm="1">
        <f t="array" aca="1" ref="AM37" ca="1">IF($AH37="",TRUE,IF($N37="",FALSE,IF(INDIRECT("UserAccessCasePolicy!I"&amp;$N37)="",FALSE,NOT(ISNA(MATCH(INDIRECT("UserAccessCasePolicy!I"&amp;$N37)&amp;"|"&amp;$AH37,CaseTypeColSetMember!$H:$H,0))))))</f>
        <v>1</v>
      </c>
      <c r="AN37" s="6" t="b" cm="1">
        <f t="array" aca="1" ref="AN37" ca="1">IF($AH37="",TRUE,IF($N37="",FALSE,IF(INDIRECT("UserAccessCasePolicy!K"&amp;$N37)="",FALSE,NOT(ISNA(MATCH(INDIRECT("UserAccessCasePolicy!K"&amp;$N37)&amp;"|"&amp;$AH37,CaseTypeColSetMember!$H:$H,0))))))</f>
        <v>1</v>
      </c>
      <c r="AQ37" s="6" t="str">
        <f>IF($AO37="","",INDEX(CaseTypeCol!$G:$G,MATCH($AO37,CaseTypeCol!$A:$A,0)))</f>
        <v/>
      </c>
      <c r="AR37" s="6" t="b" cm="1">
        <f t="array" aca="1" ref="AR37" ca="1">IF($AO37="",TRUE,IF($J37="",FALSE,IF(INDIRECT("OrganizationAccessCasePolicy!J"&amp;$J37)="",FALSE,NOT(ISNA(MATCH(INDIRECT("OrganizationAccessCasePolicy!J"&amp;$J37)&amp;"|"&amp;$AO37,CaseTypeColSetMember!$H:$H,0))))))</f>
        <v>1</v>
      </c>
      <c r="AS37" s="6" t="b" cm="1">
        <f t="array" aca="1" ref="AS37" ca="1">IF($AO37="",TRUE,IF($J37="",FALSE,IF(INDIRECT("OrganizationAccessCasePolicy!L"&amp;$J37)="",FALSE,NOT(ISNA(MATCH(INDIRECT("OrganizationAccessCasePolicy!L"&amp;$J37)&amp;"|"&amp;$AO37,CaseTypeColSetMember!$H:$H,0))))))</f>
        <v>1</v>
      </c>
      <c r="AT37" s="6" t="b" cm="1">
        <f t="array" aca="1" ref="AT37" ca="1">IF($AO37="",TRUE,IF($N37="",FALSE,IF(INDIRECT("UserAccessCasePolicy!I"&amp;$N37)="",FALSE,NOT(ISNA(MATCH(INDIRECT("UserAccessCasePolicy!I"&amp;$N37)&amp;"|"&amp;$AO37,CaseTypeColSetMember!$H:$H,0))))))</f>
        <v>1</v>
      </c>
      <c r="AU37" s="6" t="b" cm="1">
        <f t="array" aca="1" ref="AU37" ca="1">IF($AO37="",TRUE,IF($N37="",FALSE,IF(INDIRECT("UserAccessCasePolicy!K"&amp;$N37)="",FALSE,NOT(ISNA(MATCH(INDIRECT("UserAccessCasePolicy!K"&amp;$N37)&amp;"|"&amp;$AO37,CaseTypeColSetMember!$H:$H,0))))))</f>
        <v>1</v>
      </c>
    </row>
    <row r="38" spans="1:47" ht="18.75" customHeight="1" x14ac:dyDescent="0.3">
      <c r="A38">
        <v>37</v>
      </c>
      <c r="B38" t="b">
        <v>1</v>
      </c>
      <c r="C38" t="s">
        <v>730</v>
      </c>
      <c r="D38" t="s">
        <v>16</v>
      </c>
      <c r="E38" s="6" t="str">
        <f>INDEX(User!$D:$D,MATCH($D38,User!$A:$A,0))</f>
        <v>org_user2_1</v>
      </c>
      <c r="F38" t="s">
        <v>721</v>
      </c>
      <c r="G38" s="19" t="b">
        <f t="shared" ca="1" si="0"/>
        <v>0</v>
      </c>
      <c r="H38" s="6" t="str">
        <f>INDEX(User!$G:$G,MATCH($D38,User!$A:$A,0))</f>
        <v>0195d18c-1c92-0ed4-2e94-b4f66d82baf3</v>
      </c>
      <c r="I38" s="6" t="b">
        <f>INDEX(User!$M:$M,MATCH($D38,User!$A:$A,0))</f>
        <v>0</v>
      </c>
      <c r="J38" s="6">
        <f>IF(ISNA(MATCH($H38&amp;"|"&amp;$W38,OrganizationAccessCasePolicy!$V:$V,0)),"",MATCH($H38&amp;"|"&amp;$W38,OrganizationAccessCasePolicy!$V:$V,0))</f>
        <v>8</v>
      </c>
      <c r="K38" s="6" t="b" cm="1">
        <f t="array" aca="1" ref="K38" ca="1">IF($J38="",FALSE,NOT(ISNA(MATCH(INDIRECT("OrganizationAccessCasePolicy!D"&amp;$J38)&amp;"|"&amp;$S38,CaseTypeSetMember!$H:$H,0))))</f>
        <v>0</v>
      </c>
      <c r="L38" s="6" t="b" cm="1">
        <f t="array" aca="1" ref="L38" ca="1">IF($J38="",FALSE,AND(INDIRECT("OrganizationAccessCasePolicy!H"&amp;$J38),NOT(ISNA(MATCH(INDIRECT("OrganizationAccessCasePolicy!D"&amp;$J38)&amp;"|"&amp;$S38,CaseTypeSetMember!$H:$H,0)))))</f>
        <v>0</v>
      </c>
      <c r="M38" s="6" t="b" cm="1">
        <f t="array" aca="1" ref="M38" ca="1">IF($J38="",FALSE,AND(INDIRECT("OrganizationAccessCasePolicy!I"&amp;$J38),NOT(ISNA(MATCH(INDIRECT("OrganizationAccessCasePolicy!D"&amp;$J38)&amp;"|"&amp;$S38,CaseTypeSetMember!$H:$H,0)))))</f>
        <v>0</v>
      </c>
      <c r="N38" s="6">
        <f>IF(ISNA(MATCH($D38&amp;"|"&amp;$W38,UserAccessCasePolicy!$W:$W,0)),"",MATCH($D38&amp;"|"&amp;$W38,UserAccessCasePolicy!$W:$W,0))</f>
        <v>8</v>
      </c>
      <c r="O38" s="6" t="b" cm="1">
        <f t="array" aca="1" ref="O38" ca="1">IF($N38="",FALSE,NOT(ISNA(MATCH(INDIRECT("UserAccessCasePolicy!D"&amp;$N38)&amp;"|"&amp;$S38,CaseTypeSetMember!$H:$H,0))))</f>
        <v>0</v>
      </c>
      <c r="P38" s="6" t="b" cm="1">
        <f t="array" aca="1" ref="P38" ca="1">IF($N38="",FALSE,AND(INDIRECT("UserAccessCasePolicy!G"&amp;$N38),NOT(ISNA(MATCH(INDIRECT("UserAccessCasePolicy!D"&amp;$N38)&amp;"|"&amp;$S38,CaseTypeSetMember!$H:$H,0)))))</f>
        <v>0</v>
      </c>
      <c r="Q38" s="6" t="b" cm="1">
        <f t="array" aca="1" ref="Q38" ca="1">IF($N38="",FALSE,AND(INDIRECT("UserAccessCasePolicy!H"&amp;$N38),NOT(ISNA(MATCH(INDIRECT("UserAccessCasePolicy!D"&amp;$N38)&amp;"|"&amp;$S38,CaseTypeSetMember!$H:$H,0)))))</f>
        <v>0</v>
      </c>
      <c r="R38" t="s">
        <v>725</v>
      </c>
      <c r="S38" t="s">
        <v>119</v>
      </c>
      <c r="T38" s="6" t="str">
        <f>INDEX(CaseType!$B:$B,MATCH($S38,CaseType!$A:$A,0))</f>
        <v>case_type1</v>
      </c>
      <c r="U38" s="6" t="b">
        <f>AND(IF($AA38="",TRUE,$S38=INDEX(CaseTypeCol!$B:$B,MATCH($AA38,CaseTypeCol!$A:$A,0))),IF($AH38="",TRUE,$S38=INDEX(CaseTypeCol!$B:$B,MATCH($AH38,CaseTypeCol!$A:$A,0))),IF($AO38="",TRUE,$S38=INDEX(CaseTypeCol!$B:$B,MATCH($AO38,CaseTypeCol!$A:$A,0))))</f>
        <v>1</v>
      </c>
      <c r="W38" t="s">
        <v>21</v>
      </c>
      <c r="X38" s="6" t="str">
        <f>INDEX(DataCollection!$B:$B,MATCH($W38,DataCollection!$A:$A,0))</f>
        <v>data_collection7</v>
      </c>
      <c r="Z38" s="14">
        <v>36526</v>
      </c>
      <c r="AA38" t="s">
        <v>142</v>
      </c>
      <c r="AB38" t="s">
        <v>663</v>
      </c>
      <c r="AC38" s="6" t="str">
        <f>IF($AA38="","",INDEX(CaseTypeCol!$G:$G,MATCH($AA38,CaseTypeCol!$A:$A,0)))</f>
        <v>case_type1_dim1_1_text</v>
      </c>
      <c r="AD38" s="6" t="b" cm="1">
        <f t="array" aca="1" ref="AD38" ca="1">IF($AA38="",TRUE,IF($J38="",FALSE,IF(INDIRECT("OrganizationAccessCasePolicy!J"&amp;$J38)="",FALSE,NOT(ISNA(MATCH(INDIRECT("OrganizationAccessCasePolicy!J"&amp;$J38)&amp;"|"&amp;$AA38,CaseTypeColSetMember!$H:$H,0))))))</f>
        <v>0</v>
      </c>
      <c r="AE38" s="6" t="b" cm="1">
        <f t="array" aca="1" ref="AE38" ca="1">IF($AA38="",TRUE,IF($J38="",FALSE,IF(INDIRECT("OrganizationAccessCasePolicy!L"&amp;$J38)="",FALSE,NOT(ISNA(MATCH(INDIRECT("OrganizationAccessCasePolicy!L"&amp;$J38)&amp;"|"&amp;$AA38,CaseTypeColSetMember!$H:$H,0))))))</f>
        <v>0</v>
      </c>
      <c r="AF38" s="6" t="b" cm="1">
        <f t="array" aca="1" ref="AF38" ca="1">IF($AA38="",TRUE,IF($N38="",FALSE,IF(INDIRECT("UserAccessCasePolicy!I"&amp;$N38)="",FALSE,NOT(ISNA(MATCH(INDIRECT("UserAccessCasePolicy!I"&amp;$N38)&amp;"|"&amp;$AA38,CaseTypeColSetMember!$H:$H,0))))))</f>
        <v>0</v>
      </c>
      <c r="AG38" s="6" t="b" cm="1">
        <f t="array" aca="1" ref="AG38" ca="1">IF($AA38="",TRUE,IF($N38="",FALSE,IF(INDIRECT("UserAccessCasePolicy!K"&amp;$N38)="",FALSE,NOT(ISNA(MATCH(INDIRECT("UserAccessCasePolicy!K"&amp;$N38)&amp;"|"&amp;$AA38,CaseTypeColSetMember!$H:$H,0))))))</f>
        <v>0</v>
      </c>
      <c r="AI38" t="s">
        <v>776</v>
      </c>
      <c r="AJ38" s="6" t="str">
        <f>IF($AH38="","",INDEX(CaseTypeCol!$G:$G,MATCH($AH38,CaseTypeCol!$A:$A,0)))</f>
        <v/>
      </c>
      <c r="AK38" s="6" t="b" cm="1">
        <f t="array" aca="1" ref="AK38" ca="1">IF($AH38="",TRUE,IF($J38="",FALSE,IF(INDIRECT("OrganizationAccessCasePolicy!J"&amp;$J38)="",FALSE,NOT(ISNA(MATCH(INDIRECT("OrganizationAccessCasePolicy!J"&amp;$J38)&amp;"|"&amp;$AH38,CaseTypeColSetMember!$H:$H,0))))))</f>
        <v>1</v>
      </c>
      <c r="AL38" s="6" t="b" cm="1">
        <f t="array" aca="1" ref="AL38" ca="1">IF($AH38="",TRUE,IF($J38="",FALSE,IF(INDIRECT("OrganizationAccessCasePolicy!L"&amp;$J38)="",FALSE,NOT(ISNA(MATCH(INDIRECT("OrganizationAccessCasePolicy!L"&amp;$J38)&amp;"|"&amp;$AH38,CaseTypeColSetMember!$H:$H,0))))))</f>
        <v>1</v>
      </c>
      <c r="AM38" s="6" t="b" cm="1">
        <f t="array" aca="1" ref="AM38" ca="1">IF($AH38="",TRUE,IF($N38="",FALSE,IF(INDIRECT("UserAccessCasePolicy!I"&amp;$N38)="",FALSE,NOT(ISNA(MATCH(INDIRECT("UserAccessCasePolicy!I"&amp;$N38)&amp;"|"&amp;$AH38,CaseTypeColSetMember!$H:$H,0))))))</f>
        <v>1</v>
      </c>
      <c r="AN38" s="6" t="b" cm="1">
        <f t="array" aca="1" ref="AN38" ca="1">IF($AH38="",TRUE,IF($N38="",FALSE,IF(INDIRECT("UserAccessCasePolicy!K"&amp;$N38)="",FALSE,NOT(ISNA(MATCH(INDIRECT("UserAccessCasePolicy!K"&amp;$N38)&amp;"|"&amp;$AH38,CaseTypeColSetMember!$H:$H,0))))))</f>
        <v>1</v>
      </c>
      <c r="AQ38" s="6" t="str">
        <f>IF($AO38="","",INDEX(CaseTypeCol!$G:$G,MATCH($AO38,CaseTypeCol!$A:$A,0)))</f>
        <v/>
      </c>
      <c r="AR38" s="6" t="b" cm="1">
        <f t="array" aca="1" ref="AR38" ca="1">IF($AO38="",TRUE,IF($J38="",FALSE,IF(INDIRECT("OrganizationAccessCasePolicy!J"&amp;$J38)="",FALSE,NOT(ISNA(MATCH(INDIRECT("OrganizationAccessCasePolicy!J"&amp;$J38)&amp;"|"&amp;$AO38,CaseTypeColSetMember!$H:$H,0))))))</f>
        <v>1</v>
      </c>
      <c r="AS38" s="6" t="b" cm="1">
        <f t="array" aca="1" ref="AS38" ca="1">IF($AO38="",TRUE,IF($J38="",FALSE,IF(INDIRECT("OrganizationAccessCasePolicy!L"&amp;$J38)="",FALSE,NOT(ISNA(MATCH(INDIRECT("OrganizationAccessCasePolicy!L"&amp;$J38)&amp;"|"&amp;$AO38,CaseTypeColSetMember!$H:$H,0))))))</f>
        <v>1</v>
      </c>
      <c r="AT38" s="6" t="b" cm="1">
        <f t="array" aca="1" ref="AT38" ca="1">IF($AO38="",TRUE,IF($N38="",FALSE,IF(INDIRECT("UserAccessCasePolicy!I"&amp;$N38)="",FALSE,NOT(ISNA(MATCH(INDIRECT("UserAccessCasePolicy!I"&amp;$N38)&amp;"|"&amp;$AO38,CaseTypeColSetMember!$H:$H,0))))))</f>
        <v>1</v>
      </c>
      <c r="AU38" s="6" t="b" cm="1">
        <f t="array" aca="1" ref="AU38" ca="1">IF($AO38="",TRUE,IF($N38="",FALSE,IF(INDIRECT("UserAccessCasePolicy!K"&amp;$N38)="",FALSE,NOT(ISNA(MATCH(INDIRECT("UserAccessCasePolicy!K"&amp;$N38)&amp;"|"&amp;$AO38,CaseTypeColSetMember!$H:$H,0))))))</f>
        <v>1</v>
      </c>
    </row>
    <row r="39" spans="1:47" ht="18.75" customHeight="1" x14ac:dyDescent="0.3">
      <c r="A39">
        <v>38</v>
      </c>
      <c r="B39" t="b">
        <v>1</v>
      </c>
      <c r="C39" t="s">
        <v>731</v>
      </c>
      <c r="D39" t="s">
        <v>18</v>
      </c>
      <c r="E39" s="6" t="str">
        <f>INDEX(User!$D:$D,MATCH($D39,User!$A:$A,0))</f>
        <v>org_user2_2</v>
      </c>
      <c r="F39" t="s">
        <v>721</v>
      </c>
      <c r="G39" s="19" t="b">
        <f t="shared" ca="1" si="0"/>
        <v>0</v>
      </c>
      <c r="H39" s="6" t="str">
        <f>INDEX(User!$G:$G,MATCH($D39,User!$A:$A,0))</f>
        <v>0195d18c-1c92-0ed4-2e94-b4f66d82baf3</v>
      </c>
      <c r="I39" s="6" t="b">
        <f>INDEX(User!$M:$M,MATCH($D39,User!$A:$A,0))</f>
        <v>0</v>
      </c>
      <c r="J39" s="6">
        <f>IF(ISNA(MATCH($H39&amp;"|"&amp;$W39,OrganizationAccessCasePolicy!$V:$V,0)),"",MATCH($H39&amp;"|"&amp;$W39,OrganizationAccessCasePolicy!$V:$V,0))</f>
        <v>8</v>
      </c>
      <c r="K39" s="6" t="b" cm="1">
        <f t="array" aca="1" ref="K39" ca="1">IF($J39="",FALSE,NOT(ISNA(MATCH(INDIRECT("OrganizationAccessCasePolicy!D"&amp;$J39)&amp;"|"&amp;$S39,CaseTypeSetMember!$H:$H,0))))</f>
        <v>0</v>
      </c>
      <c r="L39" s="6" t="b" cm="1">
        <f t="array" aca="1" ref="L39" ca="1">IF($J39="",FALSE,AND(INDIRECT("OrganizationAccessCasePolicy!H"&amp;$J39),NOT(ISNA(MATCH(INDIRECT("OrganizationAccessCasePolicy!D"&amp;$J39)&amp;"|"&amp;$S39,CaseTypeSetMember!$H:$H,0)))))</f>
        <v>0</v>
      </c>
      <c r="M39" s="6" t="b" cm="1">
        <f t="array" aca="1" ref="M39" ca="1">IF($J39="",FALSE,AND(INDIRECT("OrganizationAccessCasePolicy!I"&amp;$J39),NOT(ISNA(MATCH(INDIRECT("OrganizationAccessCasePolicy!D"&amp;$J39)&amp;"|"&amp;$S39,CaseTypeSetMember!$H:$H,0)))))</f>
        <v>0</v>
      </c>
      <c r="N39" s="6" t="str">
        <f>IF(ISNA(MATCH($D39&amp;"|"&amp;$W39,UserAccessCasePolicy!$W:$W,0)),"",MATCH($D39&amp;"|"&amp;$W39,UserAccessCasePolicy!$W:$W,0))</f>
        <v/>
      </c>
      <c r="O39" s="6" t="b" cm="1">
        <f t="array" aca="1" ref="O39" ca="1">IF($N39="",FALSE,NOT(ISNA(MATCH(INDIRECT("UserAccessCasePolicy!D"&amp;$N39)&amp;"|"&amp;$S39,CaseTypeSetMember!$H:$H,0))))</f>
        <v>0</v>
      </c>
      <c r="P39" s="6" t="b" cm="1">
        <f t="array" aca="1" ref="P39" ca="1">IF($N39="",FALSE,AND(INDIRECT("UserAccessCasePolicy!G"&amp;$N39),NOT(ISNA(MATCH(INDIRECT("UserAccessCasePolicy!D"&amp;$N39)&amp;"|"&amp;$S39,CaseTypeSetMember!$H:$H,0)))))</f>
        <v>0</v>
      </c>
      <c r="Q39" s="6" t="b" cm="1">
        <f t="array" aca="1" ref="Q39" ca="1">IF($N39="",FALSE,AND(INDIRECT("UserAccessCasePolicy!H"&amp;$N39),NOT(ISNA(MATCH(INDIRECT("UserAccessCasePolicy!D"&amp;$N39)&amp;"|"&amp;$S39,CaseTypeSetMember!$H:$H,0)))))</f>
        <v>0</v>
      </c>
      <c r="R39" t="s">
        <v>725</v>
      </c>
      <c r="S39" t="s">
        <v>119</v>
      </c>
      <c r="T39" s="6" t="str">
        <f>INDEX(CaseType!$B:$B,MATCH($S39,CaseType!$A:$A,0))</f>
        <v>case_type1</v>
      </c>
      <c r="U39" s="6" t="b">
        <f>AND(IF($AA39="",TRUE,$S39=INDEX(CaseTypeCol!$B:$B,MATCH($AA39,CaseTypeCol!$A:$A,0))),IF($AH39="",TRUE,$S39=INDEX(CaseTypeCol!$B:$B,MATCH($AH39,CaseTypeCol!$A:$A,0))),IF($AO39="",TRUE,$S39=INDEX(CaseTypeCol!$B:$B,MATCH($AO39,CaseTypeCol!$A:$A,0))))</f>
        <v>1</v>
      </c>
      <c r="W39" t="s">
        <v>21</v>
      </c>
      <c r="X39" s="6" t="str">
        <f>INDEX(DataCollection!$B:$B,MATCH($W39,DataCollection!$A:$A,0))</f>
        <v>data_collection7</v>
      </c>
      <c r="Z39" s="14">
        <v>36526</v>
      </c>
      <c r="AA39" t="s">
        <v>142</v>
      </c>
      <c r="AB39" t="s">
        <v>663</v>
      </c>
      <c r="AC39" s="6" t="str">
        <f>IF($AA39="","",INDEX(CaseTypeCol!$G:$G,MATCH($AA39,CaseTypeCol!$A:$A,0)))</f>
        <v>case_type1_dim1_1_text</v>
      </c>
      <c r="AD39" s="6" t="b" cm="1">
        <f t="array" aca="1" ref="AD39" ca="1">IF($AA39="",TRUE,IF($J39="",FALSE,IF(INDIRECT("OrganizationAccessCasePolicy!J"&amp;$J39)="",FALSE,NOT(ISNA(MATCH(INDIRECT("OrganizationAccessCasePolicy!J"&amp;$J39)&amp;"|"&amp;$AA39,CaseTypeColSetMember!$H:$H,0))))))</f>
        <v>0</v>
      </c>
      <c r="AE39" s="6" t="b" cm="1">
        <f t="array" aca="1" ref="AE39" ca="1">IF($AA39="",TRUE,IF($J39="",FALSE,IF(INDIRECT("OrganizationAccessCasePolicy!L"&amp;$J39)="",FALSE,NOT(ISNA(MATCH(INDIRECT("OrganizationAccessCasePolicy!L"&amp;$J39)&amp;"|"&amp;$AA39,CaseTypeColSetMember!$H:$H,0))))))</f>
        <v>0</v>
      </c>
      <c r="AF39" s="6" t="b" cm="1">
        <f t="array" aca="1" ref="AF39" ca="1">IF($AA39="",TRUE,IF($N39="",FALSE,IF(INDIRECT("UserAccessCasePolicy!I"&amp;$N39)="",FALSE,NOT(ISNA(MATCH(INDIRECT("UserAccessCasePolicy!I"&amp;$N39)&amp;"|"&amp;$AA39,CaseTypeColSetMember!$H:$H,0))))))</f>
        <v>0</v>
      </c>
      <c r="AG39" s="6" t="b" cm="1">
        <f t="array" aca="1" ref="AG39" ca="1">IF($AA39="",TRUE,IF($N39="",FALSE,IF(INDIRECT("UserAccessCasePolicy!K"&amp;$N39)="",FALSE,NOT(ISNA(MATCH(INDIRECT("UserAccessCasePolicy!K"&amp;$N39)&amp;"|"&amp;$AA39,CaseTypeColSetMember!$H:$H,0))))))</f>
        <v>0</v>
      </c>
      <c r="AI39" t="s">
        <v>777</v>
      </c>
      <c r="AJ39" s="6" t="str">
        <f>IF($AH39="","",INDEX(CaseTypeCol!$G:$G,MATCH($AH39,CaseTypeCol!$A:$A,0)))</f>
        <v/>
      </c>
      <c r="AK39" s="6" t="b" cm="1">
        <f t="array" aca="1" ref="AK39" ca="1">IF($AH39="",TRUE,IF($J39="",FALSE,IF(INDIRECT("OrganizationAccessCasePolicy!J"&amp;$J39)="",FALSE,NOT(ISNA(MATCH(INDIRECT("OrganizationAccessCasePolicy!J"&amp;$J39)&amp;"|"&amp;$AH39,CaseTypeColSetMember!$H:$H,0))))))</f>
        <v>1</v>
      </c>
      <c r="AL39" s="6" t="b" cm="1">
        <f t="array" aca="1" ref="AL39" ca="1">IF($AH39="",TRUE,IF($J39="",FALSE,IF(INDIRECT("OrganizationAccessCasePolicy!L"&amp;$J39)="",FALSE,NOT(ISNA(MATCH(INDIRECT("OrganizationAccessCasePolicy!L"&amp;$J39)&amp;"|"&amp;$AH39,CaseTypeColSetMember!$H:$H,0))))))</f>
        <v>1</v>
      </c>
      <c r="AM39" s="6" t="b" cm="1">
        <f t="array" aca="1" ref="AM39" ca="1">IF($AH39="",TRUE,IF($N39="",FALSE,IF(INDIRECT("UserAccessCasePolicy!I"&amp;$N39)="",FALSE,NOT(ISNA(MATCH(INDIRECT("UserAccessCasePolicy!I"&amp;$N39)&amp;"|"&amp;$AH39,CaseTypeColSetMember!$H:$H,0))))))</f>
        <v>1</v>
      </c>
      <c r="AN39" s="6" t="b" cm="1">
        <f t="array" aca="1" ref="AN39" ca="1">IF($AH39="",TRUE,IF($N39="",FALSE,IF(INDIRECT("UserAccessCasePolicy!K"&amp;$N39)="",FALSE,NOT(ISNA(MATCH(INDIRECT("UserAccessCasePolicy!K"&amp;$N39)&amp;"|"&amp;$AH39,CaseTypeColSetMember!$H:$H,0))))))</f>
        <v>1</v>
      </c>
      <c r="AQ39" s="6" t="str">
        <f>IF($AO39="","",INDEX(CaseTypeCol!$G:$G,MATCH($AO39,CaseTypeCol!$A:$A,0)))</f>
        <v/>
      </c>
      <c r="AR39" s="6" t="b" cm="1">
        <f t="array" aca="1" ref="AR39" ca="1">IF($AO39="",TRUE,IF($J39="",FALSE,IF(INDIRECT("OrganizationAccessCasePolicy!J"&amp;$J39)="",FALSE,NOT(ISNA(MATCH(INDIRECT("OrganizationAccessCasePolicy!J"&amp;$J39)&amp;"|"&amp;$AO39,CaseTypeColSetMember!$H:$H,0))))))</f>
        <v>1</v>
      </c>
      <c r="AS39" s="6" t="b" cm="1">
        <f t="array" aca="1" ref="AS39" ca="1">IF($AO39="",TRUE,IF($J39="",FALSE,IF(INDIRECT("OrganizationAccessCasePolicy!L"&amp;$J39)="",FALSE,NOT(ISNA(MATCH(INDIRECT("OrganizationAccessCasePolicy!L"&amp;$J39)&amp;"|"&amp;$AO39,CaseTypeColSetMember!$H:$H,0))))))</f>
        <v>1</v>
      </c>
      <c r="AT39" s="6" t="b" cm="1">
        <f t="array" aca="1" ref="AT39" ca="1">IF($AO39="",TRUE,IF($N39="",FALSE,IF(INDIRECT("UserAccessCasePolicy!I"&amp;$N39)="",FALSE,NOT(ISNA(MATCH(INDIRECT("UserAccessCasePolicy!I"&amp;$N39)&amp;"|"&amp;$AO39,CaseTypeColSetMember!$H:$H,0))))))</f>
        <v>1</v>
      </c>
      <c r="AU39" s="6" t="b" cm="1">
        <f t="array" aca="1" ref="AU39" ca="1">IF($AO39="",TRUE,IF($N39="",FALSE,IF(INDIRECT("UserAccessCasePolicy!K"&amp;$N39)="",FALSE,NOT(ISNA(MATCH(INDIRECT("UserAccessCasePolicy!K"&amp;$N39)&amp;"|"&amp;$AO39,CaseTypeColSetMember!$H:$H,0))))))</f>
        <v>1</v>
      </c>
    </row>
    <row r="40" spans="1:47" ht="18.75" customHeight="1" x14ac:dyDescent="0.3">
      <c r="A40">
        <v>39</v>
      </c>
      <c r="B40" t="b">
        <v>1</v>
      </c>
      <c r="C40" t="s">
        <v>732</v>
      </c>
      <c r="D40" t="s">
        <v>19</v>
      </c>
      <c r="E40" s="6" t="str">
        <f>INDEX(User!$D:$D,MATCH($D40,User!$A:$A,0))</f>
        <v>org_user2_3</v>
      </c>
      <c r="F40" t="s">
        <v>721</v>
      </c>
      <c r="G40" s="19" t="b">
        <f t="shared" ca="1" si="0"/>
        <v>0</v>
      </c>
      <c r="H40" s="6" t="str">
        <f>INDEX(User!$G:$G,MATCH($D40,User!$A:$A,0))</f>
        <v>0195d18c-1c92-0ed4-2e94-b4f66d82baf3</v>
      </c>
      <c r="I40" s="6" t="b">
        <f>INDEX(User!$M:$M,MATCH($D40,User!$A:$A,0))</f>
        <v>0</v>
      </c>
      <c r="J40" s="6">
        <f>IF(ISNA(MATCH($H40&amp;"|"&amp;$W40,OrganizationAccessCasePolicy!$V:$V,0)),"",MATCH($H40&amp;"|"&amp;$W40,OrganizationAccessCasePolicy!$V:$V,0))</f>
        <v>8</v>
      </c>
      <c r="K40" s="6" t="b" cm="1">
        <f t="array" aca="1" ref="K40" ca="1">IF($J40="",FALSE,NOT(ISNA(MATCH(INDIRECT("OrganizationAccessCasePolicy!D"&amp;$J40)&amp;"|"&amp;$S40,CaseTypeSetMember!$H:$H,0))))</f>
        <v>0</v>
      </c>
      <c r="L40" s="6" t="b" cm="1">
        <f t="array" aca="1" ref="L40" ca="1">IF($J40="",FALSE,AND(INDIRECT("OrganizationAccessCasePolicy!H"&amp;$J40),NOT(ISNA(MATCH(INDIRECT("OrganizationAccessCasePolicy!D"&amp;$J40)&amp;"|"&amp;$S40,CaseTypeSetMember!$H:$H,0)))))</f>
        <v>0</v>
      </c>
      <c r="M40" s="6" t="b" cm="1">
        <f t="array" aca="1" ref="M40" ca="1">IF($J40="",FALSE,AND(INDIRECT("OrganizationAccessCasePolicy!I"&amp;$J40),NOT(ISNA(MATCH(INDIRECT("OrganizationAccessCasePolicy!D"&amp;$J40)&amp;"|"&amp;$S40,CaseTypeSetMember!$H:$H,0)))))</f>
        <v>0</v>
      </c>
      <c r="N40" s="6" t="str">
        <f>IF(ISNA(MATCH($D40&amp;"|"&amp;$W40,UserAccessCasePolicy!$W:$W,0)),"",MATCH($D40&amp;"|"&amp;$W40,UserAccessCasePolicy!$W:$W,0))</f>
        <v/>
      </c>
      <c r="O40" s="6" t="b" cm="1">
        <f t="array" aca="1" ref="O40" ca="1">IF($N40="",FALSE,NOT(ISNA(MATCH(INDIRECT("UserAccessCasePolicy!D"&amp;$N40)&amp;"|"&amp;$S40,CaseTypeSetMember!$H:$H,0))))</f>
        <v>0</v>
      </c>
      <c r="P40" s="6" t="b" cm="1">
        <f t="array" aca="1" ref="P40" ca="1">IF($N40="",FALSE,AND(INDIRECT("UserAccessCasePolicy!G"&amp;$N40),NOT(ISNA(MATCH(INDIRECT("UserAccessCasePolicy!D"&amp;$N40)&amp;"|"&amp;$S40,CaseTypeSetMember!$H:$H,0)))))</f>
        <v>0</v>
      </c>
      <c r="Q40" s="6" t="b" cm="1">
        <f t="array" aca="1" ref="Q40" ca="1">IF($N40="",FALSE,AND(INDIRECT("UserAccessCasePolicy!H"&amp;$N40),NOT(ISNA(MATCH(INDIRECT("UserAccessCasePolicy!D"&amp;$N40)&amp;"|"&amp;$S40,CaseTypeSetMember!$H:$H,0)))))</f>
        <v>0</v>
      </c>
      <c r="R40" t="s">
        <v>725</v>
      </c>
      <c r="S40" t="s">
        <v>119</v>
      </c>
      <c r="T40" s="6" t="str">
        <f>INDEX(CaseType!$B:$B,MATCH($S40,CaseType!$A:$A,0))</f>
        <v>case_type1</v>
      </c>
      <c r="U40" s="6" t="b">
        <f>AND(IF($AA40="",TRUE,$S40=INDEX(CaseTypeCol!$B:$B,MATCH($AA40,CaseTypeCol!$A:$A,0))),IF($AH40="",TRUE,$S40=INDEX(CaseTypeCol!$B:$B,MATCH($AH40,CaseTypeCol!$A:$A,0))),IF($AO40="",TRUE,$S40=INDEX(CaseTypeCol!$B:$B,MATCH($AO40,CaseTypeCol!$A:$A,0))))</f>
        <v>1</v>
      </c>
      <c r="W40" t="s">
        <v>21</v>
      </c>
      <c r="X40" s="6" t="str">
        <f>INDEX(DataCollection!$B:$B,MATCH($W40,DataCollection!$A:$A,0))</f>
        <v>data_collection7</v>
      </c>
      <c r="Z40" s="14">
        <v>36526</v>
      </c>
      <c r="AA40" t="s">
        <v>142</v>
      </c>
      <c r="AB40" t="s">
        <v>663</v>
      </c>
      <c r="AC40" s="6" t="str">
        <f>IF($AA40="","",INDEX(CaseTypeCol!$G:$G,MATCH($AA40,CaseTypeCol!$A:$A,0)))</f>
        <v>case_type1_dim1_1_text</v>
      </c>
      <c r="AD40" s="6" t="b" cm="1">
        <f t="array" aca="1" ref="AD40" ca="1">IF($AA40="",TRUE,IF($J40="",FALSE,IF(INDIRECT("OrganizationAccessCasePolicy!J"&amp;$J40)="",FALSE,NOT(ISNA(MATCH(INDIRECT("OrganizationAccessCasePolicy!J"&amp;$J40)&amp;"|"&amp;$AA40,CaseTypeColSetMember!$H:$H,0))))))</f>
        <v>0</v>
      </c>
      <c r="AE40" s="6" t="b" cm="1">
        <f t="array" aca="1" ref="AE40" ca="1">IF($AA40="",TRUE,IF($J40="",FALSE,IF(INDIRECT("OrganizationAccessCasePolicy!L"&amp;$J40)="",FALSE,NOT(ISNA(MATCH(INDIRECT("OrganizationAccessCasePolicy!L"&amp;$J40)&amp;"|"&amp;$AA40,CaseTypeColSetMember!$H:$H,0))))))</f>
        <v>0</v>
      </c>
      <c r="AF40" s="6" t="b" cm="1">
        <f t="array" aca="1" ref="AF40" ca="1">IF($AA40="",TRUE,IF($N40="",FALSE,IF(INDIRECT("UserAccessCasePolicy!I"&amp;$N40)="",FALSE,NOT(ISNA(MATCH(INDIRECT("UserAccessCasePolicy!I"&amp;$N40)&amp;"|"&amp;$AA40,CaseTypeColSetMember!$H:$H,0))))))</f>
        <v>0</v>
      </c>
      <c r="AG40" s="6" t="b" cm="1">
        <f t="array" aca="1" ref="AG40" ca="1">IF($AA40="",TRUE,IF($N40="",FALSE,IF(INDIRECT("UserAccessCasePolicy!K"&amp;$N40)="",FALSE,NOT(ISNA(MATCH(INDIRECT("UserAccessCasePolicy!K"&amp;$N40)&amp;"|"&amp;$AA40,CaseTypeColSetMember!$H:$H,0))))))</f>
        <v>0</v>
      </c>
      <c r="AI40" t="s">
        <v>777</v>
      </c>
      <c r="AJ40" s="6" t="str">
        <f>IF($AH40="","",INDEX(CaseTypeCol!$G:$G,MATCH($AH40,CaseTypeCol!$A:$A,0)))</f>
        <v/>
      </c>
      <c r="AK40" s="6" t="b" cm="1">
        <f t="array" aca="1" ref="AK40" ca="1">IF($AH40="",TRUE,IF($J40="",FALSE,IF(INDIRECT("OrganizationAccessCasePolicy!J"&amp;$J40)="",FALSE,NOT(ISNA(MATCH(INDIRECT("OrganizationAccessCasePolicy!J"&amp;$J40)&amp;"|"&amp;$AH40,CaseTypeColSetMember!$H:$H,0))))))</f>
        <v>1</v>
      </c>
      <c r="AL40" s="6" t="b" cm="1">
        <f t="array" aca="1" ref="AL40" ca="1">IF($AH40="",TRUE,IF($J40="",FALSE,IF(INDIRECT("OrganizationAccessCasePolicy!L"&amp;$J40)="",FALSE,NOT(ISNA(MATCH(INDIRECT("OrganizationAccessCasePolicy!L"&amp;$J40)&amp;"|"&amp;$AH40,CaseTypeColSetMember!$H:$H,0))))))</f>
        <v>1</v>
      </c>
      <c r="AM40" s="6" t="b" cm="1">
        <f t="array" aca="1" ref="AM40" ca="1">IF($AH40="",TRUE,IF($N40="",FALSE,IF(INDIRECT("UserAccessCasePolicy!I"&amp;$N40)="",FALSE,NOT(ISNA(MATCH(INDIRECT("UserAccessCasePolicy!I"&amp;$N40)&amp;"|"&amp;$AH40,CaseTypeColSetMember!$H:$H,0))))))</f>
        <v>1</v>
      </c>
      <c r="AN40" s="6" t="b" cm="1">
        <f t="array" aca="1" ref="AN40" ca="1">IF($AH40="",TRUE,IF($N40="",FALSE,IF(INDIRECT("UserAccessCasePolicy!K"&amp;$N40)="",FALSE,NOT(ISNA(MATCH(INDIRECT("UserAccessCasePolicy!K"&amp;$N40)&amp;"|"&amp;$AH40,CaseTypeColSetMember!$H:$H,0))))))</f>
        <v>1</v>
      </c>
      <c r="AQ40" s="6" t="str">
        <f>IF($AO40="","",INDEX(CaseTypeCol!$G:$G,MATCH($AO40,CaseTypeCol!$A:$A,0)))</f>
        <v/>
      </c>
      <c r="AR40" s="6" t="b" cm="1">
        <f t="array" aca="1" ref="AR40" ca="1">IF($AO40="",TRUE,IF($J40="",FALSE,IF(INDIRECT("OrganizationAccessCasePolicy!J"&amp;$J40)="",FALSE,NOT(ISNA(MATCH(INDIRECT("OrganizationAccessCasePolicy!J"&amp;$J40)&amp;"|"&amp;$AO40,CaseTypeColSetMember!$H:$H,0))))))</f>
        <v>1</v>
      </c>
      <c r="AS40" s="6" t="b" cm="1">
        <f t="array" aca="1" ref="AS40" ca="1">IF($AO40="",TRUE,IF($J40="",FALSE,IF(INDIRECT("OrganizationAccessCasePolicy!L"&amp;$J40)="",FALSE,NOT(ISNA(MATCH(INDIRECT("OrganizationAccessCasePolicy!L"&amp;$J40)&amp;"|"&amp;$AO40,CaseTypeColSetMember!$H:$H,0))))))</f>
        <v>1</v>
      </c>
      <c r="AT40" s="6" t="b" cm="1">
        <f t="array" aca="1" ref="AT40" ca="1">IF($AO40="",TRUE,IF($N40="",FALSE,IF(INDIRECT("UserAccessCasePolicy!I"&amp;$N40)="",FALSE,NOT(ISNA(MATCH(INDIRECT("UserAccessCasePolicy!I"&amp;$N40)&amp;"|"&amp;$AO40,CaseTypeColSetMember!$H:$H,0))))))</f>
        <v>1</v>
      </c>
      <c r="AU40" s="6" t="b" cm="1">
        <f t="array" aca="1" ref="AU40" ca="1">IF($AO40="",TRUE,IF($N40="",FALSE,IF(INDIRECT("UserAccessCasePolicy!K"&amp;$N40)="",FALSE,NOT(ISNA(MATCH(INDIRECT("UserAccessCasePolicy!K"&amp;$N40)&amp;"|"&amp;$AO40,CaseTypeColSetMember!$H:$H,0))))))</f>
        <v>1</v>
      </c>
    </row>
    <row r="41" spans="1:47" ht="18.75" customHeight="1" x14ac:dyDescent="0.3">
      <c r="A41">
        <v>40</v>
      </c>
      <c r="B41" t="b">
        <v>1</v>
      </c>
      <c r="C41" t="s">
        <v>733</v>
      </c>
      <c r="D41" t="s">
        <v>20</v>
      </c>
      <c r="E41" s="6" t="str">
        <f>INDEX(User!$D:$D,MATCH($D41,User!$A:$A,0))</f>
        <v>org_user2_4</v>
      </c>
      <c r="F41" t="s">
        <v>721</v>
      </c>
      <c r="G41" s="19" t="b">
        <f t="shared" ca="1" si="0"/>
        <v>0</v>
      </c>
      <c r="H41" s="6" t="str">
        <f>INDEX(User!$G:$G,MATCH($D41,User!$A:$A,0))</f>
        <v>0195d18c-1c92-0ed4-2e94-b4f66d82baf3</v>
      </c>
      <c r="I41" s="6" t="b">
        <f>INDEX(User!$M:$M,MATCH($D41,User!$A:$A,0))</f>
        <v>0</v>
      </c>
      <c r="J41" s="6">
        <f>IF(ISNA(MATCH($H41&amp;"|"&amp;$W41,OrganizationAccessCasePolicy!$V:$V,0)),"",MATCH($H41&amp;"|"&amp;$W41,OrganizationAccessCasePolicy!$V:$V,0))</f>
        <v>8</v>
      </c>
      <c r="K41" s="6" t="b" cm="1">
        <f t="array" aca="1" ref="K41" ca="1">IF($J41="",FALSE,NOT(ISNA(MATCH(INDIRECT("OrganizationAccessCasePolicy!D"&amp;$J41)&amp;"|"&amp;$S41,CaseTypeSetMember!$H:$H,0))))</f>
        <v>0</v>
      </c>
      <c r="L41" s="6" t="b" cm="1">
        <f t="array" aca="1" ref="L41" ca="1">IF($J41="",FALSE,AND(INDIRECT("OrganizationAccessCasePolicy!H"&amp;$J41),NOT(ISNA(MATCH(INDIRECT("OrganizationAccessCasePolicy!D"&amp;$J41)&amp;"|"&amp;$S41,CaseTypeSetMember!$H:$H,0)))))</f>
        <v>0</v>
      </c>
      <c r="M41" s="6" t="b" cm="1">
        <f t="array" aca="1" ref="M41" ca="1">IF($J41="",FALSE,AND(INDIRECT("OrganizationAccessCasePolicy!I"&amp;$J41),NOT(ISNA(MATCH(INDIRECT("OrganizationAccessCasePolicy!D"&amp;$J41)&amp;"|"&amp;$S41,CaseTypeSetMember!$H:$H,0)))))</f>
        <v>0</v>
      </c>
      <c r="N41" s="6" t="str">
        <f>IF(ISNA(MATCH($D41&amp;"|"&amp;$W41,UserAccessCasePolicy!$W:$W,0)),"",MATCH($D41&amp;"|"&amp;$W41,UserAccessCasePolicy!$W:$W,0))</f>
        <v/>
      </c>
      <c r="O41" s="6" t="b" cm="1">
        <f t="array" aca="1" ref="O41" ca="1">IF($N41="",FALSE,NOT(ISNA(MATCH(INDIRECT("UserAccessCasePolicy!D"&amp;$N41)&amp;"|"&amp;$S41,CaseTypeSetMember!$H:$H,0))))</f>
        <v>0</v>
      </c>
      <c r="P41" s="6" t="b" cm="1">
        <f t="array" aca="1" ref="P41" ca="1">IF($N41="",FALSE,AND(INDIRECT("UserAccessCasePolicy!G"&amp;$N41),NOT(ISNA(MATCH(INDIRECT("UserAccessCasePolicy!D"&amp;$N41)&amp;"|"&amp;$S41,CaseTypeSetMember!$H:$H,0)))))</f>
        <v>0</v>
      </c>
      <c r="Q41" s="6" t="b" cm="1">
        <f t="array" aca="1" ref="Q41" ca="1">IF($N41="",FALSE,AND(INDIRECT("UserAccessCasePolicy!H"&amp;$N41),NOT(ISNA(MATCH(INDIRECT("UserAccessCasePolicy!D"&amp;$N41)&amp;"|"&amp;$S41,CaseTypeSetMember!$H:$H,0)))))</f>
        <v>0</v>
      </c>
      <c r="R41" t="s">
        <v>725</v>
      </c>
      <c r="S41" t="s">
        <v>119</v>
      </c>
      <c r="T41" s="6" t="str">
        <f>INDEX(CaseType!$B:$B,MATCH($S41,CaseType!$A:$A,0))</f>
        <v>case_type1</v>
      </c>
      <c r="U41" s="6" t="b">
        <f>AND(IF($AA41="",TRUE,$S41=INDEX(CaseTypeCol!$B:$B,MATCH($AA41,CaseTypeCol!$A:$A,0))),IF($AH41="",TRUE,$S41=INDEX(CaseTypeCol!$B:$B,MATCH($AH41,CaseTypeCol!$A:$A,0))),IF($AO41="",TRUE,$S41=INDEX(CaseTypeCol!$B:$B,MATCH($AO41,CaseTypeCol!$A:$A,0))))</f>
        <v>1</v>
      </c>
      <c r="W41" t="s">
        <v>21</v>
      </c>
      <c r="X41" s="6" t="str">
        <f>INDEX(DataCollection!$B:$B,MATCH($W41,DataCollection!$A:$A,0))</f>
        <v>data_collection7</v>
      </c>
      <c r="Z41" s="14">
        <v>36526</v>
      </c>
      <c r="AA41" t="s">
        <v>142</v>
      </c>
      <c r="AB41" t="s">
        <v>663</v>
      </c>
      <c r="AC41" s="6" t="str">
        <f>IF($AA41="","",INDEX(CaseTypeCol!$G:$G,MATCH($AA41,CaseTypeCol!$A:$A,0)))</f>
        <v>case_type1_dim1_1_text</v>
      </c>
      <c r="AD41" s="6" t="b" cm="1">
        <f t="array" aca="1" ref="AD41" ca="1">IF($AA41="",TRUE,IF($J41="",FALSE,IF(INDIRECT("OrganizationAccessCasePolicy!J"&amp;$J41)="",FALSE,NOT(ISNA(MATCH(INDIRECT("OrganizationAccessCasePolicy!J"&amp;$J41)&amp;"|"&amp;$AA41,CaseTypeColSetMember!$H:$H,0))))))</f>
        <v>0</v>
      </c>
      <c r="AE41" s="6" t="b" cm="1">
        <f t="array" aca="1" ref="AE41" ca="1">IF($AA41="",TRUE,IF($J41="",FALSE,IF(INDIRECT("OrganizationAccessCasePolicy!L"&amp;$J41)="",FALSE,NOT(ISNA(MATCH(INDIRECT("OrganizationAccessCasePolicy!L"&amp;$J41)&amp;"|"&amp;$AA41,CaseTypeColSetMember!$H:$H,0))))))</f>
        <v>0</v>
      </c>
      <c r="AF41" s="6" t="b" cm="1">
        <f t="array" aca="1" ref="AF41" ca="1">IF($AA41="",TRUE,IF($N41="",FALSE,IF(INDIRECT("UserAccessCasePolicy!I"&amp;$N41)="",FALSE,NOT(ISNA(MATCH(INDIRECT("UserAccessCasePolicy!I"&amp;$N41)&amp;"|"&amp;$AA41,CaseTypeColSetMember!$H:$H,0))))))</f>
        <v>0</v>
      </c>
      <c r="AG41" s="6" t="b" cm="1">
        <f t="array" aca="1" ref="AG41" ca="1">IF($AA41="",TRUE,IF($N41="",FALSE,IF(INDIRECT("UserAccessCasePolicy!K"&amp;$N41)="",FALSE,NOT(ISNA(MATCH(INDIRECT("UserAccessCasePolicy!K"&amp;$N41)&amp;"|"&amp;$AA41,CaseTypeColSetMember!$H:$H,0))))))</f>
        <v>0</v>
      </c>
      <c r="AI41" t="s">
        <v>778</v>
      </c>
      <c r="AJ41" s="6" t="str">
        <f>IF($AH41="","",INDEX(CaseTypeCol!$G:$G,MATCH($AH41,CaseTypeCol!$A:$A,0)))</f>
        <v/>
      </c>
      <c r="AK41" s="6" t="b" cm="1">
        <f t="array" aca="1" ref="AK41" ca="1">IF($AH41="",TRUE,IF($J41="",FALSE,IF(INDIRECT("OrganizationAccessCasePolicy!J"&amp;$J41)="",FALSE,NOT(ISNA(MATCH(INDIRECT("OrganizationAccessCasePolicy!J"&amp;$J41)&amp;"|"&amp;$AH41,CaseTypeColSetMember!$H:$H,0))))))</f>
        <v>1</v>
      </c>
      <c r="AL41" s="6" t="b" cm="1">
        <f t="array" aca="1" ref="AL41" ca="1">IF($AH41="",TRUE,IF($J41="",FALSE,IF(INDIRECT("OrganizationAccessCasePolicy!L"&amp;$J41)="",FALSE,NOT(ISNA(MATCH(INDIRECT("OrganizationAccessCasePolicy!L"&amp;$J41)&amp;"|"&amp;$AH41,CaseTypeColSetMember!$H:$H,0))))))</f>
        <v>1</v>
      </c>
      <c r="AM41" s="6" t="b" cm="1">
        <f t="array" aca="1" ref="AM41" ca="1">IF($AH41="",TRUE,IF($N41="",FALSE,IF(INDIRECT("UserAccessCasePolicy!I"&amp;$N41)="",FALSE,NOT(ISNA(MATCH(INDIRECT("UserAccessCasePolicy!I"&amp;$N41)&amp;"|"&amp;$AH41,CaseTypeColSetMember!$H:$H,0))))))</f>
        <v>1</v>
      </c>
      <c r="AN41" s="6" t="b" cm="1">
        <f t="array" aca="1" ref="AN41" ca="1">IF($AH41="",TRUE,IF($N41="",FALSE,IF(INDIRECT("UserAccessCasePolicy!K"&amp;$N41)="",FALSE,NOT(ISNA(MATCH(INDIRECT("UserAccessCasePolicy!K"&amp;$N41)&amp;"|"&amp;$AH41,CaseTypeColSetMember!$H:$H,0))))))</f>
        <v>1</v>
      </c>
      <c r="AQ41" s="6" t="str">
        <f>IF($AO41="","",INDEX(CaseTypeCol!$G:$G,MATCH($AO41,CaseTypeCol!$A:$A,0)))</f>
        <v/>
      </c>
      <c r="AR41" s="6" t="b" cm="1">
        <f t="array" aca="1" ref="AR41" ca="1">IF($AO41="",TRUE,IF($J41="",FALSE,IF(INDIRECT("OrganizationAccessCasePolicy!J"&amp;$J41)="",FALSE,NOT(ISNA(MATCH(INDIRECT("OrganizationAccessCasePolicy!J"&amp;$J41)&amp;"|"&amp;$AO41,CaseTypeColSetMember!$H:$H,0))))))</f>
        <v>1</v>
      </c>
      <c r="AS41" s="6" t="b" cm="1">
        <f t="array" aca="1" ref="AS41" ca="1">IF($AO41="",TRUE,IF($J41="",FALSE,IF(INDIRECT("OrganizationAccessCasePolicy!L"&amp;$J41)="",FALSE,NOT(ISNA(MATCH(INDIRECT("OrganizationAccessCasePolicy!L"&amp;$J41)&amp;"|"&amp;$AO41,CaseTypeColSetMember!$H:$H,0))))))</f>
        <v>1</v>
      </c>
      <c r="AT41" s="6" t="b" cm="1">
        <f t="array" aca="1" ref="AT41" ca="1">IF($AO41="",TRUE,IF($N41="",FALSE,IF(INDIRECT("UserAccessCasePolicy!I"&amp;$N41)="",FALSE,NOT(ISNA(MATCH(INDIRECT("UserAccessCasePolicy!I"&amp;$N41)&amp;"|"&amp;$AO41,CaseTypeColSetMember!$H:$H,0))))))</f>
        <v>1</v>
      </c>
      <c r="AU41" s="6" t="b" cm="1">
        <f t="array" aca="1" ref="AU41" ca="1">IF($AO41="",TRUE,IF($N41="",FALSE,IF(INDIRECT("UserAccessCasePolicy!K"&amp;$N41)="",FALSE,NOT(ISNA(MATCH(INDIRECT("UserAccessCasePolicy!K"&amp;$N41)&amp;"|"&amp;$AO41,CaseTypeColSetMember!$H:$H,0))))))</f>
        <v>1</v>
      </c>
    </row>
    <row r="42" spans="1:47" ht="18.75" customHeight="1" x14ac:dyDescent="0.3">
      <c r="A42">
        <v>41</v>
      </c>
      <c r="B42" t="b">
        <v>1</v>
      </c>
      <c r="C42" t="s">
        <v>734</v>
      </c>
      <c r="D42" t="s">
        <v>22</v>
      </c>
      <c r="E42" s="6" t="str">
        <f>INDEX(User!$D:$D,MATCH($D42,User!$A:$A,0))</f>
        <v>org_user3_1</v>
      </c>
      <c r="F42" t="s">
        <v>721</v>
      </c>
      <c r="G42" s="19" t="b">
        <f t="shared" ca="1" si="0"/>
        <v>0</v>
      </c>
      <c r="H42" s="6" t="str">
        <f>INDEX(User!$G:$G,MATCH($D42,User!$A:$A,0))</f>
        <v>0195d18c-1c92-52b3-93e0-43dc1f2aa037</v>
      </c>
      <c r="I42" s="6" t="b">
        <f>INDEX(User!$M:$M,MATCH($D42,User!$A:$A,0))</f>
        <v>0</v>
      </c>
      <c r="J42" s="6">
        <f>IF(ISNA(MATCH($H42&amp;"|"&amp;$W42,OrganizationAccessCasePolicy!$V:$V,0)),"",MATCH($H42&amp;"|"&amp;$W42,OrganizationAccessCasePolicy!$V:$V,0))</f>
        <v>9</v>
      </c>
      <c r="K42" s="6" t="b" cm="1">
        <f t="array" aca="1" ref="K42" ca="1">IF($J42="",FALSE,NOT(ISNA(MATCH(INDIRECT("OrganizationAccessCasePolicy!D"&amp;$J42)&amp;"|"&amp;$S42,CaseTypeSetMember!$H:$H,0))))</f>
        <v>0</v>
      </c>
      <c r="L42" s="6" t="b" cm="1">
        <f t="array" aca="1" ref="L42" ca="1">IF($J42="",FALSE,AND(INDIRECT("OrganizationAccessCasePolicy!H"&amp;$J42),NOT(ISNA(MATCH(INDIRECT("OrganizationAccessCasePolicy!D"&amp;$J42)&amp;"|"&amp;$S42,CaseTypeSetMember!$H:$H,0)))))</f>
        <v>0</v>
      </c>
      <c r="M42" s="6" t="b" cm="1">
        <f t="array" aca="1" ref="M42" ca="1">IF($J42="",FALSE,AND(INDIRECT("OrganizationAccessCasePolicy!I"&amp;$J42),NOT(ISNA(MATCH(INDIRECT("OrganizationAccessCasePolicy!D"&amp;$J42)&amp;"|"&amp;$S42,CaseTypeSetMember!$H:$H,0)))))</f>
        <v>0</v>
      </c>
      <c r="N42" s="6">
        <f>IF(ISNA(MATCH($D42&amp;"|"&amp;$W42,UserAccessCasePolicy!$W:$W,0)),"",MATCH($D42&amp;"|"&amp;$W42,UserAccessCasePolicy!$W:$W,0))</f>
        <v>9</v>
      </c>
      <c r="O42" s="6" t="b" cm="1">
        <f t="array" aca="1" ref="O42" ca="1">IF($N42="",FALSE,NOT(ISNA(MATCH(INDIRECT("UserAccessCasePolicy!D"&amp;$N42)&amp;"|"&amp;$S42,CaseTypeSetMember!$H:$H,0))))</f>
        <v>0</v>
      </c>
      <c r="P42" s="6" t="b" cm="1">
        <f t="array" aca="1" ref="P42" ca="1">IF($N42="",FALSE,AND(INDIRECT("UserAccessCasePolicy!G"&amp;$N42),NOT(ISNA(MATCH(INDIRECT("UserAccessCasePolicy!D"&amp;$N42)&amp;"|"&amp;$S42,CaseTypeSetMember!$H:$H,0)))))</f>
        <v>0</v>
      </c>
      <c r="Q42" s="6" t="b" cm="1">
        <f t="array" aca="1" ref="Q42" ca="1">IF($N42="",FALSE,AND(INDIRECT("UserAccessCasePolicy!H"&amp;$N42),NOT(ISNA(MATCH(INDIRECT("UserAccessCasePolicy!D"&amp;$N42)&amp;"|"&amp;$S42,CaseTypeSetMember!$H:$H,0)))))</f>
        <v>0</v>
      </c>
      <c r="R42" t="s">
        <v>725</v>
      </c>
      <c r="S42" t="s">
        <v>119</v>
      </c>
      <c r="T42" s="6" t="str">
        <f>INDEX(CaseType!$B:$B,MATCH($S42,CaseType!$A:$A,0))</f>
        <v>case_type1</v>
      </c>
      <c r="U42" s="6" t="b">
        <f>AND(IF($AA42="",TRUE,$S42=INDEX(CaseTypeCol!$B:$B,MATCH($AA42,CaseTypeCol!$A:$A,0))),IF($AH42="",TRUE,$S42=INDEX(CaseTypeCol!$B:$B,MATCH($AH42,CaseTypeCol!$A:$A,0))),IF($AO42="",TRUE,$S42=INDEX(CaseTypeCol!$B:$B,MATCH($AO42,CaseTypeCol!$A:$A,0))))</f>
        <v>1</v>
      </c>
      <c r="W42" t="s">
        <v>27</v>
      </c>
      <c r="X42" s="6" t="str">
        <f>INDEX(DataCollection!$B:$B,MATCH($W42,DataCollection!$A:$A,0))</f>
        <v>data_collection8</v>
      </c>
      <c r="Z42" s="14">
        <v>36526</v>
      </c>
      <c r="AA42" t="s">
        <v>142</v>
      </c>
      <c r="AB42" t="s">
        <v>663</v>
      </c>
      <c r="AC42" s="6" t="str">
        <f>IF($AA42="","",INDEX(CaseTypeCol!$G:$G,MATCH($AA42,CaseTypeCol!$A:$A,0)))</f>
        <v>case_type1_dim1_1_text</v>
      </c>
      <c r="AD42" s="6" t="b" cm="1">
        <f t="array" aca="1" ref="AD42" ca="1">IF($AA42="",TRUE,IF($J42="",FALSE,IF(INDIRECT("OrganizationAccessCasePolicy!J"&amp;$J42)="",FALSE,NOT(ISNA(MATCH(INDIRECT("OrganizationAccessCasePolicy!J"&amp;$J42)&amp;"|"&amp;$AA42,CaseTypeColSetMember!$H:$H,0))))))</f>
        <v>0</v>
      </c>
      <c r="AE42" s="6" t="b" cm="1">
        <f t="array" aca="1" ref="AE42" ca="1">IF($AA42="",TRUE,IF($J42="",FALSE,IF(INDIRECT("OrganizationAccessCasePolicy!L"&amp;$J42)="",FALSE,NOT(ISNA(MATCH(INDIRECT("OrganizationAccessCasePolicy!L"&amp;$J42)&amp;"|"&amp;$AA42,CaseTypeColSetMember!$H:$H,0))))))</f>
        <v>0</v>
      </c>
      <c r="AF42" s="6" t="b" cm="1">
        <f t="array" aca="1" ref="AF42" ca="1">IF($AA42="",TRUE,IF($N42="",FALSE,IF(INDIRECT("UserAccessCasePolicy!I"&amp;$N42)="",FALSE,NOT(ISNA(MATCH(INDIRECT("UserAccessCasePolicy!I"&amp;$N42)&amp;"|"&amp;$AA42,CaseTypeColSetMember!$H:$H,0))))))</f>
        <v>0</v>
      </c>
      <c r="AG42" s="6" t="b" cm="1">
        <f t="array" aca="1" ref="AG42" ca="1">IF($AA42="",TRUE,IF($N42="",FALSE,IF(INDIRECT("UserAccessCasePolicy!K"&amp;$N42)="",FALSE,NOT(ISNA(MATCH(INDIRECT("UserAccessCasePolicy!K"&amp;$N42)&amp;"|"&amp;$AA42,CaseTypeColSetMember!$H:$H,0))))))</f>
        <v>0</v>
      </c>
      <c r="AI42" t="s">
        <v>779</v>
      </c>
      <c r="AJ42" s="6" t="str">
        <f>IF($AH42="","",INDEX(CaseTypeCol!$G:$G,MATCH($AH42,CaseTypeCol!$A:$A,0)))</f>
        <v/>
      </c>
      <c r="AK42" s="6" t="b" cm="1">
        <f t="array" aca="1" ref="AK42" ca="1">IF($AH42="",TRUE,IF($J42="",FALSE,IF(INDIRECT("OrganizationAccessCasePolicy!J"&amp;$J42)="",FALSE,NOT(ISNA(MATCH(INDIRECT("OrganizationAccessCasePolicy!J"&amp;$J42)&amp;"|"&amp;$AH42,CaseTypeColSetMember!$H:$H,0))))))</f>
        <v>1</v>
      </c>
      <c r="AL42" s="6" t="b" cm="1">
        <f t="array" aca="1" ref="AL42" ca="1">IF($AH42="",TRUE,IF($J42="",FALSE,IF(INDIRECT("OrganizationAccessCasePolicy!L"&amp;$J42)="",FALSE,NOT(ISNA(MATCH(INDIRECT("OrganizationAccessCasePolicy!L"&amp;$J42)&amp;"|"&amp;$AH42,CaseTypeColSetMember!$H:$H,0))))))</f>
        <v>1</v>
      </c>
      <c r="AM42" s="6" t="b" cm="1">
        <f t="array" aca="1" ref="AM42" ca="1">IF($AH42="",TRUE,IF($N42="",FALSE,IF(INDIRECT("UserAccessCasePolicy!I"&amp;$N42)="",FALSE,NOT(ISNA(MATCH(INDIRECT("UserAccessCasePolicy!I"&amp;$N42)&amp;"|"&amp;$AH42,CaseTypeColSetMember!$H:$H,0))))))</f>
        <v>1</v>
      </c>
      <c r="AN42" s="6" t="b" cm="1">
        <f t="array" aca="1" ref="AN42" ca="1">IF($AH42="",TRUE,IF($N42="",FALSE,IF(INDIRECT("UserAccessCasePolicy!K"&amp;$N42)="",FALSE,NOT(ISNA(MATCH(INDIRECT("UserAccessCasePolicy!K"&amp;$N42)&amp;"|"&amp;$AH42,CaseTypeColSetMember!$H:$H,0))))))</f>
        <v>1</v>
      </c>
      <c r="AQ42" s="6" t="str">
        <f>IF($AO42="","",INDEX(CaseTypeCol!$G:$G,MATCH($AO42,CaseTypeCol!$A:$A,0)))</f>
        <v/>
      </c>
      <c r="AR42" s="6" t="b" cm="1">
        <f t="array" aca="1" ref="AR42" ca="1">IF($AO42="",TRUE,IF($J42="",FALSE,IF(INDIRECT("OrganizationAccessCasePolicy!J"&amp;$J42)="",FALSE,NOT(ISNA(MATCH(INDIRECT("OrganizationAccessCasePolicy!J"&amp;$J42)&amp;"|"&amp;$AO42,CaseTypeColSetMember!$H:$H,0))))))</f>
        <v>1</v>
      </c>
      <c r="AS42" s="6" t="b" cm="1">
        <f t="array" aca="1" ref="AS42" ca="1">IF($AO42="",TRUE,IF($J42="",FALSE,IF(INDIRECT("OrganizationAccessCasePolicy!L"&amp;$J42)="",FALSE,NOT(ISNA(MATCH(INDIRECT("OrganizationAccessCasePolicy!L"&amp;$J42)&amp;"|"&amp;$AO42,CaseTypeColSetMember!$H:$H,0))))))</f>
        <v>1</v>
      </c>
      <c r="AT42" s="6" t="b" cm="1">
        <f t="array" aca="1" ref="AT42" ca="1">IF($AO42="",TRUE,IF($N42="",FALSE,IF(INDIRECT("UserAccessCasePolicy!I"&amp;$N42)="",FALSE,NOT(ISNA(MATCH(INDIRECT("UserAccessCasePolicy!I"&amp;$N42)&amp;"|"&amp;$AO42,CaseTypeColSetMember!$H:$H,0))))))</f>
        <v>1</v>
      </c>
      <c r="AU42" s="6" t="b" cm="1">
        <f t="array" aca="1" ref="AU42" ca="1">IF($AO42="",TRUE,IF($N42="",FALSE,IF(INDIRECT("UserAccessCasePolicy!K"&amp;$N42)="",FALSE,NOT(ISNA(MATCH(INDIRECT("UserAccessCasePolicy!K"&amp;$N42)&amp;"|"&amp;$AO42,CaseTypeColSetMember!$H:$H,0))))))</f>
        <v>1</v>
      </c>
    </row>
    <row r="43" spans="1:47" ht="18.75" customHeight="1" x14ac:dyDescent="0.3">
      <c r="A43">
        <v>42</v>
      </c>
      <c r="B43" t="b">
        <v>1</v>
      </c>
      <c r="C43" t="s">
        <v>735</v>
      </c>
      <c r="D43" t="s">
        <v>24</v>
      </c>
      <c r="E43" s="6" t="str">
        <f>INDEX(User!$D:$D,MATCH($D43,User!$A:$A,0))</f>
        <v>org_user3_2</v>
      </c>
      <c r="F43" t="s">
        <v>721</v>
      </c>
      <c r="G43" s="19" t="b">
        <f t="shared" ca="1" si="0"/>
        <v>0</v>
      </c>
      <c r="H43" s="6" t="str">
        <f>INDEX(User!$G:$G,MATCH($D43,User!$A:$A,0))</f>
        <v>0195d18c-1c92-52b3-93e0-43dc1f2aa037</v>
      </c>
      <c r="I43" s="6" t="b">
        <f>INDEX(User!$M:$M,MATCH($D43,User!$A:$A,0))</f>
        <v>0</v>
      </c>
      <c r="J43" s="6">
        <f>IF(ISNA(MATCH($H43&amp;"|"&amp;$W43,OrganizationAccessCasePolicy!$V:$V,0)),"",MATCH($H43&amp;"|"&amp;$W43,OrganizationAccessCasePolicy!$V:$V,0))</f>
        <v>9</v>
      </c>
      <c r="K43" s="6" t="b" cm="1">
        <f t="array" aca="1" ref="K43" ca="1">IF($J43="",FALSE,NOT(ISNA(MATCH(INDIRECT("OrganizationAccessCasePolicy!D"&amp;$J43)&amp;"|"&amp;$S43,CaseTypeSetMember!$H:$H,0))))</f>
        <v>0</v>
      </c>
      <c r="L43" s="6" t="b" cm="1">
        <f t="array" aca="1" ref="L43" ca="1">IF($J43="",FALSE,AND(INDIRECT("OrganizationAccessCasePolicy!H"&amp;$J43),NOT(ISNA(MATCH(INDIRECT("OrganizationAccessCasePolicy!D"&amp;$J43)&amp;"|"&amp;$S43,CaseTypeSetMember!$H:$H,0)))))</f>
        <v>0</v>
      </c>
      <c r="M43" s="6" t="b" cm="1">
        <f t="array" aca="1" ref="M43" ca="1">IF($J43="",FALSE,AND(INDIRECT("OrganizationAccessCasePolicy!I"&amp;$J43),NOT(ISNA(MATCH(INDIRECT("OrganizationAccessCasePolicy!D"&amp;$J43)&amp;"|"&amp;$S43,CaseTypeSetMember!$H:$H,0)))))</f>
        <v>0</v>
      </c>
      <c r="N43" s="6" t="str">
        <f>IF(ISNA(MATCH($D43&amp;"|"&amp;$W43,UserAccessCasePolicy!$W:$W,0)),"",MATCH($D43&amp;"|"&amp;$W43,UserAccessCasePolicy!$W:$W,0))</f>
        <v/>
      </c>
      <c r="O43" s="6" t="b" cm="1">
        <f t="array" aca="1" ref="O43" ca="1">IF($N43="",FALSE,NOT(ISNA(MATCH(INDIRECT("UserAccessCasePolicy!D"&amp;$N43)&amp;"|"&amp;$S43,CaseTypeSetMember!$H:$H,0))))</f>
        <v>0</v>
      </c>
      <c r="P43" s="6" t="b" cm="1">
        <f t="array" aca="1" ref="P43" ca="1">IF($N43="",FALSE,AND(INDIRECT("UserAccessCasePolicy!G"&amp;$N43),NOT(ISNA(MATCH(INDIRECT("UserAccessCasePolicy!D"&amp;$N43)&amp;"|"&amp;$S43,CaseTypeSetMember!$H:$H,0)))))</f>
        <v>0</v>
      </c>
      <c r="Q43" s="6" t="b" cm="1">
        <f t="array" aca="1" ref="Q43" ca="1">IF($N43="",FALSE,AND(INDIRECT("UserAccessCasePolicy!H"&amp;$N43),NOT(ISNA(MATCH(INDIRECT("UserAccessCasePolicy!D"&amp;$N43)&amp;"|"&amp;$S43,CaseTypeSetMember!$H:$H,0)))))</f>
        <v>0</v>
      </c>
      <c r="R43" t="s">
        <v>725</v>
      </c>
      <c r="S43" t="s">
        <v>119</v>
      </c>
      <c r="T43" s="6" t="str">
        <f>INDEX(CaseType!$B:$B,MATCH($S43,CaseType!$A:$A,0))</f>
        <v>case_type1</v>
      </c>
      <c r="U43" s="6" t="b">
        <f>AND(IF($AA43="",TRUE,$S43=INDEX(CaseTypeCol!$B:$B,MATCH($AA43,CaseTypeCol!$A:$A,0))),IF($AH43="",TRUE,$S43=INDEX(CaseTypeCol!$B:$B,MATCH($AH43,CaseTypeCol!$A:$A,0))),IF($AO43="",TRUE,$S43=INDEX(CaseTypeCol!$B:$B,MATCH($AO43,CaseTypeCol!$A:$A,0))))</f>
        <v>1</v>
      </c>
      <c r="W43" t="s">
        <v>27</v>
      </c>
      <c r="X43" s="6" t="str">
        <f>INDEX(DataCollection!$B:$B,MATCH($W43,DataCollection!$A:$A,0))</f>
        <v>data_collection8</v>
      </c>
      <c r="Z43" s="14">
        <v>36526</v>
      </c>
      <c r="AA43" t="s">
        <v>142</v>
      </c>
      <c r="AB43" t="s">
        <v>663</v>
      </c>
      <c r="AC43" s="6" t="str">
        <f>IF($AA43="","",INDEX(CaseTypeCol!$G:$G,MATCH($AA43,CaseTypeCol!$A:$A,0)))</f>
        <v>case_type1_dim1_1_text</v>
      </c>
      <c r="AD43" s="6" t="b" cm="1">
        <f t="array" aca="1" ref="AD43" ca="1">IF($AA43="",TRUE,IF($J43="",FALSE,IF(INDIRECT("OrganizationAccessCasePolicy!J"&amp;$J43)="",FALSE,NOT(ISNA(MATCH(INDIRECT("OrganizationAccessCasePolicy!J"&amp;$J43)&amp;"|"&amp;$AA43,CaseTypeColSetMember!$H:$H,0))))))</f>
        <v>0</v>
      </c>
      <c r="AE43" s="6" t="b" cm="1">
        <f t="array" aca="1" ref="AE43" ca="1">IF($AA43="",TRUE,IF($J43="",FALSE,IF(INDIRECT("OrganizationAccessCasePolicy!L"&amp;$J43)="",FALSE,NOT(ISNA(MATCH(INDIRECT("OrganizationAccessCasePolicy!L"&amp;$J43)&amp;"|"&amp;$AA43,CaseTypeColSetMember!$H:$H,0))))))</f>
        <v>0</v>
      </c>
      <c r="AF43" s="6" t="b" cm="1">
        <f t="array" aca="1" ref="AF43" ca="1">IF($AA43="",TRUE,IF($N43="",FALSE,IF(INDIRECT("UserAccessCasePolicy!I"&amp;$N43)="",FALSE,NOT(ISNA(MATCH(INDIRECT("UserAccessCasePolicy!I"&amp;$N43)&amp;"|"&amp;$AA43,CaseTypeColSetMember!$H:$H,0))))))</f>
        <v>0</v>
      </c>
      <c r="AG43" s="6" t="b" cm="1">
        <f t="array" aca="1" ref="AG43" ca="1">IF($AA43="",TRUE,IF($N43="",FALSE,IF(INDIRECT("UserAccessCasePolicy!K"&amp;$N43)="",FALSE,NOT(ISNA(MATCH(INDIRECT("UserAccessCasePolicy!K"&amp;$N43)&amp;"|"&amp;$AA43,CaseTypeColSetMember!$H:$H,0))))))</f>
        <v>0</v>
      </c>
      <c r="AI43" t="s">
        <v>780</v>
      </c>
      <c r="AJ43" s="6" t="str">
        <f>IF($AH43="","",INDEX(CaseTypeCol!$G:$G,MATCH($AH43,CaseTypeCol!$A:$A,0)))</f>
        <v/>
      </c>
      <c r="AK43" s="6" t="b" cm="1">
        <f t="array" aca="1" ref="AK43" ca="1">IF($AH43="",TRUE,IF($J43="",FALSE,IF(INDIRECT("OrganizationAccessCasePolicy!J"&amp;$J43)="",FALSE,NOT(ISNA(MATCH(INDIRECT("OrganizationAccessCasePolicy!J"&amp;$J43)&amp;"|"&amp;$AH43,CaseTypeColSetMember!$H:$H,0))))))</f>
        <v>1</v>
      </c>
      <c r="AL43" s="6" t="b" cm="1">
        <f t="array" aca="1" ref="AL43" ca="1">IF($AH43="",TRUE,IF($J43="",FALSE,IF(INDIRECT("OrganizationAccessCasePolicy!L"&amp;$J43)="",FALSE,NOT(ISNA(MATCH(INDIRECT("OrganizationAccessCasePolicy!L"&amp;$J43)&amp;"|"&amp;$AH43,CaseTypeColSetMember!$H:$H,0))))))</f>
        <v>1</v>
      </c>
      <c r="AM43" s="6" t="b" cm="1">
        <f t="array" aca="1" ref="AM43" ca="1">IF($AH43="",TRUE,IF($N43="",FALSE,IF(INDIRECT("UserAccessCasePolicy!I"&amp;$N43)="",FALSE,NOT(ISNA(MATCH(INDIRECT("UserAccessCasePolicy!I"&amp;$N43)&amp;"|"&amp;$AH43,CaseTypeColSetMember!$H:$H,0))))))</f>
        <v>1</v>
      </c>
      <c r="AN43" s="6" t="b" cm="1">
        <f t="array" aca="1" ref="AN43" ca="1">IF($AH43="",TRUE,IF($N43="",FALSE,IF(INDIRECT("UserAccessCasePolicy!K"&amp;$N43)="",FALSE,NOT(ISNA(MATCH(INDIRECT("UserAccessCasePolicy!K"&amp;$N43)&amp;"|"&amp;$AH43,CaseTypeColSetMember!$H:$H,0))))))</f>
        <v>1</v>
      </c>
      <c r="AQ43" s="6" t="str">
        <f>IF($AO43="","",INDEX(CaseTypeCol!$G:$G,MATCH($AO43,CaseTypeCol!$A:$A,0)))</f>
        <v/>
      </c>
      <c r="AR43" s="6" t="b" cm="1">
        <f t="array" aca="1" ref="AR43" ca="1">IF($AO43="",TRUE,IF($J43="",FALSE,IF(INDIRECT("OrganizationAccessCasePolicy!J"&amp;$J43)="",FALSE,NOT(ISNA(MATCH(INDIRECT("OrganizationAccessCasePolicy!J"&amp;$J43)&amp;"|"&amp;$AO43,CaseTypeColSetMember!$H:$H,0))))))</f>
        <v>1</v>
      </c>
      <c r="AS43" s="6" t="b" cm="1">
        <f t="array" aca="1" ref="AS43" ca="1">IF($AO43="",TRUE,IF($J43="",FALSE,IF(INDIRECT("OrganizationAccessCasePolicy!L"&amp;$J43)="",FALSE,NOT(ISNA(MATCH(INDIRECT("OrganizationAccessCasePolicy!L"&amp;$J43)&amp;"|"&amp;$AO43,CaseTypeColSetMember!$H:$H,0))))))</f>
        <v>1</v>
      </c>
      <c r="AT43" s="6" t="b" cm="1">
        <f t="array" aca="1" ref="AT43" ca="1">IF($AO43="",TRUE,IF($N43="",FALSE,IF(INDIRECT("UserAccessCasePolicy!I"&amp;$N43)="",FALSE,NOT(ISNA(MATCH(INDIRECT("UserAccessCasePolicy!I"&amp;$N43)&amp;"|"&amp;$AO43,CaseTypeColSetMember!$H:$H,0))))))</f>
        <v>1</v>
      </c>
      <c r="AU43" s="6" t="b" cm="1">
        <f t="array" aca="1" ref="AU43" ca="1">IF($AO43="",TRUE,IF($N43="",FALSE,IF(INDIRECT("UserAccessCasePolicy!K"&amp;$N43)="",FALSE,NOT(ISNA(MATCH(INDIRECT("UserAccessCasePolicy!K"&amp;$N43)&amp;"|"&amp;$AO43,CaseTypeColSetMember!$H:$H,0))))))</f>
        <v>1</v>
      </c>
    </row>
    <row r="44" spans="1:47" ht="18.75" customHeight="1" x14ac:dyDescent="0.3">
      <c r="A44">
        <v>43</v>
      </c>
      <c r="B44" t="b">
        <v>1</v>
      </c>
      <c r="C44" t="s">
        <v>736</v>
      </c>
      <c r="D44" t="s">
        <v>25</v>
      </c>
      <c r="E44" s="6" t="str">
        <f>INDEX(User!$D:$D,MATCH($D44,User!$A:$A,0))</f>
        <v>org_user3_3</v>
      </c>
      <c r="F44" t="s">
        <v>721</v>
      </c>
      <c r="G44" s="19" t="b">
        <f t="shared" ca="1" si="0"/>
        <v>0</v>
      </c>
      <c r="H44" s="6" t="str">
        <f>INDEX(User!$G:$G,MATCH($D44,User!$A:$A,0))</f>
        <v>0195d18c-1c92-52b3-93e0-43dc1f2aa037</v>
      </c>
      <c r="I44" s="6" t="b">
        <f>INDEX(User!$M:$M,MATCH($D44,User!$A:$A,0))</f>
        <v>0</v>
      </c>
      <c r="J44" s="6">
        <f>IF(ISNA(MATCH($H44&amp;"|"&amp;$W44,OrganizationAccessCasePolicy!$V:$V,0)),"",MATCH($H44&amp;"|"&amp;$W44,OrganizationAccessCasePolicy!$V:$V,0))</f>
        <v>9</v>
      </c>
      <c r="K44" s="6" t="b" cm="1">
        <f t="array" aca="1" ref="K44" ca="1">IF($J44="",FALSE,NOT(ISNA(MATCH(INDIRECT("OrganizationAccessCasePolicy!D"&amp;$J44)&amp;"|"&amp;$S44,CaseTypeSetMember!$H:$H,0))))</f>
        <v>0</v>
      </c>
      <c r="L44" s="6" t="b" cm="1">
        <f t="array" aca="1" ref="L44" ca="1">IF($J44="",FALSE,AND(INDIRECT("OrganizationAccessCasePolicy!H"&amp;$J44),NOT(ISNA(MATCH(INDIRECT("OrganizationAccessCasePolicy!D"&amp;$J44)&amp;"|"&amp;$S44,CaseTypeSetMember!$H:$H,0)))))</f>
        <v>0</v>
      </c>
      <c r="M44" s="6" t="b" cm="1">
        <f t="array" aca="1" ref="M44" ca="1">IF($J44="",FALSE,AND(INDIRECT("OrganizationAccessCasePolicy!I"&amp;$J44),NOT(ISNA(MATCH(INDIRECT("OrganizationAccessCasePolicy!D"&amp;$J44)&amp;"|"&amp;$S44,CaseTypeSetMember!$H:$H,0)))))</f>
        <v>0</v>
      </c>
      <c r="N44" s="6" t="str">
        <f>IF(ISNA(MATCH($D44&amp;"|"&amp;$W44,UserAccessCasePolicy!$W:$W,0)),"",MATCH($D44&amp;"|"&amp;$W44,UserAccessCasePolicy!$W:$W,0))</f>
        <v/>
      </c>
      <c r="O44" s="6" t="b" cm="1">
        <f t="array" aca="1" ref="O44" ca="1">IF($N44="",FALSE,NOT(ISNA(MATCH(INDIRECT("UserAccessCasePolicy!D"&amp;$N44)&amp;"|"&amp;$S44,CaseTypeSetMember!$H:$H,0))))</f>
        <v>0</v>
      </c>
      <c r="P44" s="6" t="b" cm="1">
        <f t="array" aca="1" ref="P44" ca="1">IF($N44="",FALSE,AND(INDIRECT("UserAccessCasePolicy!G"&amp;$N44),NOT(ISNA(MATCH(INDIRECT("UserAccessCasePolicy!D"&amp;$N44)&amp;"|"&amp;$S44,CaseTypeSetMember!$H:$H,0)))))</f>
        <v>0</v>
      </c>
      <c r="Q44" s="6" t="b" cm="1">
        <f t="array" aca="1" ref="Q44" ca="1">IF($N44="",FALSE,AND(INDIRECT("UserAccessCasePolicy!H"&amp;$N44),NOT(ISNA(MATCH(INDIRECT("UserAccessCasePolicy!D"&amp;$N44)&amp;"|"&amp;$S44,CaseTypeSetMember!$H:$H,0)))))</f>
        <v>0</v>
      </c>
      <c r="R44" t="s">
        <v>725</v>
      </c>
      <c r="S44" t="s">
        <v>119</v>
      </c>
      <c r="T44" s="6" t="str">
        <f>INDEX(CaseType!$B:$B,MATCH($S44,CaseType!$A:$A,0))</f>
        <v>case_type1</v>
      </c>
      <c r="U44" s="6" t="b">
        <f>AND(IF($AA44="",TRUE,$S44=INDEX(CaseTypeCol!$B:$B,MATCH($AA44,CaseTypeCol!$A:$A,0))),IF($AH44="",TRUE,$S44=INDEX(CaseTypeCol!$B:$B,MATCH($AH44,CaseTypeCol!$A:$A,0))),IF($AO44="",TRUE,$S44=INDEX(CaseTypeCol!$B:$B,MATCH($AO44,CaseTypeCol!$A:$A,0))))</f>
        <v>1</v>
      </c>
      <c r="W44" t="s">
        <v>27</v>
      </c>
      <c r="X44" s="6" t="str">
        <f>INDEX(DataCollection!$B:$B,MATCH($W44,DataCollection!$A:$A,0))</f>
        <v>data_collection8</v>
      </c>
      <c r="Z44" s="14">
        <v>36526</v>
      </c>
      <c r="AA44" t="s">
        <v>142</v>
      </c>
      <c r="AB44" t="s">
        <v>663</v>
      </c>
      <c r="AC44" s="6" t="str">
        <f>IF($AA44="","",INDEX(CaseTypeCol!$G:$G,MATCH($AA44,CaseTypeCol!$A:$A,0)))</f>
        <v>case_type1_dim1_1_text</v>
      </c>
      <c r="AD44" s="6" t="b" cm="1">
        <f t="array" aca="1" ref="AD44" ca="1">IF($AA44="",TRUE,IF($J44="",FALSE,IF(INDIRECT("OrganizationAccessCasePolicy!J"&amp;$J44)="",FALSE,NOT(ISNA(MATCH(INDIRECT("OrganizationAccessCasePolicy!J"&amp;$J44)&amp;"|"&amp;$AA44,CaseTypeColSetMember!$H:$H,0))))))</f>
        <v>0</v>
      </c>
      <c r="AE44" s="6" t="b" cm="1">
        <f t="array" aca="1" ref="AE44" ca="1">IF($AA44="",TRUE,IF($J44="",FALSE,IF(INDIRECT("OrganizationAccessCasePolicy!L"&amp;$J44)="",FALSE,NOT(ISNA(MATCH(INDIRECT("OrganizationAccessCasePolicy!L"&amp;$J44)&amp;"|"&amp;$AA44,CaseTypeColSetMember!$H:$H,0))))))</f>
        <v>0</v>
      </c>
      <c r="AF44" s="6" t="b" cm="1">
        <f t="array" aca="1" ref="AF44" ca="1">IF($AA44="",TRUE,IF($N44="",FALSE,IF(INDIRECT("UserAccessCasePolicy!I"&amp;$N44)="",FALSE,NOT(ISNA(MATCH(INDIRECT("UserAccessCasePolicy!I"&amp;$N44)&amp;"|"&amp;$AA44,CaseTypeColSetMember!$H:$H,0))))))</f>
        <v>0</v>
      </c>
      <c r="AG44" s="6" t="b" cm="1">
        <f t="array" aca="1" ref="AG44" ca="1">IF($AA44="",TRUE,IF($N44="",FALSE,IF(INDIRECT("UserAccessCasePolicy!K"&amp;$N44)="",FALSE,NOT(ISNA(MATCH(INDIRECT("UserAccessCasePolicy!K"&amp;$N44)&amp;"|"&amp;$AA44,CaseTypeColSetMember!$H:$H,0))))))</f>
        <v>0</v>
      </c>
      <c r="AJ44" s="6" t="str">
        <f>IF($AH44="","",INDEX(CaseTypeCol!$G:$G,MATCH($AH44,CaseTypeCol!$A:$A,0)))</f>
        <v/>
      </c>
      <c r="AK44" s="6" t="b" cm="1">
        <f t="array" aca="1" ref="AK44" ca="1">IF($AH44="",TRUE,IF($J44="",FALSE,IF(INDIRECT("OrganizationAccessCasePolicy!J"&amp;$J44)="",FALSE,NOT(ISNA(MATCH(INDIRECT("OrganizationAccessCasePolicy!J"&amp;$J44)&amp;"|"&amp;$AH44,CaseTypeColSetMember!$H:$H,0))))))</f>
        <v>1</v>
      </c>
      <c r="AL44" s="6" t="b" cm="1">
        <f t="array" aca="1" ref="AL44" ca="1">IF($AH44="",TRUE,IF($J44="",FALSE,IF(INDIRECT("OrganizationAccessCasePolicy!L"&amp;$J44)="",FALSE,NOT(ISNA(MATCH(INDIRECT("OrganizationAccessCasePolicy!L"&amp;$J44)&amp;"|"&amp;$AH44,CaseTypeColSetMember!$H:$H,0))))))</f>
        <v>1</v>
      </c>
      <c r="AM44" s="6" t="b" cm="1">
        <f t="array" aca="1" ref="AM44" ca="1">IF($AH44="",TRUE,IF($N44="",FALSE,IF(INDIRECT("UserAccessCasePolicy!I"&amp;$N44)="",FALSE,NOT(ISNA(MATCH(INDIRECT("UserAccessCasePolicy!I"&amp;$N44)&amp;"|"&amp;$AH44,CaseTypeColSetMember!$H:$H,0))))))</f>
        <v>1</v>
      </c>
      <c r="AN44" s="6" t="b" cm="1">
        <f t="array" aca="1" ref="AN44" ca="1">IF($AH44="",TRUE,IF($N44="",FALSE,IF(INDIRECT("UserAccessCasePolicy!K"&amp;$N44)="",FALSE,NOT(ISNA(MATCH(INDIRECT("UserAccessCasePolicy!K"&amp;$N44)&amp;"|"&amp;$AH44,CaseTypeColSetMember!$H:$H,0))))))</f>
        <v>1</v>
      </c>
      <c r="AQ44" s="6" t="str">
        <f>IF($AO44="","",INDEX(CaseTypeCol!$G:$G,MATCH($AO44,CaseTypeCol!$A:$A,0)))</f>
        <v/>
      </c>
      <c r="AR44" s="6" t="b" cm="1">
        <f t="array" aca="1" ref="AR44" ca="1">IF($AO44="",TRUE,IF($J44="",FALSE,IF(INDIRECT("OrganizationAccessCasePolicy!J"&amp;$J44)="",FALSE,NOT(ISNA(MATCH(INDIRECT("OrganizationAccessCasePolicy!J"&amp;$J44)&amp;"|"&amp;$AO44,CaseTypeColSetMember!$H:$H,0))))))</f>
        <v>1</v>
      </c>
      <c r="AS44" s="6" t="b" cm="1">
        <f t="array" aca="1" ref="AS44" ca="1">IF($AO44="",TRUE,IF($J44="",FALSE,IF(INDIRECT("OrganizationAccessCasePolicy!L"&amp;$J44)="",FALSE,NOT(ISNA(MATCH(INDIRECT("OrganizationAccessCasePolicy!L"&amp;$J44)&amp;"|"&amp;$AO44,CaseTypeColSetMember!$H:$H,0))))))</f>
        <v>1</v>
      </c>
      <c r="AT44" s="6" t="b" cm="1">
        <f t="array" aca="1" ref="AT44" ca="1">IF($AO44="",TRUE,IF($N44="",FALSE,IF(INDIRECT("UserAccessCasePolicy!I"&amp;$N44)="",FALSE,NOT(ISNA(MATCH(INDIRECT("UserAccessCasePolicy!I"&amp;$N44)&amp;"|"&amp;$AO44,CaseTypeColSetMember!$H:$H,0))))))</f>
        <v>1</v>
      </c>
      <c r="AU44" s="6" t="b" cm="1">
        <f t="array" aca="1" ref="AU44" ca="1">IF($AO44="",TRUE,IF($N44="",FALSE,IF(INDIRECT("UserAccessCasePolicy!K"&amp;$N44)="",FALSE,NOT(ISNA(MATCH(INDIRECT("UserAccessCasePolicy!K"&amp;$N44)&amp;"|"&amp;$AO44,CaseTypeColSetMember!$H:$H,0))))))</f>
        <v>1</v>
      </c>
    </row>
    <row r="45" spans="1:47" ht="18.75" customHeight="1" x14ac:dyDescent="0.3">
      <c r="A45">
        <v>44</v>
      </c>
      <c r="B45" t="b">
        <v>1</v>
      </c>
      <c r="C45" t="s">
        <v>737</v>
      </c>
      <c r="D45" t="s">
        <v>26</v>
      </c>
      <c r="E45" s="6" t="str">
        <f>INDEX(User!$D:$D,MATCH($D45,User!$A:$A,0))</f>
        <v>org_user3_4</v>
      </c>
      <c r="F45" t="s">
        <v>721</v>
      </c>
      <c r="G45" s="19" t="b">
        <f t="shared" ca="1" si="0"/>
        <v>0</v>
      </c>
      <c r="H45" s="6" t="str">
        <f>INDEX(User!$G:$G,MATCH($D45,User!$A:$A,0))</f>
        <v>0195d18c-1c92-52b3-93e0-43dc1f2aa037</v>
      </c>
      <c r="I45" s="6" t="b">
        <f>INDEX(User!$M:$M,MATCH($D45,User!$A:$A,0))</f>
        <v>0</v>
      </c>
      <c r="J45" s="6">
        <f>IF(ISNA(MATCH($H45&amp;"|"&amp;$W45,OrganizationAccessCasePolicy!$V:$V,0)),"",MATCH($H45&amp;"|"&amp;$W45,OrganizationAccessCasePolicy!$V:$V,0))</f>
        <v>9</v>
      </c>
      <c r="K45" s="6" t="b" cm="1">
        <f t="array" aca="1" ref="K45" ca="1">IF($J45="",FALSE,NOT(ISNA(MATCH(INDIRECT("OrganizationAccessCasePolicy!D"&amp;$J45)&amp;"|"&amp;$S45,CaseTypeSetMember!$H:$H,0))))</f>
        <v>0</v>
      </c>
      <c r="L45" s="6" t="b" cm="1">
        <f t="array" aca="1" ref="L45" ca="1">IF($J45="",FALSE,AND(INDIRECT("OrganizationAccessCasePolicy!H"&amp;$J45),NOT(ISNA(MATCH(INDIRECT("OrganizationAccessCasePolicy!D"&amp;$J45)&amp;"|"&amp;$S45,CaseTypeSetMember!$H:$H,0)))))</f>
        <v>0</v>
      </c>
      <c r="M45" s="6" t="b" cm="1">
        <f t="array" aca="1" ref="M45" ca="1">IF($J45="",FALSE,AND(INDIRECT("OrganizationAccessCasePolicy!I"&amp;$J45),NOT(ISNA(MATCH(INDIRECT("OrganizationAccessCasePolicy!D"&amp;$J45)&amp;"|"&amp;$S45,CaseTypeSetMember!$H:$H,0)))))</f>
        <v>0</v>
      </c>
      <c r="N45" s="6" t="str">
        <f>IF(ISNA(MATCH($D45&amp;"|"&amp;$W45,UserAccessCasePolicy!$W:$W,0)),"",MATCH($D45&amp;"|"&amp;$W45,UserAccessCasePolicy!$W:$W,0))</f>
        <v/>
      </c>
      <c r="O45" s="6" t="b" cm="1">
        <f t="array" aca="1" ref="O45" ca="1">IF($N45="",FALSE,NOT(ISNA(MATCH(INDIRECT("UserAccessCasePolicy!D"&amp;$N45)&amp;"|"&amp;$S45,CaseTypeSetMember!$H:$H,0))))</f>
        <v>0</v>
      </c>
      <c r="P45" s="6" t="b" cm="1">
        <f t="array" aca="1" ref="P45" ca="1">IF($N45="",FALSE,AND(INDIRECT("UserAccessCasePolicy!G"&amp;$N45),NOT(ISNA(MATCH(INDIRECT("UserAccessCasePolicy!D"&amp;$N45)&amp;"|"&amp;$S45,CaseTypeSetMember!$H:$H,0)))))</f>
        <v>0</v>
      </c>
      <c r="Q45" s="6" t="b" cm="1">
        <f t="array" aca="1" ref="Q45" ca="1">IF($N45="",FALSE,AND(INDIRECT("UserAccessCasePolicy!H"&amp;$N45),NOT(ISNA(MATCH(INDIRECT("UserAccessCasePolicy!D"&amp;$N45)&amp;"|"&amp;$S45,CaseTypeSetMember!$H:$H,0)))))</f>
        <v>0</v>
      </c>
      <c r="R45" t="s">
        <v>725</v>
      </c>
      <c r="S45" t="s">
        <v>119</v>
      </c>
      <c r="T45" s="6" t="str">
        <f>INDEX(CaseType!$B:$B,MATCH($S45,CaseType!$A:$A,0))</f>
        <v>case_type1</v>
      </c>
      <c r="U45" s="6" t="b">
        <f>AND(IF($AA45="",TRUE,$S45=INDEX(CaseTypeCol!$B:$B,MATCH($AA45,CaseTypeCol!$A:$A,0))),IF($AH45="",TRUE,$S45=INDEX(CaseTypeCol!$B:$B,MATCH($AH45,CaseTypeCol!$A:$A,0))),IF($AO45="",TRUE,$S45=INDEX(CaseTypeCol!$B:$B,MATCH($AO45,CaseTypeCol!$A:$A,0))))</f>
        <v>1</v>
      </c>
      <c r="W45" t="s">
        <v>27</v>
      </c>
      <c r="X45" s="6" t="str">
        <f>INDEX(DataCollection!$B:$B,MATCH($W45,DataCollection!$A:$A,0))</f>
        <v>data_collection8</v>
      </c>
      <c r="Z45" s="14">
        <v>36526</v>
      </c>
      <c r="AA45" t="s">
        <v>142</v>
      </c>
      <c r="AB45" t="s">
        <v>663</v>
      </c>
      <c r="AC45" s="6" t="str">
        <f>IF($AA45="","",INDEX(CaseTypeCol!$G:$G,MATCH($AA45,CaseTypeCol!$A:$A,0)))</f>
        <v>case_type1_dim1_1_text</v>
      </c>
      <c r="AD45" s="6" t="b" cm="1">
        <f t="array" aca="1" ref="AD45" ca="1">IF($AA45="",TRUE,IF($J45="",FALSE,IF(INDIRECT("OrganizationAccessCasePolicy!J"&amp;$J45)="",FALSE,NOT(ISNA(MATCH(INDIRECT("OrganizationAccessCasePolicy!J"&amp;$J45)&amp;"|"&amp;$AA45,CaseTypeColSetMember!$H:$H,0))))))</f>
        <v>0</v>
      </c>
      <c r="AE45" s="6" t="b" cm="1">
        <f t="array" aca="1" ref="AE45" ca="1">IF($AA45="",TRUE,IF($J45="",FALSE,IF(INDIRECT("OrganizationAccessCasePolicy!L"&amp;$J45)="",FALSE,NOT(ISNA(MATCH(INDIRECT("OrganizationAccessCasePolicy!L"&amp;$J45)&amp;"|"&amp;$AA45,CaseTypeColSetMember!$H:$H,0))))))</f>
        <v>0</v>
      </c>
      <c r="AF45" s="6" t="b" cm="1">
        <f t="array" aca="1" ref="AF45" ca="1">IF($AA45="",TRUE,IF($N45="",FALSE,IF(INDIRECT("UserAccessCasePolicy!I"&amp;$N45)="",FALSE,NOT(ISNA(MATCH(INDIRECT("UserAccessCasePolicy!I"&amp;$N45)&amp;"|"&amp;$AA45,CaseTypeColSetMember!$H:$H,0))))))</f>
        <v>0</v>
      </c>
      <c r="AG45" s="6" t="b" cm="1">
        <f t="array" aca="1" ref="AG45" ca="1">IF($AA45="",TRUE,IF($N45="",FALSE,IF(INDIRECT("UserAccessCasePolicy!K"&amp;$N45)="",FALSE,NOT(ISNA(MATCH(INDIRECT("UserAccessCasePolicy!K"&amp;$N45)&amp;"|"&amp;$AA45,CaseTypeColSetMember!$H:$H,0))))))</f>
        <v>0</v>
      </c>
      <c r="AJ45" s="6" t="str">
        <f>IF($AH45="","",INDEX(CaseTypeCol!$G:$G,MATCH($AH45,CaseTypeCol!$A:$A,0)))</f>
        <v/>
      </c>
      <c r="AK45" s="6" t="b" cm="1">
        <f t="array" aca="1" ref="AK45" ca="1">IF($AH45="",TRUE,IF($J45="",FALSE,IF(INDIRECT("OrganizationAccessCasePolicy!J"&amp;$J45)="",FALSE,NOT(ISNA(MATCH(INDIRECT("OrganizationAccessCasePolicy!J"&amp;$J45)&amp;"|"&amp;$AH45,CaseTypeColSetMember!$H:$H,0))))))</f>
        <v>1</v>
      </c>
      <c r="AL45" s="6" t="b" cm="1">
        <f t="array" aca="1" ref="AL45" ca="1">IF($AH45="",TRUE,IF($J45="",FALSE,IF(INDIRECT("OrganizationAccessCasePolicy!L"&amp;$J45)="",FALSE,NOT(ISNA(MATCH(INDIRECT("OrganizationAccessCasePolicy!L"&amp;$J45)&amp;"|"&amp;$AH45,CaseTypeColSetMember!$H:$H,0))))))</f>
        <v>1</v>
      </c>
      <c r="AM45" s="6" t="b" cm="1">
        <f t="array" aca="1" ref="AM45" ca="1">IF($AH45="",TRUE,IF($N45="",FALSE,IF(INDIRECT("UserAccessCasePolicy!I"&amp;$N45)="",FALSE,NOT(ISNA(MATCH(INDIRECT("UserAccessCasePolicy!I"&amp;$N45)&amp;"|"&amp;$AH45,CaseTypeColSetMember!$H:$H,0))))))</f>
        <v>1</v>
      </c>
      <c r="AN45" s="6" t="b" cm="1">
        <f t="array" aca="1" ref="AN45" ca="1">IF($AH45="",TRUE,IF($N45="",FALSE,IF(INDIRECT("UserAccessCasePolicy!K"&amp;$N45)="",FALSE,NOT(ISNA(MATCH(INDIRECT("UserAccessCasePolicy!K"&amp;$N45)&amp;"|"&amp;$AH45,CaseTypeColSetMember!$H:$H,0))))))</f>
        <v>1</v>
      </c>
      <c r="AQ45" s="6" t="str">
        <f>IF($AO45="","",INDEX(CaseTypeCol!$G:$G,MATCH($AO45,CaseTypeCol!$A:$A,0)))</f>
        <v/>
      </c>
      <c r="AR45" s="6" t="b" cm="1">
        <f t="array" aca="1" ref="AR45" ca="1">IF($AO45="",TRUE,IF($J45="",FALSE,IF(INDIRECT("OrganizationAccessCasePolicy!J"&amp;$J45)="",FALSE,NOT(ISNA(MATCH(INDIRECT("OrganizationAccessCasePolicy!J"&amp;$J45)&amp;"|"&amp;$AO45,CaseTypeColSetMember!$H:$H,0))))))</f>
        <v>1</v>
      </c>
      <c r="AS45" s="6" t="b" cm="1">
        <f t="array" aca="1" ref="AS45" ca="1">IF($AO45="",TRUE,IF($J45="",FALSE,IF(INDIRECT("OrganizationAccessCasePolicy!L"&amp;$J45)="",FALSE,NOT(ISNA(MATCH(INDIRECT("OrganizationAccessCasePolicy!L"&amp;$J45)&amp;"|"&amp;$AO45,CaseTypeColSetMember!$H:$H,0))))))</f>
        <v>1</v>
      </c>
      <c r="AT45" s="6" t="b" cm="1">
        <f t="array" aca="1" ref="AT45" ca="1">IF($AO45="",TRUE,IF($N45="",FALSE,IF(INDIRECT("UserAccessCasePolicy!I"&amp;$N45)="",FALSE,NOT(ISNA(MATCH(INDIRECT("UserAccessCasePolicy!I"&amp;$N45)&amp;"|"&amp;$AO45,CaseTypeColSetMember!$H:$H,0))))))</f>
        <v>1</v>
      </c>
      <c r="AU45" s="6" t="b" cm="1">
        <f t="array" aca="1" ref="AU45" ca="1">IF($AO45="",TRUE,IF($N45="",FALSE,IF(INDIRECT("UserAccessCasePolicy!K"&amp;$N45)="",FALSE,NOT(ISNA(MATCH(INDIRECT("UserAccessCasePolicy!K"&amp;$N45)&amp;"|"&amp;$AO45,CaseTypeColSetMember!$H:$H,0))))))</f>
        <v>1</v>
      </c>
    </row>
    <row r="46" spans="1:47" ht="18.75" customHeight="1" x14ac:dyDescent="0.3">
      <c r="A46">
        <v>45</v>
      </c>
      <c r="B46" t="b">
        <v>1</v>
      </c>
      <c r="C46" t="s">
        <v>738</v>
      </c>
      <c r="D46" t="s">
        <v>28</v>
      </c>
      <c r="E46" s="6" t="str">
        <f>INDEX(User!$D:$D,MATCH($D46,User!$A:$A,0))</f>
        <v>org_user4_1</v>
      </c>
      <c r="F46" t="s">
        <v>721</v>
      </c>
      <c r="G46" s="19" t="b">
        <f t="shared" ca="1" si="0"/>
        <v>0</v>
      </c>
      <c r="H46" s="6" t="str">
        <f>INDEX(User!$G:$G,MATCH($D46,User!$A:$A,0))</f>
        <v>0195d18c-1c92-d419-4c71-a570f428499b</v>
      </c>
      <c r="I46" s="6" t="b">
        <f>INDEX(User!$M:$M,MATCH($D46,User!$A:$A,0))</f>
        <v>0</v>
      </c>
      <c r="J46" s="6">
        <f>IF(ISNA(MATCH($H46&amp;"|"&amp;$W46,OrganizationAccessCasePolicy!$V:$V,0)),"",MATCH($H46&amp;"|"&amp;$W46,OrganizationAccessCasePolicy!$V:$V,0))</f>
        <v>10</v>
      </c>
      <c r="K46" s="6" t="b" cm="1">
        <f t="array" aca="1" ref="K46" ca="1">IF($J46="",FALSE,NOT(ISNA(MATCH(INDIRECT("OrganizationAccessCasePolicy!D"&amp;$J46)&amp;"|"&amp;$S46,CaseTypeSetMember!$H:$H,0))))</f>
        <v>0</v>
      </c>
      <c r="L46" s="6" t="b" cm="1">
        <f t="array" aca="1" ref="L46" ca="1">IF($J46="",FALSE,AND(INDIRECT("OrganizationAccessCasePolicy!H"&amp;$J46),NOT(ISNA(MATCH(INDIRECT("OrganizationAccessCasePolicy!D"&amp;$J46)&amp;"|"&amp;$S46,CaseTypeSetMember!$H:$H,0)))))</f>
        <v>0</v>
      </c>
      <c r="M46" s="6" t="b" cm="1">
        <f t="array" aca="1" ref="M46" ca="1">IF($J46="",FALSE,AND(INDIRECT("OrganizationAccessCasePolicy!I"&amp;$J46),NOT(ISNA(MATCH(INDIRECT("OrganizationAccessCasePolicy!D"&amp;$J46)&amp;"|"&amp;$S46,CaseTypeSetMember!$H:$H,0)))))</f>
        <v>0</v>
      </c>
      <c r="N46" s="6">
        <f>IF(ISNA(MATCH($D46&amp;"|"&amp;$W46,UserAccessCasePolicy!$W:$W,0)),"",MATCH($D46&amp;"|"&amp;$W46,UserAccessCasePolicy!$W:$W,0))</f>
        <v>10</v>
      </c>
      <c r="O46" s="6" t="b" cm="1">
        <f t="array" aca="1" ref="O46" ca="1">IF($N46="",FALSE,NOT(ISNA(MATCH(INDIRECT("UserAccessCasePolicy!D"&amp;$N46)&amp;"|"&amp;$S46,CaseTypeSetMember!$H:$H,0))))</f>
        <v>0</v>
      </c>
      <c r="P46" s="6" t="b" cm="1">
        <f t="array" aca="1" ref="P46" ca="1">IF($N46="",FALSE,AND(INDIRECT("UserAccessCasePolicy!G"&amp;$N46),NOT(ISNA(MATCH(INDIRECT("UserAccessCasePolicy!D"&amp;$N46)&amp;"|"&amp;$S46,CaseTypeSetMember!$H:$H,0)))))</f>
        <v>0</v>
      </c>
      <c r="Q46" s="6" t="b" cm="1">
        <f t="array" aca="1" ref="Q46" ca="1">IF($N46="",FALSE,AND(INDIRECT("UserAccessCasePolicy!H"&amp;$N46),NOT(ISNA(MATCH(INDIRECT("UserAccessCasePolicy!D"&amp;$N46)&amp;"|"&amp;$S46,CaseTypeSetMember!$H:$H,0)))))</f>
        <v>0</v>
      </c>
      <c r="R46" t="s">
        <v>651</v>
      </c>
      <c r="S46" t="s">
        <v>119</v>
      </c>
      <c r="T46" s="6" t="str">
        <f>INDEX(CaseType!$B:$B,MATCH($S46,CaseType!$A:$A,0))</f>
        <v>case_type1</v>
      </c>
      <c r="U46" s="6" t="b">
        <f>AND(IF($AA46="",TRUE,$S46=INDEX(CaseTypeCol!$B:$B,MATCH($AA46,CaseTypeCol!$A:$A,0))),IF($AH46="",TRUE,$S46=INDEX(CaseTypeCol!$B:$B,MATCH($AH46,CaseTypeCol!$A:$A,0))),IF($AO46="",TRUE,$S46=INDEX(CaseTypeCol!$B:$B,MATCH($AO46,CaseTypeCol!$A:$A,0))))</f>
        <v>1</v>
      </c>
      <c r="W46" t="s">
        <v>33</v>
      </c>
      <c r="X46" s="6" t="str">
        <f>INDEX(DataCollection!$B:$B,MATCH($W46,DataCollection!$A:$A,0))</f>
        <v>data_collection9</v>
      </c>
      <c r="Z46" s="14">
        <v>36526</v>
      </c>
      <c r="AA46" t="s">
        <v>142</v>
      </c>
      <c r="AB46" t="s">
        <v>663</v>
      </c>
      <c r="AC46" s="6" t="str">
        <f>IF($AA46="","",INDEX(CaseTypeCol!$G:$G,MATCH($AA46,CaseTypeCol!$A:$A,0)))</f>
        <v>case_type1_dim1_1_text</v>
      </c>
      <c r="AD46" s="6" t="b" cm="1">
        <f t="array" aca="1" ref="AD46" ca="1">IF($AA46="",TRUE,IF($J46="",FALSE,IF(INDIRECT("OrganizationAccessCasePolicy!J"&amp;$J46)="",FALSE,NOT(ISNA(MATCH(INDIRECT("OrganizationAccessCasePolicy!J"&amp;$J46)&amp;"|"&amp;$AA46,CaseTypeColSetMember!$H:$H,0))))))</f>
        <v>0</v>
      </c>
      <c r="AE46" s="6" t="b" cm="1">
        <f t="array" aca="1" ref="AE46" ca="1">IF($AA46="",TRUE,IF($J46="",FALSE,IF(INDIRECT("OrganizationAccessCasePolicy!L"&amp;$J46)="",FALSE,NOT(ISNA(MATCH(INDIRECT("OrganizationAccessCasePolicy!L"&amp;$J46)&amp;"|"&amp;$AA46,CaseTypeColSetMember!$H:$H,0))))))</f>
        <v>0</v>
      </c>
      <c r="AF46" s="6" t="b" cm="1">
        <f t="array" aca="1" ref="AF46" ca="1">IF($AA46="",TRUE,IF($N46="",FALSE,IF(INDIRECT("UserAccessCasePolicy!I"&amp;$N46)="",FALSE,NOT(ISNA(MATCH(INDIRECT("UserAccessCasePolicy!I"&amp;$N46)&amp;"|"&amp;$AA46,CaseTypeColSetMember!$H:$H,0))))))</f>
        <v>0</v>
      </c>
      <c r="AG46" s="6" t="b" cm="1">
        <f t="array" aca="1" ref="AG46" ca="1">IF($AA46="",TRUE,IF($N46="",FALSE,IF(INDIRECT("UserAccessCasePolicy!K"&amp;$N46)="",FALSE,NOT(ISNA(MATCH(INDIRECT("UserAccessCasePolicy!K"&amp;$N46)&amp;"|"&amp;$AA46,CaseTypeColSetMember!$H:$H,0))))))</f>
        <v>0</v>
      </c>
      <c r="AJ46" s="6" t="str">
        <f>IF($AH46="","",INDEX(CaseTypeCol!$G:$G,MATCH($AH46,CaseTypeCol!$A:$A,0)))</f>
        <v/>
      </c>
      <c r="AK46" s="6" t="b" cm="1">
        <f t="array" aca="1" ref="AK46" ca="1">IF($AH46="",TRUE,IF($J46="",FALSE,IF(INDIRECT("OrganizationAccessCasePolicy!J"&amp;$J46)="",FALSE,NOT(ISNA(MATCH(INDIRECT("OrganizationAccessCasePolicy!J"&amp;$J46)&amp;"|"&amp;$AH46,CaseTypeColSetMember!$H:$H,0))))))</f>
        <v>1</v>
      </c>
      <c r="AL46" s="6" t="b" cm="1">
        <f t="array" aca="1" ref="AL46" ca="1">IF($AH46="",TRUE,IF($J46="",FALSE,IF(INDIRECT("OrganizationAccessCasePolicy!L"&amp;$J46)="",FALSE,NOT(ISNA(MATCH(INDIRECT("OrganizationAccessCasePolicy!L"&amp;$J46)&amp;"|"&amp;$AH46,CaseTypeColSetMember!$H:$H,0))))))</f>
        <v>1</v>
      </c>
      <c r="AM46" s="6" t="b" cm="1">
        <f t="array" aca="1" ref="AM46" ca="1">IF($AH46="",TRUE,IF($N46="",FALSE,IF(INDIRECT("UserAccessCasePolicy!I"&amp;$N46)="",FALSE,NOT(ISNA(MATCH(INDIRECT("UserAccessCasePolicy!I"&amp;$N46)&amp;"|"&amp;$AH46,CaseTypeColSetMember!$H:$H,0))))))</f>
        <v>1</v>
      </c>
      <c r="AN46" s="6" t="b" cm="1">
        <f t="array" aca="1" ref="AN46" ca="1">IF($AH46="",TRUE,IF($N46="",FALSE,IF(INDIRECT("UserAccessCasePolicy!K"&amp;$N46)="",FALSE,NOT(ISNA(MATCH(INDIRECT("UserAccessCasePolicy!K"&amp;$N46)&amp;"|"&amp;$AH46,CaseTypeColSetMember!$H:$H,0))))))</f>
        <v>1</v>
      </c>
      <c r="AP46" t="s">
        <v>739</v>
      </c>
      <c r="AQ46" s="6" t="str">
        <f>IF($AO46="","",INDEX(CaseTypeCol!$G:$G,MATCH($AO46,CaseTypeCol!$A:$A,0)))</f>
        <v/>
      </c>
      <c r="AR46" s="6" t="b" cm="1">
        <f t="array" aca="1" ref="AR46" ca="1">IF($AO46="",TRUE,IF($J46="",FALSE,IF(INDIRECT("OrganizationAccessCasePolicy!J"&amp;$J46)="",FALSE,NOT(ISNA(MATCH(INDIRECT("OrganizationAccessCasePolicy!J"&amp;$J46)&amp;"|"&amp;$AO46,CaseTypeColSetMember!$H:$H,0))))))</f>
        <v>1</v>
      </c>
      <c r="AS46" s="6" t="b" cm="1">
        <f t="array" aca="1" ref="AS46" ca="1">IF($AO46="",TRUE,IF($J46="",FALSE,IF(INDIRECT("OrganizationAccessCasePolicy!L"&amp;$J46)="",FALSE,NOT(ISNA(MATCH(INDIRECT("OrganizationAccessCasePolicy!L"&amp;$J46)&amp;"|"&amp;$AO46,CaseTypeColSetMember!$H:$H,0))))))</f>
        <v>1</v>
      </c>
      <c r="AT46" s="6" t="b" cm="1">
        <f t="array" aca="1" ref="AT46" ca="1">IF($AO46="",TRUE,IF($N46="",FALSE,IF(INDIRECT("UserAccessCasePolicy!I"&amp;$N46)="",FALSE,NOT(ISNA(MATCH(INDIRECT("UserAccessCasePolicy!I"&amp;$N46)&amp;"|"&amp;$AO46,CaseTypeColSetMember!$H:$H,0))))))</f>
        <v>1</v>
      </c>
      <c r="AU46" s="6" t="b" cm="1">
        <f t="array" aca="1" ref="AU46" ca="1">IF($AO46="",TRUE,IF($N46="",FALSE,IF(INDIRECT("UserAccessCasePolicy!K"&amp;$N46)="",FALSE,NOT(ISNA(MATCH(INDIRECT("UserAccessCasePolicy!K"&amp;$N46)&amp;"|"&amp;$AO46,CaseTypeColSetMember!$H:$H,0))))))</f>
        <v>1</v>
      </c>
    </row>
    <row r="47" spans="1:47" ht="18.75" customHeight="1" x14ac:dyDescent="0.3">
      <c r="A47">
        <v>46</v>
      </c>
      <c r="B47" t="b">
        <v>1</v>
      </c>
      <c r="C47" t="s">
        <v>740</v>
      </c>
      <c r="D47" t="s">
        <v>30</v>
      </c>
      <c r="E47" s="6" t="str">
        <f>INDEX(User!$D:$D,MATCH($D47,User!$A:$A,0))</f>
        <v>org_user4_2</v>
      </c>
      <c r="F47" t="s">
        <v>721</v>
      </c>
      <c r="G47" s="19" t="b">
        <f t="shared" ca="1" si="0"/>
        <v>0</v>
      </c>
      <c r="H47" s="6" t="str">
        <f>INDEX(User!$G:$G,MATCH($D47,User!$A:$A,0))</f>
        <v>0195d18c-1c92-d419-4c71-a570f428499b</v>
      </c>
      <c r="I47" s="6" t="b">
        <f>INDEX(User!$M:$M,MATCH($D47,User!$A:$A,0))</f>
        <v>0</v>
      </c>
      <c r="J47" s="6">
        <f>IF(ISNA(MATCH($H47&amp;"|"&amp;$W47,OrganizationAccessCasePolicy!$V:$V,0)),"",MATCH($H47&amp;"|"&amp;$W47,OrganizationAccessCasePolicy!$V:$V,0))</f>
        <v>10</v>
      </c>
      <c r="K47" s="6" t="b" cm="1">
        <f t="array" aca="1" ref="K47" ca="1">IF($J47="",FALSE,NOT(ISNA(MATCH(INDIRECT("OrganizationAccessCasePolicy!D"&amp;$J47)&amp;"|"&amp;$S47,CaseTypeSetMember!$H:$H,0))))</f>
        <v>0</v>
      </c>
      <c r="L47" s="6" t="b" cm="1">
        <f t="array" aca="1" ref="L47" ca="1">IF($J47="",FALSE,AND(INDIRECT("OrganizationAccessCasePolicy!H"&amp;$J47),NOT(ISNA(MATCH(INDIRECT("OrganizationAccessCasePolicy!D"&amp;$J47)&amp;"|"&amp;$S47,CaseTypeSetMember!$H:$H,0)))))</f>
        <v>0</v>
      </c>
      <c r="M47" s="6" t="b" cm="1">
        <f t="array" aca="1" ref="M47" ca="1">IF($J47="",FALSE,AND(INDIRECT("OrganizationAccessCasePolicy!I"&amp;$J47),NOT(ISNA(MATCH(INDIRECT("OrganizationAccessCasePolicy!D"&amp;$J47)&amp;"|"&amp;$S47,CaseTypeSetMember!$H:$H,0)))))</f>
        <v>0</v>
      </c>
      <c r="N47" s="6" t="str">
        <f>IF(ISNA(MATCH($D47&amp;"|"&amp;$W47,UserAccessCasePolicy!$W:$W,0)),"",MATCH($D47&amp;"|"&amp;$W47,UserAccessCasePolicy!$W:$W,0))</f>
        <v/>
      </c>
      <c r="O47" s="6" t="b" cm="1">
        <f t="array" aca="1" ref="O47" ca="1">IF($N47="",FALSE,NOT(ISNA(MATCH(INDIRECT("UserAccessCasePolicy!D"&amp;$N47)&amp;"|"&amp;$S47,CaseTypeSetMember!$H:$H,0))))</f>
        <v>0</v>
      </c>
      <c r="P47" s="6" t="b" cm="1">
        <f t="array" aca="1" ref="P47" ca="1">IF($N47="",FALSE,AND(INDIRECT("UserAccessCasePolicy!G"&amp;$N47),NOT(ISNA(MATCH(INDIRECT("UserAccessCasePolicy!D"&amp;$N47)&amp;"|"&amp;$S47,CaseTypeSetMember!$H:$H,0)))))</f>
        <v>0</v>
      </c>
      <c r="Q47" s="6" t="b" cm="1">
        <f t="array" aca="1" ref="Q47" ca="1">IF($N47="",FALSE,AND(INDIRECT("UserAccessCasePolicy!H"&amp;$N47),NOT(ISNA(MATCH(INDIRECT("UserAccessCasePolicy!D"&amp;$N47)&amp;"|"&amp;$S47,CaseTypeSetMember!$H:$H,0)))))</f>
        <v>0</v>
      </c>
      <c r="R47" t="s">
        <v>652</v>
      </c>
      <c r="S47" t="s">
        <v>119</v>
      </c>
      <c r="T47" s="6" t="str">
        <f>INDEX(CaseType!$B:$B,MATCH($S47,CaseType!$A:$A,0))</f>
        <v>case_type1</v>
      </c>
      <c r="U47" s="6" t="b">
        <f>AND(IF($AA47="",TRUE,$S47=INDEX(CaseTypeCol!$B:$B,MATCH($AA47,CaseTypeCol!$A:$A,0))),IF($AH47="",TRUE,$S47=INDEX(CaseTypeCol!$B:$B,MATCH($AH47,CaseTypeCol!$A:$A,0))),IF($AO47="",TRUE,$S47=INDEX(CaseTypeCol!$B:$B,MATCH($AO47,CaseTypeCol!$A:$A,0))))</f>
        <v>1</v>
      </c>
      <c r="W47" t="s">
        <v>33</v>
      </c>
      <c r="X47" s="6" t="str">
        <f>INDEX(DataCollection!$B:$B,MATCH($W47,DataCollection!$A:$A,0))</f>
        <v>data_collection9</v>
      </c>
      <c r="Z47" s="14">
        <v>36526</v>
      </c>
      <c r="AA47" t="s">
        <v>142</v>
      </c>
      <c r="AB47" t="s">
        <v>663</v>
      </c>
      <c r="AC47" s="6" t="str">
        <f>IF($AA47="","",INDEX(CaseTypeCol!$G:$G,MATCH($AA47,CaseTypeCol!$A:$A,0)))</f>
        <v>case_type1_dim1_1_text</v>
      </c>
      <c r="AD47" s="6" t="b" cm="1">
        <f t="array" aca="1" ref="AD47" ca="1">IF($AA47="",TRUE,IF($J47="",FALSE,IF(INDIRECT("OrganizationAccessCasePolicy!J"&amp;$J47)="",FALSE,NOT(ISNA(MATCH(INDIRECT("OrganizationAccessCasePolicy!J"&amp;$J47)&amp;"|"&amp;$AA47,CaseTypeColSetMember!$H:$H,0))))))</f>
        <v>0</v>
      </c>
      <c r="AE47" s="6" t="b" cm="1">
        <f t="array" aca="1" ref="AE47" ca="1">IF($AA47="",TRUE,IF($J47="",FALSE,IF(INDIRECT("OrganizationAccessCasePolicy!L"&amp;$J47)="",FALSE,NOT(ISNA(MATCH(INDIRECT("OrganizationAccessCasePolicy!L"&amp;$J47)&amp;"|"&amp;$AA47,CaseTypeColSetMember!$H:$H,0))))))</f>
        <v>0</v>
      </c>
      <c r="AF47" s="6" t="b" cm="1">
        <f t="array" aca="1" ref="AF47" ca="1">IF($AA47="",TRUE,IF($N47="",FALSE,IF(INDIRECT("UserAccessCasePolicy!I"&amp;$N47)="",FALSE,NOT(ISNA(MATCH(INDIRECT("UserAccessCasePolicy!I"&amp;$N47)&amp;"|"&amp;$AA47,CaseTypeColSetMember!$H:$H,0))))))</f>
        <v>0</v>
      </c>
      <c r="AG47" s="6" t="b" cm="1">
        <f t="array" aca="1" ref="AG47" ca="1">IF($AA47="",TRUE,IF($N47="",FALSE,IF(INDIRECT("UserAccessCasePolicy!K"&amp;$N47)="",FALSE,NOT(ISNA(MATCH(INDIRECT("UserAccessCasePolicy!K"&amp;$N47)&amp;"|"&amp;$AA47,CaseTypeColSetMember!$H:$H,0))))))</f>
        <v>0</v>
      </c>
      <c r="AJ47" s="6" t="str">
        <f>IF($AH47="","",INDEX(CaseTypeCol!$G:$G,MATCH($AH47,CaseTypeCol!$A:$A,0)))</f>
        <v/>
      </c>
      <c r="AK47" s="6" t="b" cm="1">
        <f t="array" aca="1" ref="AK47" ca="1">IF($AH47="",TRUE,IF($J47="",FALSE,IF(INDIRECT("OrganizationAccessCasePolicy!J"&amp;$J47)="",FALSE,NOT(ISNA(MATCH(INDIRECT("OrganizationAccessCasePolicy!J"&amp;$J47)&amp;"|"&amp;$AH47,CaseTypeColSetMember!$H:$H,0))))))</f>
        <v>1</v>
      </c>
      <c r="AL47" s="6" t="b" cm="1">
        <f t="array" aca="1" ref="AL47" ca="1">IF($AH47="",TRUE,IF($J47="",FALSE,IF(INDIRECT("OrganizationAccessCasePolicy!L"&amp;$J47)="",FALSE,NOT(ISNA(MATCH(INDIRECT("OrganizationAccessCasePolicy!L"&amp;$J47)&amp;"|"&amp;$AH47,CaseTypeColSetMember!$H:$H,0))))))</f>
        <v>1</v>
      </c>
      <c r="AM47" s="6" t="b" cm="1">
        <f t="array" aca="1" ref="AM47" ca="1">IF($AH47="",TRUE,IF($N47="",FALSE,IF(INDIRECT("UserAccessCasePolicy!I"&amp;$N47)="",FALSE,NOT(ISNA(MATCH(INDIRECT("UserAccessCasePolicy!I"&amp;$N47)&amp;"|"&amp;$AH47,CaseTypeColSetMember!$H:$H,0))))))</f>
        <v>1</v>
      </c>
      <c r="AN47" s="6" t="b" cm="1">
        <f t="array" aca="1" ref="AN47" ca="1">IF($AH47="",TRUE,IF($N47="",FALSE,IF(INDIRECT("UserAccessCasePolicy!K"&amp;$N47)="",FALSE,NOT(ISNA(MATCH(INDIRECT("UserAccessCasePolicy!K"&amp;$N47)&amp;"|"&amp;$AH47,CaseTypeColSetMember!$H:$H,0))))))</f>
        <v>1</v>
      </c>
      <c r="AP47" t="s">
        <v>739</v>
      </c>
      <c r="AQ47" s="6" t="str">
        <f>IF($AO47="","",INDEX(CaseTypeCol!$G:$G,MATCH($AO47,CaseTypeCol!$A:$A,0)))</f>
        <v/>
      </c>
      <c r="AR47" s="6" t="b" cm="1">
        <f t="array" aca="1" ref="AR47" ca="1">IF($AO47="",TRUE,IF($J47="",FALSE,IF(INDIRECT("OrganizationAccessCasePolicy!J"&amp;$J47)="",FALSE,NOT(ISNA(MATCH(INDIRECT("OrganizationAccessCasePolicy!J"&amp;$J47)&amp;"|"&amp;$AO47,CaseTypeColSetMember!$H:$H,0))))))</f>
        <v>1</v>
      </c>
      <c r="AS47" s="6" t="b" cm="1">
        <f t="array" aca="1" ref="AS47" ca="1">IF($AO47="",TRUE,IF($J47="",FALSE,IF(INDIRECT("OrganizationAccessCasePolicy!L"&amp;$J47)="",FALSE,NOT(ISNA(MATCH(INDIRECT("OrganizationAccessCasePolicy!L"&amp;$J47)&amp;"|"&amp;$AO47,CaseTypeColSetMember!$H:$H,0))))))</f>
        <v>1</v>
      </c>
      <c r="AT47" s="6" t="b" cm="1">
        <f t="array" aca="1" ref="AT47" ca="1">IF($AO47="",TRUE,IF($N47="",FALSE,IF(INDIRECT("UserAccessCasePolicy!I"&amp;$N47)="",FALSE,NOT(ISNA(MATCH(INDIRECT("UserAccessCasePolicy!I"&amp;$N47)&amp;"|"&amp;$AO47,CaseTypeColSetMember!$H:$H,0))))))</f>
        <v>1</v>
      </c>
      <c r="AU47" s="6" t="b" cm="1">
        <f t="array" aca="1" ref="AU47" ca="1">IF($AO47="",TRUE,IF($N47="",FALSE,IF(INDIRECT("UserAccessCasePolicy!K"&amp;$N47)="",FALSE,NOT(ISNA(MATCH(INDIRECT("UserAccessCasePolicy!K"&amp;$N47)&amp;"|"&amp;$AO47,CaseTypeColSetMember!$H:$H,0))))))</f>
        <v>1</v>
      </c>
    </row>
    <row r="48" spans="1:47" ht="18.75" customHeight="1" x14ac:dyDescent="0.3">
      <c r="A48">
        <v>47</v>
      </c>
      <c r="B48" t="b">
        <v>1</v>
      </c>
      <c r="C48" t="s">
        <v>741</v>
      </c>
      <c r="D48" t="s">
        <v>31</v>
      </c>
      <c r="E48" s="6" t="str">
        <f>INDEX(User!$D:$D,MATCH($D48,User!$A:$A,0))</f>
        <v>org_user4_3</v>
      </c>
      <c r="F48" t="s">
        <v>721</v>
      </c>
      <c r="G48" s="19" t="b">
        <f t="shared" ca="1" si="0"/>
        <v>0</v>
      </c>
      <c r="H48" s="6" t="str">
        <f>INDEX(User!$G:$G,MATCH($D48,User!$A:$A,0))</f>
        <v>0195d18c-1c92-d419-4c71-a570f428499b</v>
      </c>
      <c r="I48" s="6" t="b">
        <f>INDEX(User!$M:$M,MATCH($D48,User!$A:$A,0))</f>
        <v>0</v>
      </c>
      <c r="J48" s="6">
        <f>IF(ISNA(MATCH($H48&amp;"|"&amp;$W48,OrganizationAccessCasePolicy!$V:$V,0)),"",MATCH($H48&amp;"|"&amp;$W48,OrganizationAccessCasePolicy!$V:$V,0))</f>
        <v>10</v>
      </c>
      <c r="K48" s="6" t="b" cm="1">
        <f t="array" aca="1" ref="K48" ca="1">IF($J48="",FALSE,NOT(ISNA(MATCH(INDIRECT("OrganizationAccessCasePolicy!D"&amp;$J48)&amp;"|"&amp;$S48,CaseTypeSetMember!$H:$H,0))))</f>
        <v>0</v>
      </c>
      <c r="L48" s="6" t="b" cm="1">
        <f t="array" aca="1" ref="L48" ca="1">IF($J48="",FALSE,AND(INDIRECT("OrganizationAccessCasePolicy!H"&amp;$J48),NOT(ISNA(MATCH(INDIRECT("OrganizationAccessCasePolicy!D"&amp;$J48)&amp;"|"&amp;$S48,CaseTypeSetMember!$H:$H,0)))))</f>
        <v>0</v>
      </c>
      <c r="M48" s="6" t="b" cm="1">
        <f t="array" aca="1" ref="M48" ca="1">IF($J48="",FALSE,AND(INDIRECT("OrganizationAccessCasePolicy!I"&amp;$J48),NOT(ISNA(MATCH(INDIRECT("OrganizationAccessCasePolicy!D"&amp;$J48)&amp;"|"&amp;$S48,CaseTypeSetMember!$H:$H,0)))))</f>
        <v>0</v>
      </c>
      <c r="N48" s="6" t="str">
        <f>IF(ISNA(MATCH($D48&amp;"|"&amp;$W48,UserAccessCasePolicy!$W:$W,0)),"",MATCH($D48&amp;"|"&amp;$W48,UserAccessCasePolicy!$W:$W,0))</f>
        <v/>
      </c>
      <c r="O48" s="6" t="b" cm="1">
        <f t="array" aca="1" ref="O48" ca="1">IF($N48="",FALSE,NOT(ISNA(MATCH(INDIRECT("UserAccessCasePolicy!D"&amp;$N48)&amp;"|"&amp;$S48,CaseTypeSetMember!$H:$H,0))))</f>
        <v>0</v>
      </c>
      <c r="P48" s="6" t="b" cm="1">
        <f t="array" aca="1" ref="P48" ca="1">IF($N48="",FALSE,AND(INDIRECT("UserAccessCasePolicy!G"&amp;$N48),NOT(ISNA(MATCH(INDIRECT("UserAccessCasePolicy!D"&amp;$N48)&amp;"|"&amp;$S48,CaseTypeSetMember!$H:$H,0)))))</f>
        <v>0</v>
      </c>
      <c r="Q48" s="6" t="b" cm="1">
        <f t="array" aca="1" ref="Q48" ca="1">IF($N48="",FALSE,AND(INDIRECT("UserAccessCasePolicy!H"&amp;$N48),NOT(ISNA(MATCH(INDIRECT("UserAccessCasePolicy!D"&amp;$N48)&amp;"|"&amp;$S48,CaseTypeSetMember!$H:$H,0)))))</f>
        <v>0</v>
      </c>
      <c r="R48" t="s">
        <v>653</v>
      </c>
      <c r="S48" t="s">
        <v>119</v>
      </c>
      <c r="T48" s="6" t="str">
        <f>INDEX(CaseType!$B:$B,MATCH($S48,CaseType!$A:$A,0))</f>
        <v>case_type1</v>
      </c>
      <c r="U48" s="6" t="b">
        <f>AND(IF($AA48="",TRUE,$S48=INDEX(CaseTypeCol!$B:$B,MATCH($AA48,CaseTypeCol!$A:$A,0))),IF($AH48="",TRUE,$S48=INDEX(CaseTypeCol!$B:$B,MATCH($AH48,CaseTypeCol!$A:$A,0))),IF($AO48="",TRUE,$S48=INDEX(CaseTypeCol!$B:$B,MATCH($AO48,CaseTypeCol!$A:$A,0))))</f>
        <v>1</v>
      </c>
      <c r="W48" t="s">
        <v>33</v>
      </c>
      <c r="X48" s="6" t="str">
        <f>INDEX(DataCollection!$B:$B,MATCH($W48,DataCollection!$A:$A,0))</f>
        <v>data_collection9</v>
      </c>
      <c r="Z48" s="14">
        <v>36526</v>
      </c>
      <c r="AA48" t="s">
        <v>142</v>
      </c>
      <c r="AB48" t="s">
        <v>663</v>
      </c>
      <c r="AC48" s="6" t="str">
        <f>IF($AA48="","",INDEX(CaseTypeCol!$G:$G,MATCH($AA48,CaseTypeCol!$A:$A,0)))</f>
        <v>case_type1_dim1_1_text</v>
      </c>
      <c r="AD48" s="6" t="b" cm="1">
        <f t="array" aca="1" ref="AD48" ca="1">IF($AA48="",TRUE,IF($J48="",FALSE,IF(INDIRECT("OrganizationAccessCasePolicy!J"&amp;$J48)="",FALSE,NOT(ISNA(MATCH(INDIRECT("OrganizationAccessCasePolicy!J"&amp;$J48)&amp;"|"&amp;$AA48,CaseTypeColSetMember!$H:$H,0))))))</f>
        <v>0</v>
      </c>
      <c r="AE48" s="6" t="b" cm="1">
        <f t="array" aca="1" ref="AE48" ca="1">IF($AA48="",TRUE,IF($J48="",FALSE,IF(INDIRECT("OrganizationAccessCasePolicy!L"&amp;$J48)="",FALSE,NOT(ISNA(MATCH(INDIRECT("OrganizationAccessCasePolicy!L"&amp;$J48)&amp;"|"&amp;$AA48,CaseTypeColSetMember!$H:$H,0))))))</f>
        <v>0</v>
      </c>
      <c r="AF48" s="6" t="b" cm="1">
        <f t="array" aca="1" ref="AF48" ca="1">IF($AA48="",TRUE,IF($N48="",FALSE,IF(INDIRECT("UserAccessCasePolicy!I"&amp;$N48)="",FALSE,NOT(ISNA(MATCH(INDIRECT("UserAccessCasePolicy!I"&amp;$N48)&amp;"|"&amp;$AA48,CaseTypeColSetMember!$H:$H,0))))))</f>
        <v>0</v>
      </c>
      <c r="AG48" s="6" t="b" cm="1">
        <f t="array" aca="1" ref="AG48" ca="1">IF($AA48="",TRUE,IF($N48="",FALSE,IF(INDIRECT("UserAccessCasePolicy!K"&amp;$N48)="",FALSE,NOT(ISNA(MATCH(INDIRECT("UserAccessCasePolicy!K"&amp;$N48)&amp;"|"&amp;$AA48,CaseTypeColSetMember!$H:$H,0))))))</f>
        <v>0</v>
      </c>
      <c r="AJ48" s="6" t="str">
        <f>IF($AH48="","",INDEX(CaseTypeCol!$G:$G,MATCH($AH48,CaseTypeCol!$A:$A,0)))</f>
        <v/>
      </c>
      <c r="AK48" s="6" t="b" cm="1">
        <f t="array" aca="1" ref="AK48" ca="1">IF($AH48="",TRUE,IF($J48="",FALSE,IF(INDIRECT("OrganizationAccessCasePolicy!J"&amp;$J48)="",FALSE,NOT(ISNA(MATCH(INDIRECT("OrganizationAccessCasePolicy!J"&amp;$J48)&amp;"|"&amp;$AH48,CaseTypeColSetMember!$H:$H,0))))))</f>
        <v>1</v>
      </c>
      <c r="AL48" s="6" t="b" cm="1">
        <f t="array" aca="1" ref="AL48" ca="1">IF($AH48="",TRUE,IF($J48="",FALSE,IF(INDIRECT("OrganizationAccessCasePolicy!L"&amp;$J48)="",FALSE,NOT(ISNA(MATCH(INDIRECT("OrganizationAccessCasePolicy!L"&amp;$J48)&amp;"|"&amp;$AH48,CaseTypeColSetMember!$H:$H,0))))))</f>
        <v>1</v>
      </c>
      <c r="AM48" s="6" t="b" cm="1">
        <f t="array" aca="1" ref="AM48" ca="1">IF($AH48="",TRUE,IF($N48="",FALSE,IF(INDIRECT("UserAccessCasePolicy!I"&amp;$N48)="",FALSE,NOT(ISNA(MATCH(INDIRECT("UserAccessCasePolicy!I"&amp;$N48)&amp;"|"&amp;$AH48,CaseTypeColSetMember!$H:$H,0))))))</f>
        <v>1</v>
      </c>
      <c r="AN48" s="6" t="b" cm="1">
        <f t="array" aca="1" ref="AN48" ca="1">IF($AH48="",TRUE,IF($N48="",FALSE,IF(INDIRECT("UserAccessCasePolicy!K"&amp;$N48)="",FALSE,NOT(ISNA(MATCH(INDIRECT("UserAccessCasePolicy!K"&amp;$N48)&amp;"|"&amp;$AH48,CaseTypeColSetMember!$H:$H,0))))))</f>
        <v>1</v>
      </c>
      <c r="AP48" t="s">
        <v>739</v>
      </c>
      <c r="AQ48" s="6" t="str">
        <f>IF($AO48="","",INDEX(CaseTypeCol!$G:$G,MATCH($AO48,CaseTypeCol!$A:$A,0)))</f>
        <v/>
      </c>
      <c r="AR48" s="6" t="b" cm="1">
        <f t="array" aca="1" ref="AR48" ca="1">IF($AO48="",TRUE,IF($J48="",FALSE,IF(INDIRECT("OrganizationAccessCasePolicy!J"&amp;$J48)="",FALSE,NOT(ISNA(MATCH(INDIRECT("OrganizationAccessCasePolicy!J"&amp;$J48)&amp;"|"&amp;$AO48,CaseTypeColSetMember!$H:$H,0))))))</f>
        <v>1</v>
      </c>
      <c r="AS48" s="6" t="b" cm="1">
        <f t="array" aca="1" ref="AS48" ca="1">IF($AO48="",TRUE,IF($J48="",FALSE,IF(INDIRECT("OrganizationAccessCasePolicy!L"&amp;$J48)="",FALSE,NOT(ISNA(MATCH(INDIRECT("OrganizationAccessCasePolicy!L"&amp;$J48)&amp;"|"&amp;$AO48,CaseTypeColSetMember!$H:$H,0))))))</f>
        <v>1</v>
      </c>
      <c r="AT48" s="6" t="b" cm="1">
        <f t="array" aca="1" ref="AT48" ca="1">IF($AO48="",TRUE,IF($N48="",FALSE,IF(INDIRECT("UserAccessCasePolicy!I"&amp;$N48)="",FALSE,NOT(ISNA(MATCH(INDIRECT("UserAccessCasePolicy!I"&amp;$N48)&amp;"|"&amp;$AO48,CaseTypeColSetMember!$H:$H,0))))))</f>
        <v>1</v>
      </c>
      <c r="AU48" s="6" t="b" cm="1">
        <f t="array" aca="1" ref="AU48" ca="1">IF($AO48="",TRUE,IF($N48="",FALSE,IF(INDIRECT("UserAccessCasePolicy!K"&amp;$N48)="",FALSE,NOT(ISNA(MATCH(INDIRECT("UserAccessCasePolicy!K"&amp;$N48)&amp;"|"&amp;$AO48,CaseTypeColSetMember!$H:$H,0))))))</f>
        <v>1</v>
      </c>
    </row>
    <row r="49" spans="1:47" ht="18.75" customHeight="1" x14ac:dyDescent="0.3">
      <c r="A49">
        <v>48</v>
      </c>
      <c r="B49" t="b">
        <v>1</v>
      </c>
      <c r="C49" t="s">
        <v>742</v>
      </c>
      <c r="D49" t="s">
        <v>32</v>
      </c>
      <c r="E49" s="6" t="str">
        <f>INDEX(User!$D:$D,MATCH($D49,User!$A:$A,0))</f>
        <v>org_user4_4</v>
      </c>
      <c r="F49" t="s">
        <v>721</v>
      </c>
      <c r="G49" s="19" t="b">
        <f t="shared" ca="1" si="0"/>
        <v>0</v>
      </c>
      <c r="H49" s="6" t="str">
        <f>INDEX(User!$G:$G,MATCH($D49,User!$A:$A,0))</f>
        <v>0195d18c-1c92-d419-4c71-a570f428499b</v>
      </c>
      <c r="I49" s="6" t="b">
        <f>INDEX(User!$M:$M,MATCH($D49,User!$A:$A,0))</f>
        <v>0</v>
      </c>
      <c r="J49" s="6">
        <f>IF(ISNA(MATCH($H49&amp;"|"&amp;$W49,OrganizationAccessCasePolicy!$V:$V,0)),"",MATCH($H49&amp;"|"&amp;$W49,OrganizationAccessCasePolicy!$V:$V,0))</f>
        <v>10</v>
      </c>
      <c r="K49" s="6" t="b" cm="1">
        <f t="array" aca="1" ref="K49" ca="1">IF($J49="",FALSE,NOT(ISNA(MATCH(INDIRECT("OrganizationAccessCasePolicy!D"&amp;$J49)&amp;"|"&amp;$S49,CaseTypeSetMember!$H:$H,0))))</f>
        <v>0</v>
      </c>
      <c r="L49" s="6" t="b" cm="1">
        <f t="array" aca="1" ref="L49" ca="1">IF($J49="",FALSE,AND(INDIRECT("OrganizationAccessCasePolicy!H"&amp;$J49),NOT(ISNA(MATCH(INDIRECT("OrganizationAccessCasePolicy!D"&amp;$J49)&amp;"|"&amp;$S49,CaseTypeSetMember!$H:$H,0)))))</f>
        <v>0</v>
      </c>
      <c r="M49" s="6" t="b" cm="1">
        <f t="array" aca="1" ref="M49" ca="1">IF($J49="",FALSE,AND(INDIRECT("OrganizationAccessCasePolicy!I"&amp;$J49),NOT(ISNA(MATCH(INDIRECT("OrganizationAccessCasePolicy!D"&amp;$J49)&amp;"|"&amp;$S49,CaseTypeSetMember!$H:$H,0)))))</f>
        <v>0</v>
      </c>
      <c r="N49" s="6" t="str">
        <f>IF(ISNA(MATCH($D49&amp;"|"&amp;$W49,UserAccessCasePolicy!$W:$W,0)),"",MATCH($D49&amp;"|"&amp;$W49,UserAccessCasePolicy!$W:$W,0))</f>
        <v/>
      </c>
      <c r="O49" s="6" t="b" cm="1">
        <f t="array" aca="1" ref="O49" ca="1">IF($N49="",FALSE,NOT(ISNA(MATCH(INDIRECT("UserAccessCasePolicy!D"&amp;$N49)&amp;"|"&amp;$S49,CaseTypeSetMember!$H:$H,0))))</f>
        <v>0</v>
      </c>
      <c r="P49" s="6" t="b" cm="1">
        <f t="array" aca="1" ref="P49" ca="1">IF($N49="",FALSE,AND(INDIRECT("UserAccessCasePolicy!G"&amp;$N49),NOT(ISNA(MATCH(INDIRECT("UserAccessCasePolicy!D"&amp;$N49)&amp;"|"&amp;$S49,CaseTypeSetMember!$H:$H,0)))))</f>
        <v>0</v>
      </c>
      <c r="Q49" s="6" t="b" cm="1">
        <f t="array" aca="1" ref="Q49" ca="1">IF($N49="",FALSE,AND(INDIRECT("UserAccessCasePolicy!H"&amp;$N49),NOT(ISNA(MATCH(INDIRECT("UserAccessCasePolicy!D"&amp;$N49)&amp;"|"&amp;$S49,CaseTypeSetMember!$H:$H,0)))))</f>
        <v>0</v>
      </c>
      <c r="R49" t="s">
        <v>654</v>
      </c>
      <c r="S49" t="s">
        <v>119</v>
      </c>
      <c r="T49" s="6" t="str">
        <f>INDEX(CaseType!$B:$B,MATCH($S49,CaseType!$A:$A,0))</f>
        <v>case_type1</v>
      </c>
      <c r="U49" s="6" t="b">
        <f>AND(IF($AA49="",TRUE,$S49=INDEX(CaseTypeCol!$B:$B,MATCH($AA49,CaseTypeCol!$A:$A,0))),IF($AH49="",TRUE,$S49=INDEX(CaseTypeCol!$B:$B,MATCH($AH49,CaseTypeCol!$A:$A,0))),IF($AO49="",TRUE,$S49=INDEX(CaseTypeCol!$B:$B,MATCH($AO49,CaseTypeCol!$A:$A,0))))</f>
        <v>1</v>
      </c>
      <c r="W49" t="s">
        <v>33</v>
      </c>
      <c r="X49" s="6" t="str">
        <f>INDEX(DataCollection!$B:$B,MATCH($W49,DataCollection!$A:$A,0))</f>
        <v>data_collection9</v>
      </c>
      <c r="Z49" s="14">
        <v>36526</v>
      </c>
      <c r="AA49" t="s">
        <v>142</v>
      </c>
      <c r="AB49" t="s">
        <v>663</v>
      </c>
      <c r="AC49" s="6" t="str">
        <f>IF($AA49="","",INDEX(CaseTypeCol!$G:$G,MATCH($AA49,CaseTypeCol!$A:$A,0)))</f>
        <v>case_type1_dim1_1_text</v>
      </c>
      <c r="AD49" s="6" t="b" cm="1">
        <f t="array" aca="1" ref="AD49" ca="1">IF($AA49="",TRUE,IF($J49="",FALSE,IF(INDIRECT("OrganizationAccessCasePolicy!J"&amp;$J49)="",FALSE,NOT(ISNA(MATCH(INDIRECT("OrganizationAccessCasePolicy!J"&amp;$J49)&amp;"|"&amp;$AA49,CaseTypeColSetMember!$H:$H,0))))))</f>
        <v>0</v>
      </c>
      <c r="AE49" s="6" t="b" cm="1">
        <f t="array" aca="1" ref="AE49" ca="1">IF($AA49="",TRUE,IF($J49="",FALSE,IF(INDIRECT("OrganizationAccessCasePolicy!L"&amp;$J49)="",FALSE,NOT(ISNA(MATCH(INDIRECT("OrganizationAccessCasePolicy!L"&amp;$J49)&amp;"|"&amp;$AA49,CaseTypeColSetMember!$H:$H,0))))))</f>
        <v>0</v>
      </c>
      <c r="AF49" s="6" t="b" cm="1">
        <f t="array" aca="1" ref="AF49" ca="1">IF($AA49="",TRUE,IF($N49="",FALSE,IF(INDIRECT("UserAccessCasePolicy!I"&amp;$N49)="",FALSE,NOT(ISNA(MATCH(INDIRECT("UserAccessCasePolicy!I"&amp;$N49)&amp;"|"&amp;$AA49,CaseTypeColSetMember!$H:$H,0))))))</f>
        <v>0</v>
      </c>
      <c r="AG49" s="6" t="b" cm="1">
        <f t="array" aca="1" ref="AG49" ca="1">IF($AA49="",TRUE,IF($N49="",FALSE,IF(INDIRECT("UserAccessCasePolicy!K"&amp;$N49)="",FALSE,NOT(ISNA(MATCH(INDIRECT("UserAccessCasePolicy!K"&amp;$N49)&amp;"|"&amp;$AA49,CaseTypeColSetMember!$H:$H,0))))))</f>
        <v>0</v>
      </c>
      <c r="AJ49" s="6" t="str">
        <f>IF($AH49="","",INDEX(CaseTypeCol!$G:$G,MATCH($AH49,CaseTypeCol!$A:$A,0)))</f>
        <v/>
      </c>
      <c r="AK49" s="6" t="b" cm="1">
        <f t="array" aca="1" ref="AK49" ca="1">IF($AH49="",TRUE,IF($J49="",FALSE,IF(INDIRECT("OrganizationAccessCasePolicy!J"&amp;$J49)="",FALSE,NOT(ISNA(MATCH(INDIRECT("OrganizationAccessCasePolicy!J"&amp;$J49)&amp;"|"&amp;$AH49,CaseTypeColSetMember!$H:$H,0))))))</f>
        <v>1</v>
      </c>
      <c r="AL49" s="6" t="b" cm="1">
        <f t="array" aca="1" ref="AL49" ca="1">IF($AH49="",TRUE,IF($J49="",FALSE,IF(INDIRECT("OrganizationAccessCasePolicy!L"&amp;$J49)="",FALSE,NOT(ISNA(MATCH(INDIRECT("OrganizationAccessCasePolicy!L"&amp;$J49)&amp;"|"&amp;$AH49,CaseTypeColSetMember!$H:$H,0))))))</f>
        <v>1</v>
      </c>
      <c r="AM49" s="6" t="b" cm="1">
        <f t="array" aca="1" ref="AM49" ca="1">IF($AH49="",TRUE,IF($N49="",FALSE,IF(INDIRECT("UserAccessCasePolicy!I"&amp;$N49)="",FALSE,NOT(ISNA(MATCH(INDIRECT("UserAccessCasePolicy!I"&amp;$N49)&amp;"|"&amp;$AH49,CaseTypeColSetMember!$H:$H,0))))))</f>
        <v>1</v>
      </c>
      <c r="AN49" s="6" t="b" cm="1">
        <f t="array" aca="1" ref="AN49" ca="1">IF($AH49="",TRUE,IF($N49="",FALSE,IF(INDIRECT("UserAccessCasePolicy!K"&amp;$N49)="",FALSE,NOT(ISNA(MATCH(INDIRECT("UserAccessCasePolicy!K"&amp;$N49)&amp;"|"&amp;$AH49,CaseTypeColSetMember!$H:$H,0))))))</f>
        <v>1</v>
      </c>
      <c r="AP49" t="s">
        <v>739</v>
      </c>
      <c r="AQ49" s="6" t="str">
        <f>IF($AO49="","",INDEX(CaseTypeCol!$G:$G,MATCH($AO49,CaseTypeCol!$A:$A,0)))</f>
        <v/>
      </c>
      <c r="AR49" s="6" t="b" cm="1">
        <f t="array" aca="1" ref="AR49" ca="1">IF($AO49="",TRUE,IF($J49="",FALSE,IF(INDIRECT("OrganizationAccessCasePolicy!J"&amp;$J49)="",FALSE,NOT(ISNA(MATCH(INDIRECT("OrganizationAccessCasePolicy!J"&amp;$J49)&amp;"|"&amp;$AO49,CaseTypeColSetMember!$H:$H,0))))))</f>
        <v>1</v>
      </c>
      <c r="AS49" s="6" t="b" cm="1">
        <f t="array" aca="1" ref="AS49" ca="1">IF($AO49="",TRUE,IF($J49="",FALSE,IF(INDIRECT("OrganizationAccessCasePolicy!L"&amp;$J49)="",FALSE,NOT(ISNA(MATCH(INDIRECT("OrganizationAccessCasePolicy!L"&amp;$J49)&amp;"|"&amp;$AO49,CaseTypeColSetMember!$H:$H,0))))))</f>
        <v>1</v>
      </c>
      <c r="AT49" s="6" t="b" cm="1">
        <f t="array" aca="1" ref="AT49" ca="1">IF($AO49="",TRUE,IF($N49="",FALSE,IF(INDIRECT("UserAccessCasePolicy!I"&amp;$N49)="",FALSE,NOT(ISNA(MATCH(INDIRECT("UserAccessCasePolicy!I"&amp;$N49)&amp;"|"&amp;$AO49,CaseTypeColSetMember!$H:$H,0))))))</f>
        <v>1</v>
      </c>
      <c r="AU49" s="6" t="b" cm="1">
        <f t="array" aca="1" ref="AU49" ca="1">IF($AO49="",TRUE,IF($N49="",FALSE,IF(INDIRECT("UserAccessCasePolicy!K"&amp;$N49)="",FALSE,NOT(ISNA(MATCH(INDIRECT("UserAccessCasePolicy!K"&amp;$N49)&amp;"|"&amp;$AO49,CaseTypeColSetMember!$H:$H,0))))))</f>
        <v>1</v>
      </c>
    </row>
    <row r="50" spans="1:47" ht="18.75" customHeight="1" x14ac:dyDescent="0.3">
      <c r="A50">
        <v>49</v>
      </c>
      <c r="B50" t="b">
        <v>1</v>
      </c>
      <c r="C50" t="s">
        <v>743</v>
      </c>
      <c r="D50" t="s">
        <v>34</v>
      </c>
      <c r="E50" s="6" t="str">
        <f>INDEX(User!$D:$D,MATCH($D50,User!$A:$A,0))</f>
        <v>org_user5_1</v>
      </c>
      <c r="F50" t="s">
        <v>721</v>
      </c>
      <c r="G50" s="19" t="b">
        <f t="shared" ca="1" si="0"/>
        <v>0</v>
      </c>
      <c r="H50" s="6" t="str">
        <f>INDEX(User!$G:$G,MATCH($D50,User!$A:$A,0))</f>
        <v>0195d18c-1c93-02a2-6920-7e4dbfb73ce0</v>
      </c>
      <c r="I50" s="6" t="b">
        <f>INDEX(User!$M:$M,MATCH($D50,User!$A:$A,0))</f>
        <v>0</v>
      </c>
      <c r="J50" s="6">
        <f>IF(ISNA(MATCH($H50&amp;"|"&amp;$W50,OrganizationAccessCasePolicy!$V:$V,0)),"",MATCH($H50&amp;"|"&amp;$W50,OrganizationAccessCasePolicy!$V:$V,0))</f>
        <v>11</v>
      </c>
      <c r="K50" s="6" t="b" cm="1">
        <f t="array" aca="1" ref="K50" ca="1">IF($J50="",FALSE,NOT(ISNA(MATCH(INDIRECT("OrganizationAccessCasePolicy!D"&amp;$J50)&amp;"|"&amp;$S50,CaseTypeSetMember!$H:$H,0))))</f>
        <v>0</v>
      </c>
      <c r="L50" s="6" t="b" cm="1">
        <f t="array" aca="1" ref="L50" ca="1">IF($J50="",FALSE,AND(INDIRECT("OrganizationAccessCasePolicy!H"&amp;$J50),NOT(ISNA(MATCH(INDIRECT("OrganizationAccessCasePolicy!D"&amp;$J50)&amp;"|"&amp;$S50,CaseTypeSetMember!$H:$H,0)))))</f>
        <v>0</v>
      </c>
      <c r="M50" s="6" t="b" cm="1">
        <f t="array" aca="1" ref="M50" ca="1">IF($J50="",FALSE,AND(INDIRECT("OrganizationAccessCasePolicy!I"&amp;$J50),NOT(ISNA(MATCH(INDIRECT("OrganizationAccessCasePolicy!D"&amp;$J50)&amp;"|"&amp;$S50,CaseTypeSetMember!$H:$H,0)))))</f>
        <v>0</v>
      </c>
      <c r="N50" s="6">
        <f>IF(ISNA(MATCH($D50&amp;"|"&amp;$W50,UserAccessCasePolicy!$W:$W,0)),"",MATCH($D50&amp;"|"&amp;$W50,UserAccessCasePolicy!$W:$W,0))</f>
        <v>11</v>
      </c>
      <c r="O50" s="6" t="b" cm="1">
        <f t="array" aca="1" ref="O50" ca="1">IF($N50="",FALSE,NOT(ISNA(MATCH(INDIRECT("UserAccessCasePolicy!D"&amp;$N50)&amp;"|"&amp;$S50,CaseTypeSetMember!$H:$H,0))))</f>
        <v>0</v>
      </c>
      <c r="P50" s="6" t="b" cm="1">
        <f t="array" aca="1" ref="P50" ca="1">IF($N50="",FALSE,AND(INDIRECT("UserAccessCasePolicy!G"&amp;$N50),NOT(ISNA(MATCH(INDIRECT("UserAccessCasePolicy!D"&amp;$N50)&amp;"|"&amp;$S50,CaseTypeSetMember!$H:$H,0)))))</f>
        <v>0</v>
      </c>
      <c r="Q50" s="6" t="b" cm="1">
        <f t="array" aca="1" ref="Q50" ca="1">IF($N50="",FALSE,AND(INDIRECT("UserAccessCasePolicy!H"&amp;$N50),NOT(ISNA(MATCH(INDIRECT("UserAccessCasePolicy!D"&amp;$N50)&amp;"|"&amp;$S50,CaseTypeSetMember!$H:$H,0)))))</f>
        <v>0</v>
      </c>
      <c r="R50" t="s">
        <v>655</v>
      </c>
      <c r="S50" t="s">
        <v>119</v>
      </c>
      <c r="T50" s="6" t="str">
        <f>INDEX(CaseType!$B:$B,MATCH($S50,CaseType!$A:$A,0))</f>
        <v>case_type1</v>
      </c>
      <c r="U50" s="6" t="b">
        <f>AND(IF($AA50="",TRUE,$S50=INDEX(CaseTypeCol!$B:$B,MATCH($AA50,CaseTypeCol!$A:$A,0))),IF($AH50="",TRUE,$S50=INDEX(CaseTypeCol!$B:$B,MATCH($AH50,CaseTypeCol!$A:$A,0))),IF($AO50="",TRUE,$S50=INDEX(CaseTypeCol!$B:$B,MATCH($AO50,CaseTypeCol!$A:$A,0))))</f>
        <v>1</v>
      </c>
      <c r="W50" t="s">
        <v>39</v>
      </c>
      <c r="X50" s="6" t="str">
        <f>INDEX(DataCollection!$B:$B,MATCH($W50,DataCollection!$A:$A,0))</f>
        <v>data_collection10</v>
      </c>
      <c r="Z50" s="14">
        <v>36526</v>
      </c>
      <c r="AA50" t="s">
        <v>142</v>
      </c>
      <c r="AB50" t="s">
        <v>663</v>
      </c>
      <c r="AC50" s="6" t="str">
        <f>IF($AA50="","",INDEX(CaseTypeCol!$G:$G,MATCH($AA50,CaseTypeCol!$A:$A,0)))</f>
        <v>case_type1_dim1_1_text</v>
      </c>
      <c r="AD50" s="6" t="b" cm="1">
        <f t="array" aca="1" ref="AD50" ca="1">IF($AA50="",TRUE,IF($J50="",FALSE,IF(INDIRECT("OrganizationAccessCasePolicy!J"&amp;$J50)="",FALSE,NOT(ISNA(MATCH(INDIRECT("OrganizationAccessCasePolicy!J"&amp;$J50)&amp;"|"&amp;$AA50,CaseTypeColSetMember!$H:$H,0))))))</f>
        <v>0</v>
      </c>
      <c r="AE50" s="6" t="b" cm="1">
        <f t="array" aca="1" ref="AE50" ca="1">IF($AA50="",TRUE,IF($J50="",FALSE,IF(INDIRECT("OrganizationAccessCasePolicy!L"&amp;$J50)="",FALSE,NOT(ISNA(MATCH(INDIRECT("OrganizationAccessCasePolicy!L"&amp;$J50)&amp;"|"&amp;$AA50,CaseTypeColSetMember!$H:$H,0))))))</f>
        <v>0</v>
      </c>
      <c r="AF50" s="6" t="b" cm="1">
        <f t="array" aca="1" ref="AF50" ca="1">IF($AA50="",TRUE,IF($N50="",FALSE,IF(INDIRECT("UserAccessCasePolicy!I"&amp;$N50)="",FALSE,NOT(ISNA(MATCH(INDIRECT("UserAccessCasePolicy!I"&amp;$N50)&amp;"|"&amp;$AA50,CaseTypeColSetMember!$H:$H,0))))))</f>
        <v>0</v>
      </c>
      <c r="AG50" s="6" t="b" cm="1">
        <f t="array" aca="1" ref="AG50" ca="1">IF($AA50="",TRUE,IF($N50="",FALSE,IF(INDIRECT("UserAccessCasePolicy!K"&amp;$N50)="",FALSE,NOT(ISNA(MATCH(INDIRECT("UserAccessCasePolicy!K"&amp;$N50)&amp;"|"&amp;$AA50,CaseTypeColSetMember!$H:$H,0))))))</f>
        <v>0</v>
      </c>
      <c r="AJ50" s="6" t="str">
        <f>IF($AH50="","",INDEX(CaseTypeCol!$G:$G,MATCH($AH50,CaseTypeCol!$A:$A,0)))</f>
        <v/>
      </c>
      <c r="AK50" s="6" t="b" cm="1">
        <f t="array" aca="1" ref="AK50" ca="1">IF($AH50="",TRUE,IF($J50="",FALSE,IF(INDIRECT("OrganizationAccessCasePolicy!J"&amp;$J50)="",FALSE,NOT(ISNA(MATCH(INDIRECT("OrganizationAccessCasePolicy!J"&amp;$J50)&amp;"|"&amp;$AH50,CaseTypeColSetMember!$H:$H,0))))))</f>
        <v>1</v>
      </c>
      <c r="AL50" s="6" t="b" cm="1">
        <f t="array" aca="1" ref="AL50" ca="1">IF($AH50="",TRUE,IF($J50="",FALSE,IF(INDIRECT("OrganizationAccessCasePolicy!L"&amp;$J50)="",FALSE,NOT(ISNA(MATCH(INDIRECT("OrganizationAccessCasePolicy!L"&amp;$J50)&amp;"|"&amp;$AH50,CaseTypeColSetMember!$H:$H,0))))))</f>
        <v>1</v>
      </c>
      <c r="AM50" s="6" t="b" cm="1">
        <f t="array" aca="1" ref="AM50" ca="1">IF($AH50="",TRUE,IF($N50="",FALSE,IF(INDIRECT("UserAccessCasePolicy!I"&amp;$N50)="",FALSE,NOT(ISNA(MATCH(INDIRECT("UserAccessCasePolicy!I"&amp;$N50)&amp;"|"&amp;$AH50,CaseTypeColSetMember!$H:$H,0))))))</f>
        <v>1</v>
      </c>
      <c r="AN50" s="6" t="b" cm="1">
        <f t="array" aca="1" ref="AN50" ca="1">IF($AH50="",TRUE,IF($N50="",FALSE,IF(INDIRECT("UserAccessCasePolicy!K"&amp;$N50)="",FALSE,NOT(ISNA(MATCH(INDIRECT("UserAccessCasePolicy!K"&amp;$N50)&amp;"|"&amp;$AH50,CaseTypeColSetMember!$H:$H,0))))))</f>
        <v>1</v>
      </c>
      <c r="AP50" t="s">
        <v>744</v>
      </c>
      <c r="AQ50" s="6" t="str">
        <f>IF($AO50="","",INDEX(CaseTypeCol!$G:$G,MATCH($AO50,CaseTypeCol!$A:$A,0)))</f>
        <v/>
      </c>
      <c r="AR50" s="6" t="b" cm="1">
        <f t="array" aca="1" ref="AR50" ca="1">IF($AO50="",TRUE,IF($J50="",FALSE,IF(INDIRECT("OrganizationAccessCasePolicy!J"&amp;$J50)="",FALSE,NOT(ISNA(MATCH(INDIRECT("OrganizationAccessCasePolicy!J"&amp;$J50)&amp;"|"&amp;$AO50,CaseTypeColSetMember!$H:$H,0))))))</f>
        <v>1</v>
      </c>
      <c r="AS50" s="6" t="b" cm="1">
        <f t="array" aca="1" ref="AS50" ca="1">IF($AO50="",TRUE,IF($J50="",FALSE,IF(INDIRECT("OrganizationAccessCasePolicy!L"&amp;$J50)="",FALSE,NOT(ISNA(MATCH(INDIRECT("OrganizationAccessCasePolicy!L"&amp;$J50)&amp;"|"&amp;$AO50,CaseTypeColSetMember!$H:$H,0))))))</f>
        <v>1</v>
      </c>
      <c r="AT50" s="6" t="b" cm="1">
        <f t="array" aca="1" ref="AT50" ca="1">IF($AO50="",TRUE,IF($N50="",FALSE,IF(INDIRECT("UserAccessCasePolicy!I"&amp;$N50)="",FALSE,NOT(ISNA(MATCH(INDIRECT("UserAccessCasePolicy!I"&amp;$N50)&amp;"|"&amp;$AO50,CaseTypeColSetMember!$H:$H,0))))))</f>
        <v>1</v>
      </c>
      <c r="AU50" s="6" t="b" cm="1">
        <f t="array" aca="1" ref="AU50" ca="1">IF($AO50="",TRUE,IF($N50="",FALSE,IF(INDIRECT("UserAccessCasePolicy!K"&amp;$N50)="",FALSE,NOT(ISNA(MATCH(INDIRECT("UserAccessCasePolicy!K"&amp;$N50)&amp;"|"&amp;$AO50,CaseTypeColSetMember!$H:$H,0))))))</f>
        <v>1</v>
      </c>
    </row>
    <row r="51" spans="1:47" ht="18.75" customHeight="1" x14ac:dyDescent="0.3">
      <c r="A51">
        <v>50</v>
      </c>
      <c r="B51" t="b">
        <v>1</v>
      </c>
      <c r="C51" t="s">
        <v>745</v>
      </c>
      <c r="D51" t="s">
        <v>36</v>
      </c>
      <c r="E51" s="6" t="str">
        <f>INDEX(User!$D:$D,MATCH($D51,User!$A:$A,0))</f>
        <v>org_user5_2</v>
      </c>
      <c r="F51" t="s">
        <v>721</v>
      </c>
      <c r="G51" s="19" t="b">
        <f t="shared" ca="1" si="0"/>
        <v>0</v>
      </c>
      <c r="H51" s="6" t="str">
        <f>INDEX(User!$G:$G,MATCH($D51,User!$A:$A,0))</f>
        <v>0195d18c-1c93-02a2-6920-7e4dbfb73ce0</v>
      </c>
      <c r="I51" s="6" t="b">
        <f>INDEX(User!$M:$M,MATCH($D51,User!$A:$A,0))</f>
        <v>0</v>
      </c>
      <c r="J51" s="6">
        <f>IF(ISNA(MATCH($H51&amp;"|"&amp;$W51,OrganizationAccessCasePolicy!$V:$V,0)),"",MATCH($H51&amp;"|"&amp;$W51,OrganizationAccessCasePolicy!$V:$V,0))</f>
        <v>11</v>
      </c>
      <c r="K51" s="6" t="b" cm="1">
        <f t="array" aca="1" ref="K51" ca="1">IF($J51="",FALSE,NOT(ISNA(MATCH(INDIRECT("OrganizationAccessCasePolicy!D"&amp;$J51)&amp;"|"&amp;$S51,CaseTypeSetMember!$H:$H,0))))</f>
        <v>0</v>
      </c>
      <c r="L51" s="6" t="b" cm="1">
        <f t="array" aca="1" ref="L51" ca="1">IF($J51="",FALSE,AND(INDIRECT("OrganizationAccessCasePolicy!H"&amp;$J51),NOT(ISNA(MATCH(INDIRECT("OrganizationAccessCasePolicy!D"&amp;$J51)&amp;"|"&amp;$S51,CaseTypeSetMember!$H:$H,0)))))</f>
        <v>0</v>
      </c>
      <c r="M51" s="6" t="b" cm="1">
        <f t="array" aca="1" ref="M51" ca="1">IF($J51="",FALSE,AND(INDIRECT("OrganizationAccessCasePolicy!I"&amp;$J51),NOT(ISNA(MATCH(INDIRECT("OrganizationAccessCasePolicy!D"&amp;$J51)&amp;"|"&amp;$S51,CaseTypeSetMember!$H:$H,0)))))</f>
        <v>0</v>
      </c>
      <c r="N51" s="6" t="str">
        <f>IF(ISNA(MATCH($D51&amp;"|"&amp;$W51,UserAccessCasePolicy!$W:$W,0)),"",MATCH($D51&amp;"|"&amp;$W51,UserAccessCasePolicy!$W:$W,0))</f>
        <v/>
      </c>
      <c r="O51" s="6" t="b" cm="1">
        <f t="array" aca="1" ref="O51" ca="1">IF($N51="",FALSE,NOT(ISNA(MATCH(INDIRECT("UserAccessCasePolicy!D"&amp;$N51)&amp;"|"&amp;$S51,CaseTypeSetMember!$H:$H,0))))</f>
        <v>0</v>
      </c>
      <c r="P51" s="6" t="b" cm="1">
        <f t="array" aca="1" ref="P51" ca="1">IF($N51="",FALSE,AND(INDIRECT("UserAccessCasePolicy!G"&amp;$N51),NOT(ISNA(MATCH(INDIRECT("UserAccessCasePolicy!D"&amp;$N51)&amp;"|"&amp;$S51,CaseTypeSetMember!$H:$H,0)))))</f>
        <v>0</v>
      </c>
      <c r="Q51" s="6" t="b" cm="1">
        <f t="array" aca="1" ref="Q51" ca="1">IF($N51="",FALSE,AND(INDIRECT("UserAccessCasePolicy!H"&amp;$N51),NOT(ISNA(MATCH(INDIRECT("UserAccessCasePolicy!D"&amp;$N51)&amp;"|"&amp;$S51,CaseTypeSetMember!$H:$H,0)))))</f>
        <v>0</v>
      </c>
      <c r="R51" t="s">
        <v>656</v>
      </c>
      <c r="S51" t="s">
        <v>119</v>
      </c>
      <c r="T51" s="6" t="str">
        <f>INDEX(CaseType!$B:$B,MATCH($S51,CaseType!$A:$A,0))</f>
        <v>case_type1</v>
      </c>
      <c r="U51" s="6" t="b">
        <f>AND(IF($AA51="",TRUE,$S51=INDEX(CaseTypeCol!$B:$B,MATCH($AA51,CaseTypeCol!$A:$A,0))),IF($AH51="",TRUE,$S51=INDEX(CaseTypeCol!$B:$B,MATCH($AH51,CaseTypeCol!$A:$A,0))),IF($AO51="",TRUE,$S51=INDEX(CaseTypeCol!$B:$B,MATCH($AO51,CaseTypeCol!$A:$A,0))))</f>
        <v>1</v>
      </c>
      <c r="W51" t="s">
        <v>39</v>
      </c>
      <c r="X51" s="6" t="str">
        <f>INDEX(DataCollection!$B:$B,MATCH($W51,DataCollection!$A:$A,0))</f>
        <v>data_collection10</v>
      </c>
      <c r="Z51" s="14">
        <v>36526</v>
      </c>
      <c r="AA51" t="s">
        <v>142</v>
      </c>
      <c r="AB51" t="s">
        <v>663</v>
      </c>
      <c r="AC51" s="6" t="str">
        <f>IF($AA51="","",INDEX(CaseTypeCol!$G:$G,MATCH($AA51,CaseTypeCol!$A:$A,0)))</f>
        <v>case_type1_dim1_1_text</v>
      </c>
      <c r="AD51" s="6" t="b" cm="1">
        <f t="array" aca="1" ref="AD51" ca="1">IF($AA51="",TRUE,IF($J51="",FALSE,IF(INDIRECT("OrganizationAccessCasePolicy!J"&amp;$J51)="",FALSE,NOT(ISNA(MATCH(INDIRECT("OrganizationAccessCasePolicy!J"&amp;$J51)&amp;"|"&amp;$AA51,CaseTypeColSetMember!$H:$H,0))))))</f>
        <v>0</v>
      </c>
      <c r="AE51" s="6" t="b" cm="1">
        <f t="array" aca="1" ref="AE51" ca="1">IF($AA51="",TRUE,IF($J51="",FALSE,IF(INDIRECT("OrganizationAccessCasePolicy!L"&amp;$J51)="",FALSE,NOT(ISNA(MATCH(INDIRECT("OrganizationAccessCasePolicy!L"&amp;$J51)&amp;"|"&amp;$AA51,CaseTypeColSetMember!$H:$H,0))))))</f>
        <v>0</v>
      </c>
      <c r="AF51" s="6" t="b" cm="1">
        <f t="array" aca="1" ref="AF51" ca="1">IF($AA51="",TRUE,IF($N51="",FALSE,IF(INDIRECT("UserAccessCasePolicy!I"&amp;$N51)="",FALSE,NOT(ISNA(MATCH(INDIRECT("UserAccessCasePolicy!I"&amp;$N51)&amp;"|"&amp;$AA51,CaseTypeColSetMember!$H:$H,0))))))</f>
        <v>0</v>
      </c>
      <c r="AG51" s="6" t="b" cm="1">
        <f t="array" aca="1" ref="AG51" ca="1">IF($AA51="",TRUE,IF($N51="",FALSE,IF(INDIRECT("UserAccessCasePolicy!K"&amp;$N51)="",FALSE,NOT(ISNA(MATCH(INDIRECT("UserAccessCasePolicy!K"&amp;$N51)&amp;"|"&amp;$AA51,CaseTypeColSetMember!$H:$H,0))))))</f>
        <v>0</v>
      </c>
      <c r="AJ51" s="6" t="str">
        <f>IF($AH51="","",INDEX(CaseTypeCol!$G:$G,MATCH($AH51,CaseTypeCol!$A:$A,0)))</f>
        <v/>
      </c>
      <c r="AK51" s="6" t="b" cm="1">
        <f t="array" aca="1" ref="AK51" ca="1">IF($AH51="",TRUE,IF($J51="",FALSE,IF(INDIRECT("OrganizationAccessCasePolicy!J"&amp;$J51)="",FALSE,NOT(ISNA(MATCH(INDIRECT("OrganizationAccessCasePolicy!J"&amp;$J51)&amp;"|"&amp;$AH51,CaseTypeColSetMember!$H:$H,0))))))</f>
        <v>1</v>
      </c>
      <c r="AL51" s="6" t="b" cm="1">
        <f t="array" aca="1" ref="AL51" ca="1">IF($AH51="",TRUE,IF($J51="",FALSE,IF(INDIRECT("OrganizationAccessCasePolicy!L"&amp;$J51)="",FALSE,NOT(ISNA(MATCH(INDIRECT("OrganizationAccessCasePolicy!L"&amp;$J51)&amp;"|"&amp;$AH51,CaseTypeColSetMember!$H:$H,0))))))</f>
        <v>1</v>
      </c>
      <c r="AM51" s="6" t="b" cm="1">
        <f t="array" aca="1" ref="AM51" ca="1">IF($AH51="",TRUE,IF($N51="",FALSE,IF(INDIRECT("UserAccessCasePolicy!I"&amp;$N51)="",FALSE,NOT(ISNA(MATCH(INDIRECT("UserAccessCasePolicy!I"&amp;$N51)&amp;"|"&amp;$AH51,CaseTypeColSetMember!$H:$H,0))))))</f>
        <v>1</v>
      </c>
      <c r="AN51" s="6" t="b" cm="1">
        <f t="array" aca="1" ref="AN51" ca="1">IF($AH51="",TRUE,IF($N51="",FALSE,IF(INDIRECT("UserAccessCasePolicy!K"&amp;$N51)="",FALSE,NOT(ISNA(MATCH(INDIRECT("UserAccessCasePolicy!K"&amp;$N51)&amp;"|"&amp;$AH51,CaseTypeColSetMember!$H:$H,0))))))</f>
        <v>1</v>
      </c>
      <c r="AP51" t="s">
        <v>744</v>
      </c>
      <c r="AQ51" s="6" t="str">
        <f>IF($AO51="","",INDEX(CaseTypeCol!$G:$G,MATCH($AO51,CaseTypeCol!$A:$A,0)))</f>
        <v/>
      </c>
      <c r="AR51" s="6" t="b" cm="1">
        <f t="array" aca="1" ref="AR51" ca="1">IF($AO51="",TRUE,IF($J51="",FALSE,IF(INDIRECT("OrganizationAccessCasePolicy!J"&amp;$J51)="",FALSE,NOT(ISNA(MATCH(INDIRECT("OrganizationAccessCasePolicy!J"&amp;$J51)&amp;"|"&amp;$AO51,CaseTypeColSetMember!$H:$H,0))))))</f>
        <v>1</v>
      </c>
      <c r="AS51" s="6" t="b" cm="1">
        <f t="array" aca="1" ref="AS51" ca="1">IF($AO51="",TRUE,IF($J51="",FALSE,IF(INDIRECT("OrganizationAccessCasePolicy!L"&amp;$J51)="",FALSE,NOT(ISNA(MATCH(INDIRECT("OrganizationAccessCasePolicy!L"&amp;$J51)&amp;"|"&amp;$AO51,CaseTypeColSetMember!$H:$H,0))))))</f>
        <v>1</v>
      </c>
      <c r="AT51" s="6" t="b" cm="1">
        <f t="array" aca="1" ref="AT51" ca="1">IF($AO51="",TRUE,IF($N51="",FALSE,IF(INDIRECT("UserAccessCasePolicy!I"&amp;$N51)="",FALSE,NOT(ISNA(MATCH(INDIRECT("UserAccessCasePolicy!I"&amp;$N51)&amp;"|"&amp;$AO51,CaseTypeColSetMember!$H:$H,0))))))</f>
        <v>1</v>
      </c>
      <c r="AU51" s="6" t="b" cm="1">
        <f t="array" aca="1" ref="AU51" ca="1">IF($AO51="",TRUE,IF($N51="",FALSE,IF(INDIRECT("UserAccessCasePolicy!K"&amp;$N51)="",FALSE,NOT(ISNA(MATCH(INDIRECT("UserAccessCasePolicy!K"&amp;$N51)&amp;"|"&amp;$AO51,CaseTypeColSetMember!$H:$H,0))))))</f>
        <v>1</v>
      </c>
    </row>
    <row r="52" spans="1:47" ht="18.75" customHeight="1" x14ac:dyDescent="0.3">
      <c r="A52">
        <v>51</v>
      </c>
      <c r="B52" t="b">
        <v>1</v>
      </c>
      <c r="C52" t="s">
        <v>746</v>
      </c>
      <c r="D52" t="s">
        <v>37</v>
      </c>
      <c r="E52" s="6" t="str">
        <f>INDEX(User!$D:$D,MATCH($D52,User!$A:$A,0))</f>
        <v>org_user5_3</v>
      </c>
      <c r="F52" t="s">
        <v>721</v>
      </c>
      <c r="G52" s="19" t="b">
        <f t="shared" ca="1" si="0"/>
        <v>0</v>
      </c>
      <c r="H52" s="6" t="str">
        <f>INDEX(User!$G:$G,MATCH($D52,User!$A:$A,0))</f>
        <v>0195d18c-1c93-02a2-6920-7e4dbfb73ce0</v>
      </c>
      <c r="I52" s="6" t="b">
        <f>INDEX(User!$M:$M,MATCH($D52,User!$A:$A,0))</f>
        <v>0</v>
      </c>
      <c r="J52" s="6">
        <f>IF(ISNA(MATCH($H52&amp;"|"&amp;$W52,OrganizationAccessCasePolicy!$V:$V,0)),"",MATCH($H52&amp;"|"&amp;$W52,OrganizationAccessCasePolicy!$V:$V,0))</f>
        <v>11</v>
      </c>
      <c r="K52" s="6" t="b" cm="1">
        <f t="array" aca="1" ref="K52" ca="1">IF($J52="",FALSE,NOT(ISNA(MATCH(INDIRECT("OrganizationAccessCasePolicy!D"&amp;$J52)&amp;"|"&amp;$S52,CaseTypeSetMember!$H:$H,0))))</f>
        <v>0</v>
      </c>
      <c r="L52" s="6" t="b" cm="1">
        <f t="array" aca="1" ref="L52" ca="1">IF($J52="",FALSE,AND(INDIRECT("OrganizationAccessCasePolicy!H"&amp;$J52),NOT(ISNA(MATCH(INDIRECT("OrganizationAccessCasePolicy!D"&amp;$J52)&amp;"|"&amp;$S52,CaseTypeSetMember!$H:$H,0)))))</f>
        <v>0</v>
      </c>
      <c r="M52" s="6" t="b" cm="1">
        <f t="array" aca="1" ref="M52" ca="1">IF($J52="",FALSE,AND(INDIRECT("OrganizationAccessCasePolicy!I"&amp;$J52),NOT(ISNA(MATCH(INDIRECT("OrganizationAccessCasePolicy!D"&amp;$J52)&amp;"|"&amp;$S52,CaseTypeSetMember!$H:$H,0)))))</f>
        <v>0</v>
      </c>
      <c r="N52" s="6" t="str">
        <f>IF(ISNA(MATCH($D52&amp;"|"&amp;$W52,UserAccessCasePolicy!$W:$W,0)),"",MATCH($D52&amp;"|"&amp;$W52,UserAccessCasePolicy!$W:$W,0))</f>
        <v/>
      </c>
      <c r="O52" s="6" t="b" cm="1">
        <f t="array" aca="1" ref="O52" ca="1">IF($N52="",FALSE,NOT(ISNA(MATCH(INDIRECT("UserAccessCasePolicy!D"&amp;$N52)&amp;"|"&amp;$S52,CaseTypeSetMember!$H:$H,0))))</f>
        <v>0</v>
      </c>
      <c r="P52" s="6" t="b" cm="1">
        <f t="array" aca="1" ref="P52" ca="1">IF($N52="",FALSE,AND(INDIRECT("UserAccessCasePolicy!G"&amp;$N52),NOT(ISNA(MATCH(INDIRECT("UserAccessCasePolicy!D"&amp;$N52)&amp;"|"&amp;$S52,CaseTypeSetMember!$H:$H,0)))))</f>
        <v>0</v>
      </c>
      <c r="Q52" s="6" t="b" cm="1">
        <f t="array" aca="1" ref="Q52" ca="1">IF($N52="",FALSE,AND(INDIRECT("UserAccessCasePolicy!H"&amp;$N52),NOT(ISNA(MATCH(INDIRECT("UserAccessCasePolicy!D"&amp;$N52)&amp;"|"&amp;$S52,CaseTypeSetMember!$H:$H,0)))))</f>
        <v>0</v>
      </c>
      <c r="R52" t="s">
        <v>657</v>
      </c>
      <c r="S52" t="s">
        <v>119</v>
      </c>
      <c r="T52" s="6" t="str">
        <f>INDEX(CaseType!$B:$B,MATCH($S52,CaseType!$A:$A,0))</f>
        <v>case_type1</v>
      </c>
      <c r="U52" s="6" t="b">
        <f>AND(IF($AA52="",TRUE,$S52=INDEX(CaseTypeCol!$B:$B,MATCH($AA52,CaseTypeCol!$A:$A,0))),IF($AH52="",TRUE,$S52=INDEX(CaseTypeCol!$B:$B,MATCH($AH52,CaseTypeCol!$A:$A,0))),IF($AO52="",TRUE,$S52=INDEX(CaseTypeCol!$B:$B,MATCH($AO52,CaseTypeCol!$A:$A,0))))</f>
        <v>1</v>
      </c>
      <c r="W52" t="s">
        <v>39</v>
      </c>
      <c r="X52" s="6" t="str">
        <f>INDEX(DataCollection!$B:$B,MATCH($W52,DataCollection!$A:$A,0))</f>
        <v>data_collection10</v>
      </c>
      <c r="Z52" s="14">
        <v>36526</v>
      </c>
      <c r="AA52" t="s">
        <v>142</v>
      </c>
      <c r="AB52" t="s">
        <v>663</v>
      </c>
      <c r="AC52" s="6" t="str">
        <f>IF($AA52="","",INDEX(CaseTypeCol!$G:$G,MATCH($AA52,CaseTypeCol!$A:$A,0)))</f>
        <v>case_type1_dim1_1_text</v>
      </c>
      <c r="AD52" s="6" t="b" cm="1">
        <f t="array" aca="1" ref="AD52" ca="1">IF($AA52="",TRUE,IF($J52="",FALSE,IF(INDIRECT("OrganizationAccessCasePolicy!J"&amp;$J52)="",FALSE,NOT(ISNA(MATCH(INDIRECT("OrganizationAccessCasePolicy!J"&amp;$J52)&amp;"|"&amp;$AA52,CaseTypeColSetMember!$H:$H,0))))))</f>
        <v>0</v>
      </c>
      <c r="AE52" s="6" t="b" cm="1">
        <f t="array" aca="1" ref="AE52" ca="1">IF($AA52="",TRUE,IF($J52="",FALSE,IF(INDIRECT("OrganizationAccessCasePolicy!L"&amp;$J52)="",FALSE,NOT(ISNA(MATCH(INDIRECT("OrganizationAccessCasePolicy!L"&amp;$J52)&amp;"|"&amp;$AA52,CaseTypeColSetMember!$H:$H,0))))))</f>
        <v>0</v>
      </c>
      <c r="AF52" s="6" t="b" cm="1">
        <f t="array" aca="1" ref="AF52" ca="1">IF($AA52="",TRUE,IF($N52="",FALSE,IF(INDIRECT("UserAccessCasePolicy!I"&amp;$N52)="",FALSE,NOT(ISNA(MATCH(INDIRECT("UserAccessCasePolicy!I"&amp;$N52)&amp;"|"&amp;$AA52,CaseTypeColSetMember!$H:$H,0))))))</f>
        <v>0</v>
      </c>
      <c r="AG52" s="6" t="b" cm="1">
        <f t="array" aca="1" ref="AG52" ca="1">IF($AA52="",TRUE,IF($N52="",FALSE,IF(INDIRECT("UserAccessCasePolicy!K"&amp;$N52)="",FALSE,NOT(ISNA(MATCH(INDIRECT("UserAccessCasePolicy!K"&amp;$N52)&amp;"|"&amp;$AA52,CaseTypeColSetMember!$H:$H,0))))))</f>
        <v>0</v>
      </c>
      <c r="AJ52" s="6" t="str">
        <f>IF($AH52="","",INDEX(CaseTypeCol!$G:$G,MATCH($AH52,CaseTypeCol!$A:$A,0)))</f>
        <v/>
      </c>
      <c r="AK52" s="6" t="b" cm="1">
        <f t="array" aca="1" ref="AK52" ca="1">IF($AH52="",TRUE,IF($J52="",FALSE,IF(INDIRECT("OrganizationAccessCasePolicy!J"&amp;$J52)="",FALSE,NOT(ISNA(MATCH(INDIRECT("OrganizationAccessCasePolicy!J"&amp;$J52)&amp;"|"&amp;$AH52,CaseTypeColSetMember!$H:$H,0))))))</f>
        <v>1</v>
      </c>
      <c r="AL52" s="6" t="b" cm="1">
        <f t="array" aca="1" ref="AL52" ca="1">IF($AH52="",TRUE,IF($J52="",FALSE,IF(INDIRECT("OrganizationAccessCasePolicy!L"&amp;$J52)="",FALSE,NOT(ISNA(MATCH(INDIRECT("OrganizationAccessCasePolicy!L"&amp;$J52)&amp;"|"&amp;$AH52,CaseTypeColSetMember!$H:$H,0))))))</f>
        <v>1</v>
      </c>
      <c r="AM52" s="6" t="b" cm="1">
        <f t="array" aca="1" ref="AM52" ca="1">IF($AH52="",TRUE,IF($N52="",FALSE,IF(INDIRECT("UserAccessCasePolicy!I"&amp;$N52)="",FALSE,NOT(ISNA(MATCH(INDIRECT("UserAccessCasePolicy!I"&amp;$N52)&amp;"|"&amp;$AH52,CaseTypeColSetMember!$H:$H,0))))))</f>
        <v>1</v>
      </c>
      <c r="AN52" s="6" t="b" cm="1">
        <f t="array" aca="1" ref="AN52" ca="1">IF($AH52="",TRUE,IF($N52="",FALSE,IF(INDIRECT("UserAccessCasePolicy!K"&amp;$N52)="",FALSE,NOT(ISNA(MATCH(INDIRECT("UserAccessCasePolicy!K"&amp;$N52)&amp;"|"&amp;$AH52,CaseTypeColSetMember!$H:$H,0))))))</f>
        <v>1</v>
      </c>
      <c r="AP52" t="s">
        <v>744</v>
      </c>
      <c r="AQ52" s="6" t="str">
        <f>IF($AO52="","",INDEX(CaseTypeCol!$G:$G,MATCH($AO52,CaseTypeCol!$A:$A,0)))</f>
        <v/>
      </c>
      <c r="AR52" s="6" t="b" cm="1">
        <f t="array" aca="1" ref="AR52" ca="1">IF($AO52="",TRUE,IF($J52="",FALSE,IF(INDIRECT("OrganizationAccessCasePolicy!J"&amp;$J52)="",FALSE,NOT(ISNA(MATCH(INDIRECT("OrganizationAccessCasePolicy!J"&amp;$J52)&amp;"|"&amp;$AO52,CaseTypeColSetMember!$H:$H,0))))))</f>
        <v>1</v>
      </c>
      <c r="AS52" s="6" t="b" cm="1">
        <f t="array" aca="1" ref="AS52" ca="1">IF($AO52="",TRUE,IF($J52="",FALSE,IF(INDIRECT("OrganizationAccessCasePolicy!L"&amp;$J52)="",FALSE,NOT(ISNA(MATCH(INDIRECT("OrganizationAccessCasePolicy!L"&amp;$J52)&amp;"|"&amp;$AO52,CaseTypeColSetMember!$H:$H,0))))))</f>
        <v>1</v>
      </c>
      <c r="AT52" s="6" t="b" cm="1">
        <f t="array" aca="1" ref="AT52" ca="1">IF($AO52="",TRUE,IF($N52="",FALSE,IF(INDIRECT("UserAccessCasePolicy!I"&amp;$N52)="",FALSE,NOT(ISNA(MATCH(INDIRECT("UserAccessCasePolicy!I"&amp;$N52)&amp;"|"&amp;$AO52,CaseTypeColSetMember!$H:$H,0))))))</f>
        <v>1</v>
      </c>
      <c r="AU52" s="6" t="b" cm="1">
        <f t="array" aca="1" ref="AU52" ca="1">IF($AO52="",TRUE,IF($N52="",FALSE,IF(INDIRECT("UserAccessCasePolicy!K"&amp;$N52)="",FALSE,NOT(ISNA(MATCH(INDIRECT("UserAccessCasePolicy!K"&amp;$N52)&amp;"|"&amp;$AO52,CaseTypeColSetMember!$H:$H,0))))))</f>
        <v>1</v>
      </c>
    </row>
    <row r="53" spans="1:47" ht="18.75" customHeight="1" x14ac:dyDescent="0.3">
      <c r="A53">
        <v>52</v>
      </c>
      <c r="B53" t="b">
        <v>1</v>
      </c>
      <c r="C53" t="s">
        <v>747</v>
      </c>
      <c r="D53" t="s">
        <v>38</v>
      </c>
      <c r="E53" s="6" t="str">
        <f>INDEX(User!$D:$D,MATCH($D53,User!$A:$A,0))</f>
        <v>org_user5_4</v>
      </c>
      <c r="F53" t="s">
        <v>721</v>
      </c>
      <c r="G53" s="19" t="b">
        <f t="shared" ca="1" si="0"/>
        <v>0</v>
      </c>
      <c r="H53" s="6" t="str">
        <f>INDEX(User!$G:$G,MATCH($D53,User!$A:$A,0))</f>
        <v>0195d18c-1c93-02a2-6920-7e4dbfb73ce0</v>
      </c>
      <c r="I53" s="6" t="b">
        <f>INDEX(User!$M:$M,MATCH($D53,User!$A:$A,0))</f>
        <v>0</v>
      </c>
      <c r="J53" s="6">
        <f>IF(ISNA(MATCH($H53&amp;"|"&amp;$W53,OrganizationAccessCasePolicy!$V:$V,0)),"",MATCH($H53&amp;"|"&amp;$W53,OrganizationAccessCasePolicy!$V:$V,0))</f>
        <v>11</v>
      </c>
      <c r="K53" s="6" t="b" cm="1">
        <f t="array" aca="1" ref="K53" ca="1">IF($J53="",FALSE,NOT(ISNA(MATCH(INDIRECT("OrganizationAccessCasePolicy!D"&amp;$J53)&amp;"|"&amp;$S53,CaseTypeSetMember!$H:$H,0))))</f>
        <v>0</v>
      </c>
      <c r="L53" s="6" t="b" cm="1">
        <f t="array" aca="1" ref="L53" ca="1">IF($J53="",FALSE,AND(INDIRECT("OrganizationAccessCasePolicy!H"&amp;$J53),NOT(ISNA(MATCH(INDIRECT("OrganizationAccessCasePolicy!D"&amp;$J53)&amp;"|"&amp;$S53,CaseTypeSetMember!$H:$H,0)))))</f>
        <v>0</v>
      </c>
      <c r="M53" s="6" t="b" cm="1">
        <f t="array" aca="1" ref="M53" ca="1">IF($J53="",FALSE,AND(INDIRECT("OrganizationAccessCasePolicy!I"&amp;$J53),NOT(ISNA(MATCH(INDIRECT("OrganizationAccessCasePolicy!D"&amp;$J53)&amp;"|"&amp;$S53,CaseTypeSetMember!$H:$H,0)))))</f>
        <v>0</v>
      </c>
      <c r="N53" s="6" t="str">
        <f>IF(ISNA(MATCH($D53&amp;"|"&amp;$W53,UserAccessCasePolicy!$W:$W,0)),"",MATCH($D53&amp;"|"&amp;$W53,UserAccessCasePolicy!$W:$W,0))</f>
        <v/>
      </c>
      <c r="O53" s="6" t="b" cm="1">
        <f t="array" aca="1" ref="O53" ca="1">IF($N53="",FALSE,NOT(ISNA(MATCH(INDIRECT("UserAccessCasePolicy!D"&amp;$N53)&amp;"|"&amp;$S53,CaseTypeSetMember!$H:$H,0))))</f>
        <v>0</v>
      </c>
      <c r="P53" s="6" t="b" cm="1">
        <f t="array" aca="1" ref="P53" ca="1">IF($N53="",FALSE,AND(INDIRECT("UserAccessCasePolicy!G"&amp;$N53),NOT(ISNA(MATCH(INDIRECT("UserAccessCasePolicy!D"&amp;$N53)&amp;"|"&amp;$S53,CaseTypeSetMember!$H:$H,0)))))</f>
        <v>0</v>
      </c>
      <c r="Q53" s="6" t="b" cm="1">
        <f t="array" aca="1" ref="Q53" ca="1">IF($N53="",FALSE,AND(INDIRECT("UserAccessCasePolicy!H"&amp;$N53),NOT(ISNA(MATCH(INDIRECT("UserAccessCasePolicy!D"&amp;$N53)&amp;"|"&amp;$S53,CaseTypeSetMember!$H:$H,0)))))</f>
        <v>0</v>
      </c>
      <c r="R53" t="s">
        <v>658</v>
      </c>
      <c r="S53" t="s">
        <v>119</v>
      </c>
      <c r="T53" s="6" t="str">
        <f>INDEX(CaseType!$B:$B,MATCH($S53,CaseType!$A:$A,0))</f>
        <v>case_type1</v>
      </c>
      <c r="U53" s="6" t="b">
        <f>AND(IF($AA53="",TRUE,$S53=INDEX(CaseTypeCol!$B:$B,MATCH($AA53,CaseTypeCol!$A:$A,0))),IF($AH53="",TRUE,$S53=INDEX(CaseTypeCol!$B:$B,MATCH($AH53,CaseTypeCol!$A:$A,0))),IF($AO53="",TRUE,$S53=INDEX(CaseTypeCol!$B:$B,MATCH($AO53,CaseTypeCol!$A:$A,0))))</f>
        <v>1</v>
      </c>
      <c r="W53" t="s">
        <v>39</v>
      </c>
      <c r="X53" s="6" t="str">
        <f>INDEX(DataCollection!$B:$B,MATCH($W53,DataCollection!$A:$A,0))</f>
        <v>data_collection10</v>
      </c>
      <c r="Z53" s="14">
        <v>36526</v>
      </c>
      <c r="AA53" t="s">
        <v>142</v>
      </c>
      <c r="AB53" t="s">
        <v>663</v>
      </c>
      <c r="AC53" s="6" t="str">
        <f>IF($AA53="","",INDEX(CaseTypeCol!$G:$G,MATCH($AA53,CaseTypeCol!$A:$A,0)))</f>
        <v>case_type1_dim1_1_text</v>
      </c>
      <c r="AD53" s="6" t="b" cm="1">
        <f t="array" aca="1" ref="AD53" ca="1">IF($AA53="",TRUE,IF($J53="",FALSE,IF(INDIRECT("OrganizationAccessCasePolicy!J"&amp;$J53)="",FALSE,NOT(ISNA(MATCH(INDIRECT("OrganizationAccessCasePolicy!J"&amp;$J53)&amp;"|"&amp;$AA53,CaseTypeColSetMember!$H:$H,0))))))</f>
        <v>0</v>
      </c>
      <c r="AE53" s="6" t="b" cm="1">
        <f t="array" aca="1" ref="AE53" ca="1">IF($AA53="",TRUE,IF($J53="",FALSE,IF(INDIRECT("OrganizationAccessCasePolicy!L"&amp;$J53)="",FALSE,NOT(ISNA(MATCH(INDIRECT("OrganizationAccessCasePolicy!L"&amp;$J53)&amp;"|"&amp;$AA53,CaseTypeColSetMember!$H:$H,0))))))</f>
        <v>0</v>
      </c>
      <c r="AF53" s="6" t="b" cm="1">
        <f t="array" aca="1" ref="AF53" ca="1">IF($AA53="",TRUE,IF($N53="",FALSE,IF(INDIRECT("UserAccessCasePolicy!I"&amp;$N53)="",FALSE,NOT(ISNA(MATCH(INDIRECT("UserAccessCasePolicy!I"&amp;$N53)&amp;"|"&amp;$AA53,CaseTypeColSetMember!$H:$H,0))))))</f>
        <v>0</v>
      </c>
      <c r="AG53" s="6" t="b" cm="1">
        <f t="array" aca="1" ref="AG53" ca="1">IF($AA53="",TRUE,IF($N53="",FALSE,IF(INDIRECT("UserAccessCasePolicy!K"&amp;$N53)="",FALSE,NOT(ISNA(MATCH(INDIRECT("UserAccessCasePolicy!K"&amp;$N53)&amp;"|"&amp;$AA53,CaseTypeColSetMember!$H:$H,0))))))</f>
        <v>0</v>
      </c>
      <c r="AJ53" s="6" t="str">
        <f>IF($AH53="","",INDEX(CaseTypeCol!$G:$G,MATCH($AH53,CaseTypeCol!$A:$A,0)))</f>
        <v/>
      </c>
      <c r="AK53" s="6" t="b" cm="1">
        <f t="array" aca="1" ref="AK53" ca="1">IF($AH53="",TRUE,IF($J53="",FALSE,IF(INDIRECT("OrganizationAccessCasePolicy!J"&amp;$J53)="",FALSE,NOT(ISNA(MATCH(INDIRECT("OrganizationAccessCasePolicy!J"&amp;$J53)&amp;"|"&amp;$AH53,CaseTypeColSetMember!$H:$H,0))))))</f>
        <v>1</v>
      </c>
      <c r="AL53" s="6" t="b" cm="1">
        <f t="array" aca="1" ref="AL53" ca="1">IF($AH53="",TRUE,IF($J53="",FALSE,IF(INDIRECT("OrganizationAccessCasePolicy!L"&amp;$J53)="",FALSE,NOT(ISNA(MATCH(INDIRECT("OrganizationAccessCasePolicy!L"&amp;$J53)&amp;"|"&amp;$AH53,CaseTypeColSetMember!$H:$H,0))))))</f>
        <v>1</v>
      </c>
      <c r="AM53" s="6" t="b" cm="1">
        <f t="array" aca="1" ref="AM53" ca="1">IF($AH53="",TRUE,IF($N53="",FALSE,IF(INDIRECT("UserAccessCasePolicy!I"&amp;$N53)="",FALSE,NOT(ISNA(MATCH(INDIRECT("UserAccessCasePolicy!I"&amp;$N53)&amp;"|"&amp;$AH53,CaseTypeColSetMember!$H:$H,0))))))</f>
        <v>1</v>
      </c>
      <c r="AN53" s="6" t="b" cm="1">
        <f t="array" aca="1" ref="AN53" ca="1">IF($AH53="",TRUE,IF($N53="",FALSE,IF(INDIRECT("UserAccessCasePolicy!K"&amp;$N53)="",FALSE,NOT(ISNA(MATCH(INDIRECT("UserAccessCasePolicy!K"&amp;$N53)&amp;"|"&amp;$AH53,CaseTypeColSetMember!$H:$H,0))))))</f>
        <v>1</v>
      </c>
      <c r="AP53" t="s">
        <v>744</v>
      </c>
      <c r="AQ53" s="6" t="str">
        <f>IF($AO53="","",INDEX(CaseTypeCol!$G:$G,MATCH($AO53,CaseTypeCol!$A:$A,0)))</f>
        <v/>
      </c>
      <c r="AR53" s="6" t="b" cm="1">
        <f t="array" aca="1" ref="AR53" ca="1">IF($AO53="",TRUE,IF($J53="",FALSE,IF(INDIRECT("OrganizationAccessCasePolicy!J"&amp;$J53)="",FALSE,NOT(ISNA(MATCH(INDIRECT("OrganizationAccessCasePolicy!J"&amp;$J53)&amp;"|"&amp;$AO53,CaseTypeColSetMember!$H:$H,0))))))</f>
        <v>1</v>
      </c>
      <c r="AS53" s="6" t="b" cm="1">
        <f t="array" aca="1" ref="AS53" ca="1">IF($AO53="",TRUE,IF($J53="",FALSE,IF(INDIRECT("OrganizationAccessCasePolicy!L"&amp;$J53)="",FALSE,NOT(ISNA(MATCH(INDIRECT("OrganizationAccessCasePolicy!L"&amp;$J53)&amp;"|"&amp;$AO53,CaseTypeColSetMember!$H:$H,0))))))</f>
        <v>1</v>
      </c>
      <c r="AT53" s="6" t="b" cm="1">
        <f t="array" aca="1" ref="AT53" ca="1">IF($AO53="",TRUE,IF($N53="",FALSE,IF(INDIRECT("UserAccessCasePolicy!I"&amp;$N53)="",FALSE,NOT(ISNA(MATCH(INDIRECT("UserAccessCasePolicy!I"&amp;$N53)&amp;"|"&amp;$AO53,CaseTypeColSetMember!$H:$H,0))))))</f>
        <v>1</v>
      </c>
      <c r="AU53" s="6" t="b" cm="1">
        <f t="array" aca="1" ref="AU53" ca="1">IF($AO53="",TRUE,IF($N53="",FALSE,IF(INDIRECT("UserAccessCasePolicy!K"&amp;$N53)="",FALSE,NOT(ISNA(MATCH(INDIRECT("UserAccessCasePolicy!K"&amp;$N53)&amp;"|"&amp;$AO53,CaseTypeColSetMember!$H:$H,0))))))</f>
        <v>1</v>
      </c>
    </row>
    <row r="54" spans="1:47" ht="18.75" customHeight="1" x14ac:dyDescent="0.3">
      <c r="A54">
        <v>53</v>
      </c>
      <c r="B54" t="b">
        <v>1</v>
      </c>
      <c r="C54" t="s">
        <v>748</v>
      </c>
      <c r="D54" t="s">
        <v>10</v>
      </c>
      <c r="E54" s="6" t="str">
        <f>INDEX(User!$D:$D,MATCH($D54,User!$A:$A,0))</f>
        <v>org_user1_1</v>
      </c>
      <c r="F54" t="s">
        <v>721</v>
      </c>
      <c r="G54" s="19" t="b">
        <f t="shared" ca="1" si="0"/>
        <v>0</v>
      </c>
      <c r="H54" s="6" t="str">
        <f>INDEX(User!$G:$G,MATCH($D54,User!$A:$A,0))</f>
        <v>018d074d-ea0c-e942-07db-a3cc0ba1d653</v>
      </c>
      <c r="I54" s="6" t="b">
        <f>INDEX(User!$M:$M,MATCH($D54,User!$A:$A,0))</f>
        <v>0</v>
      </c>
      <c r="J54" s="6">
        <f>IF(ISNA(MATCH($H54&amp;"|"&amp;$W54,OrganizationAccessCasePolicy!$V:$V,0)),"",MATCH($H54&amp;"|"&amp;$W54,OrganizationAccessCasePolicy!$V:$V,0))</f>
        <v>7</v>
      </c>
      <c r="K54" s="6" t="b" cm="1">
        <f t="array" aca="1" ref="K54" ca="1">IF($J54="",FALSE,NOT(ISNA(MATCH(INDIRECT("OrganizationAccessCasePolicy!D"&amp;$J54)&amp;"|"&amp;$S54,CaseTypeSetMember!$H:$H,0))))</f>
        <v>0</v>
      </c>
      <c r="L54" s="6" t="b" cm="1">
        <f t="array" aca="1" ref="L54" ca="1">IF($J54="",FALSE,AND(INDIRECT("OrganizationAccessCasePolicy!H"&amp;$J54),NOT(ISNA(MATCH(INDIRECT("OrganizationAccessCasePolicy!D"&amp;$J54)&amp;"|"&amp;$S54,CaseTypeSetMember!$H:$H,0)))))</f>
        <v>0</v>
      </c>
      <c r="M54" s="6" t="b" cm="1">
        <f t="array" aca="1" ref="M54" ca="1">IF($J54="",FALSE,AND(INDIRECT("OrganizationAccessCasePolicy!I"&amp;$J54),NOT(ISNA(MATCH(INDIRECT("OrganizationAccessCasePolicy!D"&amp;$J54)&amp;"|"&amp;$S54,CaseTypeSetMember!$H:$H,0)))))</f>
        <v>0</v>
      </c>
      <c r="N54" s="6">
        <f>IF(ISNA(MATCH($D54&amp;"|"&amp;$W54,UserAccessCasePolicy!$W:$W,0)),"",MATCH($D54&amp;"|"&amp;$W54,UserAccessCasePolicy!$W:$W,0))</f>
        <v>7</v>
      </c>
      <c r="O54" s="6" t="b" cm="1">
        <f t="array" aca="1" ref="O54" ca="1">IF($N54="",FALSE,NOT(ISNA(MATCH(INDIRECT("UserAccessCasePolicy!D"&amp;$N54)&amp;"|"&amp;$S54,CaseTypeSetMember!$H:$H,0))))</f>
        <v>0</v>
      </c>
      <c r="P54" s="6" t="b" cm="1">
        <f t="array" aca="1" ref="P54" ca="1">IF($N54="",FALSE,AND(INDIRECT("UserAccessCasePolicy!G"&amp;$N54),NOT(ISNA(MATCH(INDIRECT("UserAccessCasePolicy!D"&amp;$N54)&amp;"|"&amp;$S54,CaseTypeSetMember!$H:$H,0)))))</f>
        <v>0</v>
      </c>
      <c r="Q54" s="6" t="b" cm="1">
        <f t="array" aca="1" ref="Q54" ca="1">IF($N54="",FALSE,AND(INDIRECT("UserAccessCasePolicy!H"&amp;$N54),NOT(ISNA(MATCH(INDIRECT("UserAccessCasePolicy!D"&amp;$N54)&amp;"|"&amp;$S54,CaseTypeSetMember!$H:$H,0)))))</f>
        <v>0</v>
      </c>
      <c r="R54" t="s">
        <v>749</v>
      </c>
      <c r="S54" t="s">
        <v>123</v>
      </c>
      <c r="T54" s="6" t="str">
        <f>INDEX(CaseType!$B:$B,MATCH($S54,CaseType!$A:$A,0))</f>
        <v>case_type2</v>
      </c>
      <c r="U54" s="6" t="b">
        <f>AND(IF($AA54="",TRUE,$S54=INDEX(CaseTypeCol!$B:$B,MATCH($AA54,CaseTypeCol!$A:$A,0))),IF($AH54="",TRUE,$S54=INDEX(CaseTypeCol!$B:$B,MATCH($AH54,CaseTypeCol!$A:$A,0))),IF($AO54="",TRUE,$S54=INDEX(CaseTypeCol!$B:$B,MATCH($AO54,CaseTypeCol!$A:$A,0))))</f>
        <v>0</v>
      </c>
      <c r="W54" t="s">
        <v>15</v>
      </c>
      <c r="X54" s="6" t="str">
        <f>INDEX(DataCollection!$B:$B,MATCH($W54,DataCollection!$A:$A,0))</f>
        <v>data_collection6</v>
      </c>
      <c r="Z54" s="14">
        <v>36526</v>
      </c>
      <c r="AA54" t="s">
        <v>142</v>
      </c>
      <c r="AB54" t="s">
        <v>663</v>
      </c>
      <c r="AC54" s="6" t="str">
        <f>IF($AA54="","",INDEX(CaseTypeCol!$G:$G,MATCH($AA54,CaseTypeCol!$A:$A,0)))</f>
        <v>case_type1_dim1_1_text</v>
      </c>
      <c r="AD54" s="6" t="b" cm="1">
        <f t="array" aca="1" ref="AD54" ca="1">IF($AA54="",TRUE,IF($J54="",FALSE,IF(INDIRECT("OrganizationAccessCasePolicy!J"&amp;$J54)="",FALSE,NOT(ISNA(MATCH(INDIRECT("OrganizationAccessCasePolicy!J"&amp;$J54)&amp;"|"&amp;$AA54,CaseTypeColSetMember!$H:$H,0))))))</f>
        <v>1</v>
      </c>
      <c r="AE54" s="6" t="b" cm="1">
        <f t="array" aca="1" ref="AE54" ca="1">IF($AA54="",TRUE,IF($J54="",FALSE,IF(INDIRECT("OrganizationAccessCasePolicy!L"&amp;$J54)="",FALSE,NOT(ISNA(MATCH(INDIRECT("OrganizationAccessCasePolicy!L"&amp;$J54)&amp;"|"&amp;$AA54,CaseTypeColSetMember!$H:$H,0))))))</f>
        <v>0</v>
      </c>
      <c r="AF54" s="6" t="b" cm="1">
        <f t="array" aca="1" ref="AF54" ca="1">IF($AA54="",TRUE,IF($N54="",FALSE,IF(INDIRECT("UserAccessCasePolicy!I"&amp;$N54)="",FALSE,NOT(ISNA(MATCH(INDIRECT("UserAccessCasePolicy!I"&amp;$N54)&amp;"|"&amp;$AA54,CaseTypeColSetMember!$H:$H,0))))))</f>
        <v>1</v>
      </c>
      <c r="AG54" s="6" t="b" cm="1">
        <f t="array" aca="1" ref="AG54" ca="1">IF($AA54="",TRUE,IF($N54="",FALSE,IF(INDIRECT("UserAccessCasePolicy!K"&amp;$N54)="",FALSE,NOT(ISNA(MATCH(INDIRECT("UserAccessCasePolicy!K"&amp;$N54)&amp;"|"&amp;$AA54,CaseTypeColSetMember!$H:$H,0))))))</f>
        <v>1</v>
      </c>
      <c r="AH54" t="s">
        <v>142</v>
      </c>
      <c r="AI54" t="s">
        <v>781</v>
      </c>
      <c r="AJ54" s="6" t="str">
        <f>IF($AH54="","",INDEX(CaseTypeCol!$G:$G,MATCH($AH54,CaseTypeCol!$A:$A,0)))</f>
        <v>case_type1_dim1_1_text</v>
      </c>
      <c r="AK54" s="6" t="b" cm="1">
        <f t="array" aca="1" ref="AK54" ca="1">IF($AH54="",TRUE,IF($J54="",FALSE,IF(INDIRECT("OrganizationAccessCasePolicy!J"&amp;$J54)="",FALSE,NOT(ISNA(MATCH(INDIRECT("OrganizationAccessCasePolicy!J"&amp;$J54)&amp;"|"&amp;$AH54,CaseTypeColSetMember!$H:$H,0))))))</f>
        <v>1</v>
      </c>
      <c r="AL54" s="6" t="b" cm="1">
        <f t="array" aca="1" ref="AL54" ca="1">IF($AH54="",TRUE,IF($J54="",FALSE,IF(INDIRECT("OrganizationAccessCasePolicy!L"&amp;$J54)="",FALSE,NOT(ISNA(MATCH(INDIRECT("OrganizationAccessCasePolicy!L"&amp;$J54)&amp;"|"&amp;$AH54,CaseTypeColSetMember!$H:$H,0))))))</f>
        <v>0</v>
      </c>
      <c r="AM54" s="6" t="b" cm="1">
        <f t="array" aca="1" ref="AM54" ca="1">IF($AH54="",TRUE,IF($N54="",FALSE,IF(INDIRECT("UserAccessCasePolicy!I"&amp;$N54)="",FALSE,NOT(ISNA(MATCH(INDIRECT("UserAccessCasePolicy!I"&amp;$N54)&amp;"|"&amp;$AH54,CaseTypeColSetMember!$H:$H,0))))))</f>
        <v>1</v>
      </c>
      <c r="AN54" s="6" t="b" cm="1">
        <f t="array" aca="1" ref="AN54" ca="1">IF($AH54="",TRUE,IF($N54="",FALSE,IF(INDIRECT("UserAccessCasePolicy!K"&amp;$N54)="",FALSE,NOT(ISNA(MATCH(INDIRECT("UserAccessCasePolicy!K"&amp;$N54)&amp;"|"&amp;$AH54,CaseTypeColSetMember!$H:$H,0))))))</f>
        <v>1</v>
      </c>
      <c r="AO54" t="s">
        <v>142</v>
      </c>
      <c r="AP54" t="s">
        <v>726</v>
      </c>
      <c r="AQ54" s="6" t="str">
        <f>IF($AO54="","",INDEX(CaseTypeCol!$G:$G,MATCH($AO54,CaseTypeCol!$A:$A,0)))</f>
        <v>case_type1_dim1_1_text</v>
      </c>
      <c r="AR54" s="6" t="b" cm="1">
        <f t="array" aca="1" ref="AR54" ca="1">IF($AO54="",TRUE,IF($J54="",FALSE,IF(INDIRECT("OrganizationAccessCasePolicy!J"&amp;$J54)="",FALSE,NOT(ISNA(MATCH(INDIRECT("OrganizationAccessCasePolicy!J"&amp;$J54)&amp;"|"&amp;$AO54,CaseTypeColSetMember!$H:$H,0))))))</f>
        <v>1</v>
      </c>
      <c r="AS54" s="6" t="b" cm="1">
        <f t="array" aca="1" ref="AS54" ca="1">IF($AO54="",TRUE,IF($J54="",FALSE,IF(INDIRECT("OrganizationAccessCasePolicy!L"&amp;$J54)="",FALSE,NOT(ISNA(MATCH(INDIRECT("OrganizationAccessCasePolicy!L"&amp;$J54)&amp;"|"&amp;$AO54,CaseTypeColSetMember!$H:$H,0))))))</f>
        <v>0</v>
      </c>
      <c r="AT54" s="6" t="b" cm="1">
        <f t="array" aca="1" ref="AT54" ca="1">IF($AO54="",TRUE,IF($N54="",FALSE,IF(INDIRECT("UserAccessCasePolicy!I"&amp;$N54)="",FALSE,NOT(ISNA(MATCH(INDIRECT("UserAccessCasePolicy!I"&amp;$N54)&amp;"|"&amp;$AO54,CaseTypeColSetMember!$H:$H,0))))))</f>
        <v>1</v>
      </c>
      <c r="AU54" s="6" t="b" cm="1">
        <f t="array" aca="1" ref="AU54" ca="1">IF($AO54="",TRUE,IF($N54="",FALSE,IF(INDIRECT("UserAccessCasePolicy!K"&amp;$N54)="",FALSE,NOT(ISNA(MATCH(INDIRECT("UserAccessCasePolicy!K"&amp;$N54)&amp;"|"&amp;$AO54,CaseTypeColSetMember!$H:$H,0))))))</f>
        <v>1</v>
      </c>
    </row>
    <row r="55" spans="1:47" ht="18.75" customHeight="1" x14ac:dyDescent="0.3">
      <c r="A55">
        <v>54</v>
      </c>
      <c r="B55" t="b">
        <v>1</v>
      </c>
      <c r="C55" t="s">
        <v>750</v>
      </c>
      <c r="D55" t="s">
        <v>10</v>
      </c>
      <c r="E55" s="6" t="str">
        <f>INDEX(User!$D:$D,MATCH($D55,User!$A:$A,0))</f>
        <v>org_user1_1</v>
      </c>
      <c r="F55" t="s">
        <v>721</v>
      </c>
      <c r="G55" s="19" t="b">
        <f t="shared" ca="1" si="0"/>
        <v>0</v>
      </c>
      <c r="H55" s="6" t="str">
        <f>INDEX(User!$G:$G,MATCH($D55,User!$A:$A,0))</f>
        <v>018d074d-ea0c-e942-07db-a3cc0ba1d653</v>
      </c>
      <c r="I55" s="6" t="b">
        <f>INDEX(User!$M:$M,MATCH($D55,User!$A:$A,0))</f>
        <v>0</v>
      </c>
      <c r="J55" s="6">
        <f>IF(ISNA(MATCH($H55&amp;"|"&amp;$W55,OrganizationAccessCasePolicy!$V:$V,0)),"",MATCH($H55&amp;"|"&amp;$W55,OrganizationAccessCasePolicy!$V:$V,0))</f>
        <v>7</v>
      </c>
      <c r="K55" s="6" t="b" cm="1">
        <f t="array" aca="1" ref="K55" ca="1">IF($J55="",FALSE,NOT(ISNA(MATCH(INDIRECT("OrganizationAccessCasePolicy!D"&amp;$J55)&amp;"|"&amp;$S55,CaseTypeSetMember!$H:$H,0))))</f>
        <v>0</v>
      </c>
      <c r="L55" s="6" t="b" cm="1">
        <f t="array" aca="1" ref="L55" ca="1">IF($J55="",FALSE,AND(INDIRECT("OrganizationAccessCasePolicy!H"&amp;$J55),NOT(ISNA(MATCH(INDIRECT("OrganizationAccessCasePolicy!D"&amp;$J55)&amp;"|"&amp;$S55,CaseTypeSetMember!$H:$H,0)))))</f>
        <v>0</v>
      </c>
      <c r="M55" s="6" t="b" cm="1">
        <f t="array" aca="1" ref="M55" ca="1">IF($J55="",FALSE,AND(INDIRECT("OrganizationAccessCasePolicy!I"&amp;$J55),NOT(ISNA(MATCH(INDIRECT("OrganizationAccessCasePolicy!D"&amp;$J55)&amp;"|"&amp;$S55,CaseTypeSetMember!$H:$H,0)))))</f>
        <v>0</v>
      </c>
      <c r="N55" s="6">
        <f>IF(ISNA(MATCH($D55&amp;"|"&amp;$W55,UserAccessCasePolicy!$W:$W,0)),"",MATCH($D55&amp;"|"&amp;$W55,UserAccessCasePolicy!$W:$W,0))</f>
        <v>7</v>
      </c>
      <c r="O55" s="6" t="b" cm="1">
        <f t="array" aca="1" ref="O55" ca="1">IF($N55="",FALSE,NOT(ISNA(MATCH(INDIRECT("UserAccessCasePolicy!D"&amp;$N55)&amp;"|"&amp;$S55,CaseTypeSetMember!$H:$H,0))))</f>
        <v>0</v>
      </c>
      <c r="P55" s="6" t="b" cm="1">
        <f t="array" aca="1" ref="P55" ca="1">IF($N55="",FALSE,AND(INDIRECT("UserAccessCasePolicy!G"&amp;$N55),NOT(ISNA(MATCH(INDIRECT("UserAccessCasePolicy!D"&amp;$N55)&amp;"|"&amp;$S55,CaseTypeSetMember!$H:$H,0)))))</f>
        <v>0</v>
      </c>
      <c r="Q55" s="6" t="b" cm="1">
        <f t="array" aca="1" ref="Q55" ca="1">IF($N55="",FALSE,AND(INDIRECT("UserAccessCasePolicy!H"&amp;$N55),NOT(ISNA(MATCH(INDIRECT("UserAccessCasePolicy!D"&amp;$N55)&amp;"|"&amp;$S55,CaseTypeSetMember!$H:$H,0)))))</f>
        <v>0</v>
      </c>
      <c r="R55" t="s">
        <v>751</v>
      </c>
      <c r="S55" t="s">
        <v>127</v>
      </c>
      <c r="T55" s="6" t="str">
        <f>INDEX(CaseType!$B:$B,MATCH($S55,CaseType!$A:$A,0))</f>
        <v>case_type3</v>
      </c>
      <c r="U55" s="6" t="b">
        <f>AND(IF($AA55="",TRUE,$S55=INDEX(CaseTypeCol!$B:$B,MATCH($AA55,CaseTypeCol!$A:$A,0))),IF($AH55="",TRUE,$S55=INDEX(CaseTypeCol!$B:$B,MATCH($AH55,CaseTypeCol!$A:$A,0))),IF($AO55="",TRUE,$S55=INDEX(CaseTypeCol!$B:$B,MATCH($AO55,CaseTypeCol!$A:$A,0))))</f>
        <v>0</v>
      </c>
      <c r="W55" t="s">
        <v>15</v>
      </c>
      <c r="X55" s="6" t="str">
        <f>INDEX(DataCollection!$B:$B,MATCH($W55,DataCollection!$A:$A,0))</f>
        <v>data_collection6</v>
      </c>
      <c r="Z55" s="14">
        <v>36526</v>
      </c>
      <c r="AA55" t="s">
        <v>145</v>
      </c>
      <c r="AB55" t="s">
        <v>663</v>
      </c>
      <c r="AC55" s="6" t="str">
        <f>IF($AA55="","",INDEX(CaseTypeCol!$G:$G,MATCH($AA55,CaseTypeCol!$A:$A,0)))</f>
        <v>case_type1_dim1_2_text</v>
      </c>
      <c r="AD55" s="6" t="b" cm="1">
        <f t="array" aca="1" ref="AD55" ca="1">IF($AA55="",TRUE,IF($J55="",FALSE,IF(INDIRECT("OrganizationAccessCasePolicy!J"&amp;$J55)="",FALSE,NOT(ISNA(MATCH(INDIRECT("OrganizationAccessCasePolicy!J"&amp;$J55)&amp;"|"&amp;$AA55,CaseTypeColSetMember!$H:$H,0))))))</f>
        <v>0</v>
      </c>
      <c r="AE55" s="6" t="b" cm="1">
        <f t="array" aca="1" ref="AE55" ca="1">IF($AA55="",TRUE,IF($J55="",FALSE,IF(INDIRECT("OrganizationAccessCasePolicy!L"&amp;$J55)="",FALSE,NOT(ISNA(MATCH(INDIRECT("OrganizationAccessCasePolicy!L"&amp;$J55)&amp;"|"&amp;$AA55,CaseTypeColSetMember!$H:$H,0))))))</f>
        <v>0</v>
      </c>
      <c r="AF55" s="6" t="b" cm="1">
        <f t="array" aca="1" ref="AF55" ca="1">IF($AA55="",TRUE,IF($N55="",FALSE,IF(INDIRECT("UserAccessCasePolicy!I"&amp;$N55)="",FALSE,NOT(ISNA(MATCH(INDIRECT("UserAccessCasePolicy!I"&amp;$N55)&amp;"|"&amp;$AA55,CaseTypeColSetMember!$H:$H,0))))))</f>
        <v>0</v>
      </c>
      <c r="AG55" s="6" t="b" cm="1">
        <f t="array" aca="1" ref="AG55" ca="1">IF($AA55="",TRUE,IF($N55="",FALSE,IF(INDIRECT("UserAccessCasePolicy!K"&amp;$N55)="",FALSE,NOT(ISNA(MATCH(INDIRECT("UserAccessCasePolicy!K"&amp;$N55)&amp;"|"&amp;$AA55,CaseTypeColSetMember!$H:$H,0))))))</f>
        <v>0</v>
      </c>
      <c r="AH55" t="s">
        <v>145</v>
      </c>
      <c r="AI55" t="s">
        <v>782</v>
      </c>
      <c r="AJ55" s="6" t="str">
        <f>IF($AH55="","",INDEX(CaseTypeCol!$G:$G,MATCH($AH55,CaseTypeCol!$A:$A,0)))</f>
        <v>case_type1_dim1_2_text</v>
      </c>
      <c r="AK55" s="6" t="b" cm="1">
        <f t="array" aca="1" ref="AK55" ca="1">IF($AH55="",TRUE,IF($J55="",FALSE,IF(INDIRECT("OrganizationAccessCasePolicy!J"&amp;$J55)="",FALSE,NOT(ISNA(MATCH(INDIRECT("OrganizationAccessCasePolicy!J"&amp;$J55)&amp;"|"&amp;$AH55,CaseTypeColSetMember!$H:$H,0))))))</f>
        <v>0</v>
      </c>
      <c r="AL55" s="6" t="b" cm="1">
        <f t="array" aca="1" ref="AL55" ca="1">IF($AH55="",TRUE,IF($J55="",FALSE,IF(INDIRECT("OrganizationAccessCasePolicy!L"&amp;$J55)="",FALSE,NOT(ISNA(MATCH(INDIRECT("OrganizationAccessCasePolicy!L"&amp;$J55)&amp;"|"&amp;$AH55,CaseTypeColSetMember!$H:$H,0))))))</f>
        <v>0</v>
      </c>
      <c r="AM55" s="6" t="b" cm="1">
        <f t="array" aca="1" ref="AM55" ca="1">IF($AH55="",TRUE,IF($N55="",FALSE,IF(INDIRECT("UserAccessCasePolicy!I"&amp;$N55)="",FALSE,NOT(ISNA(MATCH(INDIRECT("UserAccessCasePolicy!I"&amp;$N55)&amp;"|"&amp;$AH55,CaseTypeColSetMember!$H:$H,0))))))</f>
        <v>0</v>
      </c>
      <c r="AN55" s="6" t="b" cm="1">
        <f t="array" aca="1" ref="AN55" ca="1">IF($AH55="",TRUE,IF($N55="",FALSE,IF(INDIRECT("UserAccessCasePolicy!K"&amp;$N55)="",FALSE,NOT(ISNA(MATCH(INDIRECT("UserAccessCasePolicy!K"&amp;$N55)&amp;"|"&amp;$AH55,CaseTypeColSetMember!$H:$H,0))))))</f>
        <v>0</v>
      </c>
      <c r="AO55" t="s">
        <v>145</v>
      </c>
      <c r="AP55" t="s">
        <v>726</v>
      </c>
      <c r="AQ55" s="6" t="str">
        <f>IF($AO55="","",INDEX(CaseTypeCol!$G:$G,MATCH($AO55,CaseTypeCol!$A:$A,0)))</f>
        <v>case_type1_dim1_2_text</v>
      </c>
      <c r="AR55" s="6" t="b" cm="1">
        <f t="array" aca="1" ref="AR55" ca="1">IF($AO55="",TRUE,IF($J55="",FALSE,IF(INDIRECT("OrganizationAccessCasePolicy!J"&amp;$J55)="",FALSE,NOT(ISNA(MATCH(INDIRECT("OrganizationAccessCasePolicy!J"&amp;$J55)&amp;"|"&amp;$AO55,CaseTypeColSetMember!$H:$H,0))))))</f>
        <v>0</v>
      </c>
      <c r="AS55" s="6" t="b" cm="1">
        <f t="array" aca="1" ref="AS55" ca="1">IF($AO55="",TRUE,IF($J55="",FALSE,IF(INDIRECT("OrganizationAccessCasePolicy!L"&amp;$J55)="",FALSE,NOT(ISNA(MATCH(INDIRECT("OrganizationAccessCasePolicy!L"&amp;$J55)&amp;"|"&amp;$AO55,CaseTypeColSetMember!$H:$H,0))))))</f>
        <v>0</v>
      </c>
      <c r="AT55" s="6" t="b" cm="1">
        <f t="array" aca="1" ref="AT55" ca="1">IF($AO55="",TRUE,IF($N55="",FALSE,IF(INDIRECT("UserAccessCasePolicy!I"&amp;$N55)="",FALSE,NOT(ISNA(MATCH(INDIRECT("UserAccessCasePolicy!I"&amp;$N55)&amp;"|"&amp;$AO55,CaseTypeColSetMember!$H:$H,0))))))</f>
        <v>0</v>
      </c>
      <c r="AU55" s="6" t="b" cm="1">
        <f t="array" aca="1" ref="AU55" ca="1">IF($AO55="",TRUE,IF($N55="",FALSE,IF(INDIRECT("UserAccessCasePolicy!K"&amp;$N55)="",FALSE,NOT(ISNA(MATCH(INDIRECT("UserAccessCasePolicy!K"&amp;$N55)&amp;"|"&amp;$AO55,CaseTypeColSetMember!$H:$H,0))))))</f>
        <v>0</v>
      </c>
    </row>
    <row r="56" spans="1:47" ht="18.75" customHeight="1" x14ac:dyDescent="0.3">
      <c r="A56">
        <v>55</v>
      </c>
      <c r="B56" t="b">
        <v>1</v>
      </c>
      <c r="C56" t="s">
        <v>752</v>
      </c>
      <c r="D56" t="s">
        <v>10</v>
      </c>
      <c r="E56" s="6" t="str">
        <f>INDEX(User!$D:$D,MATCH($D56,User!$A:$A,0))</f>
        <v>org_user1_1</v>
      </c>
      <c r="F56" t="s">
        <v>721</v>
      </c>
      <c r="G56" s="19" t="b">
        <f t="shared" ca="1" si="0"/>
        <v>0</v>
      </c>
      <c r="H56" s="6" t="str">
        <f>INDEX(User!$G:$G,MATCH($D56,User!$A:$A,0))</f>
        <v>018d074d-ea0c-e942-07db-a3cc0ba1d653</v>
      </c>
      <c r="I56" s="6" t="b">
        <f>INDEX(User!$M:$M,MATCH($D56,User!$A:$A,0))</f>
        <v>0</v>
      </c>
      <c r="J56" s="6" t="str">
        <f>IF(ISNA(MATCH($H56&amp;"|"&amp;$W56,OrganizationAccessCasePolicy!$V:$V,0)),"",MATCH($H56&amp;"|"&amp;$W56,OrganizationAccessCasePolicy!$V:$V,0))</f>
        <v/>
      </c>
      <c r="K56" s="6" t="b" cm="1">
        <f t="array" aca="1" ref="K56" ca="1">IF($J56="",FALSE,NOT(ISNA(MATCH(INDIRECT("OrganizationAccessCasePolicy!D"&amp;$J56)&amp;"|"&amp;$S56,CaseTypeSetMember!$H:$H,0))))</f>
        <v>0</v>
      </c>
      <c r="L56" s="6" t="b" cm="1">
        <f t="array" aca="1" ref="L56" ca="1">IF($J56="",FALSE,AND(INDIRECT("OrganizationAccessCasePolicy!H"&amp;$J56),NOT(ISNA(MATCH(INDIRECT("OrganizationAccessCasePolicy!D"&amp;$J56)&amp;"|"&amp;$S56,CaseTypeSetMember!$H:$H,0)))))</f>
        <v>0</v>
      </c>
      <c r="M56" s="6" t="b" cm="1">
        <f t="array" aca="1" ref="M56" ca="1">IF($J56="",FALSE,AND(INDIRECT("OrganizationAccessCasePolicy!I"&amp;$J56),NOT(ISNA(MATCH(INDIRECT("OrganizationAccessCasePolicy!D"&amp;$J56)&amp;"|"&amp;$S56,CaseTypeSetMember!$H:$H,0)))))</f>
        <v>0</v>
      </c>
      <c r="N56" s="6" t="str">
        <f>IF(ISNA(MATCH($D56&amp;"|"&amp;$W56,UserAccessCasePolicy!$W:$W,0)),"",MATCH($D56&amp;"|"&amp;$W56,UserAccessCasePolicy!$W:$W,0))</f>
        <v/>
      </c>
      <c r="O56" s="6" t="b" cm="1">
        <f t="array" aca="1" ref="O56" ca="1">IF($N56="",FALSE,NOT(ISNA(MATCH(INDIRECT("UserAccessCasePolicy!D"&amp;$N56)&amp;"|"&amp;$S56,CaseTypeSetMember!$H:$H,0))))</f>
        <v>0</v>
      </c>
      <c r="P56" s="6" t="b" cm="1">
        <f t="array" aca="1" ref="P56" ca="1">IF($N56="",FALSE,AND(INDIRECT("UserAccessCasePolicy!G"&amp;$N56),NOT(ISNA(MATCH(INDIRECT("UserAccessCasePolicy!D"&amp;$N56)&amp;"|"&amp;$S56,CaseTypeSetMember!$H:$H,0)))))</f>
        <v>0</v>
      </c>
      <c r="Q56" s="6" t="b" cm="1">
        <f t="array" aca="1" ref="Q56" ca="1">IF($N56="",FALSE,AND(INDIRECT("UserAccessCasePolicy!H"&amp;$N56),NOT(ISNA(MATCH(INDIRECT("UserAccessCasePolicy!D"&amp;$N56)&amp;"|"&amp;$S56,CaseTypeSetMember!$H:$H,0)))))</f>
        <v>0</v>
      </c>
      <c r="R56" t="s">
        <v>753</v>
      </c>
      <c r="S56" t="s">
        <v>131</v>
      </c>
      <c r="T56" s="6" t="str">
        <f>INDEX(CaseType!$B:$B,MATCH($S56,CaseType!$A:$A,0))</f>
        <v>case_type4</v>
      </c>
      <c r="U56" s="6" t="b">
        <f>AND(IF($AA56="",TRUE,$S56=INDEX(CaseTypeCol!$B:$B,MATCH($AA56,CaseTypeCol!$A:$A,0))),IF($AH56="",TRUE,$S56=INDEX(CaseTypeCol!$B:$B,MATCH($AH56,CaseTypeCol!$A:$A,0))),IF($AO56="",TRUE,$S56=INDEX(CaseTypeCol!$B:$B,MATCH($AO56,CaseTypeCol!$A:$A,0))))</f>
        <v>0</v>
      </c>
      <c r="W56" t="s">
        <v>35</v>
      </c>
      <c r="X56" s="6" t="str">
        <f>INDEX(DataCollection!$B:$B,MATCH($W56,DataCollection!$A:$A,0))</f>
        <v>data_collection5</v>
      </c>
      <c r="Z56" s="14">
        <v>36526</v>
      </c>
      <c r="AA56" t="s">
        <v>148</v>
      </c>
      <c r="AB56" t="s">
        <v>663</v>
      </c>
      <c r="AC56" s="6" t="str">
        <f>IF($AA56="","",INDEX(CaseTypeCol!$G:$G,MATCH($AA56,CaseTypeCol!$A:$A,0)))</f>
        <v>case_type1_dim1_3_text</v>
      </c>
      <c r="AD56" s="6" t="b" cm="1">
        <f t="array" aca="1" ref="AD56" ca="1">IF($AA56="",TRUE,IF($J56="",FALSE,IF(INDIRECT("OrganizationAccessCasePolicy!J"&amp;$J56)="",FALSE,NOT(ISNA(MATCH(INDIRECT("OrganizationAccessCasePolicy!J"&amp;$J56)&amp;"|"&amp;$AA56,CaseTypeColSetMember!$H:$H,0))))))</f>
        <v>0</v>
      </c>
      <c r="AE56" s="6" t="b" cm="1">
        <f t="array" aca="1" ref="AE56" ca="1">IF($AA56="",TRUE,IF($J56="",FALSE,IF(INDIRECT("OrganizationAccessCasePolicy!L"&amp;$J56)="",FALSE,NOT(ISNA(MATCH(INDIRECT("OrganizationAccessCasePolicy!L"&amp;$J56)&amp;"|"&amp;$AA56,CaseTypeColSetMember!$H:$H,0))))))</f>
        <v>0</v>
      </c>
      <c r="AF56" s="6" t="b" cm="1">
        <f t="array" aca="1" ref="AF56" ca="1">IF($AA56="",TRUE,IF($N56="",FALSE,IF(INDIRECT("UserAccessCasePolicy!I"&amp;$N56)="",FALSE,NOT(ISNA(MATCH(INDIRECT("UserAccessCasePolicy!I"&amp;$N56)&amp;"|"&amp;$AA56,CaseTypeColSetMember!$H:$H,0))))))</f>
        <v>0</v>
      </c>
      <c r="AG56" s="6" t="b" cm="1">
        <f t="array" aca="1" ref="AG56" ca="1">IF($AA56="",TRUE,IF($N56="",FALSE,IF(INDIRECT("UserAccessCasePolicy!K"&amp;$N56)="",FALSE,NOT(ISNA(MATCH(INDIRECT("UserAccessCasePolicy!K"&amp;$N56)&amp;"|"&amp;$AA56,CaseTypeColSetMember!$H:$H,0))))))</f>
        <v>0</v>
      </c>
      <c r="AH56" t="s">
        <v>148</v>
      </c>
      <c r="AI56" t="s">
        <v>782</v>
      </c>
      <c r="AJ56" s="6" t="str">
        <f>IF($AH56="","",INDEX(CaseTypeCol!$G:$G,MATCH($AH56,CaseTypeCol!$A:$A,0)))</f>
        <v>case_type1_dim1_3_text</v>
      </c>
      <c r="AK56" s="6" t="b" cm="1">
        <f t="array" aca="1" ref="AK56" ca="1">IF($AH56="",TRUE,IF($J56="",FALSE,IF(INDIRECT("OrganizationAccessCasePolicy!J"&amp;$J56)="",FALSE,NOT(ISNA(MATCH(INDIRECT("OrganizationAccessCasePolicy!J"&amp;$J56)&amp;"|"&amp;$AH56,CaseTypeColSetMember!$H:$H,0))))))</f>
        <v>0</v>
      </c>
      <c r="AL56" s="6" t="b" cm="1">
        <f t="array" aca="1" ref="AL56" ca="1">IF($AH56="",TRUE,IF($J56="",FALSE,IF(INDIRECT("OrganizationAccessCasePolicy!L"&amp;$J56)="",FALSE,NOT(ISNA(MATCH(INDIRECT("OrganizationAccessCasePolicy!L"&amp;$J56)&amp;"|"&amp;$AH56,CaseTypeColSetMember!$H:$H,0))))))</f>
        <v>0</v>
      </c>
      <c r="AM56" s="6" t="b" cm="1">
        <f t="array" aca="1" ref="AM56" ca="1">IF($AH56="",TRUE,IF($N56="",FALSE,IF(INDIRECT("UserAccessCasePolicy!I"&amp;$N56)="",FALSE,NOT(ISNA(MATCH(INDIRECT("UserAccessCasePolicy!I"&amp;$N56)&amp;"|"&amp;$AH56,CaseTypeColSetMember!$H:$H,0))))))</f>
        <v>0</v>
      </c>
      <c r="AN56" s="6" t="b" cm="1">
        <f t="array" aca="1" ref="AN56" ca="1">IF($AH56="",TRUE,IF($N56="",FALSE,IF(INDIRECT("UserAccessCasePolicy!K"&amp;$N56)="",FALSE,NOT(ISNA(MATCH(INDIRECT("UserAccessCasePolicy!K"&amp;$N56)&amp;"|"&amp;$AH56,CaseTypeColSetMember!$H:$H,0))))))</f>
        <v>0</v>
      </c>
      <c r="AO56" t="s">
        <v>148</v>
      </c>
      <c r="AP56" t="s">
        <v>726</v>
      </c>
      <c r="AQ56" s="6" t="str">
        <f>IF($AO56="","",INDEX(CaseTypeCol!$G:$G,MATCH($AO56,CaseTypeCol!$A:$A,0)))</f>
        <v>case_type1_dim1_3_text</v>
      </c>
      <c r="AR56" s="6" t="b" cm="1">
        <f t="array" aca="1" ref="AR56" ca="1">IF($AO56="",TRUE,IF($J56="",FALSE,IF(INDIRECT("OrganizationAccessCasePolicy!J"&amp;$J56)="",FALSE,NOT(ISNA(MATCH(INDIRECT("OrganizationAccessCasePolicy!J"&amp;$J56)&amp;"|"&amp;$AO56,CaseTypeColSetMember!$H:$H,0))))))</f>
        <v>0</v>
      </c>
      <c r="AS56" s="6" t="b" cm="1">
        <f t="array" aca="1" ref="AS56" ca="1">IF($AO56="",TRUE,IF($J56="",FALSE,IF(INDIRECT("OrganizationAccessCasePolicy!L"&amp;$J56)="",FALSE,NOT(ISNA(MATCH(INDIRECT("OrganizationAccessCasePolicy!L"&amp;$J56)&amp;"|"&amp;$AO56,CaseTypeColSetMember!$H:$H,0))))))</f>
        <v>0</v>
      </c>
      <c r="AT56" s="6" t="b" cm="1">
        <f t="array" aca="1" ref="AT56" ca="1">IF($AO56="",TRUE,IF($N56="",FALSE,IF(INDIRECT("UserAccessCasePolicy!I"&amp;$N56)="",FALSE,NOT(ISNA(MATCH(INDIRECT("UserAccessCasePolicy!I"&amp;$N56)&amp;"|"&amp;$AO56,CaseTypeColSetMember!$H:$H,0))))))</f>
        <v>0</v>
      </c>
      <c r="AU56" s="6" t="b" cm="1">
        <f t="array" aca="1" ref="AU56" ca="1">IF($AO56="",TRUE,IF($N56="",FALSE,IF(INDIRECT("UserAccessCasePolicy!K"&amp;$N56)="",FALSE,NOT(ISNA(MATCH(INDIRECT("UserAccessCasePolicy!K"&amp;$N56)&amp;"|"&amp;$AO56,CaseTypeColSetMember!$H:$H,0))))))</f>
        <v>0</v>
      </c>
    </row>
    <row r="57" spans="1:47" ht="18.75" customHeight="1" x14ac:dyDescent="0.3">
      <c r="A57">
        <v>56</v>
      </c>
      <c r="B57" t="b">
        <v>1</v>
      </c>
      <c r="C57" t="s">
        <v>754</v>
      </c>
      <c r="D57" t="s">
        <v>12</v>
      </c>
      <c r="E57" s="6" t="str">
        <f>INDEX(User!$D:$D,MATCH($D57,User!$A:$A,0))</f>
        <v>org_user1_2</v>
      </c>
      <c r="F57" t="s">
        <v>721</v>
      </c>
      <c r="G57" s="19" t="b">
        <f t="shared" ca="1" si="0"/>
        <v>0</v>
      </c>
      <c r="H57" s="6" t="str">
        <f>INDEX(User!$G:$G,MATCH($D57,User!$A:$A,0))</f>
        <v>018d074d-ea0c-e942-07db-a3cc0ba1d653</v>
      </c>
      <c r="I57" s="6" t="b">
        <f>INDEX(User!$M:$M,MATCH($D57,User!$A:$A,0))</f>
        <v>0</v>
      </c>
      <c r="J57" s="6">
        <f>IF(ISNA(MATCH($H57&amp;"|"&amp;$W57,OrganizationAccessCasePolicy!$V:$V,0)),"",MATCH($H57&amp;"|"&amp;$W57,OrganizationAccessCasePolicy!$V:$V,0))</f>
        <v>2</v>
      </c>
      <c r="K57" s="6" t="b" cm="1">
        <f t="array" aca="1" ref="K57" ca="1">IF($J57="",FALSE,NOT(ISNA(MATCH(INDIRECT("OrganizationAccessCasePolicy!D"&amp;$J57)&amp;"|"&amp;$S57,CaseTypeSetMember!$H:$H,0))))</f>
        <v>0</v>
      </c>
      <c r="L57" s="6" t="b" cm="1">
        <f t="array" aca="1" ref="L57" ca="1">IF($J57="",FALSE,AND(INDIRECT("OrganizationAccessCasePolicy!H"&amp;$J57),NOT(ISNA(MATCH(INDIRECT("OrganizationAccessCasePolicy!D"&amp;$J57)&amp;"|"&amp;$S57,CaseTypeSetMember!$H:$H,0)))))</f>
        <v>0</v>
      </c>
      <c r="M57" s="6" t="b" cm="1">
        <f t="array" aca="1" ref="M57" ca="1">IF($J57="",FALSE,AND(INDIRECT("OrganizationAccessCasePolicy!I"&amp;$J57),NOT(ISNA(MATCH(INDIRECT("OrganizationAccessCasePolicy!D"&amp;$J57)&amp;"|"&amp;$S57,CaseTypeSetMember!$H:$H,0)))))</f>
        <v>0</v>
      </c>
      <c r="N57" s="6" t="str">
        <f>IF(ISNA(MATCH($D57&amp;"|"&amp;$W57,UserAccessCasePolicy!$W:$W,0)),"",MATCH($D57&amp;"|"&amp;$W57,UserAccessCasePolicy!$W:$W,0))</f>
        <v/>
      </c>
      <c r="O57" s="6" t="b" cm="1">
        <f t="array" aca="1" ref="O57" ca="1">IF($N57="",FALSE,NOT(ISNA(MATCH(INDIRECT("UserAccessCasePolicy!D"&amp;$N57)&amp;"|"&amp;$S57,CaseTypeSetMember!$H:$H,0))))</f>
        <v>0</v>
      </c>
      <c r="P57" s="6" t="b" cm="1">
        <f t="array" aca="1" ref="P57" ca="1">IF($N57="",FALSE,AND(INDIRECT("UserAccessCasePolicy!G"&amp;$N57),NOT(ISNA(MATCH(INDIRECT("UserAccessCasePolicy!D"&amp;$N57)&amp;"|"&amp;$S57,CaseTypeSetMember!$H:$H,0)))))</f>
        <v>0</v>
      </c>
      <c r="Q57" s="6" t="b" cm="1">
        <f t="array" aca="1" ref="Q57" ca="1">IF($N57="",FALSE,AND(INDIRECT("UserAccessCasePolicy!H"&amp;$N57),NOT(ISNA(MATCH(INDIRECT("UserAccessCasePolicy!D"&amp;$N57)&amp;"|"&amp;$S57,CaseTypeSetMember!$H:$H,0)))))</f>
        <v>0</v>
      </c>
      <c r="R57" t="s">
        <v>640</v>
      </c>
      <c r="S57" t="s">
        <v>123</v>
      </c>
      <c r="T57" s="6" t="str">
        <f>INDEX(CaseType!$B:$B,MATCH($S57,CaseType!$A:$A,0))</f>
        <v>case_type2</v>
      </c>
      <c r="U57" s="6" t="b">
        <f>AND(IF($AA57="",TRUE,$S57=INDEX(CaseTypeCol!$B:$B,MATCH($AA57,CaseTypeCol!$A:$A,0))),IF($AH57="",TRUE,$S57=INDEX(CaseTypeCol!$B:$B,MATCH($AH57,CaseTypeCol!$A:$A,0))),IF($AO57="",TRUE,$S57=INDEX(CaseTypeCol!$B:$B,MATCH($AO57,CaseTypeCol!$A:$A,0))))</f>
        <v>0</v>
      </c>
      <c r="W57" t="s">
        <v>11</v>
      </c>
      <c r="X57" s="6" t="str">
        <f>INDEX(DataCollection!$B:$B,MATCH($W57,DataCollection!$A:$A,0))</f>
        <v>data_collection1</v>
      </c>
      <c r="Z57" s="14">
        <v>36526</v>
      </c>
      <c r="AA57" t="s">
        <v>142</v>
      </c>
      <c r="AB57" t="s">
        <v>663</v>
      </c>
      <c r="AC57" s="6" t="str">
        <f>IF($AA57="","",INDEX(CaseTypeCol!$G:$G,MATCH($AA57,CaseTypeCol!$A:$A,0)))</f>
        <v>case_type1_dim1_1_text</v>
      </c>
      <c r="AD57" s="6" t="b" cm="1">
        <f t="array" aca="1" ref="AD57" ca="1">IF($AA57="",TRUE,IF($J57="",FALSE,IF(INDIRECT("OrganizationAccessCasePolicy!J"&amp;$J57)="",FALSE,NOT(ISNA(MATCH(INDIRECT("OrganizationAccessCasePolicy!J"&amp;$J57)&amp;"|"&amp;$AA57,CaseTypeColSetMember!$H:$H,0))))))</f>
        <v>1</v>
      </c>
      <c r="AE57" s="6" t="b" cm="1">
        <f t="array" aca="1" ref="AE57" ca="1">IF($AA57="",TRUE,IF($J57="",FALSE,IF(INDIRECT("OrganizationAccessCasePolicy!L"&amp;$J57)="",FALSE,NOT(ISNA(MATCH(INDIRECT("OrganizationAccessCasePolicy!L"&amp;$J57)&amp;"|"&amp;$AA57,CaseTypeColSetMember!$H:$H,0))))))</f>
        <v>1</v>
      </c>
      <c r="AF57" s="6" t="b" cm="1">
        <f t="array" aca="1" ref="AF57" ca="1">IF($AA57="",TRUE,IF($N57="",FALSE,IF(INDIRECT("UserAccessCasePolicy!I"&amp;$N57)="",FALSE,NOT(ISNA(MATCH(INDIRECT("UserAccessCasePolicy!I"&amp;$N57)&amp;"|"&amp;$AA57,CaseTypeColSetMember!$H:$H,0))))))</f>
        <v>0</v>
      </c>
      <c r="AG57" s="6" t="b" cm="1">
        <f t="array" aca="1" ref="AG57" ca="1">IF($AA57="",TRUE,IF($N57="",FALSE,IF(INDIRECT("UserAccessCasePolicy!K"&amp;$N57)="",FALSE,NOT(ISNA(MATCH(INDIRECT("UserAccessCasePolicy!K"&amp;$N57)&amp;"|"&amp;$AA57,CaseTypeColSetMember!$H:$H,0))))))</f>
        <v>0</v>
      </c>
      <c r="AJ57" s="6" t="str">
        <f>IF($AH57="","",INDEX(CaseTypeCol!$G:$G,MATCH($AH57,CaseTypeCol!$A:$A,0)))</f>
        <v/>
      </c>
      <c r="AK57" s="6" t="b" cm="1">
        <f t="array" aca="1" ref="AK57" ca="1">IF($AH57="",TRUE,IF($J57="",FALSE,IF(INDIRECT("OrganizationAccessCasePolicy!J"&amp;$J57)="",FALSE,NOT(ISNA(MATCH(INDIRECT("OrganizationAccessCasePolicy!J"&amp;$J57)&amp;"|"&amp;$AH57,CaseTypeColSetMember!$H:$H,0))))))</f>
        <v>1</v>
      </c>
      <c r="AL57" s="6" t="b" cm="1">
        <f t="array" aca="1" ref="AL57" ca="1">IF($AH57="",TRUE,IF($J57="",FALSE,IF(INDIRECT("OrganizationAccessCasePolicy!L"&amp;$J57)="",FALSE,NOT(ISNA(MATCH(INDIRECT("OrganizationAccessCasePolicy!L"&amp;$J57)&amp;"|"&amp;$AH57,CaseTypeColSetMember!$H:$H,0))))))</f>
        <v>1</v>
      </c>
      <c r="AM57" s="6" t="b" cm="1">
        <f t="array" aca="1" ref="AM57" ca="1">IF($AH57="",TRUE,IF($N57="",FALSE,IF(INDIRECT("UserAccessCasePolicy!I"&amp;$N57)="",FALSE,NOT(ISNA(MATCH(INDIRECT("UserAccessCasePolicy!I"&amp;$N57)&amp;"|"&amp;$AH57,CaseTypeColSetMember!$H:$H,0))))))</f>
        <v>1</v>
      </c>
      <c r="AN57" s="6" t="b" cm="1">
        <f t="array" aca="1" ref="AN57" ca="1">IF($AH57="",TRUE,IF($N57="",FALSE,IF(INDIRECT("UserAccessCasePolicy!K"&amp;$N57)="",FALSE,NOT(ISNA(MATCH(INDIRECT("UserAccessCasePolicy!K"&amp;$N57)&amp;"|"&amp;$AH57,CaseTypeColSetMember!$H:$H,0))))))</f>
        <v>1</v>
      </c>
      <c r="AO57" t="s">
        <v>145</v>
      </c>
      <c r="AP57" t="s">
        <v>744</v>
      </c>
      <c r="AQ57" s="6" t="str">
        <f>IF($AO57="","",INDEX(CaseTypeCol!$G:$G,MATCH($AO57,CaseTypeCol!$A:$A,0)))</f>
        <v>case_type1_dim1_2_text</v>
      </c>
      <c r="AR57" s="6" t="b" cm="1">
        <f t="array" aca="1" ref="AR57" ca="1">IF($AO57="",TRUE,IF($J57="",FALSE,IF(INDIRECT("OrganizationAccessCasePolicy!J"&amp;$J57)="",FALSE,NOT(ISNA(MATCH(INDIRECT("OrganizationAccessCasePolicy!J"&amp;$J57)&amp;"|"&amp;$AO57,CaseTypeColSetMember!$H:$H,0))))))</f>
        <v>0</v>
      </c>
      <c r="AS57" s="6" t="b" cm="1">
        <f t="array" aca="1" ref="AS57" ca="1">IF($AO57="",TRUE,IF($J57="",FALSE,IF(INDIRECT("OrganizationAccessCasePolicy!L"&amp;$J57)="",FALSE,NOT(ISNA(MATCH(INDIRECT("OrganizationAccessCasePolicy!L"&amp;$J57)&amp;"|"&amp;$AO57,CaseTypeColSetMember!$H:$H,0))))))</f>
        <v>0</v>
      </c>
      <c r="AT57" s="6" t="b" cm="1">
        <f t="array" aca="1" ref="AT57" ca="1">IF($AO57="",TRUE,IF($N57="",FALSE,IF(INDIRECT("UserAccessCasePolicy!I"&amp;$N57)="",FALSE,NOT(ISNA(MATCH(INDIRECT("UserAccessCasePolicy!I"&amp;$N57)&amp;"|"&amp;$AO57,CaseTypeColSetMember!$H:$H,0))))))</f>
        <v>0</v>
      </c>
      <c r="AU57" s="6" t="b" cm="1">
        <f t="array" aca="1" ref="AU57" ca="1">IF($AO57="",TRUE,IF($N57="",FALSE,IF(INDIRECT("UserAccessCasePolicy!K"&amp;$N57)="",FALSE,NOT(ISNA(MATCH(INDIRECT("UserAccessCasePolicy!K"&amp;$N57)&amp;"|"&amp;$AO57,CaseTypeColSetMember!$H:$H,0))))))</f>
        <v>0</v>
      </c>
    </row>
    <row r="58" spans="1:47" ht="18.75" customHeight="1" x14ac:dyDescent="0.3">
      <c r="A58">
        <v>57</v>
      </c>
      <c r="B58" t="b">
        <v>1</v>
      </c>
      <c r="C58" t="s">
        <v>755</v>
      </c>
      <c r="D58" t="s">
        <v>12</v>
      </c>
      <c r="E58" s="6" t="str">
        <f>INDEX(User!$D:$D,MATCH($D58,User!$A:$A,0))</f>
        <v>org_user1_2</v>
      </c>
      <c r="F58" t="s">
        <v>721</v>
      </c>
      <c r="G58" s="19" t="b">
        <f t="shared" ca="1" si="0"/>
        <v>0</v>
      </c>
      <c r="H58" s="6" t="str">
        <f>INDEX(User!$G:$G,MATCH($D58,User!$A:$A,0))</f>
        <v>018d074d-ea0c-e942-07db-a3cc0ba1d653</v>
      </c>
      <c r="I58" s="6" t="b">
        <f>INDEX(User!$M:$M,MATCH($D58,User!$A:$A,0))</f>
        <v>0</v>
      </c>
      <c r="J58" s="6" t="str">
        <f>IF(ISNA(MATCH($H58&amp;"|"&amp;$W58,OrganizationAccessCasePolicy!$V:$V,0)),"",MATCH($H58&amp;"|"&amp;$W58,OrganizationAccessCasePolicy!$V:$V,0))</f>
        <v/>
      </c>
      <c r="K58" s="6" t="b" cm="1">
        <f t="array" aca="1" ref="K58" ca="1">IF($J58="",FALSE,NOT(ISNA(MATCH(INDIRECT("OrganizationAccessCasePolicy!D"&amp;$J58)&amp;"|"&amp;$S58,CaseTypeSetMember!$H:$H,0))))</f>
        <v>0</v>
      </c>
      <c r="L58" s="6" t="b" cm="1">
        <f t="array" aca="1" ref="L58" ca="1">IF($J58="",FALSE,AND(INDIRECT("OrganizationAccessCasePolicy!H"&amp;$J58),NOT(ISNA(MATCH(INDIRECT("OrganizationAccessCasePolicy!D"&amp;$J58)&amp;"|"&amp;$S58,CaseTypeSetMember!$H:$H,0)))))</f>
        <v>0</v>
      </c>
      <c r="M58" s="6" t="b" cm="1">
        <f t="array" aca="1" ref="M58" ca="1">IF($J58="",FALSE,AND(INDIRECT("OrganizationAccessCasePolicy!I"&amp;$J58),NOT(ISNA(MATCH(INDIRECT("OrganizationAccessCasePolicy!D"&amp;$J58)&amp;"|"&amp;$S58,CaseTypeSetMember!$H:$H,0)))))</f>
        <v>0</v>
      </c>
      <c r="N58" s="6" t="str">
        <f>IF(ISNA(MATCH($D58&amp;"|"&amp;$W58,UserAccessCasePolicy!$W:$W,0)),"",MATCH($D58&amp;"|"&amp;$W58,UserAccessCasePolicy!$W:$W,0))</f>
        <v/>
      </c>
      <c r="O58" s="6" t="b" cm="1">
        <f t="array" aca="1" ref="O58" ca="1">IF($N58="",FALSE,NOT(ISNA(MATCH(INDIRECT("UserAccessCasePolicy!D"&amp;$N58)&amp;"|"&amp;$S58,CaseTypeSetMember!$H:$H,0))))</f>
        <v>0</v>
      </c>
      <c r="P58" s="6" t="b" cm="1">
        <f t="array" aca="1" ref="P58" ca="1">IF($N58="",FALSE,AND(INDIRECT("UserAccessCasePolicy!G"&amp;$N58),NOT(ISNA(MATCH(INDIRECT("UserAccessCasePolicy!D"&amp;$N58)&amp;"|"&amp;$S58,CaseTypeSetMember!$H:$H,0)))))</f>
        <v>0</v>
      </c>
      <c r="Q58" s="6" t="b" cm="1">
        <f t="array" aca="1" ref="Q58" ca="1">IF($N58="",FALSE,AND(INDIRECT("UserAccessCasePolicy!H"&amp;$N58),NOT(ISNA(MATCH(INDIRECT("UserAccessCasePolicy!D"&amp;$N58)&amp;"|"&amp;$S58,CaseTypeSetMember!$H:$H,0)))))</f>
        <v>0</v>
      </c>
      <c r="R58" t="s">
        <v>640</v>
      </c>
      <c r="S58" t="s">
        <v>123</v>
      </c>
      <c r="T58" s="6" t="str">
        <f>INDEX(CaseType!$B:$B,MATCH($S58,CaseType!$A:$A,0))</f>
        <v>case_type2</v>
      </c>
      <c r="U58" s="6" t="b">
        <f>AND(IF($AA58="",TRUE,$S58=INDEX(CaseTypeCol!$B:$B,MATCH($AA58,CaseTypeCol!$A:$A,0))),IF($AH58="",TRUE,$S58=INDEX(CaseTypeCol!$B:$B,MATCH($AH58,CaseTypeCol!$A:$A,0))),IF($AO58="",TRUE,$S58=INDEX(CaseTypeCol!$B:$B,MATCH($AO58,CaseTypeCol!$A:$A,0))))</f>
        <v>0</v>
      </c>
      <c r="W58" t="s">
        <v>17</v>
      </c>
      <c r="X58" s="6" t="str">
        <f>INDEX(DataCollection!$B:$B,MATCH($W58,DataCollection!$A:$A,0))</f>
        <v>data_collection2</v>
      </c>
      <c r="Z58" s="14">
        <v>36526</v>
      </c>
      <c r="AA58" t="s">
        <v>142</v>
      </c>
      <c r="AB58" t="s">
        <v>663</v>
      </c>
      <c r="AC58" s="6" t="str">
        <f>IF($AA58="","",INDEX(CaseTypeCol!$G:$G,MATCH($AA58,CaseTypeCol!$A:$A,0)))</f>
        <v>case_type1_dim1_1_text</v>
      </c>
      <c r="AD58" s="6" t="b" cm="1">
        <f t="array" aca="1" ref="AD58" ca="1">IF($AA58="",TRUE,IF($J58="",FALSE,IF(INDIRECT("OrganizationAccessCasePolicy!J"&amp;$J58)="",FALSE,NOT(ISNA(MATCH(INDIRECT("OrganizationAccessCasePolicy!J"&amp;$J58)&amp;"|"&amp;$AA58,CaseTypeColSetMember!$H:$H,0))))))</f>
        <v>0</v>
      </c>
      <c r="AE58" s="6" t="b" cm="1">
        <f t="array" aca="1" ref="AE58" ca="1">IF($AA58="",TRUE,IF($J58="",FALSE,IF(INDIRECT("OrganizationAccessCasePolicy!L"&amp;$J58)="",FALSE,NOT(ISNA(MATCH(INDIRECT("OrganizationAccessCasePolicy!L"&amp;$J58)&amp;"|"&amp;$AA58,CaseTypeColSetMember!$H:$H,0))))))</f>
        <v>0</v>
      </c>
      <c r="AF58" s="6" t="b" cm="1">
        <f t="array" aca="1" ref="AF58" ca="1">IF($AA58="",TRUE,IF($N58="",FALSE,IF(INDIRECT("UserAccessCasePolicy!I"&amp;$N58)="",FALSE,NOT(ISNA(MATCH(INDIRECT("UserAccessCasePolicy!I"&amp;$N58)&amp;"|"&amp;$AA58,CaseTypeColSetMember!$H:$H,0))))))</f>
        <v>0</v>
      </c>
      <c r="AG58" s="6" t="b" cm="1">
        <f t="array" aca="1" ref="AG58" ca="1">IF($AA58="",TRUE,IF($N58="",FALSE,IF(INDIRECT("UserAccessCasePolicy!K"&amp;$N58)="",FALSE,NOT(ISNA(MATCH(INDIRECT("UserAccessCasePolicy!K"&amp;$N58)&amp;"|"&amp;$AA58,CaseTypeColSetMember!$H:$H,0))))))</f>
        <v>0</v>
      </c>
      <c r="AJ58" s="6" t="str">
        <f>IF($AH58="","",INDEX(CaseTypeCol!$G:$G,MATCH($AH58,CaseTypeCol!$A:$A,0)))</f>
        <v/>
      </c>
      <c r="AK58" s="6" t="b" cm="1">
        <f t="array" aca="1" ref="AK58" ca="1">IF($AH58="",TRUE,IF($J58="",FALSE,IF(INDIRECT("OrganizationAccessCasePolicy!J"&amp;$J58)="",FALSE,NOT(ISNA(MATCH(INDIRECT("OrganizationAccessCasePolicy!J"&amp;$J58)&amp;"|"&amp;$AH58,CaseTypeColSetMember!$H:$H,0))))))</f>
        <v>1</v>
      </c>
      <c r="AL58" s="6" t="b" cm="1">
        <f t="array" aca="1" ref="AL58" ca="1">IF($AH58="",TRUE,IF($J58="",FALSE,IF(INDIRECT("OrganizationAccessCasePolicy!L"&amp;$J58)="",FALSE,NOT(ISNA(MATCH(INDIRECT("OrganizationAccessCasePolicy!L"&amp;$J58)&amp;"|"&amp;$AH58,CaseTypeColSetMember!$H:$H,0))))))</f>
        <v>1</v>
      </c>
      <c r="AM58" s="6" t="b" cm="1">
        <f t="array" aca="1" ref="AM58" ca="1">IF($AH58="",TRUE,IF($N58="",FALSE,IF(INDIRECT("UserAccessCasePolicy!I"&amp;$N58)="",FALSE,NOT(ISNA(MATCH(INDIRECT("UserAccessCasePolicy!I"&amp;$N58)&amp;"|"&amp;$AH58,CaseTypeColSetMember!$H:$H,0))))))</f>
        <v>1</v>
      </c>
      <c r="AN58" s="6" t="b" cm="1">
        <f t="array" aca="1" ref="AN58" ca="1">IF($AH58="",TRUE,IF($N58="",FALSE,IF(INDIRECT("UserAccessCasePolicy!K"&amp;$N58)="",FALSE,NOT(ISNA(MATCH(INDIRECT("UserAccessCasePolicy!K"&amp;$N58)&amp;"|"&amp;$AH58,CaseTypeColSetMember!$H:$H,0))))))</f>
        <v>1</v>
      </c>
      <c r="AO58" t="s">
        <v>145</v>
      </c>
      <c r="AP58" t="s">
        <v>744</v>
      </c>
      <c r="AQ58" s="6" t="str">
        <f>IF($AO58="","",INDEX(CaseTypeCol!$G:$G,MATCH($AO58,CaseTypeCol!$A:$A,0)))</f>
        <v>case_type1_dim1_2_text</v>
      </c>
      <c r="AR58" s="6" t="b" cm="1">
        <f t="array" aca="1" ref="AR58" ca="1">IF($AO58="",TRUE,IF($J58="",FALSE,IF(INDIRECT("OrganizationAccessCasePolicy!J"&amp;$J58)="",FALSE,NOT(ISNA(MATCH(INDIRECT("OrganizationAccessCasePolicy!J"&amp;$J58)&amp;"|"&amp;$AO58,CaseTypeColSetMember!$H:$H,0))))))</f>
        <v>0</v>
      </c>
      <c r="AS58" s="6" t="b" cm="1">
        <f t="array" aca="1" ref="AS58" ca="1">IF($AO58="",TRUE,IF($J58="",FALSE,IF(INDIRECT("OrganizationAccessCasePolicy!L"&amp;$J58)="",FALSE,NOT(ISNA(MATCH(INDIRECT("OrganizationAccessCasePolicy!L"&amp;$J58)&amp;"|"&amp;$AO58,CaseTypeColSetMember!$H:$H,0))))))</f>
        <v>0</v>
      </c>
      <c r="AT58" s="6" t="b" cm="1">
        <f t="array" aca="1" ref="AT58" ca="1">IF($AO58="",TRUE,IF($N58="",FALSE,IF(INDIRECT("UserAccessCasePolicy!I"&amp;$N58)="",FALSE,NOT(ISNA(MATCH(INDIRECT("UserAccessCasePolicy!I"&amp;$N58)&amp;"|"&amp;$AO58,CaseTypeColSetMember!$H:$H,0))))))</f>
        <v>0</v>
      </c>
      <c r="AU58" s="6" t="b" cm="1">
        <f t="array" aca="1" ref="AU58" ca="1">IF($AO58="",TRUE,IF($N58="",FALSE,IF(INDIRECT("UserAccessCasePolicy!K"&amp;$N58)="",FALSE,NOT(ISNA(MATCH(INDIRECT("UserAccessCasePolicy!K"&amp;$N58)&amp;"|"&amp;$AO58,CaseTypeColSetMember!$H:$H,0))))))</f>
        <v>0</v>
      </c>
    </row>
    <row r="59" spans="1:47" ht="18.75" customHeight="1" x14ac:dyDescent="0.3">
      <c r="A59">
        <v>58</v>
      </c>
      <c r="B59" t="b">
        <v>1</v>
      </c>
      <c r="C59" t="s">
        <v>756</v>
      </c>
      <c r="D59" t="s">
        <v>13</v>
      </c>
      <c r="E59" s="6" t="str">
        <f>INDEX(User!$D:$D,MATCH($D59,User!$A:$A,0))</f>
        <v>org_user1_3</v>
      </c>
      <c r="F59" t="s">
        <v>721</v>
      </c>
      <c r="G59" s="19" t="b">
        <f t="shared" ca="1" si="0"/>
        <v>0</v>
      </c>
      <c r="H59" s="6" t="str">
        <f>INDEX(User!$G:$G,MATCH($D59,User!$A:$A,0))</f>
        <v>018d074d-ea0c-e942-07db-a3cc0ba1d653</v>
      </c>
      <c r="I59" s="6" t="b">
        <f>INDEX(User!$M:$M,MATCH($D59,User!$A:$A,0))</f>
        <v>0</v>
      </c>
      <c r="J59" s="6">
        <f>IF(ISNA(MATCH($H59&amp;"|"&amp;$W59,OrganizationAccessCasePolicy!$V:$V,0)),"",MATCH($H59&amp;"|"&amp;$W59,OrganizationAccessCasePolicy!$V:$V,0))</f>
        <v>7</v>
      </c>
      <c r="K59" s="6" t="b" cm="1">
        <f t="array" aca="1" ref="K59" ca="1">IF($J59="",FALSE,NOT(ISNA(MATCH(INDIRECT("OrganizationAccessCasePolicy!D"&amp;$J59)&amp;"|"&amp;$S59,CaseTypeSetMember!$H:$H,0))))</f>
        <v>1</v>
      </c>
      <c r="L59" s="6" t="b" cm="1">
        <f t="array" aca="1" ref="L59" ca="1">IF($J59="",FALSE,AND(INDIRECT("OrganizationAccessCasePolicy!H"&amp;$J59),NOT(ISNA(MATCH(INDIRECT("OrganizationAccessCasePolicy!D"&amp;$J59)&amp;"|"&amp;$S59,CaseTypeSetMember!$H:$H,0)))))</f>
        <v>1</v>
      </c>
      <c r="M59" s="6" t="b" cm="1">
        <f t="array" aca="1" ref="M59" ca="1">IF($J59="",FALSE,AND(INDIRECT("OrganizationAccessCasePolicy!I"&amp;$J59),NOT(ISNA(MATCH(INDIRECT("OrganizationAccessCasePolicy!D"&amp;$J59)&amp;"|"&amp;$S59,CaseTypeSetMember!$H:$H,0)))))</f>
        <v>1</v>
      </c>
      <c r="N59" s="6" t="str">
        <f>IF(ISNA(MATCH($D59&amp;"|"&amp;$W59,UserAccessCasePolicy!$W:$W,0)),"",MATCH($D59&amp;"|"&amp;$W59,UserAccessCasePolicy!$W:$W,0))</f>
        <v/>
      </c>
      <c r="O59" s="6" t="b" cm="1">
        <f t="array" aca="1" ref="O59" ca="1">IF($N59="",FALSE,NOT(ISNA(MATCH(INDIRECT("UserAccessCasePolicy!D"&amp;$N59)&amp;"|"&amp;$S59,CaseTypeSetMember!$H:$H,0))))</f>
        <v>0</v>
      </c>
      <c r="P59" s="6" t="b" cm="1">
        <f t="array" aca="1" ref="P59" ca="1">IF($N59="",FALSE,AND(INDIRECT("UserAccessCasePolicy!G"&amp;$N59),NOT(ISNA(MATCH(INDIRECT("UserAccessCasePolicy!D"&amp;$N59)&amp;"|"&amp;$S59,CaseTypeSetMember!$H:$H,0)))))</f>
        <v>0</v>
      </c>
      <c r="Q59" s="6" t="b" cm="1">
        <f t="array" aca="1" ref="Q59" ca="1">IF($N59="",FALSE,AND(INDIRECT("UserAccessCasePolicy!H"&amp;$N59),NOT(ISNA(MATCH(INDIRECT("UserAccessCasePolicy!D"&amp;$N59)&amp;"|"&amp;$S59,CaseTypeSetMember!$H:$H,0)))))</f>
        <v>0</v>
      </c>
      <c r="R59" t="s">
        <v>641</v>
      </c>
      <c r="S59" t="s">
        <v>119</v>
      </c>
      <c r="T59" s="6" t="str">
        <f>INDEX(CaseType!$B:$B,MATCH($S59,CaseType!$A:$A,0))</f>
        <v>case_type1</v>
      </c>
      <c r="U59" s="6" t="b">
        <f>AND(IF($AA59="",TRUE,$S59=INDEX(CaseTypeCol!$B:$B,MATCH($AA59,CaseTypeCol!$A:$A,0))),IF($AH59="",TRUE,$S59=INDEX(CaseTypeCol!$B:$B,MATCH($AH59,CaseTypeCol!$A:$A,0))),IF($AO59="",TRUE,$S59=INDEX(CaseTypeCol!$B:$B,MATCH($AO59,CaseTypeCol!$A:$A,0))))</f>
        <v>1</v>
      </c>
      <c r="W59" t="s">
        <v>15</v>
      </c>
      <c r="X59" s="6" t="str">
        <f>INDEX(DataCollection!$B:$B,MATCH($W59,DataCollection!$A:$A,0))</f>
        <v>data_collection6</v>
      </c>
      <c r="Z59" s="14">
        <v>36526</v>
      </c>
      <c r="AA59" t="s">
        <v>142</v>
      </c>
      <c r="AB59" t="s">
        <v>663</v>
      </c>
      <c r="AC59" s="6" t="str">
        <f>IF($AA59="","",INDEX(CaseTypeCol!$G:$G,MATCH($AA59,CaseTypeCol!$A:$A,0)))</f>
        <v>case_type1_dim1_1_text</v>
      </c>
      <c r="AD59" s="6" t="b" cm="1">
        <f t="array" aca="1" ref="AD59" ca="1">IF($AA59="",TRUE,IF($J59="",FALSE,IF(INDIRECT("OrganizationAccessCasePolicy!J"&amp;$J59)="",FALSE,NOT(ISNA(MATCH(INDIRECT("OrganizationAccessCasePolicy!J"&amp;$J59)&amp;"|"&amp;$AA59,CaseTypeColSetMember!$H:$H,0))))))</f>
        <v>1</v>
      </c>
      <c r="AE59" s="6" t="b" cm="1">
        <f t="array" aca="1" ref="AE59" ca="1">IF($AA59="",TRUE,IF($J59="",FALSE,IF(INDIRECT("OrganizationAccessCasePolicy!L"&amp;$J59)="",FALSE,NOT(ISNA(MATCH(INDIRECT("OrganizationAccessCasePolicy!L"&amp;$J59)&amp;"|"&amp;$AA59,CaseTypeColSetMember!$H:$H,0))))))</f>
        <v>0</v>
      </c>
      <c r="AF59" s="6" t="b" cm="1">
        <f t="array" aca="1" ref="AF59" ca="1">IF($AA59="",TRUE,IF($N59="",FALSE,IF(INDIRECT("UserAccessCasePolicy!I"&amp;$N59)="",FALSE,NOT(ISNA(MATCH(INDIRECT("UserAccessCasePolicy!I"&amp;$N59)&amp;"|"&amp;$AA59,CaseTypeColSetMember!$H:$H,0))))))</f>
        <v>0</v>
      </c>
      <c r="AG59" s="6" t="b" cm="1">
        <f t="array" aca="1" ref="AG59" ca="1">IF($AA59="",TRUE,IF($N59="",FALSE,IF(INDIRECT("UserAccessCasePolicy!K"&amp;$N59)="",FALSE,NOT(ISNA(MATCH(INDIRECT("UserAccessCasePolicy!K"&amp;$N59)&amp;"|"&amp;$AA59,CaseTypeColSetMember!$H:$H,0))))))</f>
        <v>0</v>
      </c>
      <c r="AJ59" s="6" t="str">
        <f>IF($AH59="","",INDEX(CaseTypeCol!$G:$G,MATCH($AH59,CaseTypeCol!$A:$A,0)))</f>
        <v/>
      </c>
      <c r="AK59" s="6" t="b" cm="1">
        <f t="array" aca="1" ref="AK59" ca="1">IF($AH59="",TRUE,IF($J59="",FALSE,IF(INDIRECT("OrganizationAccessCasePolicy!J"&amp;$J59)="",FALSE,NOT(ISNA(MATCH(INDIRECT("OrganizationAccessCasePolicy!J"&amp;$J59)&amp;"|"&amp;$AH59,CaseTypeColSetMember!$H:$H,0))))))</f>
        <v>1</v>
      </c>
      <c r="AL59" s="6" t="b" cm="1">
        <f t="array" aca="1" ref="AL59" ca="1">IF($AH59="",TRUE,IF($J59="",FALSE,IF(INDIRECT("OrganizationAccessCasePolicy!L"&amp;$J59)="",FALSE,NOT(ISNA(MATCH(INDIRECT("OrganizationAccessCasePolicy!L"&amp;$J59)&amp;"|"&amp;$AH59,CaseTypeColSetMember!$H:$H,0))))))</f>
        <v>1</v>
      </c>
      <c r="AM59" s="6" t="b" cm="1">
        <f t="array" aca="1" ref="AM59" ca="1">IF($AH59="",TRUE,IF($N59="",FALSE,IF(INDIRECT("UserAccessCasePolicy!I"&amp;$N59)="",FALSE,NOT(ISNA(MATCH(INDIRECT("UserAccessCasePolicy!I"&amp;$N59)&amp;"|"&amp;$AH59,CaseTypeColSetMember!$H:$H,0))))))</f>
        <v>1</v>
      </c>
      <c r="AN59" s="6" t="b" cm="1">
        <f t="array" aca="1" ref="AN59" ca="1">IF($AH59="",TRUE,IF($N59="",FALSE,IF(INDIRECT("UserAccessCasePolicy!K"&amp;$N59)="",FALSE,NOT(ISNA(MATCH(INDIRECT("UserAccessCasePolicy!K"&amp;$N59)&amp;"|"&amp;$AH59,CaseTypeColSetMember!$H:$H,0))))))</f>
        <v>1</v>
      </c>
      <c r="AO59" t="s">
        <v>151</v>
      </c>
      <c r="AP59" t="s">
        <v>757</v>
      </c>
      <c r="AQ59" s="6" t="str">
        <f>IF($AO59="","",INDEX(CaseTypeCol!$G:$G,MATCH($AO59,CaseTypeCol!$A:$A,0)))</f>
        <v>case_type1_dim2_1_text</v>
      </c>
      <c r="AR59" s="6" t="b" cm="1">
        <f t="array" aca="1" ref="AR59" ca="1">IF($AO59="",TRUE,IF($J59="",FALSE,IF(INDIRECT("OrganizationAccessCasePolicy!J"&amp;$J59)="",FALSE,NOT(ISNA(MATCH(INDIRECT("OrganizationAccessCasePolicy!J"&amp;$J59)&amp;"|"&amp;$AO59,CaseTypeColSetMember!$H:$H,0))))))</f>
        <v>0</v>
      </c>
      <c r="AS59" s="6" t="b" cm="1">
        <f t="array" aca="1" ref="AS59" ca="1">IF($AO59="",TRUE,IF($J59="",FALSE,IF(INDIRECT("OrganizationAccessCasePolicy!L"&amp;$J59)="",FALSE,NOT(ISNA(MATCH(INDIRECT("OrganizationAccessCasePolicy!L"&amp;$J59)&amp;"|"&amp;$AO59,CaseTypeColSetMember!$H:$H,0))))))</f>
        <v>0</v>
      </c>
      <c r="AT59" s="6" t="b" cm="1">
        <f t="array" aca="1" ref="AT59" ca="1">IF($AO59="",TRUE,IF($N59="",FALSE,IF(INDIRECT("UserAccessCasePolicy!I"&amp;$N59)="",FALSE,NOT(ISNA(MATCH(INDIRECT("UserAccessCasePolicy!I"&amp;$N59)&amp;"|"&amp;$AO59,CaseTypeColSetMember!$H:$H,0))))))</f>
        <v>0</v>
      </c>
      <c r="AU59" s="6" t="b" cm="1">
        <f t="array" aca="1" ref="AU59" ca="1">IF($AO59="",TRUE,IF($N59="",FALSE,IF(INDIRECT("UserAccessCasePolicy!K"&amp;$N59)="",FALSE,NOT(ISNA(MATCH(INDIRECT("UserAccessCasePolicy!K"&amp;$N59)&amp;"|"&amp;$AO59,CaseTypeColSetMember!$H:$H,0))))))</f>
        <v>0</v>
      </c>
    </row>
    <row r="60" spans="1:47" ht="18.75" customHeight="1" x14ac:dyDescent="0.3">
      <c r="A60">
        <v>59</v>
      </c>
      <c r="B60" t="b">
        <v>1</v>
      </c>
      <c r="C60" t="s">
        <v>758</v>
      </c>
      <c r="D60" t="s">
        <v>22</v>
      </c>
      <c r="E60" s="6" t="str">
        <f>INDEX(User!$D:$D,MATCH($D60,User!$A:$A,0))</f>
        <v>org_user3_1</v>
      </c>
      <c r="F60" t="s">
        <v>721</v>
      </c>
      <c r="G60" s="19" t="b">
        <f t="shared" ca="1" si="0"/>
        <v>0</v>
      </c>
      <c r="H60" s="6" t="str">
        <f>INDEX(User!$G:$G,MATCH($D60,User!$A:$A,0))</f>
        <v>0195d18c-1c92-52b3-93e0-43dc1f2aa037</v>
      </c>
      <c r="I60" s="6" t="b">
        <f>INDEX(User!$M:$M,MATCH($D60,User!$A:$A,0))</f>
        <v>0</v>
      </c>
      <c r="J60" s="6">
        <f>IF(ISNA(MATCH($H60&amp;"|"&amp;$W60,OrganizationAccessCasePolicy!$V:$V,0)),"",MATCH($H60&amp;"|"&amp;$W60,OrganizationAccessCasePolicy!$V:$V,0))</f>
        <v>9</v>
      </c>
      <c r="K60" s="6" t="b" cm="1">
        <f t="array" aca="1" ref="K60" ca="1">IF($J60="",FALSE,NOT(ISNA(MATCH(INDIRECT("OrganizationAccessCasePolicy!D"&amp;$J60)&amp;"|"&amp;$S60,CaseTypeSetMember!$H:$H,0))))</f>
        <v>0</v>
      </c>
      <c r="L60" s="6" t="b" cm="1">
        <f t="array" aca="1" ref="L60" ca="1">IF($J60="",FALSE,AND(INDIRECT("OrganizationAccessCasePolicy!H"&amp;$J60),NOT(ISNA(MATCH(INDIRECT("OrganizationAccessCasePolicy!D"&amp;$J60)&amp;"|"&amp;$S60,CaseTypeSetMember!$H:$H,0)))))</f>
        <v>0</v>
      </c>
      <c r="M60" s="6" t="b" cm="1">
        <f t="array" aca="1" ref="M60" ca="1">IF($J60="",FALSE,AND(INDIRECT("OrganizationAccessCasePolicy!I"&amp;$J60),NOT(ISNA(MATCH(INDIRECT("OrganizationAccessCasePolicy!D"&amp;$J60)&amp;"|"&amp;$S60,CaseTypeSetMember!$H:$H,0)))))</f>
        <v>0</v>
      </c>
      <c r="N60" s="6">
        <f>IF(ISNA(MATCH($D60&amp;"|"&amp;$W60,UserAccessCasePolicy!$W:$W,0)),"",MATCH($D60&amp;"|"&amp;$W60,UserAccessCasePolicy!$W:$W,0))</f>
        <v>9</v>
      </c>
      <c r="O60" s="6" t="b" cm="1">
        <f t="array" aca="1" ref="O60" ca="1">IF($N60="",FALSE,NOT(ISNA(MATCH(INDIRECT("UserAccessCasePolicy!D"&amp;$N60)&amp;"|"&amp;$S60,CaseTypeSetMember!$H:$H,0))))</f>
        <v>0</v>
      </c>
      <c r="P60" s="6" t="b" cm="1">
        <f t="array" aca="1" ref="P60" ca="1">IF($N60="",FALSE,AND(INDIRECT("UserAccessCasePolicy!G"&amp;$N60),NOT(ISNA(MATCH(INDIRECT("UserAccessCasePolicy!D"&amp;$N60)&amp;"|"&amp;$S60,CaseTypeSetMember!$H:$H,0)))))</f>
        <v>0</v>
      </c>
      <c r="Q60" s="6" t="b" cm="1">
        <f t="array" aca="1" ref="Q60" ca="1">IF($N60="",FALSE,AND(INDIRECT("UserAccessCasePolicy!H"&amp;$N60),NOT(ISNA(MATCH(INDIRECT("UserAccessCasePolicy!D"&amp;$N60)&amp;"|"&amp;$S60,CaseTypeSetMember!$H:$H,0)))))</f>
        <v>0</v>
      </c>
      <c r="R60" t="s">
        <v>725</v>
      </c>
      <c r="S60" t="s">
        <v>119</v>
      </c>
      <c r="T60" s="6" t="str">
        <f>INDEX(CaseType!$B:$B,MATCH($S60,CaseType!$A:$A,0))</f>
        <v>case_type1</v>
      </c>
      <c r="U60" s="6" t="b">
        <f>AND(IF($AA60="",TRUE,$S60=INDEX(CaseTypeCol!$B:$B,MATCH($AA60,CaseTypeCol!$A:$A,0))),IF($AH60="",TRUE,$S60=INDEX(CaseTypeCol!$B:$B,MATCH($AH60,CaseTypeCol!$A:$A,0))),IF($AO60="",TRUE,$S60=INDEX(CaseTypeCol!$B:$B,MATCH($AO60,CaseTypeCol!$A:$A,0))))</f>
        <v>1</v>
      </c>
      <c r="W60" t="s">
        <v>27</v>
      </c>
      <c r="X60" s="6" t="str">
        <f>INDEX(DataCollection!$B:$B,MATCH($W60,DataCollection!$A:$A,0))</f>
        <v>data_collection8</v>
      </c>
      <c r="Z60" s="14">
        <v>36526</v>
      </c>
      <c r="AA60" t="s">
        <v>142</v>
      </c>
      <c r="AB60" t="s">
        <v>663</v>
      </c>
      <c r="AC60" s="6" t="str">
        <f>IF($AA60="","",INDEX(CaseTypeCol!$G:$G,MATCH($AA60,CaseTypeCol!$A:$A,0)))</f>
        <v>case_type1_dim1_1_text</v>
      </c>
      <c r="AD60" s="6" t="b" cm="1">
        <f t="array" aca="1" ref="AD60" ca="1">IF($AA60="",TRUE,IF($J60="",FALSE,IF(INDIRECT("OrganizationAccessCasePolicy!J"&amp;$J60)="",FALSE,NOT(ISNA(MATCH(INDIRECT("OrganizationAccessCasePolicy!J"&amp;$J60)&amp;"|"&amp;$AA60,CaseTypeColSetMember!$H:$H,0))))))</f>
        <v>0</v>
      </c>
      <c r="AE60" s="6" t="b" cm="1">
        <f t="array" aca="1" ref="AE60" ca="1">IF($AA60="",TRUE,IF($J60="",FALSE,IF(INDIRECT("OrganizationAccessCasePolicy!L"&amp;$J60)="",FALSE,NOT(ISNA(MATCH(INDIRECT("OrganizationAccessCasePolicy!L"&amp;$J60)&amp;"|"&amp;$AA60,CaseTypeColSetMember!$H:$H,0))))))</f>
        <v>0</v>
      </c>
      <c r="AF60" s="6" t="b" cm="1">
        <f t="array" aca="1" ref="AF60" ca="1">IF($AA60="",TRUE,IF($N60="",FALSE,IF(INDIRECT("UserAccessCasePolicy!I"&amp;$N60)="",FALSE,NOT(ISNA(MATCH(INDIRECT("UserAccessCasePolicy!I"&amp;$N60)&amp;"|"&amp;$AA60,CaseTypeColSetMember!$H:$H,0))))))</f>
        <v>0</v>
      </c>
      <c r="AG60" s="6" t="b" cm="1">
        <f t="array" aca="1" ref="AG60" ca="1">IF($AA60="",TRUE,IF($N60="",FALSE,IF(INDIRECT("UserAccessCasePolicy!K"&amp;$N60)="",FALSE,NOT(ISNA(MATCH(INDIRECT("UserAccessCasePolicy!K"&amp;$N60)&amp;"|"&amp;$AA60,CaseTypeColSetMember!$H:$H,0))))))</f>
        <v>0</v>
      </c>
      <c r="AI60" t="s">
        <v>780</v>
      </c>
      <c r="AJ60" s="6" t="str">
        <f>IF($AH60="","",INDEX(CaseTypeCol!$G:$G,MATCH($AH60,CaseTypeCol!$A:$A,0)))</f>
        <v/>
      </c>
      <c r="AK60" s="6" t="b" cm="1">
        <f t="array" aca="1" ref="AK60" ca="1">IF($AH60="",TRUE,IF($J60="",FALSE,IF(INDIRECT("OrganizationAccessCasePolicy!J"&amp;$J60)="",FALSE,NOT(ISNA(MATCH(INDIRECT("OrganizationAccessCasePolicy!J"&amp;$J60)&amp;"|"&amp;$AH60,CaseTypeColSetMember!$H:$H,0))))))</f>
        <v>1</v>
      </c>
      <c r="AL60" s="6" t="b" cm="1">
        <f t="array" aca="1" ref="AL60" ca="1">IF($AH60="",TRUE,IF($J60="",FALSE,IF(INDIRECT("OrganizationAccessCasePolicy!L"&amp;$J60)="",FALSE,NOT(ISNA(MATCH(INDIRECT("OrganizationAccessCasePolicy!L"&amp;$J60)&amp;"|"&amp;$AH60,CaseTypeColSetMember!$H:$H,0))))))</f>
        <v>1</v>
      </c>
      <c r="AM60" s="6" t="b" cm="1">
        <f t="array" aca="1" ref="AM60" ca="1">IF($AH60="",TRUE,IF($N60="",FALSE,IF(INDIRECT("UserAccessCasePolicy!I"&amp;$N60)="",FALSE,NOT(ISNA(MATCH(INDIRECT("UserAccessCasePolicy!I"&amp;$N60)&amp;"|"&amp;$AH60,CaseTypeColSetMember!$H:$H,0))))))</f>
        <v>1</v>
      </c>
      <c r="AN60" s="6" t="b" cm="1">
        <f t="array" aca="1" ref="AN60" ca="1">IF($AH60="",TRUE,IF($N60="",FALSE,IF(INDIRECT("UserAccessCasePolicy!K"&amp;$N60)="",FALSE,NOT(ISNA(MATCH(INDIRECT("UserAccessCasePolicy!K"&amp;$N60)&amp;"|"&amp;$AH60,CaseTypeColSetMember!$H:$H,0))))))</f>
        <v>1</v>
      </c>
      <c r="AQ60" s="6" t="str">
        <f>IF($AO60="","",INDEX(CaseTypeCol!$G:$G,MATCH($AO60,CaseTypeCol!$A:$A,0)))</f>
        <v/>
      </c>
      <c r="AR60" s="6" t="b" cm="1">
        <f t="array" aca="1" ref="AR60" ca="1">IF($AO60="",TRUE,IF($J60="",FALSE,IF(INDIRECT("OrganizationAccessCasePolicy!J"&amp;$J60)="",FALSE,NOT(ISNA(MATCH(INDIRECT("OrganizationAccessCasePolicy!J"&amp;$J60)&amp;"|"&amp;$AO60,CaseTypeColSetMember!$H:$H,0))))))</f>
        <v>1</v>
      </c>
      <c r="AS60" s="6" t="b" cm="1">
        <f t="array" aca="1" ref="AS60" ca="1">IF($AO60="",TRUE,IF($J60="",FALSE,IF(INDIRECT("OrganizationAccessCasePolicy!L"&amp;$J60)="",FALSE,NOT(ISNA(MATCH(INDIRECT("OrganizationAccessCasePolicy!L"&amp;$J60)&amp;"|"&amp;$AO60,CaseTypeColSetMember!$H:$H,0))))))</f>
        <v>1</v>
      </c>
      <c r="AT60" s="6" t="b" cm="1">
        <f t="array" aca="1" ref="AT60" ca="1">IF($AO60="",TRUE,IF($N60="",FALSE,IF(INDIRECT("UserAccessCasePolicy!I"&amp;$N60)="",FALSE,NOT(ISNA(MATCH(INDIRECT("UserAccessCasePolicy!I"&amp;$N60)&amp;"|"&amp;$AO60,CaseTypeColSetMember!$H:$H,0))))))</f>
        <v>1</v>
      </c>
      <c r="AU60" s="6" t="b" cm="1">
        <f t="array" aca="1" ref="AU60" ca="1">IF($AO60="",TRUE,IF($N60="",FALSE,IF(INDIRECT("UserAccessCasePolicy!K"&amp;$N60)="",FALSE,NOT(ISNA(MATCH(INDIRECT("UserAccessCasePolicy!K"&amp;$N60)&amp;"|"&amp;$AO60,CaseTypeColSetMember!$H:$H,0))))))</f>
        <v>1</v>
      </c>
    </row>
    <row r="61" spans="1:47" ht="18.75" customHeight="1" x14ac:dyDescent="0.3">
      <c r="A61">
        <v>60</v>
      </c>
      <c r="B61" t="b">
        <v>1</v>
      </c>
      <c r="C61" t="s">
        <v>759</v>
      </c>
      <c r="D61" t="s">
        <v>24</v>
      </c>
      <c r="E61" s="6" t="str">
        <f>INDEX(User!$D:$D,MATCH($D61,User!$A:$A,0))</f>
        <v>org_user3_2</v>
      </c>
      <c r="F61" t="s">
        <v>721</v>
      </c>
      <c r="G61" s="19" t="b">
        <f t="shared" ca="1" si="0"/>
        <v>0</v>
      </c>
      <c r="H61" s="6" t="str">
        <f>INDEX(User!$G:$G,MATCH($D61,User!$A:$A,0))</f>
        <v>0195d18c-1c92-52b3-93e0-43dc1f2aa037</v>
      </c>
      <c r="I61" s="6" t="b">
        <f>INDEX(User!$M:$M,MATCH($D61,User!$A:$A,0))</f>
        <v>0</v>
      </c>
      <c r="J61" s="6">
        <f>IF(ISNA(MATCH($H61&amp;"|"&amp;$W61,OrganizationAccessCasePolicy!$V:$V,0)),"",MATCH($H61&amp;"|"&amp;$W61,OrganizationAccessCasePolicy!$V:$V,0))</f>
        <v>9</v>
      </c>
      <c r="K61" s="6" t="b" cm="1">
        <f t="array" aca="1" ref="K61" ca="1">IF($J61="",FALSE,NOT(ISNA(MATCH(INDIRECT("OrganizationAccessCasePolicy!D"&amp;$J61)&amp;"|"&amp;$S61,CaseTypeSetMember!$H:$H,0))))</f>
        <v>0</v>
      </c>
      <c r="L61" s="6" t="b" cm="1">
        <f t="array" aca="1" ref="L61" ca="1">IF($J61="",FALSE,AND(INDIRECT("OrganizationAccessCasePolicy!H"&amp;$J61),NOT(ISNA(MATCH(INDIRECT("OrganizationAccessCasePolicy!D"&amp;$J61)&amp;"|"&amp;$S61,CaseTypeSetMember!$H:$H,0)))))</f>
        <v>0</v>
      </c>
      <c r="M61" s="6" t="b" cm="1">
        <f t="array" aca="1" ref="M61" ca="1">IF($J61="",FALSE,AND(INDIRECT("OrganizationAccessCasePolicy!I"&amp;$J61),NOT(ISNA(MATCH(INDIRECT("OrganizationAccessCasePolicy!D"&amp;$J61)&amp;"|"&amp;$S61,CaseTypeSetMember!$H:$H,0)))))</f>
        <v>0</v>
      </c>
      <c r="N61" s="6" t="str">
        <f>IF(ISNA(MATCH($D61&amp;"|"&amp;$W61,UserAccessCasePolicy!$W:$W,0)),"",MATCH($D61&amp;"|"&amp;$W61,UserAccessCasePolicy!$W:$W,0))</f>
        <v/>
      </c>
      <c r="O61" s="6" t="b" cm="1">
        <f t="array" aca="1" ref="O61" ca="1">IF($N61="",FALSE,NOT(ISNA(MATCH(INDIRECT("UserAccessCasePolicy!D"&amp;$N61)&amp;"|"&amp;$S61,CaseTypeSetMember!$H:$H,0))))</f>
        <v>0</v>
      </c>
      <c r="P61" s="6" t="b" cm="1">
        <f t="array" aca="1" ref="P61" ca="1">IF($N61="",FALSE,AND(INDIRECT("UserAccessCasePolicy!G"&amp;$N61),NOT(ISNA(MATCH(INDIRECT("UserAccessCasePolicy!D"&amp;$N61)&amp;"|"&amp;$S61,CaseTypeSetMember!$H:$H,0)))))</f>
        <v>0</v>
      </c>
      <c r="Q61" s="6" t="b" cm="1">
        <f t="array" aca="1" ref="Q61" ca="1">IF($N61="",FALSE,AND(INDIRECT("UserAccessCasePolicy!H"&amp;$N61),NOT(ISNA(MATCH(INDIRECT("UserAccessCasePolicy!D"&amp;$N61)&amp;"|"&amp;$S61,CaseTypeSetMember!$H:$H,0)))))</f>
        <v>0</v>
      </c>
      <c r="R61" t="s">
        <v>725</v>
      </c>
      <c r="S61" t="s">
        <v>119</v>
      </c>
      <c r="T61" s="6" t="str">
        <f>INDEX(CaseType!$B:$B,MATCH($S61,CaseType!$A:$A,0))</f>
        <v>case_type1</v>
      </c>
      <c r="U61" s="6" t="b">
        <f>AND(IF($AA61="",TRUE,$S61=INDEX(CaseTypeCol!$B:$B,MATCH($AA61,CaseTypeCol!$A:$A,0))),IF($AH61="",TRUE,$S61=INDEX(CaseTypeCol!$B:$B,MATCH($AH61,CaseTypeCol!$A:$A,0))),IF($AO61="",TRUE,$S61=INDEX(CaseTypeCol!$B:$B,MATCH($AO61,CaseTypeCol!$A:$A,0))))</f>
        <v>1</v>
      </c>
      <c r="W61" t="s">
        <v>27</v>
      </c>
      <c r="X61" s="6" t="str">
        <f>INDEX(DataCollection!$B:$B,MATCH($W61,DataCollection!$A:$A,0))</f>
        <v>data_collection8</v>
      </c>
      <c r="Z61" s="14">
        <v>36526</v>
      </c>
      <c r="AA61" t="s">
        <v>142</v>
      </c>
      <c r="AB61" t="s">
        <v>663</v>
      </c>
      <c r="AC61" s="6" t="str">
        <f>IF($AA61="","",INDEX(CaseTypeCol!$G:$G,MATCH($AA61,CaseTypeCol!$A:$A,0)))</f>
        <v>case_type1_dim1_1_text</v>
      </c>
      <c r="AD61" s="6" t="b" cm="1">
        <f t="array" aca="1" ref="AD61" ca="1">IF($AA61="",TRUE,IF($J61="",FALSE,IF(INDIRECT("OrganizationAccessCasePolicy!J"&amp;$J61)="",FALSE,NOT(ISNA(MATCH(INDIRECT("OrganizationAccessCasePolicy!J"&amp;$J61)&amp;"|"&amp;$AA61,CaseTypeColSetMember!$H:$H,0))))))</f>
        <v>0</v>
      </c>
      <c r="AE61" s="6" t="b" cm="1">
        <f t="array" aca="1" ref="AE61" ca="1">IF($AA61="",TRUE,IF($J61="",FALSE,IF(INDIRECT("OrganizationAccessCasePolicy!L"&amp;$J61)="",FALSE,NOT(ISNA(MATCH(INDIRECT("OrganizationAccessCasePolicy!L"&amp;$J61)&amp;"|"&amp;$AA61,CaseTypeColSetMember!$H:$H,0))))))</f>
        <v>0</v>
      </c>
      <c r="AF61" s="6" t="b" cm="1">
        <f t="array" aca="1" ref="AF61" ca="1">IF($AA61="",TRUE,IF($N61="",FALSE,IF(INDIRECT("UserAccessCasePolicy!I"&amp;$N61)="",FALSE,NOT(ISNA(MATCH(INDIRECT("UserAccessCasePolicy!I"&amp;$N61)&amp;"|"&amp;$AA61,CaseTypeColSetMember!$H:$H,0))))))</f>
        <v>0</v>
      </c>
      <c r="AG61" s="6" t="b" cm="1">
        <f t="array" aca="1" ref="AG61" ca="1">IF($AA61="",TRUE,IF($N61="",FALSE,IF(INDIRECT("UserAccessCasePolicy!K"&amp;$N61)="",FALSE,NOT(ISNA(MATCH(INDIRECT("UserAccessCasePolicy!K"&amp;$N61)&amp;"|"&amp;$AA61,CaseTypeColSetMember!$H:$H,0))))))</f>
        <v>0</v>
      </c>
      <c r="AI61" t="s">
        <v>780</v>
      </c>
      <c r="AJ61" s="6" t="str">
        <f>IF($AH61="","",INDEX(CaseTypeCol!$G:$G,MATCH($AH61,CaseTypeCol!$A:$A,0)))</f>
        <v/>
      </c>
      <c r="AK61" s="6" t="b" cm="1">
        <f t="array" aca="1" ref="AK61" ca="1">IF($AH61="",TRUE,IF($J61="",FALSE,IF(INDIRECT("OrganizationAccessCasePolicy!J"&amp;$J61)="",FALSE,NOT(ISNA(MATCH(INDIRECT("OrganizationAccessCasePolicy!J"&amp;$J61)&amp;"|"&amp;$AH61,CaseTypeColSetMember!$H:$H,0))))))</f>
        <v>1</v>
      </c>
      <c r="AL61" s="6" t="b" cm="1">
        <f t="array" aca="1" ref="AL61" ca="1">IF($AH61="",TRUE,IF($J61="",FALSE,IF(INDIRECT("OrganizationAccessCasePolicy!L"&amp;$J61)="",FALSE,NOT(ISNA(MATCH(INDIRECT("OrganizationAccessCasePolicy!L"&amp;$J61)&amp;"|"&amp;$AH61,CaseTypeColSetMember!$H:$H,0))))))</f>
        <v>1</v>
      </c>
      <c r="AM61" s="6" t="b" cm="1">
        <f t="array" aca="1" ref="AM61" ca="1">IF($AH61="",TRUE,IF($N61="",FALSE,IF(INDIRECT("UserAccessCasePolicy!I"&amp;$N61)="",FALSE,NOT(ISNA(MATCH(INDIRECT("UserAccessCasePolicy!I"&amp;$N61)&amp;"|"&amp;$AH61,CaseTypeColSetMember!$H:$H,0))))))</f>
        <v>1</v>
      </c>
      <c r="AN61" s="6" t="b" cm="1">
        <f t="array" aca="1" ref="AN61" ca="1">IF($AH61="",TRUE,IF($N61="",FALSE,IF(INDIRECT("UserAccessCasePolicy!K"&amp;$N61)="",FALSE,NOT(ISNA(MATCH(INDIRECT("UserAccessCasePolicy!K"&amp;$N61)&amp;"|"&amp;$AH61,CaseTypeColSetMember!$H:$H,0))))))</f>
        <v>1</v>
      </c>
      <c r="AQ61" s="6" t="str">
        <f>IF($AO61="","",INDEX(CaseTypeCol!$G:$G,MATCH($AO61,CaseTypeCol!$A:$A,0)))</f>
        <v/>
      </c>
      <c r="AR61" s="6" t="b" cm="1">
        <f t="array" aca="1" ref="AR61" ca="1">IF($AO61="",TRUE,IF($J61="",FALSE,IF(INDIRECT("OrganizationAccessCasePolicy!J"&amp;$J61)="",FALSE,NOT(ISNA(MATCH(INDIRECT("OrganizationAccessCasePolicy!J"&amp;$J61)&amp;"|"&amp;$AO61,CaseTypeColSetMember!$H:$H,0))))))</f>
        <v>1</v>
      </c>
      <c r="AS61" s="6" t="b" cm="1">
        <f t="array" aca="1" ref="AS61" ca="1">IF($AO61="",TRUE,IF($J61="",FALSE,IF(INDIRECT("OrganizationAccessCasePolicy!L"&amp;$J61)="",FALSE,NOT(ISNA(MATCH(INDIRECT("OrganizationAccessCasePolicy!L"&amp;$J61)&amp;"|"&amp;$AO61,CaseTypeColSetMember!$H:$H,0))))))</f>
        <v>1</v>
      </c>
      <c r="AT61" s="6" t="b" cm="1">
        <f t="array" aca="1" ref="AT61" ca="1">IF($AO61="",TRUE,IF($N61="",FALSE,IF(INDIRECT("UserAccessCasePolicy!I"&amp;$N61)="",FALSE,NOT(ISNA(MATCH(INDIRECT("UserAccessCasePolicy!I"&amp;$N61)&amp;"|"&amp;$AO61,CaseTypeColSetMember!$H:$H,0))))))</f>
        <v>1</v>
      </c>
      <c r="AU61" s="6" t="b" cm="1">
        <f t="array" aca="1" ref="AU61" ca="1">IF($AO61="",TRUE,IF($N61="",FALSE,IF(INDIRECT("UserAccessCasePolicy!K"&amp;$N61)="",FALSE,NOT(ISNA(MATCH(INDIRECT("UserAccessCasePolicy!K"&amp;$N61)&amp;"|"&amp;$AO61,CaseTypeColSetMember!$H:$H,0))))))</f>
        <v>1</v>
      </c>
    </row>
    <row r="62" spans="1:47" ht="18.75" customHeight="1" x14ac:dyDescent="0.3">
      <c r="A62">
        <v>61</v>
      </c>
      <c r="B62" t="b">
        <v>1</v>
      </c>
      <c r="C62" t="s">
        <v>760</v>
      </c>
      <c r="D62" t="s">
        <v>25</v>
      </c>
      <c r="E62" s="6" t="str">
        <f>INDEX(User!$D:$D,MATCH($D62,User!$A:$A,0))</f>
        <v>org_user3_3</v>
      </c>
      <c r="F62" t="s">
        <v>721</v>
      </c>
      <c r="G62" s="19" t="b">
        <f t="shared" ca="1" si="0"/>
        <v>0</v>
      </c>
      <c r="H62" s="6" t="str">
        <f>INDEX(User!$G:$G,MATCH($D62,User!$A:$A,0))</f>
        <v>0195d18c-1c92-52b3-93e0-43dc1f2aa037</v>
      </c>
      <c r="I62" s="6" t="b">
        <f>INDEX(User!$M:$M,MATCH($D62,User!$A:$A,0))</f>
        <v>0</v>
      </c>
      <c r="J62" s="6">
        <f>IF(ISNA(MATCH($H62&amp;"|"&amp;$W62,OrganizationAccessCasePolicy!$V:$V,0)),"",MATCH($H62&amp;"|"&amp;$W62,OrganizationAccessCasePolicy!$V:$V,0))</f>
        <v>9</v>
      </c>
      <c r="K62" s="6" t="b" cm="1">
        <f t="array" aca="1" ref="K62" ca="1">IF($J62="",FALSE,NOT(ISNA(MATCH(INDIRECT("OrganizationAccessCasePolicy!D"&amp;$J62)&amp;"|"&amp;$S62,CaseTypeSetMember!$H:$H,0))))</f>
        <v>0</v>
      </c>
      <c r="L62" s="6" t="b" cm="1">
        <f t="array" aca="1" ref="L62" ca="1">IF($J62="",FALSE,AND(INDIRECT("OrganizationAccessCasePolicy!H"&amp;$J62),NOT(ISNA(MATCH(INDIRECT("OrganizationAccessCasePolicy!D"&amp;$J62)&amp;"|"&amp;$S62,CaseTypeSetMember!$H:$H,0)))))</f>
        <v>0</v>
      </c>
      <c r="M62" s="6" t="b" cm="1">
        <f t="array" aca="1" ref="M62" ca="1">IF($J62="",FALSE,AND(INDIRECT("OrganizationAccessCasePolicy!I"&amp;$J62),NOT(ISNA(MATCH(INDIRECT("OrganizationAccessCasePolicy!D"&amp;$J62)&amp;"|"&amp;$S62,CaseTypeSetMember!$H:$H,0)))))</f>
        <v>0</v>
      </c>
      <c r="N62" s="6" t="str">
        <f>IF(ISNA(MATCH($D62&amp;"|"&amp;$W62,UserAccessCasePolicy!$W:$W,0)),"",MATCH($D62&amp;"|"&amp;$W62,UserAccessCasePolicy!$W:$W,0))</f>
        <v/>
      </c>
      <c r="O62" s="6" t="b" cm="1">
        <f t="array" aca="1" ref="O62" ca="1">IF($N62="",FALSE,NOT(ISNA(MATCH(INDIRECT("UserAccessCasePolicy!D"&amp;$N62)&amp;"|"&amp;$S62,CaseTypeSetMember!$H:$H,0))))</f>
        <v>0</v>
      </c>
      <c r="P62" s="6" t="b" cm="1">
        <f t="array" aca="1" ref="P62" ca="1">IF($N62="",FALSE,AND(INDIRECT("UserAccessCasePolicy!G"&amp;$N62),NOT(ISNA(MATCH(INDIRECT("UserAccessCasePolicy!D"&amp;$N62)&amp;"|"&amp;$S62,CaseTypeSetMember!$H:$H,0)))))</f>
        <v>0</v>
      </c>
      <c r="Q62" s="6" t="b" cm="1">
        <f t="array" aca="1" ref="Q62" ca="1">IF($N62="",FALSE,AND(INDIRECT("UserAccessCasePolicy!H"&amp;$N62),NOT(ISNA(MATCH(INDIRECT("UserAccessCasePolicy!D"&amp;$N62)&amp;"|"&amp;$S62,CaseTypeSetMember!$H:$H,0)))))</f>
        <v>0</v>
      </c>
      <c r="R62" t="s">
        <v>725</v>
      </c>
      <c r="S62" t="s">
        <v>119</v>
      </c>
      <c r="T62" s="6" t="str">
        <f>INDEX(CaseType!$B:$B,MATCH($S62,CaseType!$A:$A,0))</f>
        <v>case_type1</v>
      </c>
      <c r="U62" s="6" t="b">
        <f>AND(IF($AA62="",TRUE,$S62=INDEX(CaseTypeCol!$B:$B,MATCH($AA62,CaseTypeCol!$A:$A,0))),IF($AH62="",TRUE,$S62=INDEX(CaseTypeCol!$B:$B,MATCH($AH62,CaseTypeCol!$A:$A,0))),IF($AO62="",TRUE,$S62=INDEX(CaseTypeCol!$B:$B,MATCH($AO62,CaseTypeCol!$A:$A,0))))</f>
        <v>1</v>
      </c>
      <c r="W62" t="s">
        <v>27</v>
      </c>
      <c r="X62" s="6" t="str">
        <f>INDEX(DataCollection!$B:$B,MATCH($W62,DataCollection!$A:$A,0))</f>
        <v>data_collection8</v>
      </c>
      <c r="Z62" s="14">
        <v>36526</v>
      </c>
      <c r="AA62" t="s">
        <v>142</v>
      </c>
      <c r="AB62" t="s">
        <v>663</v>
      </c>
      <c r="AC62" s="6" t="str">
        <f>IF($AA62="","",INDEX(CaseTypeCol!$G:$G,MATCH($AA62,CaseTypeCol!$A:$A,0)))</f>
        <v>case_type1_dim1_1_text</v>
      </c>
      <c r="AD62" s="6" t="b" cm="1">
        <f t="array" aca="1" ref="AD62" ca="1">IF($AA62="",TRUE,IF($J62="",FALSE,IF(INDIRECT("OrganizationAccessCasePolicy!J"&amp;$J62)="",FALSE,NOT(ISNA(MATCH(INDIRECT("OrganizationAccessCasePolicy!J"&amp;$J62)&amp;"|"&amp;$AA62,CaseTypeColSetMember!$H:$H,0))))))</f>
        <v>0</v>
      </c>
      <c r="AE62" s="6" t="b" cm="1">
        <f t="array" aca="1" ref="AE62" ca="1">IF($AA62="",TRUE,IF($J62="",FALSE,IF(INDIRECT("OrganizationAccessCasePolicy!L"&amp;$J62)="",FALSE,NOT(ISNA(MATCH(INDIRECT("OrganizationAccessCasePolicy!L"&amp;$J62)&amp;"|"&amp;$AA62,CaseTypeColSetMember!$H:$H,0))))))</f>
        <v>0</v>
      </c>
      <c r="AF62" s="6" t="b" cm="1">
        <f t="array" aca="1" ref="AF62" ca="1">IF($AA62="",TRUE,IF($N62="",FALSE,IF(INDIRECT("UserAccessCasePolicy!I"&amp;$N62)="",FALSE,NOT(ISNA(MATCH(INDIRECT("UserAccessCasePolicy!I"&amp;$N62)&amp;"|"&amp;$AA62,CaseTypeColSetMember!$H:$H,0))))))</f>
        <v>0</v>
      </c>
      <c r="AG62" s="6" t="b" cm="1">
        <f t="array" aca="1" ref="AG62" ca="1">IF($AA62="",TRUE,IF($N62="",FALSE,IF(INDIRECT("UserAccessCasePolicy!K"&amp;$N62)="",FALSE,NOT(ISNA(MATCH(INDIRECT("UserAccessCasePolicy!K"&amp;$N62)&amp;"|"&amp;$AA62,CaseTypeColSetMember!$H:$H,0))))))</f>
        <v>0</v>
      </c>
      <c r="AI62" t="s">
        <v>780</v>
      </c>
      <c r="AJ62" s="6" t="str">
        <f>IF($AH62="","",INDEX(CaseTypeCol!$G:$G,MATCH($AH62,CaseTypeCol!$A:$A,0)))</f>
        <v/>
      </c>
      <c r="AK62" s="6" t="b" cm="1">
        <f t="array" aca="1" ref="AK62" ca="1">IF($AH62="",TRUE,IF($J62="",FALSE,IF(INDIRECT("OrganizationAccessCasePolicy!J"&amp;$J62)="",FALSE,NOT(ISNA(MATCH(INDIRECT("OrganizationAccessCasePolicy!J"&amp;$J62)&amp;"|"&amp;$AH62,CaseTypeColSetMember!$H:$H,0))))))</f>
        <v>1</v>
      </c>
      <c r="AL62" s="6" t="b" cm="1">
        <f t="array" aca="1" ref="AL62" ca="1">IF($AH62="",TRUE,IF($J62="",FALSE,IF(INDIRECT("OrganizationAccessCasePolicy!L"&amp;$J62)="",FALSE,NOT(ISNA(MATCH(INDIRECT("OrganizationAccessCasePolicy!L"&amp;$J62)&amp;"|"&amp;$AH62,CaseTypeColSetMember!$H:$H,0))))))</f>
        <v>1</v>
      </c>
      <c r="AM62" s="6" t="b" cm="1">
        <f t="array" aca="1" ref="AM62" ca="1">IF($AH62="",TRUE,IF($N62="",FALSE,IF(INDIRECT("UserAccessCasePolicy!I"&amp;$N62)="",FALSE,NOT(ISNA(MATCH(INDIRECT("UserAccessCasePolicy!I"&amp;$N62)&amp;"|"&amp;$AH62,CaseTypeColSetMember!$H:$H,0))))))</f>
        <v>1</v>
      </c>
      <c r="AN62" s="6" t="b" cm="1">
        <f t="array" aca="1" ref="AN62" ca="1">IF($AH62="",TRUE,IF($N62="",FALSE,IF(INDIRECT("UserAccessCasePolicy!K"&amp;$N62)="",FALSE,NOT(ISNA(MATCH(INDIRECT("UserAccessCasePolicy!K"&amp;$N62)&amp;"|"&amp;$AH62,CaseTypeColSetMember!$H:$H,0))))))</f>
        <v>1</v>
      </c>
      <c r="AQ62" s="6" t="str">
        <f>IF($AO62="","",INDEX(CaseTypeCol!$G:$G,MATCH($AO62,CaseTypeCol!$A:$A,0)))</f>
        <v/>
      </c>
      <c r="AR62" s="6" t="b" cm="1">
        <f t="array" aca="1" ref="AR62" ca="1">IF($AO62="",TRUE,IF($J62="",FALSE,IF(INDIRECT("OrganizationAccessCasePolicy!J"&amp;$J62)="",FALSE,NOT(ISNA(MATCH(INDIRECT("OrganizationAccessCasePolicy!J"&amp;$J62)&amp;"|"&amp;$AO62,CaseTypeColSetMember!$H:$H,0))))))</f>
        <v>1</v>
      </c>
      <c r="AS62" s="6" t="b" cm="1">
        <f t="array" aca="1" ref="AS62" ca="1">IF($AO62="",TRUE,IF($J62="",FALSE,IF(INDIRECT("OrganizationAccessCasePolicy!L"&amp;$J62)="",FALSE,NOT(ISNA(MATCH(INDIRECT("OrganizationAccessCasePolicy!L"&amp;$J62)&amp;"|"&amp;$AO62,CaseTypeColSetMember!$H:$H,0))))))</f>
        <v>1</v>
      </c>
      <c r="AT62" s="6" t="b" cm="1">
        <f t="array" aca="1" ref="AT62" ca="1">IF($AO62="",TRUE,IF($N62="",FALSE,IF(INDIRECT("UserAccessCasePolicy!I"&amp;$N62)="",FALSE,NOT(ISNA(MATCH(INDIRECT("UserAccessCasePolicy!I"&amp;$N62)&amp;"|"&amp;$AO62,CaseTypeColSetMember!$H:$H,0))))))</f>
        <v>1</v>
      </c>
      <c r="AU62" s="6" t="b" cm="1">
        <f t="array" aca="1" ref="AU62" ca="1">IF($AO62="",TRUE,IF($N62="",FALSE,IF(INDIRECT("UserAccessCasePolicy!K"&amp;$N62)="",FALSE,NOT(ISNA(MATCH(INDIRECT("UserAccessCasePolicy!K"&amp;$N62)&amp;"|"&amp;$AO62,CaseTypeColSetMember!$H:$H,0))))))</f>
        <v>1</v>
      </c>
    </row>
    <row r="63" spans="1:47" ht="18.75" customHeight="1" x14ac:dyDescent="0.3">
      <c r="A63">
        <v>62</v>
      </c>
      <c r="B63" t="b">
        <v>1</v>
      </c>
      <c r="C63" t="s">
        <v>761</v>
      </c>
      <c r="D63" t="s">
        <v>26</v>
      </c>
      <c r="E63" s="6" t="str">
        <f>INDEX(User!$D:$D,MATCH($D63,User!$A:$A,0))</f>
        <v>org_user3_4</v>
      </c>
      <c r="F63" t="s">
        <v>721</v>
      </c>
      <c r="G63" s="19" t="b">
        <f t="shared" ca="1" si="0"/>
        <v>0</v>
      </c>
      <c r="H63" s="6" t="str">
        <f>INDEX(User!$G:$G,MATCH($D63,User!$A:$A,0))</f>
        <v>0195d18c-1c92-52b3-93e0-43dc1f2aa037</v>
      </c>
      <c r="I63" s="6" t="b">
        <f>INDEX(User!$M:$M,MATCH($D63,User!$A:$A,0))</f>
        <v>0</v>
      </c>
      <c r="J63" s="6">
        <f>IF(ISNA(MATCH($H63&amp;"|"&amp;$W63,OrganizationAccessCasePolicy!$V:$V,0)),"",MATCH($H63&amp;"|"&amp;$W63,OrganizationAccessCasePolicy!$V:$V,0))</f>
        <v>9</v>
      </c>
      <c r="K63" s="6" t="b" cm="1">
        <f t="array" aca="1" ref="K63" ca="1">IF($J63="",FALSE,NOT(ISNA(MATCH(INDIRECT("OrganizationAccessCasePolicy!D"&amp;$J63)&amp;"|"&amp;$S63,CaseTypeSetMember!$H:$H,0))))</f>
        <v>0</v>
      </c>
      <c r="L63" s="6" t="b" cm="1">
        <f t="array" aca="1" ref="L63" ca="1">IF($J63="",FALSE,AND(INDIRECT("OrganizationAccessCasePolicy!H"&amp;$J63),NOT(ISNA(MATCH(INDIRECT("OrganizationAccessCasePolicy!D"&amp;$J63)&amp;"|"&amp;$S63,CaseTypeSetMember!$H:$H,0)))))</f>
        <v>0</v>
      </c>
      <c r="M63" s="6" t="b" cm="1">
        <f t="array" aca="1" ref="M63" ca="1">IF($J63="",FALSE,AND(INDIRECT("OrganizationAccessCasePolicy!I"&amp;$J63),NOT(ISNA(MATCH(INDIRECT("OrganizationAccessCasePolicy!D"&amp;$J63)&amp;"|"&amp;$S63,CaseTypeSetMember!$H:$H,0)))))</f>
        <v>0</v>
      </c>
      <c r="N63" s="6" t="str">
        <f>IF(ISNA(MATCH($D63&amp;"|"&amp;$W63,UserAccessCasePolicy!$W:$W,0)),"",MATCH($D63&amp;"|"&amp;$W63,UserAccessCasePolicy!$W:$W,0))</f>
        <v/>
      </c>
      <c r="O63" s="6" t="b" cm="1">
        <f t="array" aca="1" ref="O63" ca="1">IF($N63="",FALSE,NOT(ISNA(MATCH(INDIRECT("UserAccessCasePolicy!D"&amp;$N63)&amp;"|"&amp;$S63,CaseTypeSetMember!$H:$H,0))))</f>
        <v>0</v>
      </c>
      <c r="P63" s="6" t="b" cm="1">
        <f t="array" aca="1" ref="P63" ca="1">IF($N63="",FALSE,AND(INDIRECT("UserAccessCasePolicy!G"&amp;$N63),NOT(ISNA(MATCH(INDIRECT("UserAccessCasePolicy!D"&amp;$N63)&amp;"|"&amp;$S63,CaseTypeSetMember!$H:$H,0)))))</f>
        <v>0</v>
      </c>
      <c r="Q63" s="6" t="b" cm="1">
        <f t="array" aca="1" ref="Q63" ca="1">IF($N63="",FALSE,AND(INDIRECT("UserAccessCasePolicy!H"&amp;$N63),NOT(ISNA(MATCH(INDIRECT("UserAccessCasePolicy!D"&amp;$N63)&amp;"|"&amp;$S63,CaseTypeSetMember!$H:$H,0)))))</f>
        <v>0</v>
      </c>
      <c r="R63" t="s">
        <v>725</v>
      </c>
      <c r="S63" t="s">
        <v>119</v>
      </c>
      <c r="T63" s="6" t="str">
        <f>INDEX(CaseType!$B:$B,MATCH($S63,CaseType!$A:$A,0))</f>
        <v>case_type1</v>
      </c>
      <c r="U63" s="6" t="b">
        <f>AND(IF($AA63="",TRUE,$S63=INDEX(CaseTypeCol!$B:$B,MATCH($AA63,CaseTypeCol!$A:$A,0))),IF($AH63="",TRUE,$S63=INDEX(CaseTypeCol!$B:$B,MATCH($AH63,CaseTypeCol!$A:$A,0))),IF($AO63="",TRUE,$S63=INDEX(CaseTypeCol!$B:$B,MATCH($AO63,CaseTypeCol!$A:$A,0))))</f>
        <v>1</v>
      </c>
      <c r="W63" t="s">
        <v>27</v>
      </c>
      <c r="X63" s="6" t="str">
        <f>INDEX(DataCollection!$B:$B,MATCH($W63,DataCollection!$A:$A,0))</f>
        <v>data_collection8</v>
      </c>
      <c r="Z63" s="14">
        <v>36526</v>
      </c>
      <c r="AA63" t="s">
        <v>142</v>
      </c>
      <c r="AB63" t="s">
        <v>663</v>
      </c>
      <c r="AC63" s="6" t="str">
        <f>IF($AA63="","",INDEX(CaseTypeCol!$G:$G,MATCH($AA63,CaseTypeCol!$A:$A,0)))</f>
        <v>case_type1_dim1_1_text</v>
      </c>
      <c r="AD63" s="6" t="b" cm="1">
        <f t="array" aca="1" ref="AD63" ca="1">IF($AA63="",TRUE,IF($J63="",FALSE,IF(INDIRECT("OrganizationAccessCasePolicy!J"&amp;$J63)="",FALSE,NOT(ISNA(MATCH(INDIRECT("OrganizationAccessCasePolicy!J"&amp;$J63)&amp;"|"&amp;$AA63,CaseTypeColSetMember!$H:$H,0))))))</f>
        <v>0</v>
      </c>
      <c r="AE63" s="6" t="b" cm="1">
        <f t="array" aca="1" ref="AE63" ca="1">IF($AA63="",TRUE,IF($J63="",FALSE,IF(INDIRECT("OrganizationAccessCasePolicy!L"&amp;$J63)="",FALSE,NOT(ISNA(MATCH(INDIRECT("OrganizationAccessCasePolicy!L"&amp;$J63)&amp;"|"&amp;$AA63,CaseTypeColSetMember!$H:$H,0))))))</f>
        <v>0</v>
      </c>
      <c r="AF63" s="6" t="b" cm="1">
        <f t="array" aca="1" ref="AF63" ca="1">IF($AA63="",TRUE,IF($N63="",FALSE,IF(INDIRECT("UserAccessCasePolicy!I"&amp;$N63)="",FALSE,NOT(ISNA(MATCH(INDIRECT("UserAccessCasePolicy!I"&amp;$N63)&amp;"|"&amp;$AA63,CaseTypeColSetMember!$H:$H,0))))))</f>
        <v>0</v>
      </c>
      <c r="AG63" s="6" t="b" cm="1">
        <f t="array" aca="1" ref="AG63" ca="1">IF($AA63="",TRUE,IF($N63="",FALSE,IF(INDIRECT("UserAccessCasePolicy!K"&amp;$N63)="",FALSE,NOT(ISNA(MATCH(INDIRECT("UserAccessCasePolicy!K"&amp;$N63)&amp;"|"&amp;$AA63,CaseTypeColSetMember!$H:$H,0))))))</f>
        <v>0</v>
      </c>
      <c r="AI63" t="s">
        <v>780</v>
      </c>
      <c r="AJ63" s="6" t="str">
        <f>IF($AH63="","",INDEX(CaseTypeCol!$G:$G,MATCH($AH63,CaseTypeCol!$A:$A,0)))</f>
        <v/>
      </c>
      <c r="AK63" s="6" t="b" cm="1">
        <f t="array" aca="1" ref="AK63" ca="1">IF($AH63="",TRUE,IF($J63="",FALSE,IF(INDIRECT("OrganizationAccessCasePolicy!J"&amp;$J63)="",FALSE,NOT(ISNA(MATCH(INDIRECT("OrganizationAccessCasePolicy!J"&amp;$J63)&amp;"|"&amp;$AH63,CaseTypeColSetMember!$H:$H,0))))))</f>
        <v>1</v>
      </c>
      <c r="AL63" s="6" t="b" cm="1">
        <f t="array" aca="1" ref="AL63" ca="1">IF($AH63="",TRUE,IF($J63="",FALSE,IF(INDIRECT("OrganizationAccessCasePolicy!L"&amp;$J63)="",FALSE,NOT(ISNA(MATCH(INDIRECT("OrganizationAccessCasePolicy!L"&amp;$J63)&amp;"|"&amp;$AH63,CaseTypeColSetMember!$H:$H,0))))))</f>
        <v>1</v>
      </c>
      <c r="AM63" s="6" t="b" cm="1">
        <f t="array" aca="1" ref="AM63" ca="1">IF($AH63="",TRUE,IF($N63="",FALSE,IF(INDIRECT("UserAccessCasePolicy!I"&amp;$N63)="",FALSE,NOT(ISNA(MATCH(INDIRECT("UserAccessCasePolicy!I"&amp;$N63)&amp;"|"&amp;$AH63,CaseTypeColSetMember!$H:$H,0))))))</f>
        <v>1</v>
      </c>
      <c r="AN63" s="6" t="b" cm="1">
        <f t="array" aca="1" ref="AN63" ca="1">IF($AH63="",TRUE,IF($N63="",FALSE,IF(INDIRECT("UserAccessCasePolicy!K"&amp;$N63)="",FALSE,NOT(ISNA(MATCH(INDIRECT("UserAccessCasePolicy!K"&amp;$N63)&amp;"|"&amp;$AH63,CaseTypeColSetMember!$H:$H,0))))))</f>
        <v>1</v>
      </c>
      <c r="AQ63" s="6" t="str">
        <f>IF($AO63="","",INDEX(CaseTypeCol!$G:$G,MATCH($AO63,CaseTypeCol!$A:$A,0)))</f>
        <v/>
      </c>
      <c r="AR63" s="6" t="b" cm="1">
        <f t="array" aca="1" ref="AR63" ca="1">IF($AO63="",TRUE,IF($J63="",FALSE,IF(INDIRECT("OrganizationAccessCasePolicy!J"&amp;$J63)="",FALSE,NOT(ISNA(MATCH(INDIRECT("OrganizationAccessCasePolicy!J"&amp;$J63)&amp;"|"&amp;$AO63,CaseTypeColSetMember!$H:$H,0))))))</f>
        <v>1</v>
      </c>
      <c r="AS63" s="6" t="b" cm="1">
        <f t="array" aca="1" ref="AS63" ca="1">IF($AO63="",TRUE,IF($J63="",FALSE,IF(INDIRECT("OrganizationAccessCasePolicy!L"&amp;$J63)="",FALSE,NOT(ISNA(MATCH(INDIRECT("OrganizationAccessCasePolicy!L"&amp;$J63)&amp;"|"&amp;$AO63,CaseTypeColSetMember!$H:$H,0))))))</f>
        <v>1</v>
      </c>
      <c r="AT63" s="6" t="b" cm="1">
        <f t="array" aca="1" ref="AT63" ca="1">IF($AO63="",TRUE,IF($N63="",FALSE,IF(INDIRECT("UserAccessCasePolicy!I"&amp;$N63)="",FALSE,NOT(ISNA(MATCH(INDIRECT("UserAccessCasePolicy!I"&amp;$N63)&amp;"|"&amp;$AO63,CaseTypeColSetMember!$H:$H,0))))))</f>
        <v>1</v>
      </c>
      <c r="AU63" s="6" t="b" cm="1">
        <f t="array" aca="1" ref="AU63" ca="1">IF($AO63="",TRUE,IF($N63="",FALSE,IF(INDIRECT("UserAccessCasePolicy!K"&amp;$N63)="",FALSE,NOT(ISNA(MATCH(INDIRECT("UserAccessCasePolicy!K"&amp;$N63)&amp;"|"&amp;$AO63,CaseTypeColSetMember!$H:$H,0))))))</f>
        <v>1</v>
      </c>
    </row>
    <row r="64" spans="1:47" ht="18.75" customHeight="1" x14ac:dyDescent="0.3">
      <c r="A64">
        <v>63</v>
      </c>
      <c r="B64" t="b">
        <v>1</v>
      </c>
      <c r="C64" t="s">
        <v>762</v>
      </c>
      <c r="D64" t="s">
        <v>28</v>
      </c>
      <c r="E64" s="6" t="str">
        <f>INDEX(User!$D:$D,MATCH($D64,User!$A:$A,0))</f>
        <v>org_user4_1</v>
      </c>
      <c r="F64" t="s">
        <v>721</v>
      </c>
      <c r="G64" s="19" t="b">
        <f t="shared" ca="1" si="0"/>
        <v>0</v>
      </c>
      <c r="H64" s="6" t="str">
        <f>INDEX(User!$G:$G,MATCH($D64,User!$A:$A,0))</f>
        <v>0195d18c-1c92-d419-4c71-a570f428499b</v>
      </c>
      <c r="I64" s="6" t="b">
        <f>INDEX(User!$M:$M,MATCH($D64,User!$A:$A,0))</f>
        <v>0</v>
      </c>
      <c r="J64" s="6">
        <f>IF(ISNA(MATCH($H64&amp;"|"&amp;$W64,OrganizationAccessCasePolicy!$V:$V,0)),"",MATCH($H64&amp;"|"&amp;$W64,OrganizationAccessCasePolicy!$V:$V,0))</f>
        <v>10</v>
      </c>
      <c r="K64" s="6" t="b" cm="1">
        <f t="array" aca="1" ref="K64" ca="1">IF($J64="",FALSE,NOT(ISNA(MATCH(INDIRECT("OrganizationAccessCasePolicy!D"&amp;$J64)&amp;"|"&amp;$S64,CaseTypeSetMember!$H:$H,0))))</f>
        <v>0</v>
      </c>
      <c r="L64" s="6" t="b" cm="1">
        <f t="array" aca="1" ref="L64" ca="1">IF($J64="",FALSE,AND(INDIRECT("OrganizationAccessCasePolicy!H"&amp;$J64),NOT(ISNA(MATCH(INDIRECT("OrganizationAccessCasePolicy!D"&amp;$J64)&amp;"|"&amp;$S64,CaseTypeSetMember!$H:$H,0)))))</f>
        <v>0</v>
      </c>
      <c r="M64" s="6" t="b" cm="1">
        <f t="array" aca="1" ref="M64" ca="1">IF($J64="",FALSE,AND(INDIRECT("OrganizationAccessCasePolicy!I"&amp;$J64),NOT(ISNA(MATCH(INDIRECT("OrganizationAccessCasePolicy!D"&amp;$J64)&amp;"|"&amp;$S64,CaseTypeSetMember!$H:$H,0)))))</f>
        <v>0</v>
      </c>
      <c r="N64" s="6">
        <f>IF(ISNA(MATCH($D64&amp;"|"&amp;$W64,UserAccessCasePolicy!$W:$W,0)),"",MATCH($D64&amp;"|"&amp;$W64,UserAccessCasePolicy!$W:$W,0))</f>
        <v>10</v>
      </c>
      <c r="O64" s="6" t="b" cm="1">
        <f t="array" aca="1" ref="O64" ca="1">IF($N64="",FALSE,NOT(ISNA(MATCH(INDIRECT("UserAccessCasePolicy!D"&amp;$N64)&amp;"|"&amp;$S64,CaseTypeSetMember!$H:$H,0))))</f>
        <v>0</v>
      </c>
      <c r="P64" s="6" t="b" cm="1">
        <f t="array" aca="1" ref="P64" ca="1">IF($N64="",FALSE,AND(INDIRECT("UserAccessCasePolicy!G"&amp;$N64),NOT(ISNA(MATCH(INDIRECT("UserAccessCasePolicy!D"&amp;$N64)&amp;"|"&amp;$S64,CaseTypeSetMember!$H:$H,0)))))</f>
        <v>0</v>
      </c>
      <c r="Q64" s="6" t="b" cm="1">
        <f t="array" aca="1" ref="Q64" ca="1">IF($N64="",FALSE,AND(INDIRECT("UserAccessCasePolicy!H"&amp;$N64),NOT(ISNA(MATCH(INDIRECT("UserAccessCasePolicy!D"&amp;$N64)&amp;"|"&amp;$S64,CaseTypeSetMember!$H:$H,0)))))</f>
        <v>0</v>
      </c>
      <c r="R64" t="s">
        <v>651</v>
      </c>
      <c r="S64" t="s">
        <v>119</v>
      </c>
      <c r="T64" s="6" t="str">
        <f>INDEX(CaseType!$B:$B,MATCH($S64,CaseType!$A:$A,0))</f>
        <v>case_type1</v>
      </c>
      <c r="U64" s="6" t="b">
        <f>AND(IF($AA64="",TRUE,$S64=INDEX(CaseTypeCol!$B:$B,MATCH($AA64,CaseTypeCol!$A:$A,0))),IF($AH64="",TRUE,$S64=INDEX(CaseTypeCol!$B:$B,MATCH($AH64,CaseTypeCol!$A:$A,0))),IF($AO64="",TRUE,$S64=INDEX(CaseTypeCol!$B:$B,MATCH($AO64,CaseTypeCol!$A:$A,0))))</f>
        <v>1</v>
      </c>
      <c r="W64" t="s">
        <v>33</v>
      </c>
      <c r="X64" s="6" t="str">
        <f>INDEX(DataCollection!$B:$B,MATCH($W64,DataCollection!$A:$A,0))</f>
        <v>data_collection9</v>
      </c>
      <c r="Z64" s="14">
        <v>36526</v>
      </c>
      <c r="AA64" t="s">
        <v>142</v>
      </c>
      <c r="AB64" t="s">
        <v>663</v>
      </c>
      <c r="AC64" s="6" t="str">
        <f>IF($AA64="","",INDEX(CaseTypeCol!$G:$G,MATCH($AA64,CaseTypeCol!$A:$A,0)))</f>
        <v>case_type1_dim1_1_text</v>
      </c>
      <c r="AD64" s="6" t="b" cm="1">
        <f t="array" aca="1" ref="AD64" ca="1">IF($AA64="",TRUE,IF($J64="",FALSE,IF(INDIRECT("OrganizationAccessCasePolicy!J"&amp;$J64)="",FALSE,NOT(ISNA(MATCH(INDIRECT("OrganizationAccessCasePolicy!J"&amp;$J64)&amp;"|"&amp;$AA64,CaseTypeColSetMember!$H:$H,0))))))</f>
        <v>0</v>
      </c>
      <c r="AE64" s="6" t="b" cm="1">
        <f t="array" aca="1" ref="AE64" ca="1">IF($AA64="",TRUE,IF($J64="",FALSE,IF(INDIRECT("OrganizationAccessCasePolicy!L"&amp;$J64)="",FALSE,NOT(ISNA(MATCH(INDIRECT("OrganizationAccessCasePolicy!L"&amp;$J64)&amp;"|"&amp;$AA64,CaseTypeColSetMember!$H:$H,0))))))</f>
        <v>0</v>
      </c>
      <c r="AF64" s="6" t="b" cm="1">
        <f t="array" aca="1" ref="AF64" ca="1">IF($AA64="",TRUE,IF($N64="",FALSE,IF(INDIRECT("UserAccessCasePolicy!I"&amp;$N64)="",FALSE,NOT(ISNA(MATCH(INDIRECT("UserAccessCasePolicy!I"&amp;$N64)&amp;"|"&amp;$AA64,CaseTypeColSetMember!$H:$H,0))))))</f>
        <v>0</v>
      </c>
      <c r="AG64" s="6" t="b" cm="1">
        <f t="array" aca="1" ref="AG64" ca="1">IF($AA64="",TRUE,IF($N64="",FALSE,IF(INDIRECT("UserAccessCasePolicy!K"&amp;$N64)="",FALSE,NOT(ISNA(MATCH(INDIRECT("UserAccessCasePolicy!K"&amp;$N64)&amp;"|"&amp;$AA64,CaseTypeColSetMember!$H:$H,0))))))</f>
        <v>0</v>
      </c>
      <c r="AI64" t="s">
        <v>780</v>
      </c>
      <c r="AJ64" s="6" t="str">
        <f>IF($AH64="","",INDEX(CaseTypeCol!$G:$G,MATCH($AH64,CaseTypeCol!$A:$A,0)))</f>
        <v/>
      </c>
      <c r="AK64" s="6" t="b" cm="1">
        <f t="array" aca="1" ref="AK64" ca="1">IF($AH64="",TRUE,IF($J64="",FALSE,IF(INDIRECT("OrganizationAccessCasePolicy!J"&amp;$J64)="",FALSE,NOT(ISNA(MATCH(INDIRECT("OrganizationAccessCasePolicy!J"&amp;$J64)&amp;"|"&amp;$AH64,CaseTypeColSetMember!$H:$H,0))))))</f>
        <v>1</v>
      </c>
      <c r="AL64" s="6" t="b" cm="1">
        <f t="array" aca="1" ref="AL64" ca="1">IF($AH64="",TRUE,IF($J64="",FALSE,IF(INDIRECT("OrganizationAccessCasePolicy!L"&amp;$J64)="",FALSE,NOT(ISNA(MATCH(INDIRECT("OrganizationAccessCasePolicy!L"&amp;$J64)&amp;"|"&amp;$AH64,CaseTypeColSetMember!$H:$H,0))))))</f>
        <v>1</v>
      </c>
      <c r="AM64" s="6" t="b" cm="1">
        <f t="array" aca="1" ref="AM64" ca="1">IF($AH64="",TRUE,IF($N64="",FALSE,IF(INDIRECT("UserAccessCasePolicy!I"&amp;$N64)="",FALSE,NOT(ISNA(MATCH(INDIRECT("UserAccessCasePolicy!I"&amp;$N64)&amp;"|"&amp;$AH64,CaseTypeColSetMember!$H:$H,0))))))</f>
        <v>1</v>
      </c>
      <c r="AN64" s="6" t="b" cm="1">
        <f t="array" aca="1" ref="AN64" ca="1">IF($AH64="",TRUE,IF($N64="",FALSE,IF(INDIRECT("UserAccessCasePolicy!K"&amp;$N64)="",FALSE,NOT(ISNA(MATCH(INDIRECT("UserAccessCasePolicy!K"&amp;$N64)&amp;"|"&amp;$AH64,CaseTypeColSetMember!$H:$H,0))))))</f>
        <v>1</v>
      </c>
      <c r="AP64" t="s">
        <v>739</v>
      </c>
      <c r="AQ64" s="6" t="str">
        <f>IF($AO64="","",INDEX(CaseTypeCol!$G:$G,MATCH($AO64,CaseTypeCol!$A:$A,0)))</f>
        <v/>
      </c>
      <c r="AR64" s="6" t="b" cm="1">
        <f t="array" aca="1" ref="AR64" ca="1">IF($AO64="",TRUE,IF($J64="",FALSE,IF(INDIRECT("OrganizationAccessCasePolicy!J"&amp;$J64)="",FALSE,NOT(ISNA(MATCH(INDIRECT("OrganizationAccessCasePolicy!J"&amp;$J64)&amp;"|"&amp;$AO64,CaseTypeColSetMember!$H:$H,0))))))</f>
        <v>1</v>
      </c>
      <c r="AS64" s="6" t="b" cm="1">
        <f t="array" aca="1" ref="AS64" ca="1">IF($AO64="",TRUE,IF($J64="",FALSE,IF(INDIRECT("OrganizationAccessCasePolicy!L"&amp;$J64)="",FALSE,NOT(ISNA(MATCH(INDIRECT("OrganizationAccessCasePolicy!L"&amp;$J64)&amp;"|"&amp;$AO64,CaseTypeColSetMember!$H:$H,0))))))</f>
        <v>1</v>
      </c>
      <c r="AT64" s="6" t="b" cm="1">
        <f t="array" aca="1" ref="AT64" ca="1">IF($AO64="",TRUE,IF($N64="",FALSE,IF(INDIRECT("UserAccessCasePolicy!I"&amp;$N64)="",FALSE,NOT(ISNA(MATCH(INDIRECT("UserAccessCasePolicy!I"&amp;$N64)&amp;"|"&amp;$AO64,CaseTypeColSetMember!$H:$H,0))))))</f>
        <v>1</v>
      </c>
      <c r="AU64" s="6" t="b" cm="1">
        <f t="array" aca="1" ref="AU64" ca="1">IF($AO64="",TRUE,IF($N64="",FALSE,IF(INDIRECT("UserAccessCasePolicy!K"&amp;$N64)="",FALSE,NOT(ISNA(MATCH(INDIRECT("UserAccessCasePolicy!K"&amp;$N64)&amp;"|"&amp;$AO64,CaseTypeColSetMember!$H:$H,0))))))</f>
        <v>1</v>
      </c>
    </row>
    <row r="65" spans="1:47" ht="18.75" customHeight="1" x14ac:dyDescent="0.3">
      <c r="A65">
        <v>64</v>
      </c>
      <c r="B65" t="b">
        <v>1</v>
      </c>
      <c r="C65" t="s">
        <v>763</v>
      </c>
      <c r="D65" t="s">
        <v>30</v>
      </c>
      <c r="E65" s="6" t="str">
        <f>INDEX(User!$D:$D,MATCH($D65,User!$A:$A,0))</f>
        <v>org_user4_2</v>
      </c>
      <c r="F65" t="s">
        <v>721</v>
      </c>
      <c r="G65" s="19" t="b">
        <f t="shared" ca="1" si="0"/>
        <v>0</v>
      </c>
      <c r="H65" s="6" t="str">
        <f>INDEX(User!$G:$G,MATCH($D65,User!$A:$A,0))</f>
        <v>0195d18c-1c92-d419-4c71-a570f428499b</v>
      </c>
      <c r="I65" s="6" t="b">
        <f>INDEX(User!$M:$M,MATCH($D65,User!$A:$A,0))</f>
        <v>0</v>
      </c>
      <c r="J65" s="6">
        <f>IF(ISNA(MATCH($H65&amp;"|"&amp;$W65,OrganizationAccessCasePolicy!$V:$V,0)),"",MATCH($H65&amp;"|"&amp;$W65,OrganizationAccessCasePolicy!$V:$V,0))</f>
        <v>10</v>
      </c>
      <c r="K65" s="6" t="b" cm="1">
        <f t="array" aca="1" ref="K65" ca="1">IF($J65="",FALSE,NOT(ISNA(MATCH(INDIRECT("OrganizationAccessCasePolicy!D"&amp;$J65)&amp;"|"&amp;$S65,CaseTypeSetMember!$H:$H,0))))</f>
        <v>0</v>
      </c>
      <c r="L65" s="6" t="b" cm="1">
        <f t="array" aca="1" ref="L65" ca="1">IF($J65="",FALSE,AND(INDIRECT("OrganizationAccessCasePolicy!H"&amp;$J65),NOT(ISNA(MATCH(INDIRECT("OrganizationAccessCasePolicy!D"&amp;$J65)&amp;"|"&amp;$S65,CaseTypeSetMember!$H:$H,0)))))</f>
        <v>0</v>
      </c>
      <c r="M65" s="6" t="b" cm="1">
        <f t="array" aca="1" ref="M65" ca="1">IF($J65="",FALSE,AND(INDIRECT("OrganizationAccessCasePolicy!I"&amp;$J65),NOT(ISNA(MATCH(INDIRECT("OrganizationAccessCasePolicy!D"&amp;$J65)&amp;"|"&amp;$S65,CaseTypeSetMember!$H:$H,0)))))</f>
        <v>0</v>
      </c>
      <c r="N65" s="6" t="str">
        <f>IF(ISNA(MATCH($D65&amp;"|"&amp;$W65,UserAccessCasePolicy!$W:$W,0)),"",MATCH($D65&amp;"|"&amp;$W65,UserAccessCasePolicy!$W:$W,0))</f>
        <v/>
      </c>
      <c r="O65" s="6" t="b" cm="1">
        <f t="array" aca="1" ref="O65" ca="1">IF($N65="",FALSE,NOT(ISNA(MATCH(INDIRECT("UserAccessCasePolicy!D"&amp;$N65)&amp;"|"&amp;$S65,CaseTypeSetMember!$H:$H,0))))</f>
        <v>0</v>
      </c>
      <c r="P65" s="6" t="b" cm="1">
        <f t="array" aca="1" ref="P65" ca="1">IF($N65="",FALSE,AND(INDIRECT("UserAccessCasePolicy!G"&amp;$N65),NOT(ISNA(MATCH(INDIRECT("UserAccessCasePolicy!D"&amp;$N65)&amp;"|"&amp;$S65,CaseTypeSetMember!$H:$H,0)))))</f>
        <v>0</v>
      </c>
      <c r="Q65" s="6" t="b" cm="1">
        <f t="array" aca="1" ref="Q65" ca="1">IF($N65="",FALSE,AND(INDIRECT("UserAccessCasePolicy!H"&amp;$N65),NOT(ISNA(MATCH(INDIRECT("UserAccessCasePolicy!D"&amp;$N65)&amp;"|"&amp;$S65,CaseTypeSetMember!$H:$H,0)))))</f>
        <v>0</v>
      </c>
      <c r="R65" t="s">
        <v>652</v>
      </c>
      <c r="S65" t="s">
        <v>119</v>
      </c>
      <c r="T65" s="6" t="str">
        <f>INDEX(CaseType!$B:$B,MATCH($S65,CaseType!$A:$A,0))</f>
        <v>case_type1</v>
      </c>
      <c r="U65" s="6" t="b">
        <f>AND(IF($AA65="",TRUE,$S65=INDEX(CaseTypeCol!$B:$B,MATCH($AA65,CaseTypeCol!$A:$A,0))),IF($AH65="",TRUE,$S65=INDEX(CaseTypeCol!$B:$B,MATCH($AH65,CaseTypeCol!$A:$A,0))),IF($AO65="",TRUE,$S65=INDEX(CaseTypeCol!$B:$B,MATCH($AO65,CaseTypeCol!$A:$A,0))))</f>
        <v>1</v>
      </c>
      <c r="W65" t="s">
        <v>33</v>
      </c>
      <c r="X65" s="6" t="str">
        <f>INDEX(DataCollection!$B:$B,MATCH($W65,DataCollection!$A:$A,0))</f>
        <v>data_collection9</v>
      </c>
      <c r="Z65" s="14">
        <v>36526</v>
      </c>
      <c r="AA65" t="s">
        <v>142</v>
      </c>
      <c r="AB65" t="s">
        <v>663</v>
      </c>
      <c r="AC65" s="6" t="str">
        <f>IF($AA65="","",INDEX(CaseTypeCol!$G:$G,MATCH($AA65,CaseTypeCol!$A:$A,0)))</f>
        <v>case_type1_dim1_1_text</v>
      </c>
      <c r="AD65" s="6" t="b" cm="1">
        <f t="array" aca="1" ref="AD65" ca="1">IF($AA65="",TRUE,IF($J65="",FALSE,IF(INDIRECT("OrganizationAccessCasePolicy!J"&amp;$J65)="",FALSE,NOT(ISNA(MATCH(INDIRECT("OrganizationAccessCasePolicy!J"&amp;$J65)&amp;"|"&amp;$AA65,CaseTypeColSetMember!$H:$H,0))))))</f>
        <v>0</v>
      </c>
      <c r="AE65" s="6" t="b" cm="1">
        <f t="array" aca="1" ref="AE65" ca="1">IF($AA65="",TRUE,IF($J65="",FALSE,IF(INDIRECT("OrganizationAccessCasePolicy!L"&amp;$J65)="",FALSE,NOT(ISNA(MATCH(INDIRECT("OrganizationAccessCasePolicy!L"&amp;$J65)&amp;"|"&amp;$AA65,CaseTypeColSetMember!$H:$H,0))))))</f>
        <v>0</v>
      </c>
      <c r="AF65" s="6" t="b" cm="1">
        <f t="array" aca="1" ref="AF65" ca="1">IF($AA65="",TRUE,IF($N65="",FALSE,IF(INDIRECT("UserAccessCasePolicy!I"&amp;$N65)="",FALSE,NOT(ISNA(MATCH(INDIRECT("UserAccessCasePolicy!I"&amp;$N65)&amp;"|"&amp;$AA65,CaseTypeColSetMember!$H:$H,0))))))</f>
        <v>0</v>
      </c>
      <c r="AG65" s="6" t="b" cm="1">
        <f t="array" aca="1" ref="AG65" ca="1">IF($AA65="",TRUE,IF($N65="",FALSE,IF(INDIRECT("UserAccessCasePolicy!K"&amp;$N65)="",FALSE,NOT(ISNA(MATCH(INDIRECT("UserAccessCasePolicy!K"&amp;$N65)&amp;"|"&amp;$AA65,CaseTypeColSetMember!$H:$H,0))))))</f>
        <v>0</v>
      </c>
      <c r="AI65" t="s">
        <v>780</v>
      </c>
      <c r="AJ65" s="6" t="str">
        <f>IF($AH65="","",INDEX(CaseTypeCol!$G:$G,MATCH($AH65,CaseTypeCol!$A:$A,0)))</f>
        <v/>
      </c>
      <c r="AK65" s="6" t="b" cm="1">
        <f t="array" aca="1" ref="AK65" ca="1">IF($AH65="",TRUE,IF($J65="",FALSE,IF(INDIRECT("OrganizationAccessCasePolicy!J"&amp;$J65)="",FALSE,NOT(ISNA(MATCH(INDIRECT("OrganizationAccessCasePolicy!J"&amp;$J65)&amp;"|"&amp;$AH65,CaseTypeColSetMember!$H:$H,0))))))</f>
        <v>1</v>
      </c>
      <c r="AL65" s="6" t="b" cm="1">
        <f t="array" aca="1" ref="AL65" ca="1">IF($AH65="",TRUE,IF($J65="",FALSE,IF(INDIRECT("OrganizationAccessCasePolicy!L"&amp;$J65)="",FALSE,NOT(ISNA(MATCH(INDIRECT("OrganizationAccessCasePolicy!L"&amp;$J65)&amp;"|"&amp;$AH65,CaseTypeColSetMember!$H:$H,0))))))</f>
        <v>1</v>
      </c>
      <c r="AM65" s="6" t="b" cm="1">
        <f t="array" aca="1" ref="AM65" ca="1">IF($AH65="",TRUE,IF($N65="",FALSE,IF(INDIRECT("UserAccessCasePolicy!I"&amp;$N65)="",FALSE,NOT(ISNA(MATCH(INDIRECT("UserAccessCasePolicy!I"&amp;$N65)&amp;"|"&amp;$AH65,CaseTypeColSetMember!$H:$H,0))))))</f>
        <v>1</v>
      </c>
      <c r="AN65" s="6" t="b" cm="1">
        <f t="array" aca="1" ref="AN65" ca="1">IF($AH65="",TRUE,IF($N65="",FALSE,IF(INDIRECT("UserAccessCasePolicy!K"&amp;$N65)="",FALSE,NOT(ISNA(MATCH(INDIRECT("UserAccessCasePolicy!K"&amp;$N65)&amp;"|"&amp;$AH65,CaseTypeColSetMember!$H:$H,0))))))</f>
        <v>1</v>
      </c>
      <c r="AP65" t="s">
        <v>739</v>
      </c>
      <c r="AQ65" s="6" t="str">
        <f>IF($AO65="","",INDEX(CaseTypeCol!$G:$G,MATCH($AO65,CaseTypeCol!$A:$A,0)))</f>
        <v/>
      </c>
      <c r="AR65" s="6" t="b" cm="1">
        <f t="array" aca="1" ref="AR65" ca="1">IF($AO65="",TRUE,IF($J65="",FALSE,IF(INDIRECT("OrganizationAccessCasePolicy!J"&amp;$J65)="",FALSE,NOT(ISNA(MATCH(INDIRECT("OrganizationAccessCasePolicy!J"&amp;$J65)&amp;"|"&amp;$AO65,CaseTypeColSetMember!$H:$H,0))))))</f>
        <v>1</v>
      </c>
      <c r="AS65" s="6" t="b" cm="1">
        <f t="array" aca="1" ref="AS65" ca="1">IF($AO65="",TRUE,IF($J65="",FALSE,IF(INDIRECT("OrganizationAccessCasePolicy!L"&amp;$J65)="",FALSE,NOT(ISNA(MATCH(INDIRECT("OrganizationAccessCasePolicy!L"&amp;$J65)&amp;"|"&amp;$AO65,CaseTypeColSetMember!$H:$H,0))))))</f>
        <v>1</v>
      </c>
      <c r="AT65" s="6" t="b" cm="1">
        <f t="array" aca="1" ref="AT65" ca="1">IF($AO65="",TRUE,IF($N65="",FALSE,IF(INDIRECT("UserAccessCasePolicy!I"&amp;$N65)="",FALSE,NOT(ISNA(MATCH(INDIRECT("UserAccessCasePolicy!I"&amp;$N65)&amp;"|"&amp;$AO65,CaseTypeColSetMember!$H:$H,0))))))</f>
        <v>1</v>
      </c>
      <c r="AU65" s="6" t="b" cm="1">
        <f t="array" aca="1" ref="AU65" ca="1">IF($AO65="",TRUE,IF($N65="",FALSE,IF(INDIRECT("UserAccessCasePolicy!K"&amp;$N65)="",FALSE,NOT(ISNA(MATCH(INDIRECT("UserAccessCasePolicy!K"&amp;$N65)&amp;"|"&amp;$AO65,CaseTypeColSetMember!$H:$H,0))))))</f>
        <v>1</v>
      </c>
    </row>
    <row r="66" spans="1:47" ht="18.75" customHeight="1" x14ac:dyDescent="0.3">
      <c r="A66">
        <v>65</v>
      </c>
      <c r="B66" t="b">
        <v>1</v>
      </c>
      <c r="C66" t="s">
        <v>764</v>
      </c>
      <c r="D66" t="s">
        <v>31</v>
      </c>
      <c r="E66" s="6" t="str">
        <f>INDEX(User!$D:$D,MATCH($D66,User!$A:$A,0))</f>
        <v>org_user4_3</v>
      </c>
      <c r="F66" t="s">
        <v>721</v>
      </c>
      <c r="G66" s="19" t="b">
        <f t="shared" ref="G66:G75" ca="1" si="1">IF($F66="CREATE",$I66,IF($F66="CREATE_CASES",OR($I66,AND($K66,$L66,$O66,$P66,$AE66,AG66,$AL66,$AN66,$AS66,$AU66)),"TBD"))</f>
        <v>0</v>
      </c>
      <c r="H66" s="6" t="str">
        <f>INDEX(User!$G:$G,MATCH($D66,User!$A:$A,0))</f>
        <v>0195d18c-1c92-d419-4c71-a570f428499b</v>
      </c>
      <c r="I66" s="6" t="b">
        <f>INDEX(User!$M:$M,MATCH($D66,User!$A:$A,0))</f>
        <v>0</v>
      </c>
      <c r="J66" s="6">
        <f>IF(ISNA(MATCH($H66&amp;"|"&amp;$W66,OrganizationAccessCasePolicy!$V:$V,0)),"",MATCH($H66&amp;"|"&amp;$W66,OrganizationAccessCasePolicy!$V:$V,0))</f>
        <v>10</v>
      </c>
      <c r="K66" s="6" t="b" cm="1">
        <f t="array" aca="1" ref="K66" ca="1">IF($J66="",FALSE,NOT(ISNA(MATCH(INDIRECT("OrganizationAccessCasePolicy!D"&amp;$J66)&amp;"|"&amp;$S66,CaseTypeSetMember!$H:$H,0))))</f>
        <v>0</v>
      </c>
      <c r="L66" s="6" t="b" cm="1">
        <f t="array" aca="1" ref="L66" ca="1">IF($J66="",FALSE,AND(INDIRECT("OrganizationAccessCasePolicy!H"&amp;$J66),NOT(ISNA(MATCH(INDIRECT("OrganizationAccessCasePolicy!D"&amp;$J66)&amp;"|"&amp;$S66,CaseTypeSetMember!$H:$H,0)))))</f>
        <v>0</v>
      </c>
      <c r="M66" s="6" t="b" cm="1">
        <f t="array" aca="1" ref="M66" ca="1">IF($J66="",FALSE,AND(INDIRECT("OrganizationAccessCasePolicy!I"&amp;$J66),NOT(ISNA(MATCH(INDIRECT("OrganizationAccessCasePolicy!D"&amp;$J66)&amp;"|"&amp;$S66,CaseTypeSetMember!$H:$H,0)))))</f>
        <v>0</v>
      </c>
      <c r="N66" s="6" t="str">
        <f>IF(ISNA(MATCH($D66&amp;"|"&amp;$W66,UserAccessCasePolicy!$W:$W,0)),"",MATCH($D66&amp;"|"&amp;$W66,UserAccessCasePolicy!$W:$W,0))</f>
        <v/>
      </c>
      <c r="O66" s="6" t="b" cm="1">
        <f t="array" aca="1" ref="O66" ca="1">IF($N66="",FALSE,NOT(ISNA(MATCH(INDIRECT("UserAccessCasePolicy!D"&amp;$N66)&amp;"|"&amp;$S66,CaseTypeSetMember!$H:$H,0))))</f>
        <v>0</v>
      </c>
      <c r="P66" s="6" t="b" cm="1">
        <f t="array" aca="1" ref="P66" ca="1">IF($N66="",FALSE,AND(INDIRECT("UserAccessCasePolicy!G"&amp;$N66),NOT(ISNA(MATCH(INDIRECT("UserAccessCasePolicy!D"&amp;$N66)&amp;"|"&amp;$S66,CaseTypeSetMember!$H:$H,0)))))</f>
        <v>0</v>
      </c>
      <c r="Q66" s="6" t="b" cm="1">
        <f t="array" aca="1" ref="Q66" ca="1">IF($N66="",FALSE,AND(INDIRECT("UserAccessCasePolicy!H"&amp;$N66),NOT(ISNA(MATCH(INDIRECT("UserAccessCasePolicy!D"&amp;$N66)&amp;"|"&amp;$S66,CaseTypeSetMember!$H:$H,0)))))</f>
        <v>0</v>
      </c>
      <c r="R66" t="s">
        <v>653</v>
      </c>
      <c r="S66" t="s">
        <v>119</v>
      </c>
      <c r="T66" s="6" t="str">
        <f>INDEX(CaseType!$B:$B,MATCH($S66,CaseType!$A:$A,0))</f>
        <v>case_type1</v>
      </c>
      <c r="U66" s="6" t="b">
        <f>AND(IF($AA66="",TRUE,$S66=INDEX(CaseTypeCol!$B:$B,MATCH($AA66,CaseTypeCol!$A:$A,0))),IF($AH66="",TRUE,$S66=INDEX(CaseTypeCol!$B:$B,MATCH($AH66,CaseTypeCol!$A:$A,0))),IF($AO66="",TRUE,$S66=INDEX(CaseTypeCol!$B:$B,MATCH($AO66,CaseTypeCol!$A:$A,0))))</f>
        <v>1</v>
      </c>
      <c r="W66" t="s">
        <v>33</v>
      </c>
      <c r="X66" s="6" t="str">
        <f>INDEX(DataCollection!$B:$B,MATCH($W66,DataCollection!$A:$A,0))</f>
        <v>data_collection9</v>
      </c>
      <c r="Z66" s="14">
        <v>36526</v>
      </c>
      <c r="AA66" t="s">
        <v>142</v>
      </c>
      <c r="AB66" t="s">
        <v>663</v>
      </c>
      <c r="AC66" s="6" t="str">
        <f>IF($AA66="","",INDEX(CaseTypeCol!$G:$G,MATCH($AA66,CaseTypeCol!$A:$A,0)))</f>
        <v>case_type1_dim1_1_text</v>
      </c>
      <c r="AD66" s="6" t="b" cm="1">
        <f t="array" aca="1" ref="AD66" ca="1">IF($AA66="",TRUE,IF($J66="",FALSE,IF(INDIRECT("OrganizationAccessCasePolicy!J"&amp;$J66)="",FALSE,NOT(ISNA(MATCH(INDIRECT("OrganizationAccessCasePolicy!J"&amp;$J66)&amp;"|"&amp;$AA66,CaseTypeColSetMember!$H:$H,0))))))</f>
        <v>0</v>
      </c>
      <c r="AE66" s="6" t="b" cm="1">
        <f t="array" aca="1" ref="AE66" ca="1">IF($AA66="",TRUE,IF($J66="",FALSE,IF(INDIRECT("OrganizationAccessCasePolicy!L"&amp;$J66)="",FALSE,NOT(ISNA(MATCH(INDIRECT("OrganizationAccessCasePolicy!L"&amp;$J66)&amp;"|"&amp;$AA66,CaseTypeColSetMember!$H:$H,0))))))</f>
        <v>0</v>
      </c>
      <c r="AF66" s="6" t="b" cm="1">
        <f t="array" aca="1" ref="AF66" ca="1">IF($AA66="",TRUE,IF($N66="",FALSE,IF(INDIRECT("UserAccessCasePolicy!I"&amp;$N66)="",FALSE,NOT(ISNA(MATCH(INDIRECT("UserAccessCasePolicy!I"&amp;$N66)&amp;"|"&amp;$AA66,CaseTypeColSetMember!$H:$H,0))))))</f>
        <v>0</v>
      </c>
      <c r="AG66" s="6" t="b" cm="1">
        <f t="array" aca="1" ref="AG66" ca="1">IF($AA66="",TRUE,IF($N66="",FALSE,IF(INDIRECT("UserAccessCasePolicy!K"&amp;$N66)="",FALSE,NOT(ISNA(MATCH(INDIRECT("UserAccessCasePolicy!K"&amp;$N66)&amp;"|"&amp;$AA66,CaseTypeColSetMember!$H:$H,0))))))</f>
        <v>0</v>
      </c>
      <c r="AI66" t="s">
        <v>780</v>
      </c>
      <c r="AJ66" s="6" t="str">
        <f>IF($AH66="","",INDEX(CaseTypeCol!$G:$G,MATCH($AH66,CaseTypeCol!$A:$A,0)))</f>
        <v/>
      </c>
      <c r="AK66" s="6" t="b" cm="1">
        <f t="array" aca="1" ref="AK66" ca="1">IF($AH66="",TRUE,IF($J66="",FALSE,IF(INDIRECT("OrganizationAccessCasePolicy!J"&amp;$J66)="",FALSE,NOT(ISNA(MATCH(INDIRECT("OrganizationAccessCasePolicy!J"&amp;$J66)&amp;"|"&amp;$AH66,CaseTypeColSetMember!$H:$H,0))))))</f>
        <v>1</v>
      </c>
      <c r="AL66" s="6" t="b" cm="1">
        <f t="array" aca="1" ref="AL66" ca="1">IF($AH66="",TRUE,IF($J66="",FALSE,IF(INDIRECT("OrganizationAccessCasePolicy!L"&amp;$J66)="",FALSE,NOT(ISNA(MATCH(INDIRECT("OrganizationAccessCasePolicy!L"&amp;$J66)&amp;"|"&amp;$AH66,CaseTypeColSetMember!$H:$H,0))))))</f>
        <v>1</v>
      </c>
      <c r="AM66" s="6" t="b" cm="1">
        <f t="array" aca="1" ref="AM66" ca="1">IF($AH66="",TRUE,IF($N66="",FALSE,IF(INDIRECT("UserAccessCasePolicy!I"&amp;$N66)="",FALSE,NOT(ISNA(MATCH(INDIRECT("UserAccessCasePolicy!I"&amp;$N66)&amp;"|"&amp;$AH66,CaseTypeColSetMember!$H:$H,0))))))</f>
        <v>1</v>
      </c>
      <c r="AN66" s="6" t="b" cm="1">
        <f t="array" aca="1" ref="AN66" ca="1">IF($AH66="",TRUE,IF($N66="",FALSE,IF(INDIRECT("UserAccessCasePolicy!K"&amp;$N66)="",FALSE,NOT(ISNA(MATCH(INDIRECT("UserAccessCasePolicy!K"&amp;$N66)&amp;"|"&amp;$AH66,CaseTypeColSetMember!$H:$H,0))))))</f>
        <v>1</v>
      </c>
      <c r="AP66" t="s">
        <v>739</v>
      </c>
      <c r="AQ66" s="6" t="str">
        <f>IF($AO66="","",INDEX(CaseTypeCol!$G:$G,MATCH($AO66,CaseTypeCol!$A:$A,0)))</f>
        <v/>
      </c>
      <c r="AR66" s="6" t="b" cm="1">
        <f t="array" aca="1" ref="AR66" ca="1">IF($AO66="",TRUE,IF($J66="",FALSE,IF(INDIRECT("OrganizationAccessCasePolicy!J"&amp;$J66)="",FALSE,NOT(ISNA(MATCH(INDIRECT("OrganizationAccessCasePolicy!J"&amp;$J66)&amp;"|"&amp;$AO66,CaseTypeColSetMember!$H:$H,0))))))</f>
        <v>1</v>
      </c>
      <c r="AS66" s="6" t="b" cm="1">
        <f t="array" aca="1" ref="AS66" ca="1">IF($AO66="",TRUE,IF($J66="",FALSE,IF(INDIRECT("OrganizationAccessCasePolicy!L"&amp;$J66)="",FALSE,NOT(ISNA(MATCH(INDIRECT("OrganizationAccessCasePolicy!L"&amp;$J66)&amp;"|"&amp;$AO66,CaseTypeColSetMember!$H:$H,0))))))</f>
        <v>1</v>
      </c>
      <c r="AT66" s="6" t="b" cm="1">
        <f t="array" aca="1" ref="AT66" ca="1">IF($AO66="",TRUE,IF($N66="",FALSE,IF(INDIRECT("UserAccessCasePolicy!I"&amp;$N66)="",FALSE,NOT(ISNA(MATCH(INDIRECT("UserAccessCasePolicy!I"&amp;$N66)&amp;"|"&amp;$AO66,CaseTypeColSetMember!$H:$H,0))))))</f>
        <v>1</v>
      </c>
      <c r="AU66" s="6" t="b" cm="1">
        <f t="array" aca="1" ref="AU66" ca="1">IF($AO66="",TRUE,IF($N66="",FALSE,IF(INDIRECT("UserAccessCasePolicy!K"&amp;$N66)="",FALSE,NOT(ISNA(MATCH(INDIRECT("UserAccessCasePolicy!K"&amp;$N66)&amp;"|"&amp;$AO66,CaseTypeColSetMember!$H:$H,0))))))</f>
        <v>1</v>
      </c>
    </row>
    <row r="67" spans="1:47" ht="18.75" customHeight="1" x14ac:dyDescent="0.3">
      <c r="A67">
        <v>66</v>
      </c>
      <c r="B67" t="b">
        <v>1</v>
      </c>
      <c r="C67" t="s">
        <v>765</v>
      </c>
      <c r="D67" t="s">
        <v>32</v>
      </c>
      <c r="E67" s="6" t="str">
        <f>INDEX(User!$D:$D,MATCH($D67,User!$A:$A,0))</f>
        <v>org_user4_4</v>
      </c>
      <c r="F67" t="s">
        <v>721</v>
      </c>
      <c r="G67" s="19" t="b">
        <f t="shared" ca="1" si="1"/>
        <v>0</v>
      </c>
      <c r="H67" s="6" t="str">
        <f>INDEX(User!$G:$G,MATCH($D67,User!$A:$A,0))</f>
        <v>0195d18c-1c92-d419-4c71-a570f428499b</v>
      </c>
      <c r="I67" s="6" t="b">
        <f>INDEX(User!$M:$M,MATCH($D67,User!$A:$A,0))</f>
        <v>0</v>
      </c>
      <c r="J67" s="6">
        <f>IF(ISNA(MATCH($H67&amp;"|"&amp;$W67,OrganizationAccessCasePolicy!$V:$V,0)),"",MATCH($H67&amp;"|"&amp;$W67,OrganizationAccessCasePolicy!$V:$V,0))</f>
        <v>10</v>
      </c>
      <c r="K67" s="6" t="b" cm="1">
        <f t="array" aca="1" ref="K67" ca="1">IF($J67="",FALSE,NOT(ISNA(MATCH(INDIRECT("OrganizationAccessCasePolicy!D"&amp;$J67)&amp;"|"&amp;$S67,CaseTypeSetMember!$H:$H,0))))</f>
        <v>0</v>
      </c>
      <c r="L67" s="6" t="b" cm="1">
        <f t="array" aca="1" ref="L67" ca="1">IF($J67="",FALSE,AND(INDIRECT("OrganizationAccessCasePolicy!H"&amp;$J67),NOT(ISNA(MATCH(INDIRECT("OrganizationAccessCasePolicy!D"&amp;$J67)&amp;"|"&amp;$S67,CaseTypeSetMember!$H:$H,0)))))</f>
        <v>0</v>
      </c>
      <c r="M67" s="6" t="b" cm="1">
        <f t="array" aca="1" ref="M67" ca="1">IF($J67="",FALSE,AND(INDIRECT("OrganizationAccessCasePolicy!I"&amp;$J67),NOT(ISNA(MATCH(INDIRECT("OrganizationAccessCasePolicy!D"&amp;$J67)&amp;"|"&amp;$S67,CaseTypeSetMember!$H:$H,0)))))</f>
        <v>0</v>
      </c>
      <c r="N67" s="6" t="str">
        <f>IF(ISNA(MATCH($D67&amp;"|"&amp;$W67,UserAccessCasePolicy!$W:$W,0)),"",MATCH($D67&amp;"|"&amp;$W67,UserAccessCasePolicy!$W:$W,0))</f>
        <v/>
      </c>
      <c r="O67" s="6" t="b" cm="1">
        <f t="array" aca="1" ref="O67" ca="1">IF($N67="",FALSE,NOT(ISNA(MATCH(INDIRECT("UserAccessCasePolicy!D"&amp;$N67)&amp;"|"&amp;$S67,CaseTypeSetMember!$H:$H,0))))</f>
        <v>0</v>
      </c>
      <c r="P67" s="6" t="b" cm="1">
        <f t="array" aca="1" ref="P67" ca="1">IF($N67="",FALSE,AND(INDIRECT("UserAccessCasePolicy!G"&amp;$N67),NOT(ISNA(MATCH(INDIRECT("UserAccessCasePolicy!D"&amp;$N67)&amp;"|"&amp;$S67,CaseTypeSetMember!$H:$H,0)))))</f>
        <v>0</v>
      </c>
      <c r="Q67" s="6" t="b" cm="1">
        <f t="array" aca="1" ref="Q67" ca="1">IF($N67="",FALSE,AND(INDIRECT("UserAccessCasePolicy!H"&amp;$N67),NOT(ISNA(MATCH(INDIRECT("UserAccessCasePolicy!D"&amp;$N67)&amp;"|"&amp;$S67,CaseTypeSetMember!$H:$H,0)))))</f>
        <v>0</v>
      </c>
      <c r="R67" t="s">
        <v>654</v>
      </c>
      <c r="S67" t="s">
        <v>119</v>
      </c>
      <c r="T67" s="6" t="str">
        <f>INDEX(CaseType!$B:$B,MATCH($S67,CaseType!$A:$A,0))</f>
        <v>case_type1</v>
      </c>
      <c r="U67" s="6" t="b">
        <f>AND(IF($AA67="",TRUE,$S67=INDEX(CaseTypeCol!$B:$B,MATCH($AA67,CaseTypeCol!$A:$A,0))),IF($AH67="",TRUE,$S67=INDEX(CaseTypeCol!$B:$B,MATCH($AH67,CaseTypeCol!$A:$A,0))),IF($AO67="",TRUE,$S67=INDEX(CaseTypeCol!$B:$B,MATCH($AO67,CaseTypeCol!$A:$A,0))))</f>
        <v>1</v>
      </c>
      <c r="W67" t="s">
        <v>33</v>
      </c>
      <c r="X67" s="6" t="str">
        <f>INDEX(DataCollection!$B:$B,MATCH($W67,DataCollection!$A:$A,0))</f>
        <v>data_collection9</v>
      </c>
      <c r="Z67" s="14">
        <v>36526</v>
      </c>
      <c r="AA67" t="s">
        <v>142</v>
      </c>
      <c r="AB67" t="s">
        <v>663</v>
      </c>
      <c r="AC67" s="6" t="str">
        <f>IF($AA67="","",INDEX(CaseTypeCol!$G:$G,MATCH($AA67,CaseTypeCol!$A:$A,0)))</f>
        <v>case_type1_dim1_1_text</v>
      </c>
      <c r="AD67" s="6" t="b" cm="1">
        <f t="array" aca="1" ref="AD67" ca="1">IF($AA67="",TRUE,IF($J67="",FALSE,IF(INDIRECT("OrganizationAccessCasePolicy!J"&amp;$J67)="",FALSE,NOT(ISNA(MATCH(INDIRECT("OrganizationAccessCasePolicy!J"&amp;$J67)&amp;"|"&amp;$AA67,CaseTypeColSetMember!$H:$H,0))))))</f>
        <v>0</v>
      </c>
      <c r="AE67" s="6" t="b" cm="1">
        <f t="array" aca="1" ref="AE67" ca="1">IF($AA67="",TRUE,IF($J67="",FALSE,IF(INDIRECT("OrganizationAccessCasePolicy!L"&amp;$J67)="",FALSE,NOT(ISNA(MATCH(INDIRECT("OrganizationAccessCasePolicy!L"&amp;$J67)&amp;"|"&amp;$AA67,CaseTypeColSetMember!$H:$H,0))))))</f>
        <v>0</v>
      </c>
      <c r="AF67" s="6" t="b" cm="1">
        <f t="array" aca="1" ref="AF67" ca="1">IF($AA67="",TRUE,IF($N67="",FALSE,IF(INDIRECT("UserAccessCasePolicy!I"&amp;$N67)="",FALSE,NOT(ISNA(MATCH(INDIRECT("UserAccessCasePolicy!I"&amp;$N67)&amp;"|"&amp;$AA67,CaseTypeColSetMember!$H:$H,0))))))</f>
        <v>0</v>
      </c>
      <c r="AG67" s="6" t="b" cm="1">
        <f t="array" aca="1" ref="AG67" ca="1">IF($AA67="",TRUE,IF($N67="",FALSE,IF(INDIRECT("UserAccessCasePolicy!K"&amp;$N67)="",FALSE,NOT(ISNA(MATCH(INDIRECT("UserAccessCasePolicy!K"&amp;$N67)&amp;"|"&amp;$AA67,CaseTypeColSetMember!$H:$H,0))))))</f>
        <v>0</v>
      </c>
      <c r="AI67" t="s">
        <v>780</v>
      </c>
      <c r="AJ67" s="6" t="str">
        <f>IF($AH67="","",INDEX(CaseTypeCol!$G:$G,MATCH($AH67,CaseTypeCol!$A:$A,0)))</f>
        <v/>
      </c>
      <c r="AK67" s="6" t="b" cm="1">
        <f t="array" aca="1" ref="AK67" ca="1">IF($AH67="",TRUE,IF($J67="",FALSE,IF(INDIRECT("OrganizationAccessCasePolicy!J"&amp;$J67)="",FALSE,NOT(ISNA(MATCH(INDIRECT("OrganizationAccessCasePolicy!J"&amp;$J67)&amp;"|"&amp;$AH67,CaseTypeColSetMember!$H:$H,0))))))</f>
        <v>1</v>
      </c>
      <c r="AL67" s="6" t="b" cm="1">
        <f t="array" aca="1" ref="AL67" ca="1">IF($AH67="",TRUE,IF($J67="",FALSE,IF(INDIRECT("OrganizationAccessCasePolicy!L"&amp;$J67)="",FALSE,NOT(ISNA(MATCH(INDIRECT("OrganizationAccessCasePolicy!L"&amp;$J67)&amp;"|"&amp;$AH67,CaseTypeColSetMember!$H:$H,0))))))</f>
        <v>1</v>
      </c>
      <c r="AM67" s="6" t="b" cm="1">
        <f t="array" aca="1" ref="AM67" ca="1">IF($AH67="",TRUE,IF($N67="",FALSE,IF(INDIRECT("UserAccessCasePolicy!I"&amp;$N67)="",FALSE,NOT(ISNA(MATCH(INDIRECT("UserAccessCasePolicy!I"&amp;$N67)&amp;"|"&amp;$AH67,CaseTypeColSetMember!$H:$H,0))))))</f>
        <v>1</v>
      </c>
      <c r="AN67" s="6" t="b" cm="1">
        <f t="array" aca="1" ref="AN67" ca="1">IF($AH67="",TRUE,IF($N67="",FALSE,IF(INDIRECT("UserAccessCasePolicy!K"&amp;$N67)="",FALSE,NOT(ISNA(MATCH(INDIRECT("UserAccessCasePolicy!K"&amp;$N67)&amp;"|"&amp;$AH67,CaseTypeColSetMember!$H:$H,0))))))</f>
        <v>1</v>
      </c>
      <c r="AP67" t="s">
        <v>739</v>
      </c>
      <c r="AQ67" s="6" t="str">
        <f>IF($AO67="","",INDEX(CaseTypeCol!$G:$G,MATCH($AO67,CaseTypeCol!$A:$A,0)))</f>
        <v/>
      </c>
      <c r="AR67" s="6" t="b" cm="1">
        <f t="array" aca="1" ref="AR67" ca="1">IF($AO67="",TRUE,IF($J67="",FALSE,IF(INDIRECT("OrganizationAccessCasePolicy!J"&amp;$J67)="",FALSE,NOT(ISNA(MATCH(INDIRECT("OrganizationAccessCasePolicy!J"&amp;$J67)&amp;"|"&amp;$AO67,CaseTypeColSetMember!$H:$H,0))))))</f>
        <v>1</v>
      </c>
      <c r="AS67" s="6" t="b" cm="1">
        <f t="array" aca="1" ref="AS67" ca="1">IF($AO67="",TRUE,IF($J67="",FALSE,IF(INDIRECT("OrganizationAccessCasePolicy!L"&amp;$J67)="",FALSE,NOT(ISNA(MATCH(INDIRECT("OrganizationAccessCasePolicy!L"&amp;$J67)&amp;"|"&amp;$AO67,CaseTypeColSetMember!$H:$H,0))))))</f>
        <v>1</v>
      </c>
      <c r="AT67" s="6" t="b" cm="1">
        <f t="array" aca="1" ref="AT67" ca="1">IF($AO67="",TRUE,IF($N67="",FALSE,IF(INDIRECT("UserAccessCasePolicy!I"&amp;$N67)="",FALSE,NOT(ISNA(MATCH(INDIRECT("UserAccessCasePolicy!I"&amp;$N67)&amp;"|"&amp;$AO67,CaseTypeColSetMember!$H:$H,0))))))</f>
        <v>1</v>
      </c>
      <c r="AU67" s="6" t="b" cm="1">
        <f t="array" aca="1" ref="AU67" ca="1">IF($AO67="",TRUE,IF($N67="",FALSE,IF(INDIRECT("UserAccessCasePolicy!K"&amp;$N67)="",FALSE,NOT(ISNA(MATCH(INDIRECT("UserAccessCasePolicy!K"&amp;$N67)&amp;"|"&amp;$AO67,CaseTypeColSetMember!$H:$H,0))))))</f>
        <v>1</v>
      </c>
    </row>
    <row r="68" spans="1:47" ht="18.75" customHeight="1" x14ac:dyDescent="0.3">
      <c r="A68">
        <v>67</v>
      </c>
      <c r="B68" t="b">
        <v>1</v>
      </c>
      <c r="C68" t="s">
        <v>766</v>
      </c>
      <c r="D68" t="s">
        <v>34</v>
      </c>
      <c r="E68" s="6" t="str">
        <f>INDEX(User!$D:$D,MATCH($D68,User!$A:$A,0))</f>
        <v>org_user5_1</v>
      </c>
      <c r="F68" t="s">
        <v>721</v>
      </c>
      <c r="G68" s="19" t="b">
        <f t="shared" ca="1" si="1"/>
        <v>0</v>
      </c>
      <c r="H68" s="6" t="str">
        <f>INDEX(User!$G:$G,MATCH($D68,User!$A:$A,0))</f>
        <v>0195d18c-1c93-02a2-6920-7e4dbfb73ce0</v>
      </c>
      <c r="I68" s="6" t="b">
        <f>INDEX(User!$M:$M,MATCH($D68,User!$A:$A,0))</f>
        <v>0</v>
      </c>
      <c r="J68" s="6">
        <f>IF(ISNA(MATCH($H68&amp;"|"&amp;$W68,OrganizationAccessCasePolicy!$V:$V,0)),"",MATCH($H68&amp;"|"&amp;$W68,OrganizationAccessCasePolicy!$V:$V,0))</f>
        <v>11</v>
      </c>
      <c r="K68" s="6" t="b" cm="1">
        <f t="array" aca="1" ref="K68" ca="1">IF($J68="",FALSE,NOT(ISNA(MATCH(INDIRECT("OrganizationAccessCasePolicy!D"&amp;$J68)&amp;"|"&amp;$S68,CaseTypeSetMember!$H:$H,0))))</f>
        <v>0</v>
      </c>
      <c r="L68" s="6" t="b" cm="1">
        <f t="array" aca="1" ref="L68" ca="1">IF($J68="",FALSE,AND(INDIRECT("OrganizationAccessCasePolicy!H"&amp;$J68),NOT(ISNA(MATCH(INDIRECT("OrganizationAccessCasePolicy!D"&amp;$J68)&amp;"|"&amp;$S68,CaseTypeSetMember!$H:$H,0)))))</f>
        <v>0</v>
      </c>
      <c r="M68" s="6" t="b" cm="1">
        <f t="array" aca="1" ref="M68" ca="1">IF($J68="",FALSE,AND(INDIRECT("OrganizationAccessCasePolicy!I"&amp;$J68),NOT(ISNA(MATCH(INDIRECT("OrganizationAccessCasePolicy!D"&amp;$J68)&amp;"|"&amp;$S68,CaseTypeSetMember!$H:$H,0)))))</f>
        <v>0</v>
      </c>
      <c r="N68" s="6">
        <f>IF(ISNA(MATCH($D68&amp;"|"&amp;$W68,UserAccessCasePolicy!$W:$W,0)),"",MATCH($D68&amp;"|"&amp;$W68,UserAccessCasePolicy!$W:$W,0))</f>
        <v>11</v>
      </c>
      <c r="O68" s="6" t="b" cm="1">
        <f t="array" aca="1" ref="O68" ca="1">IF($N68="",FALSE,NOT(ISNA(MATCH(INDIRECT("UserAccessCasePolicy!D"&amp;$N68)&amp;"|"&amp;$S68,CaseTypeSetMember!$H:$H,0))))</f>
        <v>0</v>
      </c>
      <c r="P68" s="6" t="b" cm="1">
        <f t="array" aca="1" ref="P68" ca="1">IF($N68="",FALSE,AND(INDIRECT("UserAccessCasePolicy!G"&amp;$N68),NOT(ISNA(MATCH(INDIRECT("UserAccessCasePolicy!D"&amp;$N68)&amp;"|"&amp;$S68,CaseTypeSetMember!$H:$H,0)))))</f>
        <v>0</v>
      </c>
      <c r="Q68" s="6" t="b" cm="1">
        <f t="array" aca="1" ref="Q68" ca="1">IF($N68="",FALSE,AND(INDIRECT("UserAccessCasePolicy!H"&amp;$N68),NOT(ISNA(MATCH(INDIRECT("UserAccessCasePolicy!D"&amp;$N68)&amp;"|"&amp;$S68,CaseTypeSetMember!$H:$H,0)))))</f>
        <v>0</v>
      </c>
      <c r="R68" t="s">
        <v>655</v>
      </c>
      <c r="S68" t="s">
        <v>119</v>
      </c>
      <c r="T68" s="6" t="str">
        <f>INDEX(CaseType!$B:$B,MATCH($S68,CaseType!$A:$A,0))</f>
        <v>case_type1</v>
      </c>
      <c r="U68" s="6" t="b">
        <f>AND(IF($AA68="",TRUE,$S68=INDEX(CaseTypeCol!$B:$B,MATCH($AA68,CaseTypeCol!$A:$A,0))),IF($AH68="",TRUE,$S68=INDEX(CaseTypeCol!$B:$B,MATCH($AH68,CaseTypeCol!$A:$A,0))),IF($AO68="",TRUE,$S68=INDEX(CaseTypeCol!$B:$B,MATCH($AO68,CaseTypeCol!$A:$A,0))))</f>
        <v>1</v>
      </c>
      <c r="W68" t="s">
        <v>39</v>
      </c>
      <c r="X68" s="6" t="str">
        <f>INDEX(DataCollection!$B:$B,MATCH($W68,DataCollection!$A:$A,0))</f>
        <v>data_collection10</v>
      </c>
      <c r="Z68" s="14">
        <v>36526</v>
      </c>
      <c r="AA68" t="s">
        <v>142</v>
      </c>
      <c r="AB68" t="s">
        <v>663</v>
      </c>
      <c r="AC68" s="6" t="str">
        <f>IF($AA68="","",INDEX(CaseTypeCol!$G:$G,MATCH($AA68,CaseTypeCol!$A:$A,0)))</f>
        <v>case_type1_dim1_1_text</v>
      </c>
      <c r="AD68" s="6" t="b" cm="1">
        <f t="array" aca="1" ref="AD68" ca="1">IF($AA68="",TRUE,IF($J68="",FALSE,IF(INDIRECT("OrganizationAccessCasePolicy!J"&amp;$J68)="",FALSE,NOT(ISNA(MATCH(INDIRECT("OrganizationAccessCasePolicy!J"&amp;$J68)&amp;"|"&amp;$AA68,CaseTypeColSetMember!$H:$H,0))))))</f>
        <v>0</v>
      </c>
      <c r="AE68" s="6" t="b" cm="1">
        <f t="array" aca="1" ref="AE68" ca="1">IF($AA68="",TRUE,IF($J68="",FALSE,IF(INDIRECT("OrganizationAccessCasePolicy!L"&amp;$J68)="",FALSE,NOT(ISNA(MATCH(INDIRECT("OrganizationAccessCasePolicy!L"&amp;$J68)&amp;"|"&amp;$AA68,CaseTypeColSetMember!$H:$H,0))))))</f>
        <v>0</v>
      </c>
      <c r="AF68" s="6" t="b" cm="1">
        <f t="array" aca="1" ref="AF68" ca="1">IF($AA68="",TRUE,IF($N68="",FALSE,IF(INDIRECT("UserAccessCasePolicy!I"&amp;$N68)="",FALSE,NOT(ISNA(MATCH(INDIRECT("UserAccessCasePolicy!I"&amp;$N68)&amp;"|"&amp;$AA68,CaseTypeColSetMember!$H:$H,0))))))</f>
        <v>0</v>
      </c>
      <c r="AG68" s="6" t="b" cm="1">
        <f t="array" aca="1" ref="AG68" ca="1">IF($AA68="",TRUE,IF($N68="",FALSE,IF(INDIRECT("UserAccessCasePolicy!K"&amp;$N68)="",FALSE,NOT(ISNA(MATCH(INDIRECT("UserAccessCasePolicy!K"&amp;$N68)&amp;"|"&amp;$AA68,CaseTypeColSetMember!$H:$H,0))))))</f>
        <v>0</v>
      </c>
      <c r="AI68" t="s">
        <v>780</v>
      </c>
      <c r="AJ68" s="6" t="str">
        <f>IF($AH68="","",INDEX(CaseTypeCol!$G:$G,MATCH($AH68,CaseTypeCol!$A:$A,0)))</f>
        <v/>
      </c>
      <c r="AK68" s="6" t="b" cm="1">
        <f t="array" aca="1" ref="AK68" ca="1">IF($AH68="",TRUE,IF($J68="",FALSE,IF(INDIRECT("OrganizationAccessCasePolicy!J"&amp;$J68)="",FALSE,NOT(ISNA(MATCH(INDIRECT("OrganizationAccessCasePolicy!J"&amp;$J68)&amp;"|"&amp;$AH68,CaseTypeColSetMember!$H:$H,0))))))</f>
        <v>1</v>
      </c>
      <c r="AL68" s="6" t="b" cm="1">
        <f t="array" aca="1" ref="AL68" ca="1">IF($AH68="",TRUE,IF($J68="",FALSE,IF(INDIRECT("OrganizationAccessCasePolicy!L"&amp;$J68)="",FALSE,NOT(ISNA(MATCH(INDIRECT("OrganizationAccessCasePolicy!L"&amp;$J68)&amp;"|"&amp;$AH68,CaseTypeColSetMember!$H:$H,0))))))</f>
        <v>1</v>
      </c>
      <c r="AM68" s="6" t="b" cm="1">
        <f t="array" aca="1" ref="AM68" ca="1">IF($AH68="",TRUE,IF($N68="",FALSE,IF(INDIRECT("UserAccessCasePolicy!I"&amp;$N68)="",FALSE,NOT(ISNA(MATCH(INDIRECT("UserAccessCasePolicy!I"&amp;$N68)&amp;"|"&amp;$AH68,CaseTypeColSetMember!$H:$H,0))))))</f>
        <v>1</v>
      </c>
      <c r="AN68" s="6" t="b" cm="1">
        <f t="array" aca="1" ref="AN68" ca="1">IF($AH68="",TRUE,IF($N68="",FALSE,IF(INDIRECT("UserAccessCasePolicy!K"&amp;$N68)="",FALSE,NOT(ISNA(MATCH(INDIRECT("UserAccessCasePolicy!K"&amp;$N68)&amp;"|"&amp;$AH68,CaseTypeColSetMember!$H:$H,0))))))</f>
        <v>1</v>
      </c>
      <c r="AP68" t="s">
        <v>744</v>
      </c>
      <c r="AQ68" s="6" t="str">
        <f>IF($AO68="","",INDEX(CaseTypeCol!$G:$G,MATCH($AO68,CaseTypeCol!$A:$A,0)))</f>
        <v/>
      </c>
      <c r="AR68" s="6" t="b" cm="1">
        <f t="array" aca="1" ref="AR68" ca="1">IF($AO68="",TRUE,IF($J68="",FALSE,IF(INDIRECT("OrganizationAccessCasePolicy!J"&amp;$J68)="",FALSE,NOT(ISNA(MATCH(INDIRECT("OrganizationAccessCasePolicy!J"&amp;$J68)&amp;"|"&amp;$AO68,CaseTypeColSetMember!$H:$H,0))))))</f>
        <v>1</v>
      </c>
      <c r="AS68" s="6" t="b" cm="1">
        <f t="array" aca="1" ref="AS68" ca="1">IF($AO68="",TRUE,IF($J68="",FALSE,IF(INDIRECT("OrganizationAccessCasePolicy!L"&amp;$J68)="",FALSE,NOT(ISNA(MATCH(INDIRECT("OrganizationAccessCasePolicy!L"&amp;$J68)&amp;"|"&amp;$AO68,CaseTypeColSetMember!$H:$H,0))))))</f>
        <v>1</v>
      </c>
      <c r="AT68" s="6" t="b" cm="1">
        <f t="array" aca="1" ref="AT68" ca="1">IF($AO68="",TRUE,IF($N68="",FALSE,IF(INDIRECT("UserAccessCasePolicy!I"&amp;$N68)="",FALSE,NOT(ISNA(MATCH(INDIRECT("UserAccessCasePolicy!I"&amp;$N68)&amp;"|"&amp;$AO68,CaseTypeColSetMember!$H:$H,0))))))</f>
        <v>1</v>
      </c>
      <c r="AU68" s="6" t="b" cm="1">
        <f t="array" aca="1" ref="AU68" ca="1">IF($AO68="",TRUE,IF($N68="",FALSE,IF(INDIRECT("UserAccessCasePolicy!K"&amp;$N68)="",FALSE,NOT(ISNA(MATCH(INDIRECT("UserAccessCasePolicy!K"&amp;$N68)&amp;"|"&amp;$AO68,CaseTypeColSetMember!$H:$H,0))))))</f>
        <v>1</v>
      </c>
    </row>
    <row r="69" spans="1:47" ht="18.75" customHeight="1" x14ac:dyDescent="0.3">
      <c r="A69">
        <v>68</v>
      </c>
      <c r="B69" t="b">
        <v>1</v>
      </c>
      <c r="C69" t="s">
        <v>767</v>
      </c>
      <c r="D69" t="s">
        <v>36</v>
      </c>
      <c r="E69" s="6" t="str">
        <f>INDEX(User!$D:$D,MATCH($D69,User!$A:$A,0))</f>
        <v>org_user5_2</v>
      </c>
      <c r="F69" t="s">
        <v>721</v>
      </c>
      <c r="G69" s="19" t="b">
        <f t="shared" ca="1" si="1"/>
        <v>0</v>
      </c>
      <c r="H69" s="6" t="str">
        <f>INDEX(User!$G:$G,MATCH($D69,User!$A:$A,0))</f>
        <v>0195d18c-1c93-02a2-6920-7e4dbfb73ce0</v>
      </c>
      <c r="I69" s="6" t="b">
        <f>INDEX(User!$M:$M,MATCH($D69,User!$A:$A,0))</f>
        <v>0</v>
      </c>
      <c r="J69" s="6" t="str">
        <f>IF(ISNA(MATCH($H69&amp;"|"&amp;$W69,OrganizationAccessCasePolicy!$V:$V,0)),"",MATCH($H69&amp;"|"&amp;$W69,OrganizationAccessCasePolicy!$V:$V,0))</f>
        <v/>
      </c>
      <c r="K69" s="6" t="b" cm="1">
        <f t="array" aca="1" ref="K69" ca="1">IF($J69="",FALSE,NOT(ISNA(MATCH(INDIRECT("OrganizationAccessCasePolicy!D"&amp;$J69)&amp;"|"&amp;$S69,CaseTypeSetMember!$H:$H,0))))</f>
        <v>0</v>
      </c>
      <c r="L69" s="6" t="b" cm="1">
        <f t="array" aca="1" ref="L69" ca="1">IF($J69="",FALSE,AND(INDIRECT("OrganizationAccessCasePolicy!H"&amp;$J69),NOT(ISNA(MATCH(INDIRECT("OrganizationAccessCasePolicy!D"&amp;$J69)&amp;"|"&amp;$S69,CaseTypeSetMember!$H:$H,0)))))</f>
        <v>0</v>
      </c>
      <c r="M69" s="6" t="b" cm="1">
        <f t="array" aca="1" ref="M69" ca="1">IF($J69="",FALSE,AND(INDIRECT("OrganizationAccessCasePolicy!I"&amp;$J69),NOT(ISNA(MATCH(INDIRECT("OrganizationAccessCasePolicy!D"&amp;$J69)&amp;"|"&amp;$S69,CaseTypeSetMember!$H:$H,0)))))</f>
        <v>0</v>
      </c>
      <c r="N69" s="6" t="str">
        <f>IF(ISNA(MATCH($D69&amp;"|"&amp;$W69,UserAccessCasePolicy!$W:$W,0)),"",MATCH($D69&amp;"|"&amp;$W69,UserAccessCasePolicy!$W:$W,0))</f>
        <v/>
      </c>
      <c r="O69" s="6" t="b" cm="1">
        <f t="array" aca="1" ref="O69" ca="1">IF($N69="",FALSE,NOT(ISNA(MATCH(INDIRECT("UserAccessCasePolicy!D"&amp;$N69)&amp;"|"&amp;$S69,CaseTypeSetMember!$H:$H,0))))</f>
        <v>0</v>
      </c>
      <c r="P69" s="6" t="b" cm="1">
        <f t="array" aca="1" ref="P69" ca="1">IF($N69="",FALSE,AND(INDIRECT("UserAccessCasePolicy!G"&amp;$N69),NOT(ISNA(MATCH(INDIRECT("UserAccessCasePolicy!D"&amp;$N69)&amp;"|"&amp;$S69,CaseTypeSetMember!$H:$H,0)))))</f>
        <v>0</v>
      </c>
      <c r="Q69" s="6" t="b" cm="1">
        <f t="array" aca="1" ref="Q69" ca="1">IF($N69="",FALSE,AND(INDIRECT("UserAccessCasePolicy!H"&amp;$N69),NOT(ISNA(MATCH(INDIRECT("UserAccessCasePolicy!D"&amp;$N69)&amp;"|"&amp;$S69,CaseTypeSetMember!$H:$H,0)))))</f>
        <v>0</v>
      </c>
      <c r="R69" t="s">
        <v>656</v>
      </c>
      <c r="S69" t="s">
        <v>119</v>
      </c>
      <c r="T69" s="6" t="str">
        <f>INDEX(CaseType!$B:$B,MATCH($S69,CaseType!$A:$A,0))</f>
        <v>case_type1</v>
      </c>
      <c r="U69" s="6" t="b">
        <f>AND(IF($AA69="",TRUE,$S69=INDEX(CaseTypeCol!$B:$B,MATCH($AA69,CaseTypeCol!$A:$A,0))),IF($AH69="",TRUE,$S69=INDEX(CaseTypeCol!$B:$B,MATCH($AH69,CaseTypeCol!$A:$A,0))),IF($AO69="",TRUE,$S69=INDEX(CaseTypeCol!$B:$B,MATCH($AO69,CaseTypeCol!$A:$A,0))))</f>
        <v>1</v>
      </c>
      <c r="W69" t="s">
        <v>21</v>
      </c>
      <c r="X69" s="6" t="str">
        <f>INDEX(DataCollection!$B:$B,MATCH($W69,DataCollection!$A:$A,0))</f>
        <v>data_collection7</v>
      </c>
      <c r="Z69" s="14">
        <v>36526</v>
      </c>
      <c r="AA69" t="s">
        <v>142</v>
      </c>
      <c r="AB69" t="s">
        <v>663</v>
      </c>
      <c r="AC69" s="6" t="str">
        <f>IF($AA69="","",INDEX(CaseTypeCol!$G:$G,MATCH($AA69,CaseTypeCol!$A:$A,0)))</f>
        <v>case_type1_dim1_1_text</v>
      </c>
      <c r="AD69" s="6" t="b" cm="1">
        <f t="array" aca="1" ref="AD69" ca="1">IF($AA69="",TRUE,IF($J69="",FALSE,IF(INDIRECT("OrganizationAccessCasePolicy!J"&amp;$J69)="",FALSE,NOT(ISNA(MATCH(INDIRECT("OrganizationAccessCasePolicy!J"&amp;$J69)&amp;"|"&amp;$AA69,CaseTypeColSetMember!$H:$H,0))))))</f>
        <v>0</v>
      </c>
      <c r="AE69" s="6" t="b" cm="1">
        <f t="array" aca="1" ref="AE69" ca="1">IF($AA69="",TRUE,IF($J69="",FALSE,IF(INDIRECT("OrganizationAccessCasePolicy!L"&amp;$J69)="",FALSE,NOT(ISNA(MATCH(INDIRECT("OrganizationAccessCasePolicy!L"&amp;$J69)&amp;"|"&amp;$AA69,CaseTypeColSetMember!$H:$H,0))))))</f>
        <v>0</v>
      </c>
      <c r="AF69" s="6" t="b" cm="1">
        <f t="array" aca="1" ref="AF69" ca="1">IF($AA69="",TRUE,IF($N69="",FALSE,IF(INDIRECT("UserAccessCasePolicy!I"&amp;$N69)="",FALSE,NOT(ISNA(MATCH(INDIRECT("UserAccessCasePolicy!I"&amp;$N69)&amp;"|"&amp;$AA69,CaseTypeColSetMember!$H:$H,0))))))</f>
        <v>0</v>
      </c>
      <c r="AG69" s="6" t="b" cm="1">
        <f t="array" aca="1" ref="AG69" ca="1">IF($AA69="",TRUE,IF($N69="",FALSE,IF(INDIRECT("UserAccessCasePolicy!K"&amp;$N69)="",FALSE,NOT(ISNA(MATCH(INDIRECT("UserAccessCasePolicy!K"&amp;$N69)&amp;"|"&amp;$AA69,CaseTypeColSetMember!$H:$H,0))))))</f>
        <v>0</v>
      </c>
      <c r="AI69" t="s">
        <v>780</v>
      </c>
      <c r="AJ69" s="6" t="str">
        <f>IF($AH69="","",INDEX(CaseTypeCol!$G:$G,MATCH($AH69,CaseTypeCol!$A:$A,0)))</f>
        <v/>
      </c>
      <c r="AK69" s="6" t="b" cm="1">
        <f t="array" aca="1" ref="AK69" ca="1">IF($AH69="",TRUE,IF($J69="",FALSE,IF(INDIRECT("OrganizationAccessCasePolicy!J"&amp;$J69)="",FALSE,NOT(ISNA(MATCH(INDIRECT("OrganizationAccessCasePolicy!J"&amp;$J69)&amp;"|"&amp;$AH69,CaseTypeColSetMember!$H:$H,0))))))</f>
        <v>1</v>
      </c>
      <c r="AL69" s="6" t="b" cm="1">
        <f t="array" aca="1" ref="AL69" ca="1">IF($AH69="",TRUE,IF($J69="",FALSE,IF(INDIRECT("OrganizationAccessCasePolicy!L"&amp;$J69)="",FALSE,NOT(ISNA(MATCH(INDIRECT("OrganizationAccessCasePolicy!L"&amp;$J69)&amp;"|"&amp;$AH69,CaseTypeColSetMember!$H:$H,0))))))</f>
        <v>1</v>
      </c>
      <c r="AM69" s="6" t="b" cm="1">
        <f t="array" aca="1" ref="AM69" ca="1">IF($AH69="",TRUE,IF($N69="",FALSE,IF(INDIRECT("UserAccessCasePolicy!I"&amp;$N69)="",FALSE,NOT(ISNA(MATCH(INDIRECT("UserAccessCasePolicy!I"&amp;$N69)&amp;"|"&amp;$AH69,CaseTypeColSetMember!$H:$H,0))))))</f>
        <v>1</v>
      </c>
      <c r="AN69" s="6" t="b" cm="1">
        <f t="array" aca="1" ref="AN69" ca="1">IF($AH69="",TRUE,IF($N69="",FALSE,IF(INDIRECT("UserAccessCasePolicy!K"&amp;$N69)="",FALSE,NOT(ISNA(MATCH(INDIRECT("UserAccessCasePolicy!K"&amp;$N69)&amp;"|"&amp;$AH69,CaseTypeColSetMember!$H:$H,0))))))</f>
        <v>1</v>
      </c>
      <c r="AP69" t="s">
        <v>744</v>
      </c>
      <c r="AQ69" s="6" t="str">
        <f>IF($AO69="","",INDEX(CaseTypeCol!$G:$G,MATCH($AO69,CaseTypeCol!$A:$A,0)))</f>
        <v/>
      </c>
      <c r="AR69" s="6" t="b" cm="1">
        <f t="array" aca="1" ref="AR69" ca="1">IF($AO69="",TRUE,IF($J69="",FALSE,IF(INDIRECT("OrganizationAccessCasePolicy!J"&amp;$J69)="",FALSE,NOT(ISNA(MATCH(INDIRECT("OrganizationAccessCasePolicy!J"&amp;$J69)&amp;"|"&amp;$AO69,CaseTypeColSetMember!$H:$H,0))))))</f>
        <v>1</v>
      </c>
      <c r="AS69" s="6" t="b" cm="1">
        <f t="array" aca="1" ref="AS69" ca="1">IF($AO69="",TRUE,IF($J69="",FALSE,IF(INDIRECT("OrganizationAccessCasePolicy!L"&amp;$J69)="",FALSE,NOT(ISNA(MATCH(INDIRECT("OrganizationAccessCasePolicy!L"&amp;$J69)&amp;"|"&amp;$AO69,CaseTypeColSetMember!$H:$H,0))))))</f>
        <v>1</v>
      </c>
      <c r="AT69" s="6" t="b" cm="1">
        <f t="array" aca="1" ref="AT69" ca="1">IF($AO69="",TRUE,IF($N69="",FALSE,IF(INDIRECT("UserAccessCasePolicy!I"&amp;$N69)="",FALSE,NOT(ISNA(MATCH(INDIRECT("UserAccessCasePolicy!I"&amp;$N69)&amp;"|"&amp;$AO69,CaseTypeColSetMember!$H:$H,0))))))</f>
        <v>1</v>
      </c>
      <c r="AU69" s="6" t="b" cm="1">
        <f t="array" aca="1" ref="AU69" ca="1">IF($AO69="",TRUE,IF($N69="",FALSE,IF(INDIRECT("UserAccessCasePolicy!K"&amp;$N69)="",FALSE,NOT(ISNA(MATCH(INDIRECT("UserAccessCasePolicy!K"&amp;$N69)&amp;"|"&amp;$AO69,CaseTypeColSetMember!$H:$H,0))))))</f>
        <v>1</v>
      </c>
    </row>
    <row r="70" spans="1:47" ht="18.75" customHeight="1" x14ac:dyDescent="0.3">
      <c r="A70">
        <v>69</v>
      </c>
      <c r="B70" t="b">
        <v>1</v>
      </c>
      <c r="C70" t="s">
        <v>768</v>
      </c>
      <c r="D70" t="s">
        <v>37</v>
      </c>
      <c r="E70" s="6" t="str">
        <f>INDEX(User!$D:$D,MATCH($D70,User!$A:$A,0))</f>
        <v>org_user5_3</v>
      </c>
      <c r="F70" t="s">
        <v>721</v>
      </c>
      <c r="G70" s="19" t="b">
        <f t="shared" ca="1" si="1"/>
        <v>0</v>
      </c>
      <c r="H70" s="6" t="str">
        <f>INDEX(User!$G:$G,MATCH($D70,User!$A:$A,0))</f>
        <v>0195d18c-1c93-02a2-6920-7e4dbfb73ce0</v>
      </c>
      <c r="I70" s="6" t="b">
        <f>INDEX(User!$M:$M,MATCH($D70,User!$A:$A,0))</f>
        <v>0</v>
      </c>
      <c r="J70" s="6">
        <f>IF(ISNA(MATCH($H70&amp;"|"&amp;$W70,OrganizationAccessCasePolicy!$V:$V,0)),"",MATCH($H70&amp;"|"&amp;$W70,OrganizationAccessCasePolicy!$V:$V,0))</f>
        <v>6</v>
      </c>
      <c r="K70" s="6" t="b" cm="1">
        <f t="array" aca="1" ref="K70" ca="1">IF($J70="",FALSE,NOT(ISNA(MATCH(INDIRECT("OrganizationAccessCasePolicy!D"&amp;$J70)&amp;"|"&amp;$S70,CaseTypeSetMember!$H:$H,0))))</f>
        <v>0</v>
      </c>
      <c r="L70" s="6" t="b" cm="1">
        <f t="array" aca="1" ref="L70" ca="1">IF($J70="",FALSE,AND(INDIRECT("OrganizationAccessCasePolicy!H"&amp;$J70),NOT(ISNA(MATCH(INDIRECT("OrganizationAccessCasePolicy!D"&amp;$J70)&amp;"|"&amp;$S70,CaseTypeSetMember!$H:$H,0)))))</f>
        <v>0</v>
      </c>
      <c r="M70" s="6" t="b" cm="1">
        <f t="array" aca="1" ref="M70" ca="1">IF($J70="",FALSE,AND(INDIRECT("OrganizationAccessCasePolicy!I"&amp;$J70),NOT(ISNA(MATCH(INDIRECT("OrganizationAccessCasePolicy!D"&amp;$J70)&amp;"|"&amp;$S70,CaseTypeSetMember!$H:$H,0)))))</f>
        <v>0</v>
      </c>
      <c r="N70" s="6" t="str">
        <f>IF(ISNA(MATCH($D70&amp;"|"&amp;$W70,UserAccessCasePolicy!$W:$W,0)),"",MATCH($D70&amp;"|"&amp;$W70,UserAccessCasePolicy!$W:$W,0))</f>
        <v/>
      </c>
      <c r="O70" s="6" t="b" cm="1">
        <f t="array" aca="1" ref="O70" ca="1">IF($N70="",FALSE,NOT(ISNA(MATCH(INDIRECT("UserAccessCasePolicy!D"&amp;$N70)&amp;"|"&amp;$S70,CaseTypeSetMember!$H:$H,0))))</f>
        <v>0</v>
      </c>
      <c r="P70" s="6" t="b" cm="1">
        <f t="array" aca="1" ref="P70" ca="1">IF($N70="",FALSE,AND(INDIRECT("UserAccessCasePolicy!G"&amp;$N70),NOT(ISNA(MATCH(INDIRECT("UserAccessCasePolicy!D"&amp;$N70)&amp;"|"&amp;$S70,CaseTypeSetMember!$H:$H,0)))))</f>
        <v>0</v>
      </c>
      <c r="Q70" s="6" t="b" cm="1">
        <f t="array" aca="1" ref="Q70" ca="1">IF($N70="",FALSE,AND(INDIRECT("UserAccessCasePolicy!H"&amp;$N70),NOT(ISNA(MATCH(INDIRECT("UserAccessCasePolicy!D"&amp;$N70)&amp;"|"&amp;$S70,CaseTypeSetMember!$H:$H,0)))))</f>
        <v>0</v>
      </c>
      <c r="R70" t="s">
        <v>657</v>
      </c>
      <c r="S70" t="s">
        <v>119</v>
      </c>
      <c r="T70" s="6" t="str">
        <f>INDEX(CaseType!$B:$B,MATCH($S70,CaseType!$A:$A,0))</f>
        <v>case_type1</v>
      </c>
      <c r="U70" s="6" t="b">
        <f>AND(IF($AA70="",TRUE,$S70=INDEX(CaseTypeCol!$B:$B,MATCH($AA70,CaseTypeCol!$A:$A,0))),IF($AH70="",TRUE,$S70=INDEX(CaseTypeCol!$B:$B,MATCH($AH70,CaseTypeCol!$A:$A,0))),IF($AO70="",TRUE,$S70=INDEX(CaseTypeCol!$B:$B,MATCH($AO70,CaseTypeCol!$A:$A,0))))</f>
        <v>1</v>
      </c>
      <c r="W70" t="s">
        <v>35</v>
      </c>
      <c r="X70" s="6" t="str">
        <f>INDEX(DataCollection!$B:$B,MATCH($W70,DataCollection!$A:$A,0))</f>
        <v>data_collection5</v>
      </c>
      <c r="Z70" s="14">
        <v>36526</v>
      </c>
      <c r="AA70" t="s">
        <v>142</v>
      </c>
      <c r="AB70" t="s">
        <v>663</v>
      </c>
      <c r="AC70" s="6" t="str">
        <f>IF($AA70="","",INDEX(CaseTypeCol!$G:$G,MATCH($AA70,CaseTypeCol!$A:$A,0)))</f>
        <v>case_type1_dim1_1_text</v>
      </c>
      <c r="AD70" s="6" t="b" cm="1">
        <f t="array" aca="1" ref="AD70" ca="1">IF($AA70="",TRUE,IF($J70="",FALSE,IF(INDIRECT("OrganizationAccessCasePolicy!J"&amp;$J70)="",FALSE,NOT(ISNA(MATCH(INDIRECT("OrganizationAccessCasePolicy!J"&amp;$J70)&amp;"|"&amp;$AA70,CaseTypeColSetMember!$H:$H,0))))))</f>
        <v>0</v>
      </c>
      <c r="AE70" s="6" t="b" cm="1">
        <f t="array" aca="1" ref="AE70" ca="1">IF($AA70="",TRUE,IF($J70="",FALSE,IF(INDIRECT("OrganizationAccessCasePolicy!L"&amp;$J70)="",FALSE,NOT(ISNA(MATCH(INDIRECT("OrganizationAccessCasePolicy!L"&amp;$J70)&amp;"|"&amp;$AA70,CaseTypeColSetMember!$H:$H,0))))))</f>
        <v>0</v>
      </c>
      <c r="AF70" s="6" t="b" cm="1">
        <f t="array" aca="1" ref="AF70" ca="1">IF($AA70="",TRUE,IF($N70="",FALSE,IF(INDIRECT("UserAccessCasePolicy!I"&amp;$N70)="",FALSE,NOT(ISNA(MATCH(INDIRECT("UserAccessCasePolicy!I"&amp;$N70)&amp;"|"&amp;$AA70,CaseTypeColSetMember!$H:$H,0))))))</f>
        <v>0</v>
      </c>
      <c r="AG70" s="6" t="b" cm="1">
        <f t="array" aca="1" ref="AG70" ca="1">IF($AA70="",TRUE,IF($N70="",FALSE,IF(INDIRECT("UserAccessCasePolicy!K"&amp;$N70)="",FALSE,NOT(ISNA(MATCH(INDIRECT("UserAccessCasePolicy!K"&amp;$N70)&amp;"|"&amp;$AA70,CaseTypeColSetMember!$H:$H,0))))))</f>
        <v>0</v>
      </c>
      <c r="AI70" t="s">
        <v>780</v>
      </c>
      <c r="AJ70" s="6" t="str">
        <f>IF($AH70="","",INDEX(CaseTypeCol!$G:$G,MATCH($AH70,CaseTypeCol!$A:$A,0)))</f>
        <v/>
      </c>
      <c r="AK70" s="6" t="b" cm="1">
        <f t="array" aca="1" ref="AK70" ca="1">IF($AH70="",TRUE,IF($J70="",FALSE,IF(INDIRECT("OrganizationAccessCasePolicy!J"&amp;$J70)="",FALSE,NOT(ISNA(MATCH(INDIRECT("OrganizationAccessCasePolicy!J"&amp;$J70)&amp;"|"&amp;$AH70,CaseTypeColSetMember!$H:$H,0))))))</f>
        <v>1</v>
      </c>
      <c r="AL70" s="6" t="b" cm="1">
        <f t="array" aca="1" ref="AL70" ca="1">IF($AH70="",TRUE,IF($J70="",FALSE,IF(INDIRECT("OrganizationAccessCasePolicy!L"&amp;$J70)="",FALSE,NOT(ISNA(MATCH(INDIRECT("OrganizationAccessCasePolicy!L"&amp;$J70)&amp;"|"&amp;$AH70,CaseTypeColSetMember!$H:$H,0))))))</f>
        <v>1</v>
      </c>
      <c r="AM70" s="6" t="b" cm="1">
        <f t="array" aca="1" ref="AM70" ca="1">IF($AH70="",TRUE,IF($N70="",FALSE,IF(INDIRECT("UserAccessCasePolicy!I"&amp;$N70)="",FALSE,NOT(ISNA(MATCH(INDIRECT("UserAccessCasePolicy!I"&amp;$N70)&amp;"|"&amp;$AH70,CaseTypeColSetMember!$H:$H,0))))))</f>
        <v>1</v>
      </c>
      <c r="AN70" s="6" t="b" cm="1">
        <f t="array" aca="1" ref="AN70" ca="1">IF($AH70="",TRUE,IF($N70="",FALSE,IF(INDIRECT("UserAccessCasePolicy!K"&amp;$N70)="",FALSE,NOT(ISNA(MATCH(INDIRECT("UserAccessCasePolicy!K"&amp;$N70)&amp;"|"&amp;$AH70,CaseTypeColSetMember!$H:$H,0))))))</f>
        <v>1</v>
      </c>
      <c r="AP70" t="s">
        <v>744</v>
      </c>
      <c r="AQ70" s="6" t="str">
        <f>IF($AO70="","",INDEX(CaseTypeCol!$G:$G,MATCH($AO70,CaseTypeCol!$A:$A,0)))</f>
        <v/>
      </c>
      <c r="AR70" s="6" t="b" cm="1">
        <f t="array" aca="1" ref="AR70" ca="1">IF($AO70="",TRUE,IF($J70="",FALSE,IF(INDIRECT("OrganizationAccessCasePolicy!J"&amp;$J70)="",FALSE,NOT(ISNA(MATCH(INDIRECT("OrganizationAccessCasePolicy!J"&amp;$J70)&amp;"|"&amp;$AO70,CaseTypeColSetMember!$H:$H,0))))))</f>
        <v>1</v>
      </c>
      <c r="AS70" s="6" t="b" cm="1">
        <f t="array" aca="1" ref="AS70" ca="1">IF($AO70="",TRUE,IF($J70="",FALSE,IF(INDIRECT("OrganizationAccessCasePolicy!L"&amp;$J70)="",FALSE,NOT(ISNA(MATCH(INDIRECT("OrganizationAccessCasePolicy!L"&amp;$J70)&amp;"|"&amp;$AO70,CaseTypeColSetMember!$H:$H,0))))))</f>
        <v>1</v>
      </c>
      <c r="AT70" s="6" t="b" cm="1">
        <f t="array" aca="1" ref="AT70" ca="1">IF($AO70="",TRUE,IF($N70="",FALSE,IF(INDIRECT("UserAccessCasePolicy!I"&amp;$N70)="",FALSE,NOT(ISNA(MATCH(INDIRECT("UserAccessCasePolicy!I"&amp;$N70)&amp;"|"&amp;$AO70,CaseTypeColSetMember!$H:$H,0))))))</f>
        <v>1</v>
      </c>
      <c r="AU70" s="6" t="b" cm="1">
        <f t="array" aca="1" ref="AU70" ca="1">IF($AO70="",TRUE,IF($N70="",FALSE,IF(INDIRECT("UserAccessCasePolicy!K"&amp;$N70)="",FALSE,NOT(ISNA(MATCH(INDIRECT("UserAccessCasePolicy!K"&amp;$N70)&amp;"|"&amp;$AO70,CaseTypeColSetMember!$H:$H,0))))))</f>
        <v>1</v>
      </c>
    </row>
    <row r="71" spans="1:47" ht="18.75" customHeight="1" x14ac:dyDescent="0.3">
      <c r="A71">
        <v>70</v>
      </c>
      <c r="B71" t="b">
        <v>1</v>
      </c>
      <c r="C71" t="s">
        <v>769</v>
      </c>
      <c r="D71" t="s">
        <v>38</v>
      </c>
      <c r="E71" s="6" t="str">
        <f>INDEX(User!$D:$D,MATCH($D71,User!$A:$A,0))</f>
        <v>org_user5_4</v>
      </c>
      <c r="F71" t="s">
        <v>721</v>
      </c>
      <c r="G71" s="19" t="b">
        <f t="shared" ca="1" si="1"/>
        <v>0</v>
      </c>
      <c r="H71" s="6" t="str">
        <f>INDEX(User!$G:$G,MATCH($D71,User!$A:$A,0))</f>
        <v>0195d18c-1c93-02a2-6920-7e4dbfb73ce0</v>
      </c>
      <c r="I71" s="6" t="b">
        <f>INDEX(User!$M:$M,MATCH($D71,User!$A:$A,0))</f>
        <v>0</v>
      </c>
      <c r="J71" s="6" t="str">
        <f>IF(ISNA(MATCH($H71&amp;"|"&amp;$W71,OrganizationAccessCasePolicy!$V:$V,0)),"",MATCH($H71&amp;"|"&amp;$W71,OrganizationAccessCasePolicy!$V:$V,0))</f>
        <v/>
      </c>
      <c r="K71" s="6" t="b" cm="1">
        <f t="array" aca="1" ref="K71" ca="1">IF($J71="",FALSE,NOT(ISNA(MATCH(INDIRECT("OrganizationAccessCasePolicy!D"&amp;$J71)&amp;"|"&amp;$S71,CaseTypeSetMember!$H:$H,0))))</f>
        <v>0</v>
      </c>
      <c r="L71" s="6" t="b" cm="1">
        <f t="array" aca="1" ref="L71" ca="1">IF($J71="",FALSE,AND(INDIRECT("OrganizationAccessCasePolicy!H"&amp;$J71),NOT(ISNA(MATCH(INDIRECT("OrganizationAccessCasePolicy!D"&amp;$J71)&amp;"|"&amp;$S71,CaseTypeSetMember!$H:$H,0)))))</f>
        <v>0</v>
      </c>
      <c r="M71" s="6" t="b" cm="1">
        <f t="array" aca="1" ref="M71" ca="1">IF($J71="",FALSE,AND(INDIRECT("OrganizationAccessCasePolicy!I"&amp;$J71),NOT(ISNA(MATCH(INDIRECT("OrganizationAccessCasePolicy!D"&amp;$J71)&amp;"|"&amp;$S71,CaseTypeSetMember!$H:$H,0)))))</f>
        <v>0</v>
      </c>
      <c r="N71" s="6" t="str">
        <f>IF(ISNA(MATCH($D71&amp;"|"&amp;$W71,UserAccessCasePolicy!$W:$W,0)),"",MATCH($D71&amp;"|"&amp;$W71,UserAccessCasePolicy!$W:$W,0))</f>
        <v/>
      </c>
      <c r="O71" s="6" t="b" cm="1">
        <f t="array" aca="1" ref="O71" ca="1">IF($N71="",FALSE,NOT(ISNA(MATCH(INDIRECT("UserAccessCasePolicy!D"&amp;$N71)&amp;"|"&amp;$S71,CaseTypeSetMember!$H:$H,0))))</f>
        <v>0</v>
      </c>
      <c r="P71" s="6" t="b" cm="1">
        <f t="array" aca="1" ref="P71" ca="1">IF($N71="",FALSE,AND(INDIRECT("UserAccessCasePolicy!G"&amp;$N71),NOT(ISNA(MATCH(INDIRECT("UserAccessCasePolicy!D"&amp;$N71)&amp;"|"&amp;$S71,CaseTypeSetMember!$H:$H,0)))))</f>
        <v>0</v>
      </c>
      <c r="Q71" s="6" t="b" cm="1">
        <f t="array" aca="1" ref="Q71" ca="1">IF($N71="",FALSE,AND(INDIRECT("UserAccessCasePolicy!H"&amp;$N71),NOT(ISNA(MATCH(INDIRECT("UserAccessCasePolicy!D"&amp;$N71)&amp;"|"&amp;$S71,CaseTypeSetMember!$H:$H,0)))))</f>
        <v>0</v>
      </c>
      <c r="R71" t="s">
        <v>658</v>
      </c>
      <c r="S71" t="s">
        <v>119</v>
      </c>
      <c r="T71" s="6" t="str">
        <f>INDEX(CaseType!$B:$B,MATCH($S71,CaseType!$A:$A,0))</f>
        <v>case_type1</v>
      </c>
      <c r="U71" s="6" t="b">
        <f>AND(IF($AA71="",TRUE,$S71=INDEX(CaseTypeCol!$B:$B,MATCH($AA71,CaseTypeCol!$A:$A,0))),IF($AH71="",TRUE,$S71=INDEX(CaseTypeCol!$B:$B,MATCH($AH71,CaseTypeCol!$A:$A,0))),IF($AO71="",TRUE,$S71=INDEX(CaseTypeCol!$B:$B,MATCH($AO71,CaseTypeCol!$A:$A,0))))</f>
        <v>1</v>
      </c>
      <c r="W71" t="s">
        <v>17</v>
      </c>
      <c r="X71" s="6" t="str">
        <f>INDEX(DataCollection!$B:$B,MATCH($W71,DataCollection!$A:$A,0))</f>
        <v>data_collection2</v>
      </c>
      <c r="Z71" s="14">
        <v>36526</v>
      </c>
      <c r="AA71" t="s">
        <v>142</v>
      </c>
      <c r="AB71" t="s">
        <v>663</v>
      </c>
      <c r="AC71" s="6" t="str">
        <f>IF($AA71="","",INDEX(CaseTypeCol!$G:$G,MATCH($AA71,CaseTypeCol!$A:$A,0)))</f>
        <v>case_type1_dim1_1_text</v>
      </c>
      <c r="AD71" s="6" t="b" cm="1">
        <f t="array" aca="1" ref="AD71" ca="1">IF($AA71="",TRUE,IF($J71="",FALSE,IF(INDIRECT("OrganizationAccessCasePolicy!J"&amp;$J71)="",FALSE,NOT(ISNA(MATCH(INDIRECT("OrganizationAccessCasePolicy!J"&amp;$J71)&amp;"|"&amp;$AA71,CaseTypeColSetMember!$H:$H,0))))))</f>
        <v>0</v>
      </c>
      <c r="AE71" s="6" t="b" cm="1">
        <f t="array" aca="1" ref="AE71" ca="1">IF($AA71="",TRUE,IF($J71="",FALSE,IF(INDIRECT("OrganizationAccessCasePolicy!L"&amp;$J71)="",FALSE,NOT(ISNA(MATCH(INDIRECT("OrganizationAccessCasePolicy!L"&amp;$J71)&amp;"|"&amp;$AA71,CaseTypeColSetMember!$H:$H,0))))))</f>
        <v>0</v>
      </c>
      <c r="AF71" s="6" t="b" cm="1">
        <f t="array" aca="1" ref="AF71" ca="1">IF($AA71="",TRUE,IF($N71="",FALSE,IF(INDIRECT("UserAccessCasePolicy!I"&amp;$N71)="",FALSE,NOT(ISNA(MATCH(INDIRECT("UserAccessCasePolicy!I"&amp;$N71)&amp;"|"&amp;$AA71,CaseTypeColSetMember!$H:$H,0))))))</f>
        <v>0</v>
      </c>
      <c r="AG71" s="6" t="b" cm="1">
        <f t="array" aca="1" ref="AG71" ca="1">IF($AA71="",TRUE,IF($N71="",FALSE,IF(INDIRECT("UserAccessCasePolicy!K"&amp;$N71)="",FALSE,NOT(ISNA(MATCH(INDIRECT("UserAccessCasePolicy!K"&amp;$N71)&amp;"|"&amp;$AA71,CaseTypeColSetMember!$H:$H,0))))))</f>
        <v>0</v>
      </c>
      <c r="AI71" t="s">
        <v>780</v>
      </c>
      <c r="AJ71" s="6" t="str">
        <f>IF($AH71="","",INDEX(CaseTypeCol!$G:$G,MATCH($AH71,CaseTypeCol!$A:$A,0)))</f>
        <v/>
      </c>
      <c r="AK71" s="6" t="b" cm="1">
        <f t="array" aca="1" ref="AK71" ca="1">IF($AH71="",TRUE,IF($J71="",FALSE,IF(INDIRECT("OrganizationAccessCasePolicy!J"&amp;$J71)="",FALSE,NOT(ISNA(MATCH(INDIRECT("OrganizationAccessCasePolicy!J"&amp;$J71)&amp;"|"&amp;$AH71,CaseTypeColSetMember!$H:$H,0))))))</f>
        <v>1</v>
      </c>
      <c r="AL71" s="6" t="b" cm="1">
        <f t="array" aca="1" ref="AL71" ca="1">IF($AH71="",TRUE,IF($J71="",FALSE,IF(INDIRECT("OrganizationAccessCasePolicy!L"&amp;$J71)="",FALSE,NOT(ISNA(MATCH(INDIRECT("OrganizationAccessCasePolicy!L"&amp;$J71)&amp;"|"&amp;$AH71,CaseTypeColSetMember!$H:$H,0))))))</f>
        <v>1</v>
      </c>
      <c r="AM71" s="6" t="b" cm="1">
        <f t="array" aca="1" ref="AM71" ca="1">IF($AH71="",TRUE,IF($N71="",FALSE,IF(INDIRECT("UserAccessCasePolicy!I"&amp;$N71)="",FALSE,NOT(ISNA(MATCH(INDIRECT("UserAccessCasePolicy!I"&amp;$N71)&amp;"|"&amp;$AH71,CaseTypeColSetMember!$H:$H,0))))))</f>
        <v>1</v>
      </c>
      <c r="AN71" s="6" t="b" cm="1">
        <f t="array" aca="1" ref="AN71" ca="1">IF($AH71="",TRUE,IF($N71="",FALSE,IF(INDIRECT("UserAccessCasePolicy!K"&amp;$N71)="",FALSE,NOT(ISNA(MATCH(INDIRECT("UserAccessCasePolicy!K"&amp;$N71)&amp;"|"&amp;$AH71,CaseTypeColSetMember!$H:$H,0))))))</f>
        <v>1</v>
      </c>
      <c r="AP71" t="s">
        <v>744</v>
      </c>
      <c r="AQ71" s="6" t="str">
        <f>IF($AO71="","",INDEX(CaseTypeCol!$G:$G,MATCH($AO71,CaseTypeCol!$A:$A,0)))</f>
        <v/>
      </c>
      <c r="AR71" s="6" t="b" cm="1">
        <f t="array" aca="1" ref="AR71" ca="1">IF($AO71="",TRUE,IF($J71="",FALSE,IF(INDIRECT("OrganizationAccessCasePolicy!J"&amp;$J71)="",FALSE,NOT(ISNA(MATCH(INDIRECT("OrganizationAccessCasePolicy!J"&amp;$J71)&amp;"|"&amp;$AO71,CaseTypeColSetMember!$H:$H,0))))))</f>
        <v>1</v>
      </c>
      <c r="AS71" s="6" t="b" cm="1">
        <f t="array" aca="1" ref="AS71" ca="1">IF($AO71="",TRUE,IF($J71="",FALSE,IF(INDIRECT("OrganizationAccessCasePolicy!L"&amp;$J71)="",FALSE,NOT(ISNA(MATCH(INDIRECT("OrganizationAccessCasePolicy!L"&amp;$J71)&amp;"|"&amp;$AO71,CaseTypeColSetMember!$H:$H,0))))))</f>
        <v>1</v>
      </c>
      <c r="AT71" s="6" t="b" cm="1">
        <f t="array" aca="1" ref="AT71" ca="1">IF($AO71="",TRUE,IF($N71="",FALSE,IF(INDIRECT("UserAccessCasePolicy!I"&amp;$N71)="",FALSE,NOT(ISNA(MATCH(INDIRECT("UserAccessCasePolicy!I"&amp;$N71)&amp;"|"&amp;$AO71,CaseTypeColSetMember!$H:$H,0))))))</f>
        <v>1</v>
      </c>
      <c r="AU71" s="6" t="b" cm="1">
        <f t="array" aca="1" ref="AU71" ca="1">IF($AO71="",TRUE,IF($N71="",FALSE,IF(INDIRECT("UserAccessCasePolicy!K"&amp;$N71)="",FALSE,NOT(ISNA(MATCH(INDIRECT("UserAccessCasePolicy!K"&amp;$N71)&amp;"|"&amp;$AO71,CaseTypeColSetMember!$H:$H,0))))))</f>
        <v>1</v>
      </c>
    </row>
    <row r="72" spans="1:47" ht="18.75" customHeight="1" x14ac:dyDescent="0.3">
      <c r="A72">
        <v>71</v>
      </c>
      <c r="B72" t="b">
        <v>1</v>
      </c>
      <c r="C72" t="s">
        <v>770</v>
      </c>
      <c r="D72" t="s">
        <v>16</v>
      </c>
      <c r="E72" s="6" t="str">
        <f>INDEX(User!$D:$D,MATCH($D72,User!$A:$A,0))</f>
        <v>org_user2_1</v>
      </c>
      <c r="F72" t="s">
        <v>721</v>
      </c>
      <c r="G72" s="19" t="b">
        <f t="shared" ca="1" si="1"/>
        <v>0</v>
      </c>
      <c r="H72" s="6" t="str">
        <f>INDEX(User!$G:$G,MATCH($D72,User!$A:$A,0))</f>
        <v>0195d18c-1c92-0ed4-2e94-b4f66d82baf3</v>
      </c>
      <c r="I72" s="6" t="b">
        <f>INDEX(User!$M:$M,MATCH($D72,User!$A:$A,0))</f>
        <v>0</v>
      </c>
      <c r="J72" s="6">
        <f>IF(ISNA(MATCH($H72&amp;"|"&amp;$W72,OrganizationAccessCasePolicy!$V:$V,0)),"",MATCH($H72&amp;"|"&amp;$W72,OrganizationAccessCasePolicy!$V:$V,0))</f>
        <v>8</v>
      </c>
      <c r="K72" s="6" t="b" cm="1">
        <f t="array" aca="1" ref="K72" ca="1">IF($J72="",FALSE,NOT(ISNA(MATCH(INDIRECT("OrganizationAccessCasePolicy!D"&amp;$J72)&amp;"|"&amp;$S72,CaseTypeSetMember!$H:$H,0))))</f>
        <v>0</v>
      </c>
      <c r="L72" s="6" t="b" cm="1">
        <f t="array" aca="1" ref="L72" ca="1">IF($J72="",FALSE,AND(INDIRECT("OrganizationAccessCasePolicy!H"&amp;$J72),NOT(ISNA(MATCH(INDIRECT("OrganizationAccessCasePolicy!D"&amp;$J72)&amp;"|"&amp;$S72,CaseTypeSetMember!$H:$H,0)))))</f>
        <v>0</v>
      </c>
      <c r="M72" s="6" t="b" cm="1">
        <f t="array" aca="1" ref="M72" ca="1">IF($J72="",FALSE,AND(INDIRECT("OrganizationAccessCasePolicy!I"&amp;$J72),NOT(ISNA(MATCH(INDIRECT("OrganizationAccessCasePolicy!D"&amp;$J72)&amp;"|"&amp;$S72,CaseTypeSetMember!$H:$H,0)))))</f>
        <v>0</v>
      </c>
      <c r="N72" s="6">
        <f>IF(ISNA(MATCH($D72&amp;"|"&amp;$W72,UserAccessCasePolicy!$W:$W,0)),"",MATCH($D72&amp;"|"&amp;$W72,UserAccessCasePolicy!$W:$W,0))</f>
        <v>8</v>
      </c>
      <c r="O72" s="6" t="b" cm="1">
        <f t="array" aca="1" ref="O72" ca="1">IF($N72="",FALSE,NOT(ISNA(MATCH(INDIRECT("UserAccessCasePolicy!D"&amp;$N72)&amp;"|"&amp;$S72,CaseTypeSetMember!$H:$H,0))))</f>
        <v>0</v>
      </c>
      <c r="P72" s="6" t="b" cm="1">
        <f t="array" aca="1" ref="P72" ca="1">IF($N72="",FALSE,AND(INDIRECT("UserAccessCasePolicy!G"&amp;$N72),NOT(ISNA(MATCH(INDIRECT("UserAccessCasePolicy!D"&amp;$N72)&amp;"|"&amp;$S72,CaseTypeSetMember!$H:$H,0)))))</f>
        <v>0</v>
      </c>
      <c r="Q72" s="6" t="b" cm="1">
        <f t="array" aca="1" ref="Q72" ca="1">IF($N72="",FALSE,AND(INDIRECT("UserAccessCasePolicy!H"&amp;$N72),NOT(ISNA(MATCH(INDIRECT("UserAccessCasePolicy!D"&amp;$N72)&amp;"|"&amp;$S72,CaseTypeSetMember!$H:$H,0)))))</f>
        <v>0</v>
      </c>
      <c r="R72" t="s">
        <v>725</v>
      </c>
      <c r="S72" t="s">
        <v>119</v>
      </c>
      <c r="T72" s="6" t="str">
        <f>INDEX(CaseType!$B:$B,MATCH($S72,CaseType!$A:$A,0))</f>
        <v>case_type1</v>
      </c>
      <c r="U72" s="6" t="b">
        <f>AND(IF($AA72="",TRUE,$S72=INDEX(CaseTypeCol!$B:$B,MATCH($AA72,CaseTypeCol!$A:$A,0))),IF($AH72="",TRUE,$S72=INDEX(CaseTypeCol!$B:$B,MATCH($AH72,CaseTypeCol!$A:$A,0))),IF($AO72="",TRUE,$S72=INDEX(CaseTypeCol!$B:$B,MATCH($AO72,CaseTypeCol!$A:$A,0))))</f>
        <v>1</v>
      </c>
      <c r="W72" t="s">
        <v>21</v>
      </c>
      <c r="X72" s="6" t="str">
        <f>INDEX(DataCollection!$B:$B,MATCH($W72,DataCollection!$A:$A,0))</f>
        <v>data_collection7</v>
      </c>
      <c r="Z72" s="14">
        <v>36526</v>
      </c>
      <c r="AA72" t="s">
        <v>142</v>
      </c>
      <c r="AB72" t="s">
        <v>663</v>
      </c>
      <c r="AC72" s="6" t="str">
        <f>IF($AA72="","",INDEX(CaseTypeCol!$G:$G,MATCH($AA72,CaseTypeCol!$A:$A,0)))</f>
        <v>case_type1_dim1_1_text</v>
      </c>
      <c r="AD72" s="6" t="b" cm="1">
        <f t="array" aca="1" ref="AD72" ca="1">IF($AA72="",TRUE,IF($J72="",FALSE,IF(INDIRECT("OrganizationAccessCasePolicy!J"&amp;$J72)="",FALSE,NOT(ISNA(MATCH(INDIRECT("OrganizationAccessCasePolicy!J"&amp;$J72)&amp;"|"&amp;$AA72,CaseTypeColSetMember!$H:$H,0))))))</f>
        <v>0</v>
      </c>
      <c r="AE72" s="6" t="b" cm="1">
        <f t="array" aca="1" ref="AE72" ca="1">IF($AA72="",TRUE,IF($J72="",FALSE,IF(INDIRECT("OrganizationAccessCasePolicy!L"&amp;$J72)="",FALSE,NOT(ISNA(MATCH(INDIRECT("OrganizationAccessCasePolicy!L"&amp;$J72)&amp;"|"&amp;$AA72,CaseTypeColSetMember!$H:$H,0))))))</f>
        <v>0</v>
      </c>
      <c r="AF72" s="6" t="b" cm="1">
        <f t="array" aca="1" ref="AF72" ca="1">IF($AA72="",TRUE,IF($N72="",FALSE,IF(INDIRECT("UserAccessCasePolicy!I"&amp;$N72)="",FALSE,NOT(ISNA(MATCH(INDIRECT("UserAccessCasePolicy!I"&amp;$N72)&amp;"|"&amp;$AA72,CaseTypeColSetMember!$H:$H,0))))))</f>
        <v>0</v>
      </c>
      <c r="AG72" s="6" t="b" cm="1">
        <f t="array" aca="1" ref="AG72" ca="1">IF($AA72="",TRUE,IF($N72="",FALSE,IF(INDIRECT("UserAccessCasePolicy!K"&amp;$N72)="",FALSE,NOT(ISNA(MATCH(INDIRECT("UserAccessCasePolicy!K"&amp;$N72)&amp;"|"&amp;$AA72,CaseTypeColSetMember!$H:$H,0))))))</f>
        <v>0</v>
      </c>
      <c r="AI72" t="s">
        <v>780</v>
      </c>
      <c r="AJ72" s="6" t="str">
        <f>IF($AH72="","",INDEX(CaseTypeCol!$G:$G,MATCH($AH72,CaseTypeCol!$A:$A,0)))</f>
        <v/>
      </c>
      <c r="AK72" s="6" t="b" cm="1">
        <f t="array" aca="1" ref="AK72" ca="1">IF($AH72="",TRUE,IF($J72="",FALSE,IF(INDIRECT("OrganizationAccessCasePolicy!J"&amp;$J72)="",FALSE,NOT(ISNA(MATCH(INDIRECT("OrganizationAccessCasePolicy!J"&amp;$J72)&amp;"|"&amp;$AH72,CaseTypeColSetMember!$H:$H,0))))))</f>
        <v>1</v>
      </c>
      <c r="AL72" s="6" t="b" cm="1">
        <f t="array" aca="1" ref="AL72" ca="1">IF($AH72="",TRUE,IF($J72="",FALSE,IF(INDIRECT("OrganizationAccessCasePolicy!L"&amp;$J72)="",FALSE,NOT(ISNA(MATCH(INDIRECT("OrganizationAccessCasePolicy!L"&amp;$J72)&amp;"|"&amp;$AH72,CaseTypeColSetMember!$H:$H,0))))))</f>
        <v>1</v>
      </c>
      <c r="AM72" s="6" t="b" cm="1">
        <f t="array" aca="1" ref="AM72" ca="1">IF($AH72="",TRUE,IF($N72="",FALSE,IF(INDIRECT("UserAccessCasePolicy!I"&amp;$N72)="",FALSE,NOT(ISNA(MATCH(INDIRECT("UserAccessCasePolicy!I"&amp;$N72)&amp;"|"&amp;$AH72,CaseTypeColSetMember!$H:$H,0))))))</f>
        <v>1</v>
      </c>
      <c r="AN72" s="6" t="b" cm="1">
        <f t="array" aca="1" ref="AN72" ca="1">IF($AH72="",TRUE,IF($N72="",FALSE,IF(INDIRECT("UserAccessCasePolicy!K"&amp;$N72)="",FALSE,NOT(ISNA(MATCH(INDIRECT("UserAccessCasePolicy!K"&amp;$N72)&amp;"|"&amp;$AH72,CaseTypeColSetMember!$H:$H,0))))))</f>
        <v>1</v>
      </c>
      <c r="AQ72" s="6" t="str">
        <f>IF($AO72="","",INDEX(CaseTypeCol!$G:$G,MATCH($AO72,CaseTypeCol!$A:$A,0)))</f>
        <v/>
      </c>
      <c r="AR72" s="6" t="b" cm="1">
        <f t="array" aca="1" ref="AR72" ca="1">IF($AO72="",TRUE,IF($J72="",FALSE,IF(INDIRECT("OrganizationAccessCasePolicy!J"&amp;$J72)="",FALSE,NOT(ISNA(MATCH(INDIRECT("OrganizationAccessCasePolicy!J"&amp;$J72)&amp;"|"&amp;$AO72,CaseTypeColSetMember!$H:$H,0))))))</f>
        <v>1</v>
      </c>
      <c r="AS72" s="6" t="b" cm="1">
        <f t="array" aca="1" ref="AS72" ca="1">IF($AO72="",TRUE,IF($J72="",FALSE,IF(INDIRECT("OrganizationAccessCasePolicy!L"&amp;$J72)="",FALSE,NOT(ISNA(MATCH(INDIRECT("OrganizationAccessCasePolicy!L"&amp;$J72)&amp;"|"&amp;$AO72,CaseTypeColSetMember!$H:$H,0))))))</f>
        <v>1</v>
      </c>
      <c r="AT72" s="6" t="b" cm="1">
        <f t="array" aca="1" ref="AT72" ca="1">IF($AO72="",TRUE,IF($N72="",FALSE,IF(INDIRECT("UserAccessCasePolicy!I"&amp;$N72)="",FALSE,NOT(ISNA(MATCH(INDIRECT("UserAccessCasePolicy!I"&amp;$N72)&amp;"|"&amp;$AO72,CaseTypeColSetMember!$H:$H,0))))))</f>
        <v>1</v>
      </c>
      <c r="AU72" s="6" t="b" cm="1">
        <f t="array" aca="1" ref="AU72" ca="1">IF($AO72="",TRUE,IF($N72="",FALSE,IF(INDIRECT("UserAccessCasePolicy!K"&amp;$N72)="",FALSE,NOT(ISNA(MATCH(INDIRECT("UserAccessCasePolicy!K"&amp;$N72)&amp;"|"&amp;$AO72,CaseTypeColSetMember!$H:$H,0))))))</f>
        <v>1</v>
      </c>
    </row>
    <row r="73" spans="1:47" ht="18.75" customHeight="1" x14ac:dyDescent="0.3">
      <c r="A73">
        <v>72</v>
      </c>
      <c r="B73" t="b">
        <v>1</v>
      </c>
      <c r="C73" t="s">
        <v>771</v>
      </c>
      <c r="D73" t="s">
        <v>18</v>
      </c>
      <c r="E73" s="6" t="str">
        <f>INDEX(User!$D:$D,MATCH($D73,User!$A:$A,0))</f>
        <v>org_user2_2</v>
      </c>
      <c r="F73" t="s">
        <v>721</v>
      </c>
      <c r="G73" s="19" t="b">
        <f t="shared" ca="1" si="1"/>
        <v>0</v>
      </c>
      <c r="H73" s="6" t="str">
        <f>INDEX(User!$G:$G,MATCH($D73,User!$A:$A,0))</f>
        <v>0195d18c-1c92-0ed4-2e94-b4f66d82baf3</v>
      </c>
      <c r="I73" s="6" t="b">
        <f>INDEX(User!$M:$M,MATCH($D73,User!$A:$A,0))</f>
        <v>0</v>
      </c>
      <c r="J73" s="6">
        <f>IF(ISNA(MATCH($H73&amp;"|"&amp;$W73,OrganizationAccessCasePolicy!$V:$V,0)),"",MATCH($H73&amp;"|"&amp;$W73,OrganizationAccessCasePolicy!$V:$V,0))</f>
        <v>8</v>
      </c>
      <c r="K73" s="6" t="b" cm="1">
        <f t="array" aca="1" ref="K73" ca="1">IF($J73="",FALSE,NOT(ISNA(MATCH(INDIRECT("OrganizationAccessCasePolicy!D"&amp;$J73)&amp;"|"&amp;$S73,CaseTypeSetMember!$H:$H,0))))</f>
        <v>0</v>
      </c>
      <c r="L73" s="6" t="b" cm="1">
        <f t="array" aca="1" ref="L73" ca="1">IF($J73="",FALSE,AND(INDIRECT("OrganizationAccessCasePolicy!H"&amp;$J73),NOT(ISNA(MATCH(INDIRECT("OrganizationAccessCasePolicy!D"&amp;$J73)&amp;"|"&amp;$S73,CaseTypeSetMember!$H:$H,0)))))</f>
        <v>0</v>
      </c>
      <c r="M73" s="6" t="b" cm="1">
        <f t="array" aca="1" ref="M73" ca="1">IF($J73="",FALSE,AND(INDIRECT("OrganizationAccessCasePolicy!I"&amp;$J73),NOT(ISNA(MATCH(INDIRECT("OrganizationAccessCasePolicy!D"&amp;$J73)&amp;"|"&amp;$S73,CaseTypeSetMember!$H:$H,0)))))</f>
        <v>0</v>
      </c>
      <c r="N73" s="6" t="str">
        <f>IF(ISNA(MATCH($D73&amp;"|"&amp;$W73,UserAccessCasePolicy!$W:$W,0)),"",MATCH($D73&amp;"|"&amp;$W73,UserAccessCasePolicy!$W:$W,0))</f>
        <v/>
      </c>
      <c r="O73" s="6" t="b" cm="1">
        <f t="array" aca="1" ref="O73" ca="1">IF($N73="",FALSE,NOT(ISNA(MATCH(INDIRECT("UserAccessCasePolicy!D"&amp;$N73)&amp;"|"&amp;$S73,CaseTypeSetMember!$H:$H,0))))</f>
        <v>0</v>
      </c>
      <c r="P73" s="6" t="b" cm="1">
        <f t="array" aca="1" ref="P73" ca="1">IF($N73="",FALSE,AND(INDIRECT("UserAccessCasePolicy!G"&amp;$N73),NOT(ISNA(MATCH(INDIRECT("UserAccessCasePolicy!D"&amp;$N73)&amp;"|"&amp;$S73,CaseTypeSetMember!$H:$H,0)))))</f>
        <v>0</v>
      </c>
      <c r="Q73" s="6" t="b" cm="1">
        <f t="array" aca="1" ref="Q73" ca="1">IF($N73="",FALSE,AND(INDIRECT("UserAccessCasePolicy!H"&amp;$N73),NOT(ISNA(MATCH(INDIRECT("UserAccessCasePolicy!D"&amp;$N73)&amp;"|"&amp;$S73,CaseTypeSetMember!$H:$H,0)))))</f>
        <v>0</v>
      </c>
      <c r="R73" t="s">
        <v>725</v>
      </c>
      <c r="S73" t="s">
        <v>123</v>
      </c>
      <c r="T73" s="6" t="str">
        <f>INDEX(CaseType!$B:$B,MATCH($S73,CaseType!$A:$A,0))</f>
        <v>case_type2</v>
      </c>
      <c r="U73" s="6" t="b">
        <f>AND(IF($AA73="",TRUE,$S73=INDEX(CaseTypeCol!$B:$B,MATCH($AA73,CaseTypeCol!$A:$A,0))),IF($AH73="",TRUE,$S73=INDEX(CaseTypeCol!$B:$B,MATCH($AH73,CaseTypeCol!$A:$A,0))),IF($AO73="",TRUE,$S73=INDEX(CaseTypeCol!$B:$B,MATCH($AO73,CaseTypeCol!$A:$A,0))))</f>
        <v>0</v>
      </c>
      <c r="W73" t="s">
        <v>21</v>
      </c>
      <c r="X73" s="6" t="str">
        <f>INDEX(DataCollection!$B:$B,MATCH($W73,DataCollection!$A:$A,0))</f>
        <v>data_collection7</v>
      </c>
      <c r="Z73" s="14">
        <v>36526</v>
      </c>
      <c r="AA73" t="s">
        <v>142</v>
      </c>
      <c r="AB73" t="s">
        <v>663</v>
      </c>
      <c r="AC73" s="6" t="str">
        <f>IF($AA73="","",INDEX(CaseTypeCol!$G:$G,MATCH($AA73,CaseTypeCol!$A:$A,0)))</f>
        <v>case_type1_dim1_1_text</v>
      </c>
      <c r="AD73" s="6" t="b" cm="1">
        <f t="array" aca="1" ref="AD73" ca="1">IF($AA73="",TRUE,IF($J73="",FALSE,IF(INDIRECT("OrganizationAccessCasePolicy!J"&amp;$J73)="",FALSE,NOT(ISNA(MATCH(INDIRECT("OrganizationAccessCasePolicy!J"&amp;$J73)&amp;"|"&amp;$AA73,CaseTypeColSetMember!$H:$H,0))))))</f>
        <v>0</v>
      </c>
      <c r="AE73" s="6" t="b" cm="1">
        <f t="array" aca="1" ref="AE73" ca="1">IF($AA73="",TRUE,IF($J73="",FALSE,IF(INDIRECT("OrganizationAccessCasePolicy!L"&amp;$J73)="",FALSE,NOT(ISNA(MATCH(INDIRECT("OrganizationAccessCasePolicy!L"&amp;$J73)&amp;"|"&amp;$AA73,CaseTypeColSetMember!$H:$H,0))))))</f>
        <v>0</v>
      </c>
      <c r="AF73" s="6" t="b" cm="1">
        <f t="array" aca="1" ref="AF73" ca="1">IF($AA73="",TRUE,IF($N73="",FALSE,IF(INDIRECT("UserAccessCasePolicy!I"&amp;$N73)="",FALSE,NOT(ISNA(MATCH(INDIRECT("UserAccessCasePolicy!I"&amp;$N73)&amp;"|"&amp;$AA73,CaseTypeColSetMember!$H:$H,0))))))</f>
        <v>0</v>
      </c>
      <c r="AG73" s="6" t="b" cm="1">
        <f t="array" aca="1" ref="AG73" ca="1">IF($AA73="",TRUE,IF($N73="",FALSE,IF(INDIRECT("UserAccessCasePolicy!K"&amp;$N73)="",FALSE,NOT(ISNA(MATCH(INDIRECT("UserAccessCasePolicy!K"&amp;$N73)&amp;"|"&amp;$AA73,CaseTypeColSetMember!$H:$H,0))))))</f>
        <v>0</v>
      </c>
      <c r="AI73" t="s">
        <v>780</v>
      </c>
      <c r="AJ73" s="6" t="str">
        <f>IF($AH73="","",INDEX(CaseTypeCol!$G:$G,MATCH($AH73,CaseTypeCol!$A:$A,0)))</f>
        <v/>
      </c>
      <c r="AK73" s="6" t="b" cm="1">
        <f t="array" aca="1" ref="AK73" ca="1">IF($AH73="",TRUE,IF($J73="",FALSE,IF(INDIRECT("OrganizationAccessCasePolicy!J"&amp;$J73)="",FALSE,NOT(ISNA(MATCH(INDIRECT("OrganizationAccessCasePolicy!J"&amp;$J73)&amp;"|"&amp;$AH73,CaseTypeColSetMember!$H:$H,0))))))</f>
        <v>1</v>
      </c>
      <c r="AL73" s="6" t="b" cm="1">
        <f t="array" aca="1" ref="AL73" ca="1">IF($AH73="",TRUE,IF($J73="",FALSE,IF(INDIRECT("OrganizationAccessCasePolicy!L"&amp;$J73)="",FALSE,NOT(ISNA(MATCH(INDIRECT("OrganizationAccessCasePolicy!L"&amp;$J73)&amp;"|"&amp;$AH73,CaseTypeColSetMember!$H:$H,0))))))</f>
        <v>1</v>
      </c>
      <c r="AM73" s="6" t="b" cm="1">
        <f t="array" aca="1" ref="AM73" ca="1">IF($AH73="",TRUE,IF($N73="",FALSE,IF(INDIRECT("UserAccessCasePolicy!I"&amp;$N73)="",FALSE,NOT(ISNA(MATCH(INDIRECT("UserAccessCasePolicy!I"&amp;$N73)&amp;"|"&amp;$AH73,CaseTypeColSetMember!$H:$H,0))))))</f>
        <v>1</v>
      </c>
      <c r="AN73" s="6" t="b" cm="1">
        <f t="array" aca="1" ref="AN73" ca="1">IF($AH73="",TRUE,IF($N73="",FALSE,IF(INDIRECT("UserAccessCasePolicy!K"&amp;$N73)="",FALSE,NOT(ISNA(MATCH(INDIRECT("UserAccessCasePolicy!K"&amp;$N73)&amp;"|"&amp;$AH73,CaseTypeColSetMember!$H:$H,0))))))</f>
        <v>1</v>
      </c>
      <c r="AQ73" s="6" t="str">
        <f>IF($AO73="","",INDEX(CaseTypeCol!$G:$G,MATCH($AO73,CaseTypeCol!$A:$A,0)))</f>
        <v/>
      </c>
      <c r="AR73" s="6" t="b" cm="1">
        <f t="array" aca="1" ref="AR73" ca="1">IF($AO73="",TRUE,IF($J73="",FALSE,IF(INDIRECT("OrganizationAccessCasePolicy!J"&amp;$J73)="",FALSE,NOT(ISNA(MATCH(INDIRECT("OrganizationAccessCasePolicy!J"&amp;$J73)&amp;"|"&amp;$AO73,CaseTypeColSetMember!$H:$H,0))))))</f>
        <v>1</v>
      </c>
      <c r="AS73" s="6" t="b" cm="1">
        <f t="array" aca="1" ref="AS73" ca="1">IF($AO73="",TRUE,IF($J73="",FALSE,IF(INDIRECT("OrganizationAccessCasePolicy!L"&amp;$J73)="",FALSE,NOT(ISNA(MATCH(INDIRECT("OrganizationAccessCasePolicy!L"&amp;$J73)&amp;"|"&amp;$AO73,CaseTypeColSetMember!$H:$H,0))))))</f>
        <v>1</v>
      </c>
      <c r="AT73" s="6" t="b" cm="1">
        <f t="array" aca="1" ref="AT73" ca="1">IF($AO73="",TRUE,IF($N73="",FALSE,IF(INDIRECT("UserAccessCasePolicy!I"&amp;$N73)="",FALSE,NOT(ISNA(MATCH(INDIRECT("UserAccessCasePolicy!I"&amp;$N73)&amp;"|"&amp;$AO73,CaseTypeColSetMember!$H:$H,0))))))</f>
        <v>1</v>
      </c>
      <c r="AU73" s="6" t="b" cm="1">
        <f t="array" aca="1" ref="AU73" ca="1">IF($AO73="",TRUE,IF($N73="",FALSE,IF(INDIRECT("UserAccessCasePolicy!K"&amp;$N73)="",FALSE,NOT(ISNA(MATCH(INDIRECT("UserAccessCasePolicy!K"&amp;$N73)&amp;"|"&amp;$AO73,CaseTypeColSetMember!$H:$H,0))))))</f>
        <v>1</v>
      </c>
    </row>
    <row r="74" spans="1:47" ht="18.75" customHeight="1" x14ac:dyDescent="0.3">
      <c r="A74">
        <v>73</v>
      </c>
      <c r="B74" t="b">
        <v>1</v>
      </c>
      <c r="C74" t="s">
        <v>772</v>
      </c>
      <c r="D74" t="s">
        <v>19</v>
      </c>
      <c r="E74" s="6" t="str">
        <f>INDEX(User!$D:$D,MATCH($D74,User!$A:$A,0))</f>
        <v>org_user2_3</v>
      </c>
      <c r="F74" t="s">
        <v>721</v>
      </c>
      <c r="G74" s="19" t="b">
        <f t="shared" ca="1" si="1"/>
        <v>0</v>
      </c>
      <c r="H74" s="6" t="str">
        <f>INDEX(User!$G:$G,MATCH($D74,User!$A:$A,0))</f>
        <v>0195d18c-1c92-0ed4-2e94-b4f66d82baf3</v>
      </c>
      <c r="I74" s="6" t="b">
        <f>INDEX(User!$M:$M,MATCH($D74,User!$A:$A,0))</f>
        <v>0</v>
      </c>
      <c r="J74" s="6" t="str">
        <f>IF(ISNA(MATCH($H74&amp;"|"&amp;$W74,OrganizationAccessCasePolicy!$V:$V,0)),"",MATCH($H74&amp;"|"&amp;$W74,OrganizationAccessCasePolicy!$V:$V,0))</f>
        <v/>
      </c>
      <c r="K74" s="6" t="b" cm="1">
        <f t="array" aca="1" ref="K74" ca="1">IF($J74="",FALSE,NOT(ISNA(MATCH(INDIRECT("OrganizationAccessCasePolicy!D"&amp;$J74)&amp;"|"&amp;$S74,CaseTypeSetMember!$H:$H,0))))</f>
        <v>0</v>
      </c>
      <c r="L74" s="6" t="b" cm="1">
        <f t="array" aca="1" ref="L74" ca="1">IF($J74="",FALSE,AND(INDIRECT("OrganizationAccessCasePolicy!H"&amp;$J74),NOT(ISNA(MATCH(INDIRECT("OrganizationAccessCasePolicy!D"&amp;$J74)&amp;"|"&amp;$S74,CaseTypeSetMember!$H:$H,0)))))</f>
        <v>0</v>
      </c>
      <c r="M74" s="6" t="b" cm="1">
        <f t="array" aca="1" ref="M74" ca="1">IF($J74="",FALSE,AND(INDIRECT("OrganizationAccessCasePolicy!I"&amp;$J74),NOT(ISNA(MATCH(INDIRECT("OrganizationAccessCasePolicy!D"&amp;$J74)&amp;"|"&amp;$S74,CaseTypeSetMember!$H:$H,0)))))</f>
        <v>0</v>
      </c>
      <c r="N74" s="6" t="str">
        <f>IF(ISNA(MATCH($D74&amp;"|"&amp;$W74,UserAccessCasePolicy!$W:$W,0)),"",MATCH($D74&amp;"|"&amp;$W74,UserAccessCasePolicy!$W:$W,0))</f>
        <v/>
      </c>
      <c r="O74" s="6" t="b" cm="1">
        <f t="array" aca="1" ref="O74" ca="1">IF($N74="",FALSE,NOT(ISNA(MATCH(INDIRECT("UserAccessCasePolicy!D"&amp;$N74)&amp;"|"&amp;$S74,CaseTypeSetMember!$H:$H,0))))</f>
        <v>0</v>
      </c>
      <c r="P74" s="6" t="b" cm="1">
        <f t="array" aca="1" ref="P74" ca="1">IF($N74="",FALSE,AND(INDIRECT("UserAccessCasePolicy!G"&amp;$N74),NOT(ISNA(MATCH(INDIRECT("UserAccessCasePolicy!D"&amp;$N74)&amp;"|"&amp;$S74,CaseTypeSetMember!$H:$H,0)))))</f>
        <v>0</v>
      </c>
      <c r="Q74" s="6" t="b" cm="1">
        <f t="array" aca="1" ref="Q74" ca="1">IF($N74="",FALSE,AND(INDIRECT("UserAccessCasePolicy!H"&amp;$N74),NOT(ISNA(MATCH(INDIRECT("UserAccessCasePolicy!D"&amp;$N74)&amp;"|"&amp;$S74,CaseTypeSetMember!$H:$H,0)))))</f>
        <v>0</v>
      </c>
      <c r="R74" t="s">
        <v>657</v>
      </c>
      <c r="S74" t="s">
        <v>119</v>
      </c>
      <c r="T74" s="6" t="str">
        <f>INDEX(CaseType!$B:$B,MATCH($S74,CaseType!$A:$A,0))</f>
        <v>case_type1</v>
      </c>
      <c r="U74" s="6" t="b">
        <f>AND(IF($AA74="",TRUE,$S74=INDEX(CaseTypeCol!$B:$B,MATCH($AA74,CaseTypeCol!$A:$A,0))),IF($AH74="",TRUE,$S74=INDEX(CaseTypeCol!$B:$B,MATCH($AH74,CaseTypeCol!$A:$A,0))),IF($AO74="",TRUE,$S74=INDEX(CaseTypeCol!$B:$B,MATCH($AO74,CaseTypeCol!$A:$A,0))))</f>
        <v>1</v>
      </c>
      <c r="W74" t="s">
        <v>35</v>
      </c>
      <c r="X74" s="6" t="str">
        <f>INDEX(DataCollection!$B:$B,MATCH($W74,DataCollection!$A:$A,0))</f>
        <v>data_collection5</v>
      </c>
      <c r="Z74" s="14">
        <v>36526</v>
      </c>
      <c r="AA74" t="s">
        <v>142</v>
      </c>
      <c r="AB74" t="s">
        <v>663</v>
      </c>
      <c r="AC74" s="6" t="str">
        <f>IF($AA74="","",INDEX(CaseTypeCol!$G:$G,MATCH($AA74,CaseTypeCol!$A:$A,0)))</f>
        <v>case_type1_dim1_1_text</v>
      </c>
      <c r="AD74" s="6" t="b" cm="1">
        <f t="array" aca="1" ref="AD74" ca="1">IF($AA74="",TRUE,IF($J74="",FALSE,IF(INDIRECT("OrganizationAccessCasePolicy!J"&amp;$J74)="",FALSE,NOT(ISNA(MATCH(INDIRECT("OrganizationAccessCasePolicy!J"&amp;$J74)&amp;"|"&amp;$AA74,CaseTypeColSetMember!$H:$H,0))))))</f>
        <v>0</v>
      </c>
      <c r="AE74" s="6" t="b" cm="1">
        <f t="array" aca="1" ref="AE74" ca="1">IF($AA74="",TRUE,IF($J74="",FALSE,IF(INDIRECT("OrganizationAccessCasePolicy!L"&amp;$J74)="",FALSE,NOT(ISNA(MATCH(INDIRECT("OrganizationAccessCasePolicy!L"&amp;$J74)&amp;"|"&amp;$AA74,CaseTypeColSetMember!$H:$H,0))))))</f>
        <v>0</v>
      </c>
      <c r="AF74" s="6" t="b" cm="1">
        <f t="array" aca="1" ref="AF74" ca="1">IF($AA74="",TRUE,IF($N74="",FALSE,IF(INDIRECT("UserAccessCasePolicy!I"&amp;$N74)="",FALSE,NOT(ISNA(MATCH(INDIRECT("UserAccessCasePolicy!I"&amp;$N74)&amp;"|"&amp;$AA74,CaseTypeColSetMember!$H:$H,0))))))</f>
        <v>0</v>
      </c>
      <c r="AG74" s="6" t="b" cm="1">
        <f t="array" aca="1" ref="AG74" ca="1">IF($AA74="",TRUE,IF($N74="",FALSE,IF(INDIRECT("UserAccessCasePolicy!K"&amp;$N74)="",FALSE,NOT(ISNA(MATCH(INDIRECT("UserAccessCasePolicy!K"&amp;$N74)&amp;"|"&amp;$AA74,CaseTypeColSetMember!$H:$H,0))))))</f>
        <v>0</v>
      </c>
      <c r="AI74" t="s">
        <v>780</v>
      </c>
      <c r="AJ74" s="6" t="str">
        <f>IF($AH74="","",INDEX(CaseTypeCol!$G:$G,MATCH($AH74,CaseTypeCol!$A:$A,0)))</f>
        <v/>
      </c>
      <c r="AK74" s="6" t="b" cm="1">
        <f t="array" aca="1" ref="AK74" ca="1">IF($AH74="",TRUE,IF($J74="",FALSE,IF(INDIRECT("OrganizationAccessCasePolicy!J"&amp;$J74)="",FALSE,NOT(ISNA(MATCH(INDIRECT("OrganizationAccessCasePolicy!J"&amp;$J74)&amp;"|"&amp;$AH74,CaseTypeColSetMember!$H:$H,0))))))</f>
        <v>1</v>
      </c>
      <c r="AL74" s="6" t="b" cm="1">
        <f t="array" aca="1" ref="AL74" ca="1">IF($AH74="",TRUE,IF($J74="",FALSE,IF(INDIRECT("OrganizationAccessCasePolicy!L"&amp;$J74)="",FALSE,NOT(ISNA(MATCH(INDIRECT("OrganizationAccessCasePolicy!L"&amp;$J74)&amp;"|"&amp;$AH74,CaseTypeColSetMember!$H:$H,0))))))</f>
        <v>1</v>
      </c>
      <c r="AM74" s="6" t="b" cm="1">
        <f t="array" aca="1" ref="AM74" ca="1">IF($AH74="",TRUE,IF($N74="",FALSE,IF(INDIRECT("UserAccessCasePolicy!I"&amp;$N74)="",FALSE,NOT(ISNA(MATCH(INDIRECT("UserAccessCasePolicy!I"&amp;$N74)&amp;"|"&amp;$AH74,CaseTypeColSetMember!$H:$H,0))))))</f>
        <v>1</v>
      </c>
      <c r="AN74" s="6" t="b" cm="1">
        <f t="array" aca="1" ref="AN74" ca="1">IF($AH74="",TRUE,IF($N74="",FALSE,IF(INDIRECT("UserAccessCasePolicy!K"&amp;$N74)="",FALSE,NOT(ISNA(MATCH(INDIRECT("UserAccessCasePolicy!K"&amp;$N74)&amp;"|"&amp;$AH74,CaseTypeColSetMember!$H:$H,0))))))</f>
        <v>1</v>
      </c>
      <c r="AQ74" s="6" t="str">
        <f>IF($AO74="","",INDEX(CaseTypeCol!$G:$G,MATCH($AO74,CaseTypeCol!$A:$A,0)))</f>
        <v/>
      </c>
      <c r="AR74" s="6" t="b" cm="1">
        <f t="array" aca="1" ref="AR74" ca="1">IF($AO74="",TRUE,IF($J74="",FALSE,IF(INDIRECT("OrganizationAccessCasePolicy!J"&amp;$J74)="",FALSE,NOT(ISNA(MATCH(INDIRECT("OrganizationAccessCasePolicy!J"&amp;$J74)&amp;"|"&amp;$AO74,CaseTypeColSetMember!$H:$H,0))))))</f>
        <v>1</v>
      </c>
      <c r="AS74" s="6" t="b" cm="1">
        <f t="array" aca="1" ref="AS74" ca="1">IF($AO74="",TRUE,IF($J74="",FALSE,IF(INDIRECT("OrganizationAccessCasePolicy!L"&amp;$J74)="",FALSE,NOT(ISNA(MATCH(INDIRECT("OrganizationAccessCasePolicy!L"&amp;$J74)&amp;"|"&amp;$AO74,CaseTypeColSetMember!$H:$H,0))))))</f>
        <v>1</v>
      </c>
      <c r="AT74" s="6" t="b" cm="1">
        <f t="array" aca="1" ref="AT74" ca="1">IF($AO74="",TRUE,IF($N74="",FALSE,IF(INDIRECT("UserAccessCasePolicy!I"&amp;$N74)="",FALSE,NOT(ISNA(MATCH(INDIRECT("UserAccessCasePolicy!I"&amp;$N74)&amp;"|"&amp;$AO74,CaseTypeColSetMember!$H:$H,0))))))</f>
        <v>1</v>
      </c>
      <c r="AU74" s="6" t="b" cm="1">
        <f t="array" aca="1" ref="AU74" ca="1">IF($AO74="",TRUE,IF($N74="",FALSE,IF(INDIRECT("UserAccessCasePolicy!K"&amp;$N74)="",FALSE,NOT(ISNA(MATCH(INDIRECT("UserAccessCasePolicy!K"&amp;$N74)&amp;"|"&amp;$AO74,CaseTypeColSetMember!$H:$H,0))))))</f>
        <v>1</v>
      </c>
    </row>
    <row r="75" spans="1:47" x14ac:dyDescent="0.3">
      <c r="A75">
        <v>74</v>
      </c>
      <c r="B75" t="b">
        <v>1</v>
      </c>
      <c r="C75" t="s">
        <v>773</v>
      </c>
      <c r="D75" t="s">
        <v>20</v>
      </c>
      <c r="E75" s="6" t="str">
        <f>INDEX(User!$D:$D,MATCH($D75,User!$A:$A,0))</f>
        <v>org_user2_4</v>
      </c>
      <c r="F75" t="s">
        <v>721</v>
      </c>
      <c r="G75" s="19" t="b">
        <f t="shared" ca="1" si="1"/>
        <v>0</v>
      </c>
      <c r="H75" s="6" t="str">
        <f>INDEX(User!$G:$G,MATCH($D75,User!$A:$A,0))</f>
        <v>0195d18c-1c92-0ed4-2e94-b4f66d82baf3</v>
      </c>
      <c r="I75" s="6" t="b">
        <f>INDEX(User!$M:$M,MATCH($D75,User!$A:$A,0))</f>
        <v>0</v>
      </c>
      <c r="J75" s="6" t="str">
        <f>IF(ISNA(MATCH($H75&amp;"|"&amp;$W75,OrganizationAccessCasePolicy!$V:$V,0)),"",MATCH($H75&amp;"|"&amp;$W75,OrganizationAccessCasePolicy!$V:$V,0))</f>
        <v/>
      </c>
      <c r="K75" s="6" t="b" cm="1">
        <f t="array" aca="1" ref="K75" ca="1">IF($J75="",FALSE,NOT(ISNA(MATCH(INDIRECT("OrganizationAccessCasePolicy!D"&amp;$J75)&amp;"|"&amp;$S75,CaseTypeSetMember!$H:$H,0))))</f>
        <v>0</v>
      </c>
      <c r="L75" s="6" t="b" cm="1">
        <f t="array" aca="1" ref="L75" ca="1">IF($J75="",FALSE,AND(INDIRECT("OrganizationAccessCasePolicy!H"&amp;$J75),NOT(ISNA(MATCH(INDIRECT("OrganizationAccessCasePolicy!D"&amp;$J75)&amp;"|"&amp;$S75,CaseTypeSetMember!$H:$H,0)))))</f>
        <v>0</v>
      </c>
      <c r="M75" s="6" t="b" cm="1">
        <f t="array" aca="1" ref="M75" ca="1">IF($J75="",FALSE,AND(INDIRECT("OrganizationAccessCasePolicy!I"&amp;$J75),NOT(ISNA(MATCH(INDIRECT("OrganizationAccessCasePolicy!D"&amp;$J75)&amp;"|"&amp;$S75,CaseTypeSetMember!$H:$H,0)))))</f>
        <v>0</v>
      </c>
      <c r="N75" s="6" t="str">
        <f>IF(ISNA(MATCH($D75&amp;"|"&amp;$W75,UserAccessCasePolicy!$W:$W,0)),"",MATCH($D75&amp;"|"&amp;$W75,UserAccessCasePolicy!$W:$W,0))</f>
        <v/>
      </c>
      <c r="O75" s="6" t="b" cm="1">
        <f t="array" aca="1" ref="O75" ca="1">IF($N75="",FALSE,NOT(ISNA(MATCH(INDIRECT("UserAccessCasePolicy!D"&amp;$N75)&amp;"|"&amp;$S75,CaseTypeSetMember!$H:$H,0))))</f>
        <v>0</v>
      </c>
      <c r="P75" s="6" t="b" cm="1">
        <f t="array" aca="1" ref="P75" ca="1">IF($N75="",FALSE,AND(INDIRECT("UserAccessCasePolicy!G"&amp;$N75),NOT(ISNA(MATCH(INDIRECT("UserAccessCasePolicy!D"&amp;$N75)&amp;"|"&amp;$S75,CaseTypeSetMember!$H:$H,0)))))</f>
        <v>0</v>
      </c>
      <c r="Q75" s="6" t="b" cm="1">
        <f t="array" aca="1" ref="Q75" ca="1">IF($N75="",FALSE,AND(INDIRECT("UserAccessCasePolicy!H"&amp;$N75),NOT(ISNA(MATCH(INDIRECT("UserAccessCasePolicy!D"&amp;$N75)&amp;"|"&amp;$S75,CaseTypeSetMember!$H:$H,0)))))</f>
        <v>0</v>
      </c>
      <c r="R75" t="s">
        <v>657</v>
      </c>
      <c r="S75" t="s">
        <v>119</v>
      </c>
      <c r="T75" s="6" t="str">
        <f>INDEX(CaseType!$B:$B,MATCH($S75,CaseType!$A:$A,0))</f>
        <v>case_type1</v>
      </c>
      <c r="U75" s="6" t="b">
        <f>AND(IF($AA75="",TRUE,$S75=INDEX(CaseTypeCol!$B:$B,MATCH($AA75,CaseTypeCol!$A:$A,0))),IF($AH75="",TRUE,$S75=INDEX(CaseTypeCol!$B:$B,MATCH($AH75,CaseTypeCol!$A:$A,0))),IF($AO75="",TRUE,$S75=INDEX(CaseTypeCol!$B:$B,MATCH($AO75,CaseTypeCol!$A:$A,0))))</f>
        <v>1</v>
      </c>
      <c r="W75" t="s">
        <v>33</v>
      </c>
      <c r="X75" s="6" t="str">
        <f>INDEX(DataCollection!$B:$B,MATCH($W75,DataCollection!$A:$A,0))</f>
        <v>data_collection9</v>
      </c>
      <c r="Z75" s="14">
        <v>36526</v>
      </c>
      <c r="AA75" t="s">
        <v>142</v>
      </c>
      <c r="AB75" t="s">
        <v>663</v>
      </c>
      <c r="AC75" s="6" t="str">
        <f>IF($AA75="","",INDEX(CaseTypeCol!$G:$G,MATCH($AA75,CaseTypeCol!$A:$A,0)))</f>
        <v>case_type1_dim1_1_text</v>
      </c>
      <c r="AD75" s="6" t="b" cm="1">
        <f t="array" aca="1" ref="AD75" ca="1">IF($AA75="",TRUE,IF($J75="",FALSE,IF(INDIRECT("OrganizationAccessCasePolicy!J"&amp;$J75)="",FALSE,NOT(ISNA(MATCH(INDIRECT("OrganizationAccessCasePolicy!J"&amp;$J75)&amp;"|"&amp;$AA75,CaseTypeColSetMember!$H:$H,0))))))</f>
        <v>0</v>
      </c>
      <c r="AE75" s="6" t="b" cm="1">
        <f t="array" aca="1" ref="AE75" ca="1">IF($AA75="",TRUE,IF($J75="",FALSE,IF(INDIRECT("OrganizationAccessCasePolicy!L"&amp;$J75)="",FALSE,NOT(ISNA(MATCH(INDIRECT("OrganizationAccessCasePolicy!L"&amp;$J75)&amp;"|"&amp;$AA75,CaseTypeColSetMember!$H:$H,0))))))</f>
        <v>0</v>
      </c>
      <c r="AF75" s="6" t="b" cm="1">
        <f t="array" aca="1" ref="AF75" ca="1">IF($AA75="",TRUE,IF($N75="",FALSE,IF(INDIRECT("UserAccessCasePolicy!I"&amp;$N75)="",FALSE,NOT(ISNA(MATCH(INDIRECT("UserAccessCasePolicy!I"&amp;$N75)&amp;"|"&amp;$AA75,CaseTypeColSetMember!$H:$H,0))))))</f>
        <v>0</v>
      </c>
      <c r="AG75" s="6" t="b" cm="1">
        <f t="array" aca="1" ref="AG75" ca="1">IF($AA75="",TRUE,IF($N75="",FALSE,IF(INDIRECT("UserAccessCasePolicy!K"&amp;$N75)="",FALSE,NOT(ISNA(MATCH(INDIRECT("UserAccessCasePolicy!K"&amp;$N75)&amp;"|"&amp;$AA75,CaseTypeColSetMember!$H:$H,0))))))</f>
        <v>0</v>
      </c>
      <c r="AI75" t="s">
        <v>780</v>
      </c>
      <c r="AJ75" s="6" t="str">
        <f>IF($AH75="","",INDEX(CaseTypeCol!$G:$G,MATCH($AH75,CaseTypeCol!$A:$A,0)))</f>
        <v/>
      </c>
      <c r="AK75" s="6" t="b" cm="1">
        <f t="array" aca="1" ref="AK75" ca="1">IF($AH75="",TRUE,IF($J75="",FALSE,IF(INDIRECT("OrganizationAccessCasePolicy!J"&amp;$J75)="",FALSE,NOT(ISNA(MATCH(INDIRECT("OrganizationAccessCasePolicy!J"&amp;$J75)&amp;"|"&amp;$AH75,CaseTypeColSetMember!$H:$H,0))))))</f>
        <v>1</v>
      </c>
      <c r="AL75" s="6" t="b" cm="1">
        <f t="array" aca="1" ref="AL75" ca="1">IF($AH75="",TRUE,IF($J75="",FALSE,IF(INDIRECT("OrganizationAccessCasePolicy!L"&amp;$J75)="",FALSE,NOT(ISNA(MATCH(INDIRECT("OrganizationAccessCasePolicy!L"&amp;$J75)&amp;"|"&amp;$AH75,CaseTypeColSetMember!$H:$H,0))))))</f>
        <v>1</v>
      </c>
      <c r="AM75" s="6" t="b" cm="1">
        <f t="array" aca="1" ref="AM75" ca="1">IF($AH75="",TRUE,IF($N75="",FALSE,IF(INDIRECT("UserAccessCasePolicy!I"&amp;$N75)="",FALSE,NOT(ISNA(MATCH(INDIRECT("UserAccessCasePolicy!I"&amp;$N75)&amp;"|"&amp;$AH75,CaseTypeColSetMember!$H:$H,0))))))</f>
        <v>1</v>
      </c>
      <c r="AN75" s="6" t="b" cm="1">
        <f t="array" aca="1" ref="AN75" ca="1">IF($AH75="",TRUE,IF($N75="",FALSE,IF(INDIRECT("UserAccessCasePolicy!K"&amp;$N75)="",FALSE,NOT(ISNA(MATCH(INDIRECT("UserAccessCasePolicy!K"&amp;$N75)&amp;"|"&amp;$AH75,CaseTypeColSetMember!$H:$H,0))))))</f>
        <v>1</v>
      </c>
      <c r="AQ75" s="6" t="str">
        <f>IF($AO75="","",INDEX(CaseTypeCol!$G:$G,MATCH($AO75,CaseTypeCol!$A:$A,0)))</f>
        <v/>
      </c>
      <c r="AR75" s="6" t="b" cm="1">
        <f t="array" aca="1" ref="AR75" ca="1">IF($AO75="",TRUE,IF($J75="",FALSE,IF(INDIRECT("OrganizationAccessCasePolicy!J"&amp;$J75)="",FALSE,NOT(ISNA(MATCH(INDIRECT("OrganizationAccessCasePolicy!J"&amp;$J75)&amp;"|"&amp;$AO75,CaseTypeColSetMember!$H:$H,0))))))</f>
        <v>1</v>
      </c>
      <c r="AS75" s="6" t="b" cm="1">
        <f t="array" aca="1" ref="AS75" ca="1">IF($AO75="",TRUE,IF($J75="",FALSE,IF(INDIRECT("OrganizationAccessCasePolicy!L"&amp;$J75)="",FALSE,NOT(ISNA(MATCH(INDIRECT("OrganizationAccessCasePolicy!L"&amp;$J75)&amp;"|"&amp;$AO75,CaseTypeColSetMember!$H:$H,0))))))</f>
        <v>1</v>
      </c>
      <c r="AT75" s="6" t="b" cm="1">
        <f t="array" aca="1" ref="AT75" ca="1">IF($AO75="",TRUE,IF($N75="",FALSE,IF(INDIRECT("UserAccessCasePolicy!I"&amp;$N75)="",FALSE,NOT(ISNA(MATCH(INDIRECT("UserAccessCasePolicy!I"&amp;$N75)&amp;"|"&amp;$AO75,CaseTypeColSetMember!$H:$H,0))))))</f>
        <v>1</v>
      </c>
      <c r="AU75" s="6" t="b" cm="1">
        <f t="array" aca="1" ref="AU75" ca="1">IF($AO75="",TRUE,IF($N75="",FALSE,IF(INDIRECT("UserAccessCasePolicy!K"&amp;$N75)="",FALSE,NOT(ISNA(MATCH(INDIRECT("UserAccessCasePolicy!K"&amp;$N75)&amp;"|"&amp;$AO75,CaseTypeColSetMember!$H:$H,0))))))</f>
        <v>1</v>
      </c>
    </row>
  </sheetData>
  <autoFilter ref="A1:AU33" xr:uid="{8E0C7C33-6768-4AAE-A57E-F80585DED472}"/>
  <phoneticPr fontId="4" type="noConversion"/>
  <conditionalFormatting sqref="U2:U75">
    <cfRule type="expression" dxfId="0" priority="1">
      <formula>U2=FALSE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F389-1562-4A7F-BB5E-AAA96B2F3DDB}">
  <sheetPr filterMode="1"/>
  <dimension ref="A1:V11"/>
  <sheetViews>
    <sheetView topLeftCell="H1" zoomScale="80" zoomScaleNormal="80" workbookViewId="0">
      <pane ySplit="1" topLeftCell="A2" activePane="bottomLeft" state="frozen"/>
      <selection pane="bottomLeft" activeCell="K7" sqref="A1:V11"/>
    </sheetView>
  </sheetViews>
  <sheetFormatPr defaultColWidth="8.664062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7" max="7" width="9" bestFit="1" customWidth="1"/>
    <col min="9" max="9" width="12" bestFit="1" customWidth="1"/>
    <col min="10" max="10" width="35.6640625" bestFit="1" customWidth="1"/>
    <col min="11" max="11" width="30.33203125" bestFit="1" customWidth="1"/>
    <col min="12" max="12" width="35.6640625" customWidth="1"/>
    <col min="13" max="13" width="30.6640625" bestFit="1" customWidth="1"/>
    <col min="14" max="14" width="12.33203125" bestFit="1" customWidth="1"/>
    <col min="15" max="15" width="15.6640625" bestFit="1" customWidth="1"/>
    <col min="16" max="16" width="12.6640625" bestFit="1" customWidth="1"/>
    <col min="17" max="17" width="13.44140625" bestFit="1" customWidth="1"/>
    <col min="18" max="18" width="36" bestFit="1" customWidth="1"/>
    <col min="19" max="19" width="20.33203125" bestFit="1" customWidth="1"/>
    <col min="20" max="20" width="33.44140625" bestFit="1" customWidth="1"/>
    <col min="21" max="21" width="26.44140625" bestFit="1" customWidth="1"/>
    <col min="22" max="22" width="11.44140625" customWidth="1"/>
  </cols>
  <sheetData>
    <row r="1" spans="1:22" s="9" customFormat="1" x14ac:dyDescent="0.3">
      <c r="A1" s="7" t="s">
        <v>0</v>
      </c>
      <c r="B1" s="7" t="s">
        <v>2</v>
      </c>
      <c r="C1" s="8" t="s">
        <v>555</v>
      </c>
      <c r="D1" s="7" t="s">
        <v>58</v>
      </c>
      <c r="E1" s="4" t="s">
        <v>556</v>
      </c>
      <c r="F1" s="7" t="s">
        <v>3</v>
      </c>
      <c r="G1" s="7" t="s">
        <v>557</v>
      </c>
      <c r="H1" s="7" t="s">
        <v>4</v>
      </c>
      <c r="I1" s="7" t="s">
        <v>5</v>
      </c>
      <c r="J1" s="7" t="s">
        <v>558</v>
      </c>
      <c r="K1" s="8" t="s">
        <v>560</v>
      </c>
      <c r="L1" s="7" t="s">
        <v>559</v>
      </c>
      <c r="M1" s="8" t="s">
        <v>561</v>
      </c>
      <c r="N1" s="7" t="s">
        <v>6</v>
      </c>
      <c r="O1" s="7" t="s">
        <v>7</v>
      </c>
      <c r="P1" s="7" t="s">
        <v>8</v>
      </c>
      <c r="Q1" s="7" t="s">
        <v>9</v>
      </c>
      <c r="R1" s="7" t="s">
        <v>41</v>
      </c>
      <c r="S1" s="8" t="s">
        <v>562</v>
      </c>
      <c r="T1" s="4" t="s">
        <v>563</v>
      </c>
      <c r="U1" s="8" t="s">
        <v>564</v>
      </c>
      <c r="V1" s="8" t="s">
        <v>667</v>
      </c>
    </row>
    <row r="2" spans="1:22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b">
        <v>1</v>
      </c>
      <c r="J2" t="s">
        <v>64</v>
      </c>
      <c r="K2" s="4" t="str">
        <f>IF($J2="","",INDEX(CaseTypeColSet!$B:$B,MATCH($J2,CaseTypeColSet!$A:$A,0)))</f>
        <v>case_type_col_set1_1_1</v>
      </c>
      <c r="L2" t="s">
        <v>64</v>
      </c>
      <c r="M2" s="4" t="str">
        <f>IF($L2="","",INDEX(CaseTypeColSet!$B:$B,MATCH($L2,CaseTypeColSet!$A:$A,0)))</f>
        <v>case_type_col_set1_1_1</v>
      </c>
      <c r="N2" t="b">
        <v>1</v>
      </c>
      <c r="O2" t="b">
        <v>1</v>
      </c>
      <c r="P2" t="b">
        <v>1</v>
      </c>
      <c r="Q2" t="b">
        <v>1</v>
      </c>
      <c r="R2" t="s">
        <v>43</v>
      </c>
      <c r="S2" s="4" t="str">
        <f>INDEX(Organization!$B:$B,MATCH($R2,Organization!$A:$A,0))</f>
        <v>org1</v>
      </c>
      <c r="T2" s="4" t="str">
        <f>$S2&amp;": "&amp;$C2&amp;", "&amp;$E2</f>
        <v>org1: data_collection1, case_type_set1</v>
      </c>
      <c r="U2" s="6" t="str">
        <f>"org_case_policy"&amp;RIGHT($S2,LEN($S2)-3)&amp;"_"&amp;RIGHT($C2,LEN($C2)-15)</f>
        <v>org_case_policy1_1</v>
      </c>
      <c r="V2" s="6" t="str">
        <f>$R2&amp;"|"&amp;$B2</f>
        <v>018d074d-ea0c-e942-07db-a3cc0ba1d653|0195d18c-1ca2-a23d-1f64-00271f63199c</v>
      </c>
    </row>
    <row r="3" spans="1:22" hidden="1" x14ac:dyDescent="0.3">
      <c r="A3" t="s">
        <v>73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b">
        <v>1</v>
      </c>
      <c r="J3" t="s">
        <v>66</v>
      </c>
      <c r="K3" s="4" t="str">
        <f>IF($J3="","",INDEX(CaseTypeColSet!$B:$B,MATCH($J3,CaseTypeColSet!$A:$A,0)))</f>
        <v>case_type_col_set2_1_1</v>
      </c>
      <c r="L3" t="s">
        <v>66</v>
      </c>
      <c r="M3" s="4" t="str">
        <f>IF($L3="","",INDEX(CaseTypeColSet!$B:$B,MATCH($L3,CaseTypeColSet!$A:$A,0)))</f>
        <v>case_type_col_set2_1_1</v>
      </c>
      <c r="N3" t="b">
        <v>1</v>
      </c>
      <c r="O3" t="b">
        <v>1</v>
      </c>
      <c r="P3" t="b">
        <v>1</v>
      </c>
      <c r="Q3" t="b">
        <v>1</v>
      </c>
      <c r="R3" t="s">
        <v>46</v>
      </c>
      <c r="S3" s="4" t="str">
        <f>INDEX(Organization!$B:$B,MATCH($R3,Organization!$A:$A,0))</f>
        <v>org2</v>
      </c>
      <c r="T3" s="4" t="str">
        <f t="shared" ref="T3:T11" si="0">$S3&amp;": "&amp;$C3&amp;", "&amp;$E3</f>
        <v>org2: data_collection2, case_type_set2</v>
      </c>
      <c r="U3" s="6" t="str">
        <f t="shared" ref="U3:U11" si="1">"org_case_policy"&amp;RIGHT($S3,LEN($S3)-3)&amp;"_"&amp;RIGHT($C3,LEN($C3)-15)</f>
        <v>org_case_policy2_2</v>
      </c>
      <c r="V3" s="6" t="str">
        <f t="shared" ref="V3:V11" si="2">$R3&amp;"|"&amp;$B3</f>
        <v>0195d18c-1c92-0ed4-2e94-b4f66d82baf3|0195d18c-1ca2-2a29-96a5-37c6bf87f586</v>
      </c>
    </row>
    <row r="4" spans="1:22" hidden="1" x14ac:dyDescent="0.3">
      <c r="A4" t="s">
        <v>74</v>
      </c>
      <c r="B4" t="s">
        <v>23</v>
      </c>
      <c r="C4" s="4" t="str">
        <f>INDEX(DataCollection!$B:$B,MATCH($B4,DataCollection!$A:$A,0))</f>
        <v>data_collection3</v>
      </c>
      <c r="D4" t="s">
        <v>67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b">
        <v>1</v>
      </c>
      <c r="J4" t="s">
        <v>68</v>
      </c>
      <c r="K4" s="4" t="str">
        <f>IF($J4="","",INDEX(CaseTypeColSet!$B:$B,MATCH($J4,CaseTypeColSet!$A:$A,0)))</f>
        <v>case_type_col_set3_1_1</v>
      </c>
      <c r="L4" t="s">
        <v>68</v>
      </c>
      <c r="M4" s="4" t="str">
        <f>IF($L4="","",INDEX(CaseTypeColSet!$B:$B,MATCH($L4,CaseTypeColSet!$A:$A,0)))</f>
        <v>case_type_col_set3_1_1</v>
      </c>
      <c r="N4" t="b">
        <v>1</v>
      </c>
      <c r="O4" t="b">
        <v>1</v>
      </c>
      <c r="P4" t="b">
        <v>1</v>
      </c>
      <c r="Q4" t="b">
        <v>1</v>
      </c>
      <c r="R4" t="s">
        <v>49</v>
      </c>
      <c r="S4" s="4" t="str">
        <f>INDEX(Organization!$B:$B,MATCH($R4,Organization!$A:$A,0))</f>
        <v>org3</v>
      </c>
      <c r="T4" s="4" t="str">
        <f t="shared" si="0"/>
        <v>org3: data_collection3, case_type_set3</v>
      </c>
      <c r="U4" s="6" t="str">
        <f t="shared" si="1"/>
        <v>org_case_policy3_3</v>
      </c>
      <c r="V4" s="6" t="str">
        <f t="shared" si="2"/>
        <v>0195d18c-1c92-52b3-93e0-43dc1f2aa037|0195d18c-1ca2-3a4f-1878-fbe3282c9c76</v>
      </c>
    </row>
    <row r="5" spans="1:22" hidden="1" x14ac:dyDescent="0.3">
      <c r="A5" t="s">
        <v>75</v>
      </c>
      <c r="B5" t="s">
        <v>29</v>
      </c>
      <c r="C5" s="4" t="str">
        <f>INDEX(DataCollection!$B:$B,MATCH($B5,DataCollection!$A:$A,0))</f>
        <v>data_collection4</v>
      </c>
      <c r="D5" t="s">
        <v>69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b">
        <v>1</v>
      </c>
      <c r="J5" t="s">
        <v>70</v>
      </c>
      <c r="K5" s="4" t="str">
        <f>IF($J5="","",INDEX(CaseTypeColSet!$B:$B,MATCH($J5,CaseTypeColSet!$A:$A,0)))</f>
        <v>case_type_col_set4_1_1</v>
      </c>
      <c r="L5" t="s">
        <v>70</v>
      </c>
      <c r="M5" s="4" t="str">
        <f>IF($L5="","",INDEX(CaseTypeColSet!$B:$B,MATCH($L5,CaseTypeColSet!$A:$A,0)))</f>
        <v>case_type_col_set4_1_1</v>
      </c>
      <c r="N5" t="b">
        <v>1</v>
      </c>
      <c r="O5" t="b">
        <v>1</v>
      </c>
      <c r="P5" t="b">
        <v>1</v>
      </c>
      <c r="Q5" t="b">
        <v>1</v>
      </c>
      <c r="R5" t="s">
        <v>52</v>
      </c>
      <c r="S5" s="4" t="str">
        <f>INDEX(Organization!$B:$B,MATCH($R5,Organization!$A:$A,0))</f>
        <v>org4</v>
      </c>
      <c r="T5" s="4" t="str">
        <f t="shared" si="0"/>
        <v>org4: data_collection4, case_type_set4</v>
      </c>
      <c r="U5" s="6" t="str">
        <f t="shared" si="1"/>
        <v>org_case_policy4_4</v>
      </c>
      <c r="V5" s="6" t="str">
        <f t="shared" si="2"/>
        <v>0195d18c-1c92-d419-4c71-a570f428499b|0195d18c-1ca2-e55a-608d-a42fc6f948e1</v>
      </c>
    </row>
    <row r="6" spans="1:22" hidden="1" x14ac:dyDescent="0.3">
      <c r="A6" t="s">
        <v>76</v>
      </c>
      <c r="B6" t="s">
        <v>35</v>
      </c>
      <c r="C6" s="4" t="str">
        <f>INDEX(DataCollection!$B:$B,MATCH($B6,DataCollection!$A:$A,0))</f>
        <v>data_collection5</v>
      </c>
      <c r="D6" t="s">
        <v>71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b">
        <v>1</v>
      </c>
      <c r="J6" t="s">
        <v>72</v>
      </c>
      <c r="K6" s="4" t="str">
        <f>IF($J6="","",INDEX(CaseTypeColSet!$B:$B,MATCH($J6,CaseTypeColSet!$A:$A,0)))</f>
        <v>case_type_col_set5_1_1</v>
      </c>
      <c r="L6" t="s">
        <v>72</v>
      </c>
      <c r="M6" s="4" t="str">
        <f>IF($L6="","",INDEX(CaseTypeColSet!$B:$B,MATCH($L6,CaseTypeColSet!$A:$A,0)))</f>
        <v>case_type_col_set5_1_1</v>
      </c>
      <c r="N6" t="b">
        <v>1</v>
      </c>
      <c r="O6" t="b">
        <v>1</v>
      </c>
      <c r="P6" t="b">
        <v>1</v>
      </c>
      <c r="Q6" t="b">
        <v>1</v>
      </c>
      <c r="R6" t="s">
        <v>55</v>
      </c>
      <c r="S6" s="4" t="str">
        <f>INDEX(Organization!$B:$B,MATCH($R6,Organization!$A:$A,0))</f>
        <v>org5</v>
      </c>
      <c r="T6" s="4" t="str">
        <f t="shared" si="0"/>
        <v>org5: data_collection5, case_type_set5</v>
      </c>
      <c r="U6" s="6" t="str">
        <f t="shared" si="1"/>
        <v>org_case_policy5_5</v>
      </c>
      <c r="V6" s="6" t="str">
        <f t="shared" si="2"/>
        <v>0195d18c-1c93-02a2-6920-7e4dbfb73ce0|0195d18c-1ca2-b728-a2a1-d2a4cf7b8eb8</v>
      </c>
    </row>
    <row r="7" spans="1:22" x14ac:dyDescent="0.3">
      <c r="A7" t="s">
        <v>77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0</v>
      </c>
      <c r="H7" t="b">
        <v>1</v>
      </c>
      <c r="I7" t="b">
        <v>1</v>
      </c>
      <c r="J7" t="s">
        <v>64</v>
      </c>
      <c r="K7" s="4" t="str">
        <f>IF($J7="","",INDEX(CaseTypeColSet!$B:$B,MATCH($J7,CaseTypeColSet!$A:$A,0)))</f>
        <v>case_type_col_set1_1_1</v>
      </c>
      <c r="M7" s="4" t="str">
        <f>IF($L7="","",INDEX(CaseTypeColSet!$B:$B,MATCH($L7,CaseTypeColSet!$A:$A,0)))</f>
        <v/>
      </c>
      <c r="N7" t="b">
        <v>1</v>
      </c>
      <c r="O7" t="b">
        <v>1</v>
      </c>
      <c r="P7" t="b">
        <v>1</v>
      </c>
      <c r="Q7" t="b">
        <v>1</v>
      </c>
      <c r="R7" t="s">
        <v>43</v>
      </c>
      <c r="S7" s="4" t="str">
        <f>INDEX(Organization!$B:$B,MATCH($R7,Organization!$A:$A,0))</f>
        <v>org1</v>
      </c>
      <c r="T7" s="4" t="str">
        <f t="shared" si="0"/>
        <v>org1: data_collection6, case_type_set1</v>
      </c>
      <c r="U7" s="6" t="str">
        <f t="shared" si="1"/>
        <v>org_case_policy1_6</v>
      </c>
      <c r="V7" s="6" t="str">
        <f t="shared" si="2"/>
        <v>018d074d-ea0c-e942-07db-a3cc0ba1d653|0195d18c-1ca3-f309-f6f1-e4807afe3802</v>
      </c>
    </row>
    <row r="8" spans="1:22" hidden="1" x14ac:dyDescent="0.3">
      <c r="A8" t="s">
        <v>78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0</v>
      </c>
      <c r="H8" t="b">
        <v>1</v>
      </c>
      <c r="I8" t="b">
        <v>1</v>
      </c>
      <c r="J8" t="s">
        <v>66</v>
      </c>
      <c r="K8" s="4" t="str">
        <f>IF($J8="","",INDEX(CaseTypeColSet!$B:$B,MATCH($J8,CaseTypeColSet!$A:$A,0)))</f>
        <v>case_type_col_set2_1_1</v>
      </c>
      <c r="M8" s="4" t="str">
        <f>IF($L8="","",INDEX(CaseTypeColSet!$B:$B,MATCH($L8,CaseTypeColSet!$A:$A,0)))</f>
        <v/>
      </c>
      <c r="N8" t="b">
        <v>1</v>
      </c>
      <c r="O8" t="b">
        <v>1</v>
      </c>
      <c r="P8" t="b">
        <v>1</v>
      </c>
      <c r="Q8" t="b">
        <v>1</v>
      </c>
      <c r="R8" t="s">
        <v>46</v>
      </c>
      <c r="S8" s="4" t="str">
        <f>INDEX(Organization!$B:$B,MATCH($R8,Organization!$A:$A,0))</f>
        <v>org2</v>
      </c>
      <c r="T8" s="4" t="str">
        <f t="shared" si="0"/>
        <v>org2: data_collection7, case_type_set2</v>
      </c>
      <c r="U8" s="6" t="str">
        <f t="shared" si="1"/>
        <v>org_case_policy2_7</v>
      </c>
      <c r="V8" s="6" t="str">
        <f t="shared" si="2"/>
        <v>0195d18c-1c92-0ed4-2e94-b4f66d82baf3|0195d18c-1ca3-db40-a2a8-6dc905d6c1e9</v>
      </c>
    </row>
    <row r="9" spans="1:22" hidden="1" x14ac:dyDescent="0.3">
      <c r="A9" t="s">
        <v>79</v>
      </c>
      <c r="B9" t="s">
        <v>27</v>
      </c>
      <c r="C9" s="4" t="str">
        <f>INDEX(DataCollection!$B:$B,MATCH($B9,DataCollection!$A:$A,0))</f>
        <v>data_collection8</v>
      </c>
      <c r="D9" t="s">
        <v>67</v>
      </c>
      <c r="E9" s="4" t="str">
        <f>INDEX(CaseTypeSet!$B:$B,MATCH($D9,CaseTypeSet!$A:$A,0))</f>
        <v>case_type_set3</v>
      </c>
      <c r="F9" t="b">
        <v>1</v>
      </c>
      <c r="G9" t="b">
        <v>0</v>
      </c>
      <c r="H9" t="b">
        <v>1</v>
      </c>
      <c r="I9" t="b">
        <v>1</v>
      </c>
      <c r="J9" t="s">
        <v>68</v>
      </c>
      <c r="K9" s="4" t="str">
        <f>IF($J9="","",INDEX(CaseTypeColSet!$B:$B,MATCH($J9,CaseTypeColSet!$A:$A,0)))</f>
        <v>case_type_col_set3_1_1</v>
      </c>
      <c r="M9" s="4" t="str">
        <f>IF($L9="","",INDEX(CaseTypeColSet!$B:$B,MATCH($L9,CaseTypeColSet!$A:$A,0)))</f>
        <v/>
      </c>
      <c r="N9" t="b">
        <v>1</v>
      </c>
      <c r="O9" t="b">
        <v>1</v>
      </c>
      <c r="P9" t="b">
        <v>1</v>
      </c>
      <c r="Q9" t="b">
        <v>1</v>
      </c>
      <c r="R9" t="s">
        <v>49</v>
      </c>
      <c r="S9" s="4" t="str">
        <f>INDEX(Organization!$B:$B,MATCH($R9,Organization!$A:$A,0))</f>
        <v>org3</v>
      </c>
      <c r="T9" s="4" t="str">
        <f t="shared" si="0"/>
        <v>org3: data_collection8, case_type_set3</v>
      </c>
      <c r="U9" s="6" t="str">
        <f t="shared" si="1"/>
        <v>org_case_policy3_8</v>
      </c>
      <c r="V9" s="6" t="str">
        <f t="shared" si="2"/>
        <v>0195d18c-1c92-52b3-93e0-43dc1f2aa037|0195d18c-1ca3-da0a-44bb-877b3a1eb73e</v>
      </c>
    </row>
    <row r="10" spans="1:22" hidden="1" x14ac:dyDescent="0.3">
      <c r="A10" t="s">
        <v>80</v>
      </c>
      <c r="B10" t="s">
        <v>33</v>
      </c>
      <c r="C10" s="4" t="str">
        <f>INDEX(DataCollection!$B:$B,MATCH($B10,DataCollection!$A:$A,0))</f>
        <v>data_collection9</v>
      </c>
      <c r="D10" t="s">
        <v>69</v>
      </c>
      <c r="E10" s="4" t="str">
        <f>INDEX(CaseTypeSet!$B:$B,MATCH($D10,CaseTypeSet!$A:$A,0))</f>
        <v>case_type_set4</v>
      </c>
      <c r="F10" t="b">
        <v>1</v>
      </c>
      <c r="G10" t="b">
        <v>0</v>
      </c>
      <c r="H10" t="b">
        <v>1</v>
      </c>
      <c r="I10" t="b">
        <v>1</v>
      </c>
      <c r="J10" t="s">
        <v>70</v>
      </c>
      <c r="K10" s="4" t="str">
        <f>IF($J10="","",INDEX(CaseTypeColSet!$B:$B,MATCH($J10,CaseTypeColSet!$A:$A,0)))</f>
        <v>case_type_col_set4_1_1</v>
      </c>
      <c r="M10" s="4" t="str">
        <f>IF($L10="","",INDEX(CaseTypeColSet!$B:$B,MATCH($L10,CaseTypeColSet!$A:$A,0)))</f>
        <v/>
      </c>
      <c r="N10" t="b">
        <v>1</v>
      </c>
      <c r="O10" t="b">
        <v>1</v>
      </c>
      <c r="P10" t="b">
        <v>1</v>
      </c>
      <c r="Q10" t="b">
        <v>1</v>
      </c>
      <c r="R10" t="s">
        <v>52</v>
      </c>
      <c r="S10" s="4" t="str">
        <f>INDEX(Organization!$B:$B,MATCH($R10,Organization!$A:$A,0))</f>
        <v>org4</v>
      </c>
      <c r="T10" s="4" t="str">
        <f t="shared" si="0"/>
        <v>org4: data_collection9, case_type_set4</v>
      </c>
      <c r="U10" s="6" t="str">
        <f t="shared" si="1"/>
        <v>org_case_policy4_9</v>
      </c>
      <c r="V10" s="6" t="str">
        <f t="shared" si="2"/>
        <v>0195d18c-1c92-d419-4c71-a570f428499b|0195d18c-1ca3-4d34-d0e9-8f024ad8651a</v>
      </c>
    </row>
    <row r="11" spans="1:22" hidden="1" x14ac:dyDescent="0.3">
      <c r="A11" t="s">
        <v>81</v>
      </c>
      <c r="B11" t="s">
        <v>39</v>
      </c>
      <c r="C11" s="4" t="str">
        <f>INDEX(DataCollection!$B:$B,MATCH($B11,DataCollection!$A:$A,0))</f>
        <v>data_collection10</v>
      </c>
      <c r="D11" t="s">
        <v>71</v>
      </c>
      <c r="E11" s="4" t="str">
        <f>INDEX(CaseTypeSet!$B:$B,MATCH($D11,CaseTypeSet!$A:$A,0))</f>
        <v>case_type_set5</v>
      </c>
      <c r="F11" t="b">
        <v>1</v>
      </c>
      <c r="G11" t="b">
        <v>0</v>
      </c>
      <c r="H11" t="b">
        <v>1</v>
      </c>
      <c r="I11" t="b">
        <v>1</v>
      </c>
      <c r="J11" t="s">
        <v>72</v>
      </c>
      <c r="K11" s="4" t="str">
        <f>IF($J11="","",INDEX(CaseTypeColSet!$B:$B,MATCH($J11,CaseTypeColSet!$A:$A,0)))</f>
        <v>case_type_col_set5_1_1</v>
      </c>
      <c r="M11" s="4" t="str">
        <f>IF($L11="","",INDEX(CaseTypeColSet!$B:$B,MATCH($L11,CaseTypeColSet!$A:$A,0)))</f>
        <v/>
      </c>
      <c r="N11" t="b">
        <v>1</v>
      </c>
      <c r="O11" t="b">
        <v>1</v>
      </c>
      <c r="P11" t="b">
        <v>1</v>
      </c>
      <c r="Q11" t="b">
        <v>1</v>
      </c>
      <c r="R11" t="s">
        <v>55</v>
      </c>
      <c r="S11" s="4" t="str">
        <f>INDEX(Organization!$B:$B,MATCH($R11,Organization!$A:$A,0))</f>
        <v>org5</v>
      </c>
      <c r="T11" s="4" t="str">
        <f t="shared" si="0"/>
        <v>org5: data_collection10, case_type_set5</v>
      </c>
      <c r="U11" s="6" t="str">
        <f t="shared" si="1"/>
        <v>org_case_policy5_10</v>
      </c>
      <c r="V11" s="6" t="str">
        <f t="shared" si="2"/>
        <v>0195d18c-1c93-02a2-6920-7e4dbfb73ce0|0195d18c-1ca3-11a2-bf20-8eaaa09cc070</v>
      </c>
    </row>
  </sheetData>
  <autoFilter ref="A1:U11" xr:uid="{A6F0F389-1562-4A7F-BB5E-AAA96B2F3DDB}">
    <filterColumn colId="18">
      <filters>
        <filter val="org1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6EDF-4214-4325-A1BD-732A42D052EA}">
  <sheetPr filterMode="1"/>
  <dimension ref="A1:W11"/>
  <sheetViews>
    <sheetView topLeftCell="G1" zoomScaleNormal="80" workbookViewId="0">
      <pane ySplit="1" topLeftCell="A2" activePane="bottomLeft" state="frozen"/>
      <selection pane="bottomLeft" activeCell="U1" sqref="U1"/>
    </sheetView>
  </sheetViews>
  <sheetFormatPr defaultColWidth="8.6640625" defaultRowHeight="14.4" x14ac:dyDescent="0.3"/>
  <cols>
    <col min="1" max="1" width="37.33203125" bestFit="1" customWidth="1"/>
    <col min="2" max="2" width="36" bestFit="1" customWidth="1"/>
    <col min="3" max="3" width="22.109375" bestFit="1" customWidth="1"/>
    <col min="4" max="4" width="36" bestFit="1" customWidth="1"/>
    <col min="5" max="5" width="21" bestFit="1" customWidth="1"/>
    <col min="6" max="6" width="8.109375" bestFit="1" customWidth="1"/>
    <col min="8" max="8" width="12" bestFit="1" customWidth="1"/>
    <col min="9" max="9" width="35.6640625" bestFit="1" customWidth="1"/>
    <col min="10" max="10" width="30.33203125" bestFit="1" customWidth="1"/>
    <col min="11" max="11" width="35.6640625" customWidth="1"/>
    <col min="12" max="12" width="30.6640625" bestFit="1" customWidth="1"/>
    <col min="13" max="13" width="12.33203125" bestFit="1" customWidth="1"/>
    <col min="14" max="14" width="15.6640625" bestFit="1" customWidth="1"/>
    <col min="15" max="15" width="12.6640625" bestFit="1" customWidth="1"/>
    <col min="16" max="16" width="13.44140625" bestFit="1" customWidth="1"/>
    <col min="17" max="17" width="36.33203125" bestFit="1" customWidth="1"/>
    <col min="18" max="18" width="25.109375" bestFit="1" customWidth="1"/>
    <col min="19" max="19" width="42.6640625" bestFit="1" customWidth="1"/>
    <col min="20" max="20" width="26.44140625" bestFit="1" customWidth="1"/>
    <col min="21" max="21" width="36" bestFit="1" customWidth="1"/>
    <col min="22" max="22" width="20.33203125" bestFit="1" customWidth="1"/>
  </cols>
  <sheetData>
    <row r="1" spans="1:23" s="9" customFormat="1" x14ac:dyDescent="0.3">
      <c r="A1" s="7" t="s">
        <v>0</v>
      </c>
      <c r="B1" s="7" t="s">
        <v>2</v>
      </c>
      <c r="C1" s="8" t="s">
        <v>555</v>
      </c>
      <c r="D1" s="7" t="s">
        <v>58</v>
      </c>
      <c r="E1" s="4" t="s">
        <v>556</v>
      </c>
      <c r="F1" s="7" t="s">
        <v>3</v>
      </c>
      <c r="G1" s="7" t="s">
        <v>4</v>
      </c>
      <c r="H1" s="7" t="s">
        <v>5</v>
      </c>
      <c r="I1" s="7" t="s">
        <v>558</v>
      </c>
      <c r="J1" s="8" t="s">
        <v>560</v>
      </c>
      <c r="K1" s="7" t="s">
        <v>559</v>
      </c>
      <c r="L1" s="8" t="s">
        <v>561</v>
      </c>
      <c r="M1" s="7" t="s">
        <v>6</v>
      </c>
      <c r="N1" s="7" t="s">
        <v>7</v>
      </c>
      <c r="O1" s="7" t="s">
        <v>8</v>
      </c>
      <c r="P1" s="7" t="s">
        <v>9</v>
      </c>
      <c r="Q1" s="8" t="s">
        <v>568</v>
      </c>
      <c r="R1" s="8" t="s">
        <v>569</v>
      </c>
      <c r="S1" s="4" t="s">
        <v>563</v>
      </c>
      <c r="T1" s="8" t="s">
        <v>564</v>
      </c>
      <c r="U1" s="7" t="s">
        <v>1</v>
      </c>
      <c r="V1" s="8" t="s">
        <v>565</v>
      </c>
      <c r="W1" s="15" t="s">
        <v>667</v>
      </c>
    </row>
    <row r="2" spans="1:23" x14ac:dyDescent="0.3">
      <c r="A2" t="s">
        <v>62</v>
      </c>
      <c r="B2" t="s">
        <v>11</v>
      </c>
      <c r="C2" s="4" t="str">
        <f>INDEX(DataCollection!$B:$B,MATCH($B2,DataCollection!$A:$A,0))</f>
        <v>data_collection1</v>
      </c>
      <c r="D2" t="s">
        <v>63</v>
      </c>
      <c r="E2" s="4" t="str">
        <f>INDEX(CaseTypeSet!$B:$B,MATCH($D2,CaseTypeSet!$A:$A,0))</f>
        <v>case_type_set1</v>
      </c>
      <c r="F2" t="b">
        <v>1</v>
      </c>
      <c r="G2" t="b">
        <v>1</v>
      </c>
      <c r="H2" t="b">
        <v>1</v>
      </c>
      <c r="I2" t="s">
        <v>64</v>
      </c>
      <c r="J2" s="4" t="str">
        <f>IF($I2="","",INDEX(CaseTypeColSet!$B:$B,MATCH($I2,CaseTypeColSet!$A:$A,0)))</f>
        <v>case_type_col_set1_1_1</v>
      </c>
      <c r="K2" t="s">
        <v>64</v>
      </c>
      <c r="L2" s="4" t="str">
        <f>IF($K2="","",INDEX(CaseTypeColSet!$B:$B,MATCH($K2,CaseTypeColSet!$A:$A,0)))</f>
        <v>case_type_col_set1_1_1</v>
      </c>
      <c r="M2" t="b">
        <v>1</v>
      </c>
      <c r="N2" t="b">
        <v>1</v>
      </c>
      <c r="O2" t="b">
        <v>1</v>
      </c>
      <c r="P2" t="b">
        <v>1</v>
      </c>
      <c r="Q2" s="4" t="str">
        <f>INDEX(User!$G:$G,MATCH($U2,User!$A:$A,0))</f>
        <v>018d074d-ea0c-e942-07db-a3cc0ba1d653</v>
      </c>
      <c r="R2" s="4" t="str">
        <f>INDEX(Organization!$B:$B,MATCH($Q2,Organization!$A:$A,0))</f>
        <v>org1</v>
      </c>
      <c r="S2" s="4" t="str">
        <f>$V2&amp;": "&amp;$C2&amp;", "&amp;$E2</f>
        <v>org_user1_1: data_collection1, case_type_set1</v>
      </c>
      <c r="T2" s="6" t="str">
        <f>"user_case_policy"&amp;RIGHT($V2,LEN($V2)-8)&amp;"_"&amp;RIGHT($C2,LEN($C2)-15)</f>
        <v>user_case_policy1_1_1</v>
      </c>
      <c r="U2" t="s">
        <v>10</v>
      </c>
      <c r="V2" s="4" t="str">
        <f>INDEX(User!$D:$D,MATCH($U2,User!$A:$A,0))</f>
        <v>org_user1_1</v>
      </c>
      <c r="W2" s="6" t="str">
        <f>$U2&amp;"|"&amp;$B2</f>
        <v>0195d18c-1c98-7e0b-0c91-8cafbdb2c852|0195d18c-1ca2-a23d-1f64-00271f63199c</v>
      </c>
    </row>
    <row r="3" spans="1:23" hidden="1" x14ac:dyDescent="0.3">
      <c r="A3" t="s">
        <v>73</v>
      </c>
      <c r="B3" t="s">
        <v>17</v>
      </c>
      <c r="C3" s="4" t="str">
        <f>INDEX(DataCollection!$B:$B,MATCH($B3,DataCollection!$A:$A,0))</f>
        <v>data_collection2</v>
      </c>
      <c r="D3" t="s">
        <v>65</v>
      </c>
      <c r="E3" s="4" t="str">
        <f>INDEX(CaseTypeSet!$B:$B,MATCH($D3,CaseTypeSet!$A:$A,0))</f>
        <v>case_type_set2</v>
      </c>
      <c r="F3" t="b">
        <v>1</v>
      </c>
      <c r="G3" t="b">
        <v>1</v>
      </c>
      <c r="H3" t="b">
        <v>1</v>
      </c>
      <c r="I3" t="s">
        <v>66</v>
      </c>
      <c r="J3" s="4" t="str">
        <f>IF($I3="","",INDEX(CaseTypeColSet!$B:$B,MATCH($I3,CaseTypeColSet!$A:$A,0)))</f>
        <v>case_type_col_set2_1_1</v>
      </c>
      <c r="K3" t="s">
        <v>66</v>
      </c>
      <c r="L3" s="4" t="str">
        <f>IF($K3="","",INDEX(CaseTypeColSet!$B:$B,MATCH($K3,CaseTypeColSet!$A:$A,0)))</f>
        <v>case_type_col_set2_1_1</v>
      </c>
      <c r="M3" t="b">
        <v>1</v>
      </c>
      <c r="N3" t="b">
        <v>1</v>
      </c>
      <c r="O3" t="b">
        <v>1</v>
      </c>
      <c r="P3" t="b">
        <v>1</v>
      </c>
      <c r="Q3" s="4" t="str">
        <f>INDEX(User!$G:$G,MATCH($U3,User!$A:$A,0))</f>
        <v>0195d18c-1c92-0ed4-2e94-b4f66d82baf3</v>
      </c>
      <c r="R3" s="4" t="str">
        <f>INDEX(Organization!$B:$B,MATCH($Q3,Organization!$A:$A,0))</f>
        <v>org2</v>
      </c>
      <c r="S3" s="4" t="str">
        <f t="shared" ref="S3:S11" si="0">$V3&amp;": "&amp;$C3&amp;", "&amp;$E3</f>
        <v>org_user2_1: data_collection2, case_type_set2</v>
      </c>
      <c r="T3" s="6" t="str">
        <f t="shared" ref="T3:T11" si="1">"user_case_policy"&amp;RIGHT($V3,LEN($V3)-8)&amp;"_"&amp;RIGHT($C3,LEN($C3)-15)</f>
        <v>user_case_policy2_1_2</v>
      </c>
      <c r="U3" t="s">
        <v>16</v>
      </c>
      <c r="V3" s="4" t="str">
        <f>INDEX(User!$D:$D,MATCH($U3,User!$A:$A,0))</f>
        <v>org_user2_1</v>
      </c>
      <c r="W3" s="6" t="str">
        <f t="shared" ref="W3:W11" si="2">$U3&amp;"|"&amp;$B3</f>
        <v>0195d18c-1c9a-1178-0519-9124131763a6|0195d18c-1ca2-2a29-96a5-37c6bf87f586</v>
      </c>
    </row>
    <row r="4" spans="1:23" hidden="1" x14ac:dyDescent="0.3">
      <c r="A4" t="s">
        <v>74</v>
      </c>
      <c r="B4" t="s">
        <v>23</v>
      </c>
      <c r="C4" s="4" t="str">
        <f>INDEX(DataCollection!$B:$B,MATCH($B4,DataCollection!$A:$A,0))</f>
        <v>data_collection3</v>
      </c>
      <c r="D4" t="s">
        <v>67</v>
      </c>
      <c r="E4" s="4" t="str">
        <f>INDEX(CaseTypeSet!$B:$B,MATCH($D4,CaseTypeSet!$A:$A,0))</f>
        <v>case_type_set3</v>
      </c>
      <c r="F4" t="b">
        <v>1</v>
      </c>
      <c r="G4" t="b">
        <v>1</v>
      </c>
      <c r="H4" t="b">
        <v>1</v>
      </c>
      <c r="I4" t="s">
        <v>68</v>
      </c>
      <c r="J4" s="4" t="str">
        <f>IF($I4="","",INDEX(CaseTypeColSet!$B:$B,MATCH($I4,CaseTypeColSet!$A:$A,0)))</f>
        <v>case_type_col_set3_1_1</v>
      </c>
      <c r="K4" t="s">
        <v>68</v>
      </c>
      <c r="L4" s="4" t="str">
        <f>IF($K4="","",INDEX(CaseTypeColSet!$B:$B,MATCH($K4,CaseTypeColSet!$A:$A,0)))</f>
        <v>case_type_col_set3_1_1</v>
      </c>
      <c r="M4" t="b">
        <v>1</v>
      </c>
      <c r="N4" t="b">
        <v>1</v>
      </c>
      <c r="O4" t="b">
        <v>1</v>
      </c>
      <c r="P4" t="b">
        <v>1</v>
      </c>
      <c r="Q4" s="4" t="str">
        <f>INDEX(User!$G:$G,MATCH($U4,User!$A:$A,0))</f>
        <v>0195d18c-1c92-52b3-93e0-43dc1f2aa037</v>
      </c>
      <c r="R4" s="4" t="str">
        <f>INDEX(Organization!$B:$B,MATCH($Q4,Organization!$A:$A,0))</f>
        <v>org3</v>
      </c>
      <c r="S4" s="4" t="str">
        <f t="shared" si="0"/>
        <v>org_user3_1: data_collection3, case_type_set3</v>
      </c>
      <c r="T4" s="6" t="str">
        <f t="shared" si="1"/>
        <v>user_case_policy3_1_3</v>
      </c>
      <c r="U4" t="s">
        <v>22</v>
      </c>
      <c r="V4" s="4" t="str">
        <f>INDEX(User!$D:$D,MATCH($U4,User!$A:$A,0))</f>
        <v>org_user3_1</v>
      </c>
      <c r="W4" s="6" t="str">
        <f t="shared" si="2"/>
        <v>0195d18c-1c9c-0d8f-435a-5ca8b45939b8|0195d18c-1ca2-3a4f-1878-fbe3282c9c76</v>
      </c>
    </row>
    <row r="5" spans="1:23" hidden="1" x14ac:dyDescent="0.3">
      <c r="A5" t="s">
        <v>75</v>
      </c>
      <c r="B5" t="s">
        <v>29</v>
      </c>
      <c r="C5" s="4" t="str">
        <f>INDEX(DataCollection!$B:$B,MATCH($B5,DataCollection!$A:$A,0))</f>
        <v>data_collection4</v>
      </c>
      <c r="D5" t="s">
        <v>69</v>
      </c>
      <c r="E5" s="4" t="str">
        <f>INDEX(CaseTypeSet!$B:$B,MATCH($D5,CaseTypeSet!$A:$A,0))</f>
        <v>case_type_set4</v>
      </c>
      <c r="F5" t="b">
        <v>1</v>
      </c>
      <c r="G5" t="b">
        <v>1</v>
      </c>
      <c r="H5" t="b">
        <v>1</v>
      </c>
      <c r="I5" t="s">
        <v>70</v>
      </c>
      <c r="J5" s="4" t="str">
        <f>IF($I5="","",INDEX(CaseTypeColSet!$B:$B,MATCH($I5,CaseTypeColSet!$A:$A,0)))</f>
        <v>case_type_col_set4_1_1</v>
      </c>
      <c r="K5" t="s">
        <v>70</v>
      </c>
      <c r="L5" s="4" t="str">
        <f>IF($K5="","",INDEX(CaseTypeColSet!$B:$B,MATCH($K5,CaseTypeColSet!$A:$A,0)))</f>
        <v>case_type_col_set4_1_1</v>
      </c>
      <c r="M5" t="b">
        <v>1</v>
      </c>
      <c r="N5" t="b">
        <v>1</v>
      </c>
      <c r="O5" t="b">
        <v>1</v>
      </c>
      <c r="P5" t="b">
        <v>1</v>
      </c>
      <c r="Q5" s="4" t="str">
        <f>INDEX(User!$G:$G,MATCH($U5,User!$A:$A,0))</f>
        <v>0195d18c-1c92-d419-4c71-a570f428499b</v>
      </c>
      <c r="R5" s="4" t="str">
        <f>INDEX(Organization!$B:$B,MATCH($Q5,Organization!$A:$A,0))</f>
        <v>org4</v>
      </c>
      <c r="S5" s="4" t="str">
        <f t="shared" si="0"/>
        <v>org_user4_1: data_collection4, case_type_set4</v>
      </c>
      <c r="T5" s="6" t="str">
        <f t="shared" si="1"/>
        <v>user_case_policy4_1_4</v>
      </c>
      <c r="U5" t="s">
        <v>28</v>
      </c>
      <c r="V5" s="4" t="str">
        <f>INDEX(User!$D:$D,MATCH($U5,User!$A:$A,0))</f>
        <v>org_user4_1</v>
      </c>
      <c r="W5" s="6" t="str">
        <f t="shared" si="2"/>
        <v>0195d18c-1c9e-1c4a-1311-4f22f0d59f61|0195d18c-1ca2-e55a-608d-a42fc6f948e1</v>
      </c>
    </row>
    <row r="6" spans="1:23" hidden="1" x14ac:dyDescent="0.3">
      <c r="A6" t="s">
        <v>76</v>
      </c>
      <c r="B6" t="s">
        <v>35</v>
      </c>
      <c r="C6" s="4" t="str">
        <f>INDEX(DataCollection!$B:$B,MATCH($B6,DataCollection!$A:$A,0))</f>
        <v>data_collection5</v>
      </c>
      <c r="D6" t="s">
        <v>71</v>
      </c>
      <c r="E6" s="4" t="str">
        <f>INDEX(CaseTypeSet!$B:$B,MATCH($D6,CaseTypeSet!$A:$A,0))</f>
        <v>case_type_set5</v>
      </c>
      <c r="F6" t="b">
        <v>1</v>
      </c>
      <c r="G6" t="b">
        <v>1</v>
      </c>
      <c r="H6" t="b">
        <v>1</v>
      </c>
      <c r="I6" t="s">
        <v>72</v>
      </c>
      <c r="J6" s="4" t="str">
        <f>IF($I6="","",INDEX(CaseTypeColSet!$B:$B,MATCH($I6,CaseTypeColSet!$A:$A,0)))</f>
        <v>case_type_col_set5_1_1</v>
      </c>
      <c r="K6" t="s">
        <v>72</v>
      </c>
      <c r="L6" s="4" t="str">
        <f>IF($K6="","",INDEX(CaseTypeColSet!$B:$B,MATCH($K6,CaseTypeColSet!$A:$A,0)))</f>
        <v>case_type_col_set5_1_1</v>
      </c>
      <c r="M6" t="b">
        <v>1</v>
      </c>
      <c r="N6" t="b">
        <v>1</v>
      </c>
      <c r="O6" t="b">
        <v>1</v>
      </c>
      <c r="P6" t="b">
        <v>1</v>
      </c>
      <c r="Q6" s="4" t="str">
        <f>INDEX(User!$G:$G,MATCH($U6,User!$A:$A,0))</f>
        <v>0195d18c-1c93-02a2-6920-7e4dbfb73ce0</v>
      </c>
      <c r="R6" s="4" t="str">
        <f>INDEX(Organization!$B:$B,MATCH($Q6,Organization!$A:$A,0))</f>
        <v>org5</v>
      </c>
      <c r="S6" s="4" t="str">
        <f t="shared" si="0"/>
        <v>org_user5_1: data_collection5, case_type_set5</v>
      </c>
      <c r="T6" s="6" t="str">
        <f t="shared" si="1"/>
        <v>user_case_policy5_1_5</v>
      </c>
      <c r="U6" t="s">
        <v>34</v>
      </c>
      <c r="V6" s="4" t="str">
        <f>INDEX(User!$D:$D,MATCH($U6,User!$A:$A,0))</f>
        <v>org_user5_1</v>
      </c>
      <c r="W6" s="6" t="str">
        <f t="shared" si="2"/>
        <v>0195d18c-1ca0-e0db-7a87-6237ad6380c8|0195d18c-1ca2-b728-a2a1-d2a4cf7b8eb8</v>
      </c>
    </row>
    <row r="7" spans="1:23" x14ac:dyDescent="0.3">
      <c r="A7" t="s">
        <v>77</v>
      </c>
      <c r="B7" t="s">
        <v>15</v>
      </c>
      <c r="C7" s="4" t="str">
        <f>INDEX(DataCollection!$B:$B,MATCH($B7,DataCollection!$A:$A,0))</f>
        <v>data_collection6</v>
      </c>
      <c r="D7" t="s">
        <v>63</v>
      </c>
      <c r="E7" s="4" t="str">
        <f>INDEX(CaseTypeSet!$B:$B,MATCH($D7,CaseTypeSet!$A:$A,0))</f>
        <v>case_type_set1</v>
      </c>
      <c r="F7" t="b">
        <v>1</v>
      </c>
      <c r="G7" t="b">
        <v>1</v>
      </c>
      <c r="H7" t="b">
        <v>1</v>
      </c>
      <c r="I7" t="s">
        <v>64</v>
      </c>
      <c r="J7" s="4" t="str">
        <f>IF($I7="","",INDEX(CaseTypeColSet!$B:$B,MATCH($I7,CaseTypeColSet!$A:$A,0)))</f>
        <v>case_type_col_set1_1_1</v>
      </c>
      <c r="K7" t="s">
        <v>64</v>
      </c>
      <c r="L7" s="4" t="str">
        <f>IF($K7="","",INDEX(CaseTypeColSet!$B:$B,MATCH($K7,CaseTypeColSet!$A:$A,0)))</f>
        <v>case_type_col_set1_1_1</v>
      </c>
      <c r="M7" t="b">
        <v>1</v>
      </c>
      <c r="N7" t="b">
        <v>1</v>
      </c>
      <c r="O7" t="b">
        <v>1</v>
      </c>
      <c r="P7" t="b">
        <v>1</v>
      </c>
      <c r="Q7" s="4" t="str">
        <f>INDEX(User!$G:$G,MATCH($U7,User!$A:$A,0))</f>
        <v>018d074d-ea0c-e942-07db-a3cc0ba1d653</v>
      </c>
      <c r="R7" s="4" t="str">
        <f>INDEX(Organization!$B:$B,MATCH($Q7,Organization!$A:$A,0))</f>
        <v>org1</v>
      </c>
      <c r="S7" s="4" t="str">
        <f t="shared" si="0"/>
        <v>org_user1_1: data_collection6, case_type_set1</v>
      </c>
      <c r="T7" s="6" t="str">
        <f t="shared" si="1"/>
        <v>user_case_policy1_1_6</v>
      </c>
      <c r="U7" t="s">
        <v>10</v>
      </c>
      <c r="V7" s="4" t="str">
        <f>INDEX(User!$D:$D,MATCH($U7,User!$A:$A,0))</f>
        <v>org_user1_1</v>
      </c>
      <c r="W7" s="6" t="str">
        <f t="shared" si="2"/>
        <v>0195d18c-1c98-7e0b-0c91-8cafbdb2c852|0195d18c-1ca3-f309-f6f1-e4807afe3802</v>
      </c>
    </row>
    <row r="8" spans="1:23" hidden="1" x14ac:dyDescent="0.3">
      <c r="A8" t="s">
        <v>78</v>
      </c>
      <c r="B8" t="s">
        <v>21</v>
      </c>
      <c r="C8" s="4" t="str">
        <f>INDEX(DataCollection!$B:$B,MATCH($B8,DataCollection!$A:$A,0))</f>
        <v>data_collection7</v>
      </c>
      <c r="D8" t="s">
        <v>65</v>
      </c>
      <c r="E8" s="4" t="str">
        <f>INDEX(CaseTypeSet!$B:$B,MATCH($D8,CaseTypeSet!$A:$A,0))</f>
        <v>case_type_set2</v>
      </c>
      <c r="F8" t="b">
        <v>1</v>
      </c>
      <c r="G8" t="b">
        <v>1</v>
      </c>
      <c r="H8" t="b">
        <v>1</v>
      </c>
      <c r="I8" t="s">
        <v>66</v>
      </c>
      <c r="J8" s="4" t="str">
        <f>IF($I8="","",INDEX(CaseTypeColSet!$B:$B,MATCH($I8,CaseTypeColSet!$A:$A,0)))</f>
        <v>case_type_col_set2_1_1</v>
      </c>
      <c r="K8" t="s">
        <v>66</v>
      </c>
      <c r="L8" s="4" t="str">
        <f>IF($K8="","",INDEX(CaseTypeColSet!$B:$B,MATCH($K8,CaseTypeColSet!$A:$A,0)))</f>
        <v>case_type_col_set2_1_1</v>
      </c>
      <c r="M8" t="b">
        <v>1</v>
      </c>
      <c r="N8" t="b">
        <v>1</v>
      </c>
      <c r="O8" t="b">
        <v>1</v>
      </c>
      <c r="P8" t="b">
        <v>1</v>
      </c>
      <c r="Q8" s="4" t="str">
        <f>INDEX(User!$G:$G,MATCH($U8,User!$A:$A,0))</f>
        <v>0195d18c-1c92-0ed4-2e94-b4f66d82baf3</v>
      </c>
      <c r="R8" s="4" t="str">
        <f>INDEX(Organization!$B:$B,MATCH($Q8,Organization!$A:$A,0))</f>
        <v>org2</v>
      </c>
      <c r="S8" s="4" t="str">
        <f t="shared" si="0"/>
        <v>org_user2_1: data_collection7, case_type_set2</v>
      </c>
      <c r="T8" s="6" t="str">
        <f t="shared" si="1"/>
        <v>user_case_policy2_1_7</v>
      </c>
      <c r="U8" t="s">
        <v>16</v>
      </c>
      <c r="V8" s="4" t="str">
        <f>INDEX(User!$D:$D,MATCH($U8,User!$A:$A,0))</f>
        <v>org_user2_1</v>
      </c>
      <c r="W8" s="6" t="str">
        <f t="shared" si="2"/>
        <v>0195d18c-1c9a-1178-0519-9124131763a6|0195d18c-1ca3-db40-a2a8-6dc905d6c1e9</v>
      </c>
    </row>
    <row r="9" spans="1:23" hidden="1" x14ac:dyDescent="0.3">
      <c r="A9" t="s">
        <v>79</v>
      </c>
      <c r="B9" t="s">
        <v>27</v>
      </c>
      <c r="C9" s="4" t="str">
        <f>INDEX(DataCollection!$B:$B,MATCH($B9,DataCollection!$A:$A,0))</f>
        <v>data_collection8</v>
      </c>
      <c r="D9" t="s">
        <v>67</v>
      </c>
      <c r="E9" s="4" t="str">
        <f>INDEX(CaseTypeSet!$B:$B,MATCH($D9,CaseTypeSet!$A:$A,0))</f>
        <v>case_type_set3</v>
      </c>
      <c r="F9" t="b">
        <v>1</v>
      </c>
      <c r="G9" t="b">
        <v>1</v>
      </c>
      <c r="H9" t="b">
        <v>1</v>
      </c>
      <c r="I9" t="s">
        <v>68</v>
      </c>
      <c r="J9" s="4" t="str">
        <f>IF($I9="","",INDEX(CaseTypeColSet!$B:$B,MATCH($I9,CaseTypeColSet!$A:$A,0)))</f>
        <v>case_type_col_set3_1_1</v>
      </c>
      <c r="K9" t="s">
        <v>68</v>
      </c>
      <c r="L9" s="4" t="str">
        <f>IF($K9="","",INDEX(CaseTypeColSet!$B:$B,MATCH($K9,CaseTypeColSet!$A:$A,0)))</f>
        <v>case_type_col_set3_1_1</v>
      </c>
      <c r="M9" t="b">
        <v>1</v>
      </c>
      <c r="N9" t="b">
        <v>1</v>
      </c>
      <c r="O9" t="b">
        <v>1</v>
      </c>
      <c r="P9" t="b">
        <v>1</v>
      </c>
      <c r="Q9" s="4" t="str">
        <f>INDEX(User!$G:$G,MATCH($U9,User!$A:$A,0))</f>
        <v>0195d18c-1c92-52b3-93e0-43dc1f2aa037</v>
      </c>
      <c r="R9" s="4" t="str">
        <f>INDEX(Organization!$B:$B,MATCH($Q9,Organization!$A:$A,0))</f>
        <v>org3</v>
      </c>
      <c r="S9" s="4" t="str">
        <f t="shared" si="0"/>
        <v>org_user3_1: data_collection8, case_type_set3</v>
      </c>
      <c r="T9" s="6" t="str">
        <f t="shared" si="1"/>
        <v>user_case_policy3_1_8</v>
      </c>
      <c r="U9" t="s">
        <v>22</v>
      </c>
      <c r="V9" s="4" t="str">
        <f>INDEX(User!$D:$D,MATCH($U9,User!$A:$A,0))</f>
        <v>org_user3_1</v>
      </c>
      <c r="W9" s="6" t="str">
        <f t="shared" si="2"/>
        <v>0195d18c-1c9c-0d8f-435a-5ca8b45939b8|0195d18c-1ca3-da0a-44bb-877b3a1eb73e</v>
      </c>
    </row>
    <row r="10" spans="1:23" hidden="1" x14ac:dyDescent="0.3">
      <c r="A10" t="s">
        <v>80</v>
      </c>
      <c r="B10" t="s">
        <v>33</v>
      </c>
      <c r="C10" s="4" t="str">
        <f>INDEX(DataCollection!$B:$B,MATCH($B10,DataCollection!$A:$A,0))</f>
        <v>data_collection9</v>
      </c>
      <c r="D10" t="s">
        <v>69</v>
      </c>
      <c r="E10" s="4" t="str">
        <f>INDEX(CaseTypeSet!$B:$B,MATCH($D10,CaseTypeSet!$A:$A,0))</f>
        <v>case_type_set4</v>
      </c>
      <c r="F10" t="b">
        <v>1</v>
      </c>
      <c r="G10" t="b">
        <v>1</v>
      </c>
      <c r="H10" t="b">
        <v>1</v>
      </c>
      <c r="I10" t="s">
        <v>70</v>
      </c>
      <c r="J10" s="4" t="str">
        <f>IF($I10="","",INDEX(CaseTypeColSet!$B:$B,MATCH($I10,CaseTypeColSet!$A:$A,0)))</f>
        <v>case_type_col_set4_1_1</v>
      </c>
      <c r="K10" t="s">
        <v>70</v>
      </c>
      <c r="L10" s="4" t="str">
        <f>IF($K10="","",INDEX(CaseTypeColSet!$B:$B,MATCH($K10,CaseTypeColSet!$A:$A,0)))</f>
        <v>case_type_col_set4_1_1</v>
      </c>
      <c r="M10" t="b">
        <v>1</v>
      </c>
      <c r="N10" t="b">
        <v>1</v>
      </c>
      <c r="O10" t="b">
        <v>1</v>
      </c>
      <c r="P10" t="b">
        <v>1</v>
      </c>
      <c r="Q10" s="4" t="str">
        <f>INDEX(User!$G:$G,MATCH($U10,User!$A:$A,0))</f>
        <v>0195d18c-1c92-d419-4c71-a570f428499b</v>
      </c>
      <c r="R10" s="4" t="str">
        <f>INDEX(Organization!$B:$B,MATCH($Q10,Organization!$A:$A,0))</f>
        <v>org4</v>
      </c>
      <c r="S10" s="4" t="str">
        <f t="shared" si="0"/>
        <v>org_user4_1: data_collection9, case_type_set4</v>
      </c>
      <c r="T10" s="6" t="str">
        <f t="shared" si="1"/>
        <v>user_case_policy4_1_9</v>
      </c>
      <c r="U10" t="s">
        <v>28</v>
      </c>
      <c r="V10" s="4" t="str">
        <f>INDEX(User!$D:$D,MATCH($U10,User!$A:$A,0))</f>
        <v>org_user4_1</v>
      </c>
      <c r="W10" s="6" t="str">
        <f t="shared" si="2"/>
        <v>0195d18c-1c9e-1c4a-1311-4f22f0d59f61|0195d18c-1ca3-4d34-d0e9-8f024ad8651a</v>
      </c>
    </row>
    <row r="11" spans="1:23" hidden="1" x14ac:dyDescent="0.3">
      <c r="A11" t="s">
        <v>81</v>
      </c>
      <c r="B11" t="s">
        <v>39</v>
      </c>
      <c r="C11" s="4" t="str">
        <f>INDEX(DataCollection!$B:$B,MATCH($B11,DataCollection!$A:$A,0))</f>
        <v>data_collection10</v>
      </c>
      <c r="D11" t="s">
        <v>71</v>
      </c>
      <c r="E11" s="4" t="str">
        <f>INDEX(CaseTypeSet!$B:$B,MATCH($D11,CaseTypeSet!$A:$A,0))</f>
        <v>case_type_set5</v>
      </c>
      <c r="F11" t="b">
        <v>1</v>
      </c>
      <c r="G11" t="b">
        <v>1</v>
      </c>
      <c r="H11" t="b">
        <v>1</v>
      </c>
      <c r="I11" t="s">
        <v>72</v>
      </c>
      <c r="J11" s="4" t="str">
        <f>IF($I11="","",INDEX(CaseTypeColSet!$B:$B,MATCH($I11,CaseTypeColSet!$A:$A,0)))</f>
        <v>case_type_col_set5_1_1</v>
      </c>
      <c r="K11" t="s">
        <v>72</v>
      </c>
      <c r="L11" s="4" t="str">
        <f>IF($K11="","",INDEX(CaseTypeColSet!$B:$B,MATCH($K11,CaseTypeColSet!$A:$A,0)))</f>
        <v>case_type_col_set5_1_1</v>
      </c>
      <c r="M11" t="b">
        <v>1</v>
      </c>
      <c r="N11" t="b">
        <v>1</v>
      </c>
      <c r="O11" t="b">
        <v>1</v>
      </c>
      <c r="P11" t="b">
        <v>1</v>
      </c>
      <c r="Q11" s="4" t="str">
        <f>INDEX(User!$G:$G,MATCH($U11,User!$A:$A,0))</f>
        <v>0195d18c-1c93-02a2-6920-7e4dbfb73ce0</v>
      </c>
      <c r="R11" s="4" t="str">
        <f>INDEX(Organization!$B:$B,MATCH($Q11,Organization!$A:$A,0))</f>
        <v>org5</v>
      </c>
      <c r="S11" s="4" t="str">
        <f t="shared" si="0"/>
        <v>org_user5_1: data_collection10, case_type_set5</v>
      </c>
      <c r="T11" s="6" t="str">
        <f t="shared" si="1"/>
        <v>user_case_policy5_1_10</v>
      </c>
      <c r="U11" t="s">
        <v>34</v>
      </c>
      <c r="V11" s="4" t="str">
        <f>INDEX(User!$D:$D,MATCH($U11,User!$A:$A,0))</f>
        <v>org_user5_1</v>
      </c>
      <c r="W11" s="6" t="str">
        <f t="shared" si="2"/>
        <v>0195d18c-1ca0-e0db-7a87-6237ad6380c8|0195d18c-1ca3-11a2-bf20-8eaaa09cc070</v>
      </c>
    </row>
  </sheetData>
  <autoFilter ref="A1:V11" xr:uid="{413B6EDF-4214-4325-A1BD-732A42D052EA}">
    <filterColumn colId="21">
      <filters>
        <filter val="org_user1_1"/>
      </filters>
    </filterColumn>
  </autoFilter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A0CE-352C-4E69-8986-540397C3CD9D}">
  <dimension ref="A1:P2"/>
  <sheetViews>
    <sheetView workbookViewId="0">
      <pane ySplit="1" topLeftCell="A2" activePane="bottomLeft" state="frozen"/>
      <selection pane="bottomLeft" activeCell="O1" sqref="O1"/>
    </sheetView>
  </sheetViews>
  <sheetFormatPr defaultColWidth="8.6640625" defaultRowHeight="14.4" x14ac:dyDescent="0.3"/>
  <cols>
    <col min="1" max="2" width="35.44140625" bestFit="1" customWidth="1"/>
    <col min="3" max="3" width="23.664062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664062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23.6640625" bestFit="1" customWidth="1"/>
    <col min="15" max="15" width="35.44140625" bestFit="1" customWidth="1"/>
    <col min="16" max="16" width="13.33203125" bestFit="1" customWidth="1"/>
  </cols>
  <sheetData>
    <row r="1" spans="1:16" x14ac:dyDescent="0.3">
      <c r="A1" t="s">
        <v>0</v>
      </c>
      <c r="B1" t="s">
        <v>2</v>
      </c>
      <c r="C1" s="3" t="s">
        <v>555</v>
      </c>
      <c r="D1" t="s">
        <v>58</v>
      </c>
      <c r="E1" s="3" t="s">
        <v>556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491</v>
      </c>
      <c r="L1" s="3" t="s">
        <v>566</v>
      </c>
      <c r="M1" s="6" t="s">
        <v>568</v>
      </c>
      <c r="N1" s="3" t="s">
        <v>569</v>
      </c>
      <c r="O1" s="7" t="s">
        <v>1</v>
      </c>
      <c r="P1" s="8" t="s">
        <v>565</v>
      </c>
    </row>
    <row r="2" spans="1:16" x14ac:dyDescent="0.3">
      <c r="A2" t="s">
        <v>567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s="4" t="str">
        <f>INDEX(User!$G:$G,MATCH($O2,User!$A:$A,0))</f>
        <v>018d074d-ea0c-e942-07db-a3cc0ba1d653</v>
      </c>
      <c r="N2" s="4" t="str">
        <f>INDEX(Organization!$B:$B,MATCH($M2,Organization!$A:$A,0))</f>
        <v>org1</v>
      </c>
      <c r="O2" t="s">
        <v>10</v>
      </c>
      <c r="P2" s="4" t="str">
        <f>INDEX(User!$D:$D,MATCH($O2,User!$A:$A,0))</f>
        <v>org_user1_1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3A8B-A0A1-46B6-957F-B8B3E001E975}">
  <dimension ref="A1:N2"/>
  <sheetViews>
    <sheetView workbookViewId="0">
      <pane ySplit="1" topLeftCell="A2" activePane="bottomLeft" state="frozen"/>
      <selection pane="bottomLeft" activeCell="B3" sqref="B3"/>
    </sheetView>
  </sheetViews>
  <sheetFormatPr defaultColWidth="8.6640625" defaultRowHeight="14.4" x14ac:dyDescent="0.3"/>
  <cols>
    <col min="1" max="1" width="35.44140625" bestFit="1" customWidth="1"/>
    <col min="2" max="2" width="35.33203125" bestFit="1" customWidth="1"/>
    <col min="3" max="3" width="22.109375" bestFit="1" customWidth="1"/>
    <col min="4" max="4" width="35.6640625" bestFit="1" customWidth="1"/>
    <col min="5" max="5" width="21" bestFit="1" customWidth="1"/>
    <col min="6" max="6" width="8" bestFit="1" customWidth="1"/>
    <col min="7" max="7" width="8.6640625" bestFit="1" customWidth="1"/>
    <col min="8" max="8" width="11.6640625" bestFit="1" customWidth="1"/>
    <col min="9" max="9" width="12" bestFit="1" customWidth="1"/>
    <col min="10" max="10" width="15.44140625" bestFit="1" customWidth="1"/>
    <col min="11" max="11" width="35.33203125" bestFit="1" customWidth="1"/>
    <col min="12" max="12" width="27.33203125" bestFit="1" customWidth="1"/>
    <col min="13" max="13" width="36" bestFit="1" customWidth="1"/>
    <col min="14" max="14" width="19.44140625" bestFit="1" customWidth="1"/>
  </cols>
  <sheetData>
    <row r="1" spans="1:14" x14ac:dyDescent="0.3">
      <c r="A1" t="s">
        <v>0</v>
      </c>
      <c r="B1" t="s">
        <v>2</v>
      </c>
      <c r="C1" s="3" t="s">
        <v>555</v>
      </c>
      <c r="D1" t="s">
        <v>58</v>
      </c>
      <c r="E1" s="3" t="s">
        <v>556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491</v>
      </c>
      <c r="L1" s="3" t="s">
        <v>566</v>
      </c>
      <c r="M1" t="s">
        <v>41</v>
      </c>
      <c r="N1" s="3" t="s">
        <v>562</v>
      </c>
    </row>
    <row r="2" spans="1:14" x14ac:dyDescent="0.3">
      <c r="A2" t="s">
        <v>567</v>
      </c>
      <c r="B2" t="s">
        <v>17</v>
      </c>
      <c r="C2" s="4" t="str">
        <f>INDEX(DataCollection!$B:$B,MATCH($B2,DataCollection!$A:$A,0))</f>
        <v>data_collection2</v>
      </c>
      <c r="D2" t="s">
        <v>63</v>
      </c>
      <c r="E2" s="4" t="str">
        <f>INDEX(CaseTypeSet!$B:$B,MATCH($D2,CaseTypeSet!$A:$A,0))</f>
        <v>case_type_set1</v>
      </c>
      <c r="F2">
        <v>1</v>
      </c>
      <c r="G2" t="b">
        <f>TRUE()</f>
        <v>1</v>
      </c>
      <c r="H2" t="b">
        <f>TRUE()</f>
        <v>1</v>
      </c>
      <c r="I2" t="b">
        <f>TRUE()</f>
        <v>1</v>
      </c>
      <c r="J2" t="b">
        <f>TRUE()</f>
        <v>1</v>
      </c>
      <c r="K2" t="s">
        <v>11</v>
      </c>
      <c r="L2" s="4" t="str">
        <f>INDEX(DataCollection!$B:$B,MATCH($K2,DataCollection!$A:$A,0))</f>
        <v>data_collection1</v>
      </c>
      <c r="M2" t="s">
        <v>43</v>
      </c>
      <c r="N2" s="4" t="str">
        <f>INDEX(Organization!$B:$B,MATCH($M2,Organization!$A:$A,0))</f>
        <v>org1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Organization</vt:lpstr>
      <vt:lpstr>DataCollection</vt:lpstr>
      <vt:lpstr>User</vt:lpstr>
      <vt:lpstr>UserInvitation</vt:lpstr>
      <vt:lpstr>Dim</vt:lpstr>
      <vt:lpstr>Col</vt:lpstr>
      <vt:lpstr>Disease</vt:lpstr>
      <vt:lpstr>EtiologicalAgent</vt:lpstr>
      <vt:lpstr>CaseType</vt:lpstr>
      <vt:lpstr>CaseTypeSetCategory</vt:lpstr>
      <vt:lpstr>CaseTypeSet</vt:lpstr>
      <vt:lpstr>CaseTypeSetMember</vt:lpstr>
      <vt:lpstr>CaseTypeCol</vt:lpstr>
      <vt:lpstr>CaseTypeColSet</vt:lpstr>
      <vt:lpstr>CaseTypeColSetMember</vt:lpstr>
      <vt:lpstr>OrganizationAdminPolicy</vt:lpstr>
      <vt:lpstr>CaseCrudCommand</vt:lpstr>
      <vt:lpstr>OrganizationAccessCasePolicy</vt:lpstr>
      <vt:lpstr>UserAccessCasePolicy</vt:lpstr>
      <vt:lpstr>UserShareCasePolicy</vt:lpstr>
      <vt:lpstr>OrganizationShareCasePolicy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Van Walle</cp:lastModifiedBy>
  <dcterms:created xsi:type="dcterms:W3CDTF">2025-03-26T08:22:55Z</dcterms:created>
  <dcterms:modified xsi:type="dcterms:W3CDTF">2025-11-03T21:26:41Z</dcterms:modified>
</cp:coreProperties>
</file>